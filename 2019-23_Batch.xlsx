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tstaff26\Share Data\327 Attainments\NBA 2026 Folder\2019-23 Batch\"/>
    </mc:Choice>
  </mc:AlternateContent>
  <bookViews>
    <workbookView xWindow="0" yWindow="0" windowWidth="20490" windowHeight="7350"/>
  </bookViews>
  <sheets>
    <sheet name="Attainments" sheetId="7" r:id="rId1"/>
    <sheet name="M-I" sheetId="30" r:id="rId2"/>
    <sheet name="M-II" sheetId="29" r:id="rId3"/>
    <sheet name="PHY " sheetId="86" r:id="rId4"/>
    <sheet name="EG" sheetId="32" r:id="rId5"/>
    <sheet name="PHYLAB" sheetId="51" r:id="rId6"/>
    <sheet name="WSLAB" sheetId="52" r:id="rId7"/>
    <sheet name="M-III1.2" sheetId="34" r:id="rId8"/>
    <sheet name="BEE" sheetId="2" r:id="rId9"/>
    <sheet name="CHE" sheetId="35" r:id="rId10"/>
    <sheet name="CPNM" sheetId="36" r:id="rId11"/>
    <sheet name="ENGLISH1.1" sheetId="28" r:id="rId12"/>
    <sheet name="CHELAB" sheetId="53" r:id="rId13"/>
    <sheet name="CPNMLAB" sheetId="54" r:id="rId14"/>
    <sheet name="M-IV" sheetId="90" r:id="rId15"/>
    <sheet name="NT" sheetId="85" r:id="rId16"/>
    <sheet name="EM" sheetId="4" r:id="rId17"/>
    <sheet name="EDC" sheetId="5" r:id="rId18"/>
    <sheet name="SS" sheetId="6" r:id="rId19"/>
    <sheet name="DS" sheetId="41" r:id="rId20"/>
    <sheet name="EDCLAB" sheetId="57" r:id="rId21"/>
    <sheet name="NTMLAB" sheetId="56" r:id="rId22"/>
    <sheet name="M-V" sheetId="91" r:id="rId23"/>
    <sheet name="EMFTL" sheetId="68" r:id="rId24"/>
    <sheet name="AEC" sheetId="69" r:id="rId25"/>
    <sheet name="STLD" sheetId="70" r:id="rId26"/>
    <sheet name="PTRP" sheetId="71" r:id="rId27"/>
    <sheet name="ES" sheetId="80" r:id="rId28"/>
    <sheet name="UHV" sheetId="81" r:id="rId29"/>
    <sheet name="AECLAB" sheetId="75" r:id="rId30"/>
    <sheet name="DICLAB" sheetId="74" r:id="rId31"/>
    <sheet name="LICA3.1" sheetId="8" r:id="rId32"/>
    <sheet name="CS" sheetId="48" r:id="rId33"/>
    <sheet name="AWP" sheetId="9" r:id="rId34"/>
    <sheet name="PDC" sheetId="10" r:id="rId35"/>
    <sheet name="AC&amp;DC" sheetId="42" r:id="rId36"/>
    <sheet name="CNE" sheetId="82" r:id="rId37"/>
    <sheet name="MOOCs-1" sheetId="88" r:id="rId38"/>
    <sheet name="LICLAB" sheetId="58" r:id="rId39"/>
    <sheet name="ACDC-LAB" sheetId="59" r:id="rId40"/>
    <sheet name="VLSI3.2" sheetId="20" r:id="rId41"/>
    <sheet name="DSP" sheetId="22" r:id="rId42"/>
    <sheet name="MPMC" sheetId="21" r:id="rId43"/>
    <sheet name="ITC" sheetId="23" r:id="rId44"/>
    <sheet name="EMI" sheetId="79" r:id="rId45"/>
    <sheet name="CMC" sheetId="24" r:id="rId46"/>
    <sheet name="SC" sheetId="78" r:id="rId47"/>
    <sheet name="DSPLAB" sheetId="76" r:id="rId48"/>
    <sheet name="MPMCLAB" sheetId="77" r:id="rId49"/>
    <sheet name="PEM" sheetId="92" r:id="rId50"/>
    <sheet name="MWE" sheetId="63" r:id="rId51"/>
    <sheet name="RE" sheetId="60" r:id="rId52"/>
    <sheet name="FOC" sheetId="61" r:id="rId53"/>
    <sheet name="IOT1" sheetId="62" r:id="rId54"/>
    <sheet name="EMBEDDEDSYS" sheetId="84" r:id="rId55"/>
    <sheet name="GPS" sheetId="64" r:id="rId56"/>
    <sheet name="MWELAB" sheetId="65" r:id="rId57"/>
    <sheet name="SKILL LAB" sheetId="83" r:id="rId58"/>
    <sheet name="INTERNSHIP" sheetId="87" r:id="rId59"/>
    <sheet name="MOOCs-II" sheetId="89" r:id="rId60"/>
    <sheet name="PROJECT4.2" sheetId="67" r:id="rId61"/>
  </sheets>
  <definedNames>
    <definedName name="_xlnm._FilterDatabase" localSheetId="0" hidden="1">Attainments!$C$27:$N$44</definedName>
    <definedName name="_xlnm._FilterDatabase" localSheetId="36" hidden="1">CNE!$A$1:$AA$45</definedName>
    <definedName name="_xlnm.Print_Area" localSheetId="0">Attainments!$A$1:$AM$167</definedName>
    <definedName name="_xlnm.Print_Area" localSheetId="36">CNE!$A$1:$AE$84</definedName>
    <definedName name="_xlnm.Print_Area" localSheetId="4">EG!$A$1:$V$96</definedName>
    <definedName name="_xlnm.Print_Area" localSheetId="11">ENGLISH1.1!$A$1:$AC$106</definedName>
    <definedName name="_xlnm.Print_Area" localSheetId="27">ES!$A$1:$AD$126</definedName>
    <definedName name="_xlnm.Print_Area" localSheetId="52">FOC!$A$1:$AF$93</definedName>
    <definedName name="_xlnm.Print_Area" localSheetId="1">'M-I'!$A$1:$AK$96</definedName>
    <definedName name="_xlnm.Print_Area" localSheetId="2">'M-II'!$A$1:$AS$98</definedName>
    <definedName name="_xlnm.Print_Area" localSheetId="51">RE!$A$1:$AJ$115</definedName>
  </definedNames>
  <calcPr calcId="162913"/>
</workbook>
</file>

<file path=xl/calcChain.xml><?xml version="1.0" encoding="utf-8"?>
<calcChain xmlns="http://schemas.openxmlformats.org/spreadsheetml/2006/main">
  <c r="Y10" i="41" l="1"/>
  <c r="Y11" i="41"/>
  <c r="Y12" i="41"/>
  <c r="Y13" i="41"/>
  <c r="Y14" i="41"/>
  <c r="Y15" i="41"/>
  <c r="Y16" i="41"/>
  <c r="Y17" i="41"/>
  <c r="Y18" i="41"/>
  <c r="Y19" i="41"/>
  <c r="Y20" i="41"/>
  <c r="Y21" i="41"/>
  <c r="Y22" i="41"/>
  <c r="Y23" i="41"/>
  <c r="Y24" i="41"/>
  <c r="Y25" i="41"/>
  <c r="Y26" i="41"/>
  <c r="Y27" i="41"/>
  <c r="Y28" i="41"/>
  <c r="Y29" i="41"/>
  <c r="Y30" i="41"/>
  <c r="Y31" i="41"/>
  <c r="Y32" i="41"/>
  <c r="Y33" i="41"/>
  <c r="Y34" i="41"/>
  <c r="Y35" i="41"/>
  <c r="Y36" i="41"/>
  <c r="Y37" i="41"/>
  <c r="Y38" i="41"/>
  <c r="Y39" i="41"/>
  <c r="Y40" i="41"/>
  <c r="Y41" i="41"/>
  <c r="Y42" i="41"/>
  <c r="Y43" i="41"/>
  <c r="Y44" i="41"/>
  <c r="Y45" i="41"/>
  <c r="Y46" i="41"/>
  <c r="Y47" i="41"/>
  <c r="Y48" i="41"/>
  <c r="Y49" i="41"/>
  <c r="Y50" i="41"/>
  <c r="Y51" i="41"/>
  <c r="Y52" i="41"/>
  <c r="Y53" i="41"/>
  <c r="Y54" i="41"/>
  <c r="Y55" i="41"/>
  <c r="Y56" i="41"/>
  <c r="Y57" i="41"/>
  <c r="Y58" i="41"/>
  <c r="Y59" i="41"/>
  <c r="Y60" i="41"/>
  <c r="Y61" i="41"/>
  <c r="Y62" i="41"/>
  <c r="Y63" i="41"/>
  <c r="Y64" i="41"/>
  <c r="Y65" i="41"/>
  <c r="Y66" i="41"/>
  <c r="Y67" i="41"/>
  <c r="Y70" i="41"/>
  <c r="Y71" i="41" s="1"/>
  <c r="C69" i="41"/>
  <c r="C70" i="41" s="1"/>
  <c r="C71" i="41" s="1"/>
  <c r="C68" i="41"/>
  <c r="D69" i="41"/>
  <c r="D70" i="41" s="1"/>
  <c r="D71" i="41" s="1"/>
  <c r="D68" i="41"/>
  <c r="E69" i="41"/>
  <c r="E70" i="41"/>
  <c r="E71" i="41" s="1"/>
  <c r="E68" i="41"/>
  <c r="H69" i="41"/>
  <c r="H70" i="41" s="1"/>
  <c r="H71" i="41" s="1"/>
  <c r="H68" i="41"/>
  <c r="V68" i="41"/>
  <c r="V71" i="41" s="1"/>
  <c r="F69" i="41"/>
  <c r="F70" i="41" s="1"/>
  <c r="F71" i="41" s="1"/>
  <c r="F68" i="41"/>
  <c r="G69" i="41"/>
  <c r="G70" i="41" s="1"/>
  <c r="G71" i="41" s="1"/>
  <c r="G68" i="41"/>
  <c r="I69" i="41"/>
  <c r="I70" i="41"/>
  <c r="I71" i="41" s="1"/>
  <c r="I68" i="41"/>
  <c r="J69" i="41"/>
  <c r="J70" i="41" s="1"/>
  <c r="J71" i="41" s="1"/>
  <c r="J68" i="41"/>
  <c r="K69" i="41"/>
  <c r="K70" i="41" s="1"/>
  <c r="K71" i="41" s="1"/>
  <c r="K68" i="41"/>
  <c r="M69" i="41"/>
  <c r="M70" i="41" s="1"/>
  <c r="M71" i="41" s="1"/>
  <c r="M68" i="41"/>
  <c r="N69" i="41"/>
  <c r="N70" i="41" s="1"/>
  <c r="N71" i="41" s="1"/>
  <c r="N68" i="41"/>
  <c r="O69" i="41"/>
  <c r="O70" i="41" s="1"/>
  <c r="O71" i="41" s="1"/>
  <c r="O68" i="41"/>
  <c r="R69" i="41"/>
  <c r="R70" i="41"/>
  <c r="R71" i="41" s="1"/>
  <c r="R68" i="41"/>
  <c r="P69" i="41"/>
  <c r="P70" i="41" s="1"/>
  <c r="P71" i="41" s="1"/>
  <c r="P68" i="41"/>
  <c r="Q69" i="41"/>
  <c r="Q70" i="41" s="1"/>
  <c r="Q71" i="41" s="1"/>
  <c r="Q68" i="41"/>
  <c r="S69" i="41"/>
  <c r="S70" i="41" s="1"/>
  <c r="S68" i="41"/>
  <c r="S71" i="41"/>
  <c r="T69" i="41"/>
  <c r="T70" i="41" s="1"/>
  <c r="T71" i="41" s="1"/>
  <c r="T68" i="41"/>
  <c r="C109" i="41"/>
  <c r="D109" i="41"/>
  <c r="L106" i="7" s="1"/>
  <c r="C88" i="41"/>
  <c r="D88" i="41"/>
  <c r="R11" i="7" s="1"/>
  <c r="E88" i="41"/>
  <c r="S11" i="7" s="1"/>
  <c r="H88" i="41"/>
  <c r="V11" i="7" s="1"/>
  <c r="N88" i="41"/>
  <c r="AB11" i="7" s="1"/>
  <c r="C68" i="5"/>
  <c r="C69" i="5"/>
  <c r="D68" i="5"/>
  <c r="D69" i="5" s="1"/>
  <c r="G68" i="5"/>
  <c r="G69" i="5" s="1"/>
  <c r="O68" i="5"/>
  <c r="O69" i="5" s="1"/>
  <c r="P68" i="5"/>
  <c r="P69" i="5" s="1"/>
  <c r="T68" i="5"/>
  <c r="T69" i="5" s="1"/>
  <c r="S68" i="5"/>
  <c r="S69" i="5" s="1"/>
  <c r="W68" i="5"/>
  <c r="W69" i="5" s="1"/>
  <c r="C69" i="22"/>
  <c r="F69" i="22"/>
  <c r="D69" i="22"/>
  <c r="D70" i="22" s="1"/>
  <c r="O69" i="22"/>
  <c r="O70" i="22" s="1"/>
  <c r="R69" i="22"/>
  <c r="R70" i="22" s="1"/>
  <c r="P69" i="22"/>
  <c r="P70" i="22" s="1"/>
  <c r="U69" i="22"/>
  <c r="U70" i="22" s="1"/>
  <c r="Q69" i="22"/>
  <c r="Q70" i="22" s="1"/>
  <c r="S69" i="22"/>
  <c r="S70" i="22" s="1"/>
  <c r="D28" i="7"/>
  <c r="D39" i="7"/>
  <c r="E28" i="7"/>
  <c r="E39" i="7"/>
  <c r="F39" i="7"/>
  <c r="G28" i="7"/>
  <c r="G39" i="7"/>
  <c r="H28" i="7"/>
  <c r="V28" i="7"/>
  <c r="I28" i="7"/>
  <c r="I39" i="7"/>
  <c r="J28" i="7"/>
  <c r="K28" i="7"/>
  <c r="K39" i="7"/>
  <c r="L28" i="7"/>
  <c r="L39" i="7"/>
  <c r="N28" i="7"/>
  <c r="N39" i="7"/>
  <c r="C105" i="7"/>
  <c r="S102" i="7"/>
  <c r="D105" i="7"/>
  <c r="T102" i="7"/>
  <c r="E105" i="7"/>
  <c r="U102" i="7"/>
  <c r="C28" i="7"/>
  <c r="C39" i="7"/>
  <c r="D75" i="7"/>
  <c r="E75" i="7"/>
  <c r="G75" i="7"/>
  <c r="H75" i="7"/>
  <c r="I75" i="7"/>
  <c r="J75" i="7"/>
  <c r="K75" i="7"/>
  <c r="L75" i="7"/>
  <c r="N75" i="7"/>
  <c r="V102" i="7"/>
  <c r="W102" i="7"/>
  <c r="X102" i="7"/>
  <c r="C75" i="7"/>
  <c r="AC10" i="92"/>
  <c r="AC11" i="92"/>
  <c r="AC12" i="92"/>
  <c r="AC13" i="92"/>
  <c r="AC14" i="92"/>
  <c r="AC15" i="92"/>
  <c r="AC16" i="92"/>
  <c r="AC17" i="92"/>
  <c r="AC18" i="92"/>
  <c r="AC19" i="92"/>
  <c r="AC20" i="92"/>
  <c r="AC21" i="92"/>
  <c r="AC22" i="92"/>
  <c r="AC23" i="92"/>
  <c r="AC24" i="92"/>
  <c r="AC25" i="92"/>
  <c r="AC26" i="92"/>
  <c r="AC27" i="92"/>
  <c r="AC28" i="92"/>
  <c r="AC29" i="92"/>
  <c r="AC30" i="92"/>
  <c r="AC31" i="92"/>
  <c r="AC32" i="92"/>
  <c r="AC33" i="92"/>
  <c r="AC34" i="92"/>
  <c r="AC35" i="92"/>
  <c r="AC36" i="92"/>
  <c r="AC37" i="92"/>
  <c r="AC38" i="92"/>
  <c r="AC39" i="92"/>
  <c r="AC40" i="92"/>
  <c r="AC41" i="92"/>
  <c r="AC42" i="92"/>
  <c r="AC43" i="92"/>
  <c r="AC44" i="92"/>
  <c r="AC45" i="92"/>
  <c r="AC46" i="92"/>
  <c r="AC47" i="92"/>
  <c r="AC48" i="92"/>
  <c r="AC49" i="92"/>
  <c r="AC50" i="92"/>
  <c r="AC51" i="92"/>
  <c r="AC52" i="92"/>
  <c r="AC53" i="92"/>
  <c r="AC54" i="92"/>
  <c r="AC55" i="92"/>
  <c r="AC56" i="92"/>
  <c r="AC57" i="92"/>
  <c r="AC58" i="92"/>
  <c r="AC59" i="92"/>
  <c r="AC60" i="92"/>
  <c r="AC61" i="92"/>
  <c r="AC62" i="92"/>
  <c r="AC63" i="92"/>
  <c r="AC64" i="92"/>
  <c r="AC65" i="92"/>
  <c r="AC66" i="92"/>
  <c r="AC67" i="92"/>
  <c r="G69" i="92"/>
  <c r="G70" i="92"/>
  <c r="G68" i="92"/>
  <c r="AA70" i="92"/>
  <c r="AA68" i="92"/>
  <c r="AA71" i="92"/>
  <c r="C69" i="92"/>
  <c r="C70" i="92" s="1"/>
  <c r="C71" i="92" s="1"/>
  <c r="C68" i="92"/>
  <c r="D69" i="92"/>
  <c r="D70" i="92" s="1"/>
  <c r="D68" i="92"/>
  <c r="F69" i="92"/>
  <c r="F70" i="92"/>
  <c r="F71" i="92" s="1"/>
  <c r="F68" i="92"/>
  <c r="H69" i="92"/>
  <c r="H70" i="92" s="1"/>
  <c r="H68" i="92"/>
  <c r="J69" i="92"/>
  <c r="J70" i="92" s="1"/>
  <c r="J71" i="92" s="1"/>
  <c r="J68" i="92"/>
  <c r="K69" i="92"/>
  <c r="K70" i="92" s="1"/>
  <c r="K68" i="92"/>
  <c r="L69" i="92"/>
  <c r="L70" i="92"/>
  <c r="L71" i="92" s="1"/>
  <c r="L68" i="92"/>
  <c r="E69" i="92"/>
  <c r="E70" i="92" s="1"/>
  <c r="E71" i="92" s="1"/>
  <c r="E68" i="92"/>
  <c r="I69" i="92"/>
  <c r="I70" i="92" s="1"/>
  <c r="I71" i="92" s="1"/>
  <c r="I68" i="92"/>
  <c r="M69" i="92"/>
  <c r="M70" i="92"/>
  <c r="M68" i="92"/>
  <c r="O69" i="92"/>
  <c r="O70" i="92" s="1"/>
  <c r="O68" i="92"/>
  <c r="T69" i="92"/>
  <c r="T70" i="92" s="1"/>
  <c r="T68" i="92"/>
  <c r="U69" i="92"/>
  <c r="U70" i="92"/>
  <c r="U71" i="92" s="1"/>
  <c r="U68" i="92"/>
  <c r="X69" i="92"/>
  <c r="X70" i="92" s="1"/>
  <c r="X71" i="92" s="1"/>
  <c r="X68" i="92"/>
  <c r="Y69" i="92"/>
  <c r="Y70" i="92" s="1"/>
  <c r="Y71" i="92" s="1"/>
  <c r="Y68" i="92"/>
  <c r="Q69" i="92"/>
  <c r="Q70" i="92" s="1"/>
  <c r="Q68" i="92"/>
  <c r="Q71" i="92" s="1"/>
  <c r="C78" i="92" s="1"/>
  <c r="D78" i="92" s="1"/>
  <c r="R69" i="92"/>
  <c r="R70" i="92" s="1"/>
  <c r="R71" i="92" s="1"/>
  <c r="R68" i="92"/>
  <c r="S69" i="92"/>
  <c r="S70" i="92" s="1"/>
  <c r="S71" i="92" s="1"/>
  <c r="S68" i="92"/>
  <c r="P69" i="92"/>
  <c r="P70" i="92" s="1"/>
  <c r="P68" i="92"/>
  <c r="P71" i="92"/>
  <c r="V69" i="92"/>
  <c r="V70" i="92" s="1"/>
  <c r="V68" i="92"/>
  <c r="W69" i="92"/>
  <c r="W70" i="92" s="1"/>
  <c r="W68" i="92"/>
  <c r="W71" i="92" s="1"/>
  <c r="C113" i="92"/>
  <c r="D113" i="92"/>
  <c r="AB101" i="7" s="1"/>
  <c r="E113" i="92"/>
  <c r="AC101" i="7" s="1"/>
  <c r="C90" i="92"/>
  <c r="Q27" i="7" s="1"/>
  <c r="D90" i="92"/>
  <c r="E90" i="92"/>
  <c r="S27" i="7" s="1"/>
  <c r="F90" i="92"/>
  <c r="T27" i="7" s="1"/>
  <c r="H90" i="92"/>
  <c r="V27" i="7" s="1"/>
  <c r="I90" i="92"/>
  <c r="W27" i="7" s="1"/>
  <c r="J90" i="92"/>
  <c r="X27" i="7" s="1"/>
  <c r="K90" i="92"/>
  <c r="Y27" i="7" s="1"/>
  <c r="L90" i="92"/>
  <c r="Z27" i="7" s="1"/>
  <c r="M90" i="92"/>
  <c r="AA27" i="7" s="1"/>
  <c r="N90" i="92"/>
  <c r="AB27" i="7" s="1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E138" i="7"/>
  <c r="E109" i="91"/>
  <c r="M109" i="7" s="1"/>
  <c r="D109" i="91"/>
  <c r="C109" i="91"/>
  <c r="K109" i="7" s="1"/>
  <c r="N88" i="91"/>
  <c r="AB14" i="7" s="1"/>
  <c r="G88" i="91"/>
  <c r="U14" i="7" s="1"/>
  <c r="F88" i="91"/>
  <c r="T14" i="7" s="1"/>
  <c r="E88" i="91"/>
  <c r="S14" i="7" s="1"/>
  <c r="D88" i="91"/>
  <c r="R14" i="7" s="1"/>
  <c r="C88" i="91"/>
  <c r="E71" i="91"/>
  <c r="E69" i="91"/>
  <c r="E70" i="91" s="1"/>
  <c r="D69" i="91"/>
  <c r="D70" i="91" s="1"/>
  <c r="D71" i="91" s="1"/>
  <c r="C78" i="91" s="1"/>
  <c r="D78" i="91" s="1"/>
  <c r="C69" i="91"/>
  <c r="C70" i="91"/>
  <c r="E68" i="91"/>
  <c r="D68" i="91"/>
  <c r="C68" i="91"/>
  <c r="G67" i="91"/>
  <c r="G66" i="91"/>
  <c r="G65" i="91"/>
  <c r="G64" i="91"/>
  <c r="G63" i="91"/>
  <c r="G62" i="91"/>
  <c r="G61" i="91"/>
  <c r="G60" i="91"/>
  <c r="G59" i="91"/>
  <c r="G58" i="91"/>
  <c r="G57" i="91"/>
  <c r="G56" i="91"/>
  <c r="G55" i="91"/>
  <c r="G54" i="91"/>
  <c r="G53" i="91"/>
  <c r="G52" i="91"/>
  <c r="G51" i="91"/>
  <c r="G50" i="91"/>
  <c r="G49" i="91"/>
  <c r="G48" i="91"/>
  <c r="G47" i="91"/>
  <c r="G46" i="91"/>
  <c r="G45" i="91"/>
  <c r="G44" i="91"/>
  <c r="G43" i="91"/>
  <c r="G42" i="91"/>
  <c r="G41" i="91"/>
  <c r="G40" i="91"/>
  <c r="G39" i="91"/>
  <c r="G38" i="91"/>
  <c r="G37" i="91"/>
  <c r="G36" i="91"/>
  <c r="G35" i="91"/>
  <c r="G34" i="91"/>
  <c r="G33" i="91"/>
  <c r="G32" i="91"/>
  <c r="G31" i="91"/>
  <c r="G30" i="91"/>
  <c r="G29" i="91"/>
  <c r="G28" i="91"/>
  <c r="G27" i="91"/>
  <c r="G26" i="91"/>
  <c r="G25" i="91"/>
  <c r="G24" i="91"/>
  <c r="G23" i="91"/>
  <c r="G22" i="91"/>
  <c r="G21" i="91"/>
  <c r="G20" i="91"/>
  <c r="G19" i="91"/>
  <c r="G18" i="91"/>
  <c r="G17" i="91"/>
  <c r="G16" i="91"/>
  <c r="G15" i="91"/>
  <c r="G14" i="91"/>
  <c r="G13" i="91"/>
  <c r="G12" i="91"/>
  <c r="G11" i="91"/>
  <c r="G10" i="91"/>
  <c r="D69" i="90"/>
  <c r="D70" i="90" s="1"/>
  <c r="D71" i="90" s="1"/>
  <c r="C69" i="90"/>
  <c r="C70" i="90" s="1"/>
  <c r="E109" i="90"/>
  <c r="M101" i="7" s="1"/>
  <c r="D109" i="90"/>
  <c r="L101" i="7" s="1"/>
  <c r="C109" i="90"/>
  <c r="N88" i="90"/>
  <c r="AB6" i="7" s="1"/>
  <c r="G88" i="90"/>
  <c r="U6" i="7" s="1"/>
  <c r="F88" i="90"/>
  <c r="T6" i="7" s="1"/>
  <c r="E88" i="90"/>
  <c r="D88" i="90"/>
  <c r="R6" i="7" s="1"/>
  <c r="C88" i="90"/>
  <c r="Q6" i="7" s="1"/>
  <c r="E69" i="90"/>
  <c r="E70" i="90" s="1"/>
  <c r="E68" i="90"/>
  <c r="D68" i="90"/>
  <c r="C68" i="90"/>
  <c r="G67" i="90"/>
  <c r="G66" i="90"/>
  <c r="G65" i="90"/>
  <c r="G64" i="90"/>
  <c r="G63" i="90"/>
  <c r="G62" i="90"/>
  <c r="G61" i="90"/>
  <c r="G60" i="90"/>
  <c r="G59" i="90"/>
  <c r="G58" i="90"/>
  <c r="G57" i="90"/>
  <c r="G56" i="90"/>
  <c r="G55" i="90"/>
  <c r="G54" i="90"/>
  <c r="G53" i="90"/>
  <c r="G52" i="90"/>
  <c r="G51" i="90"/>
  <c r="G50" i="90"/>
  <c r="G49" i="90"/>
  <c r="G48" i="90"/>
  <c r="G47" i="90"/>
  <c r="G46" i="90"/>
  <c r="G45" i="90"/>
  <c r="G44" i="90"/>
  <c r="G43" i="90"/>
  <c r="G42" i="90"/>
  <c r="G41" i="90"/>
  <c r="G40" i="90"/>
  <c r="G39" i="90"/>
  <c r="G38" i="90"/>
  <c r="G37" i="90"/>
  <c r="G36" i="90"/>
  <c r="G35" i="90"/>
  <c r="G34" i="90"/>
  <c r="G33" i="90"/>
  <c r="G32" i="90"/>
  <c r="G31" i="90"/>
  <c r="G30" i="90"/>
  <c r="G29" i="90"/>
  <c r="G28" i="90"/>
  <c r="G27" i="90"/>
  <c r="G26" i="90"/>
  <c r="G25" i="90"/>
  <c r="G24" i="90"/>
  <c r="G23" i="90"/>
  <c r="G22" i="90"/>
  <c r="G21" i="90"/>
  <c r="G20" i="90"/>
  <c r="G19" i="90"/>
  <c r="G18" i="90"/>
  <c r="G17" i="90"/>
  <c r="G16" i="90"/>
  <c r="G15" i="90"/>
  <c r="G14" i="90"/>
  <c r="G13" i="90"/>
  <c r="G12" i="90"/>
  <c r="G11" i="90"/>
  <c r="G10" i="90"/>
  <c r="R81" i="34"/>
  <c r="C107" i="7" s="1"/>
  <c r="G81" i="34"/>
  <c r="D12" i="7" s="1"/>
  <c r="H81" i="34"/>
  <c r="E12" i="7" s="1"/>
  <c r="I81" i="34"/>
  <c r="F12" i="7" s="1"/>
  <c r="J81" i="34"/>
  <c r="J85" i="35"/>
  <c r="I14" i="7" s="1"/>
  <c r="K85" i="35"/>
  <c r="J14" i="7" s="1"/>
  <c r="P81" i="36"/>
  <c r="C110" i="7" s="1"/>
  <c r="Q81" i="36"/>
  <c r="D110" i="7" s="1"/>
  <c r="R81" i="36"/>
  <c r="E110" i="7" s="1"/>
  <c r="E81" i="36"/>
  <c r="D15" i="7" s="1"/>
  <c r="F81" i="36"/>
  <c r="E15" i="7" s="1"/>
  <c r="G81" i="36"/>
  <c r="F15" i="7" s="1"/>
  <c r="H81" i="36"/>
  <c r="G15" i="7" s="1"/>
  <c r="L81" i="36"/>
  <c r="K15" i="7" s="1"/>
  <c r="M81" i="36"/>
  <c r="L15" i="7" s="1"/>
  <c r="N81" i="36"/>
  <c r="M15" i="7" s="1"/>
  <c r="O81" i="36"/>
  <c r="N15" i="7" s="1"/>
  <c r="D81" i="36"/>
  <c r="C15" i="7" s="1"/>
  <c r="H88" i="87"/>
  <c r="V36" i="7" s="1"/>
  <c r="I88" i="87"/>
  <c r="W36" i="7" s="1"/>
  <c r="J88" i="87"/>
  <c r="X36" i="7" s="1"/>
  <c r="D91" i="64"/>
  <c r="AB107" i="7" s="1"/>
  <c r="E91" i="64"/>
  <c r="AC107" i="7" s="1"/>
  <c r="C91" i="64"/>
  <c r="AA107" i="7" s="1"/>
  <c r="D68" i="64"/>
  <c r="R33" i="7" s="1"/>
  <c r="E68" i="64"/>
  <c r="S33" i="7" s="1"/>
  <c r="F68" i="64"/>
  <c r="T33" i="7" s="1"/>
  <c r="G68" i="64"/>
  <c r="U33" i="7" s="1"/>
  <c r="H68" i="64"/>
  <c r="V33" i="7" s="1"/>
  <c r="I68" i="64"/>
  <c r="W33" i="7" s="1"/>
  <c r="J68" i="64"/>
  <c r="X33" i="7" s="1"/>
  <c r="K68" i="64"/>
  <c r="Y33" i="7" s="1"/>
  <c r="L68" i="64"/>
  <c r="Z33" i="7" s="1"/>
  <c r="M68" i="64"/>
  <c r="AA33" i="7" s="1"/>
  <c r="N68" i="64"/>
  <c r="AB33" i="7" s="1"/>
  <c r="C68" i="64"/>
  <c r="F90" i="22"/>
  <c r="F38" i="7" s="1"/>
  <c r="L10" i="6"/>
  <c r="V10" i="6" s="1"/>
  <c r="U10" i="6"/>
  <c r="Y10" i="6"/>
  <c r="L11" i="6"/>
  <c r="U11" i="6"/>
  <c r="Y11" i="6"/>
  <c r="L12" i="6"/>
  <c r="V12" i="6" s="1"/>
  <c r="Y12" i="6"/>
  <c r="L13" i="6"/>
  <c r="V13" i="6" s="1"/>
  <c r="U13" i="6"/>
  <c r="Y13" i="6"/>
  <c r="L14" i="6"/>
  <c r="V14" i="6" s="1"/>
  <c r="U14" i="6"/>
  <c r="Y14" i="6"/>
  <c r="L15" i="6"/>
  <c r="V15" i="6" s="1"/>
  <c r="U15" i="6"/>
  <c r="Y15" i="6"/>
  <c r="L16" i="6"/>
  <c r="V16" i="6" s="1"/>
  <c r="Y16" i="6"/>
  <c r="L17" i="6"/>
  <c r="V17" i="6" s="1"/>
  <c r="Y17" i="6"/>
  <c r="L18" i="6"/>
  <c r="V18" i="6" s="1"/>
  <c r="Y18" i="6"/>
  <c r="L19" i="6"/>
  <c r="U19" i="6"/>
  <c r="Y19" i="6"/>
  <c r="L20" i="6"/>
  <c r="U20" i="6"/>
  <c r="Y20" i="6"/>
  <c r="U21" i="6"/>
  <c r="V21" i="6" s="1"/>
  <c r="Y21" i="6"/>
  <c r="L22" i="6"/>
  <c r="V22" i="6"/>
  <c r="Y22" i="6"/>
  <c r="L23" i="6"/>
  <c r="U23" i="6"/>
  <c r="Y23" i="6"/>
  <c r="L24" i="6"/>
  <c r="U24" i="6"/>
  <c r="Y24" i="6"/>
  <c r="L25" i="6"/>
  <c r="V25" i="6" s="1"/>
  <c r="U25" i="6"/>
  <c r="Y25" i="6"/>
  <c r="L26" i="6"/>
  <c r="V26" i="6" s="1"/>
  <c r="Y26" i="6"/>
  <c r="L27" i="6"/>
  <c r="U27" i="6"/>
  <c r="Y27" i="6"/>
  <c r="L28" i="6"/>
  <c r="V28" i="6" s="1"/>
  <c r="Y28" i="6"/>
  <c r="L29" i="6"/>
  <c r="U29" i="6"/>
  <c r="Y29" i="6"/>
  <c r="L30" i="6"/>
  <c r="V30" i="6"/>
  <c r="Y30" i="6"/>
  <c r="L31" i="6"/>
  <c r="U31" i="6"/>
  <c r="Y31" i="6"/>
  <c r="L32" i="6"/>
  <c r="U32" i="6"/>
  <c r="Y32" i="6"/>
  <c r="L33" i="6"/>
  <c r="U33" i="6"/>
  <c r="Y33" i="6"/>
  <c r="L34" i="6"/>
  <c r="U34" i="6"/>
  <c r="V34" i="6" s="1"/>
  <c r="Y34" i="6"/>
  <c r="L35" i="6"/>
  <c r="V35" i="6" s="1"/>
  <c r="Y35" i="6"/>
  <c r="L36" i="6"/>
  <c r="V36" i="6" s="1"/>
  <c r="Y36" i="6"/>
  <c r="L37" i="6"/>
  <c r="U37" i="6"/>
  <c r="Y37" i="6"/>
  <c r="L38" i="6"/>
  <c r="V38" i="6" s="1"/>
  <c r="Y38" i="6"/>
  <c r="L39" i="6"/>
  <c r="V39" i="6" s="1"/>
  <c r="U39" i="6"/>
  <c r="Y39" i="6"/>
  <c r="L40" i="6"/>
  <c r="V40" i="6" s="1"/>
  <c r="U40" i="6"/>
  <c r="Y40" i="6"/>
  <c r="L41" i="6"/>
  <c r="U41" i="6"/>
  <c r="Y41" i="6"/>
  <c r="L42" i="6"/>
  <c r="V42" i="6" s="1"/>
  <c r="Y42" i="6"/>
  <c r="L43" i="6"/>
  <c r="V43" i="6" s="1"/>
  <c r="Y43" i="6"/>
  <c r="L44" i="6"/>
  <c r="U44" i="6"/>
  <c r="Y44" i="6"/>
  <c r="L45" i="6"/>
  <c r="V45" i="6" s="1"/>
  <c r="Y45" i="6"/>
  <c r="L46" i="6"/>
  <c r="V46" i="6" s="1"/>
  <c r="U46" i="6"/>
  <c r="Y46" i="6"/>
  <c r="L47" i="6"/>
  <c r="U47" i="6"/>
  <c r="Y47" i="6"/>
  <c r="L48" i="6"/>
  <c r="U48" i="6"/>
  <c r="Y48" i="6"/>
  <c r="L49" i="6"/>
  <c r="U49" i="6"/>
  <c r="Y49" i="6"/>
  <c r="L50" i="6"/>
  <c r="V50" i="6" s="1"/>
  <c r="U50" i="6"/>
  <c r="Y50" i="6"/>
  <c r="L51" i="6"/>
  <c r="U51" i="6"/>
  <c r="Y51" i="6"/>
  <c r="L52" i="6"/>
  <c r="V52" i="6" s="1"/>
  <c r="Y52" i="6"/>
  <c r="L53" i="6"/>
  <c r="V53" i="6" s="1"/>
  <c r="Y53" i="6"/>
  <c r="L54" i="6"/>
  <c r="V54" i="6"/>
  <c r="U54" i="6"/>
  <c r="Y54" i="6"/>
  <c r="L55" i="6"/>
  <c r="V55" i="6"/>
  <c r="U55" i="6"/>
  <c r="Y55" i="6"/>
  <c r="L56" i="6"/>
  <c r="V56" i="6"/>
  <c r="U56" i="6"/>
  <c r="Y56" i="6"/>
  <c r="L57" i="6"/>
  <c r="V57" i="6"/>
  <c r="U57" i="6"/>
  <c r="Y57" i="6"/>
  <c r="L58" i="6"/>
  <c r="V58" i="6"/>
  <c r="U58" i="6"/>
  <c r="Y58" i="6"/>
  <c r="L59" i="6"/>
  <c r="V59" i="6"/>
  <c r="U59" i="6"/>
  <c r="Y59" i="6"/>
  <c r="L60" i="6"/>
  <c r="V60" i="6"/>
  <c r="U60" i="6"/>
  <c r="Y60" i="6"/>
  <c r="L61" i="6"/>
  <c r="V61" i="6"/>
  <c r="U61" i="6"/>
  <c r="Y61" i="6"/>
  <c r="L62" i="6"/>
  <c r="V62" i="6"/>
  <c r="U62" i="6"/>
  <c r="Y62" i="6"/>
  <c r="L63" i="6"/>
  <c r="V63" i="6"/>
  <c r="U63" i="6"/>
  <c r="Y63" i="6"/>
  <c r="L64" i="6"/>
  <c r="V64" i="6"/>
  <c r="U64" i="6"/>
  <c r="Y64" i="6"/>
  <c r="L65" i="6"/>
  <c r="V65" i="6"/>
  <c r="U65" i="6"/>
  <c r="Y65" i="6"/>
  <c r="L66" i="6"/>
  <c r="V66" i="6"/>
  <c r="U66" i="6"/>
  <c r="Y66" i="6"/>
  <c r="L67" i="6"/>
  <c r="V67" i="6"/>
  <c r="U67" i="6"/>
  <c r="Y67" i="6"/>
  <c r="C68" i="6"/>
  <c r="D68" i="6"/>
  <c r="D71" i="6" s="1"/>
  <c r="E68" i="6"/>
  <c r="F68" i="6"/>
  <c r="G68" i="6"/>
  <c r="H68" i="6"/>
  <c r="I68" i="6"/>
  <c r="J68" i="6"/>
  <c r="K68" i="6"/>
  <c r="M68" i="6"/>
  <c r="M71" i="6" s="1"/>
  <c r="N68" i="6"/>
  <c r="O68" i="6"/>
  <c r="P68" i="6"/>
  <c r="P71" i="6"/>
  <c r="Q68" i="6"/>
  <c r="R68" i="6"/>
  <c r="S68" i="6"/>
  <c r="T68" i="6"/>
  <c r="W68" i="6"/>
  <c r="C69" i="6"/>
  <c r="D69" i="6"/>
  <c r="E69" i="6"/>
  <c r="E70" i="6" s="1"/>
  <c r="E71" i="6" s="1"/>
  <c r="F69" i="6"/>
  <c r="F70" i="6"/>
  <c r="F71" i="6" s="1"/>
  <c r="G69" i="6"/>
  <c r="G70" i="6" s="1"/>
  <c r="H69" i="6"/>
  <c r="H70" i="6" s="1"/>
  <c r="H71" i="6" s="1"/>
  <c r="I69" i="6"/>
  <c r="I70" i="6" s="1"/>
  <c r="I71" i="6" s="1"/>
  <c r="J69" i="6"/>
  <c r="J70" i="6" s="1"/>
  <c r="K69" i="6"/>
  <c r="K70" i="6" s="1"/>
  <c r="M69" i="6"/>
  <c r="N69" i="6"/>
  <c r="N70" i="6" s="1"/>
  <c r="N71" i="6" s="1"/>
  <c r="O69" i="6"/>
  <c r="P69" i="6"/>
  <c r="Q69" i="6"/>
  <c r="Q70" i="6" s="1"/>
  <c r="Q71" i="6" s="1"/>
  <c r="R69" i="6"/>
  <c r="R70" i="6" s="1"/>
  <c r="R71" i="6" s="1"/>
  <c r="S69" i="6"/>
  <c r="T69" i="6"/>
  <c r="C70" i="6"/>
  <c r="C71" i="6"/>
  <c r="D70" i="6"/>
  <c r="G71" i="6"/>
  <c r="M70" i="6"/>
  <c r="O70" i="6"/>
  <c r="O71" i="6" s="1"/>
  <c r="P70" i="6"/>
  <c r="S70" i="6"/>
  <c r="S71" i="6"/>
  <c r="T70" i="6"/>
  <c r="W71" i="6"/>
  <c r="C88" i="6"/>
  <c r="D88" i="6"/>
  <c r="R10" i="7" s="1"/>
  <c r="E88" i="6"/>
  <c r="S10" i="7" s="1"/>
  <c r="F88" i="6"/>
  <c r="T10" i="7" s="1"/>
  <c r="G88" i="6"/>
  <c r="U10" i="7" s="1"/>
  <c r="K88" i="6"/>
  <c r="Y10" i="7" s="1"/>
  <c r="L88" i="6"/>
  <c r="Z10" i="7" s="1"/>
  <c r="N88" i="6"/>
  <c r="AB10" i="7" s="1"/>
  <c r="H94" i="6"/>
  <c r="I94" i="6"/>
  <c r="J94" i="6"/>
  <c r="K94" i="6"/>
  <c r="L94" i="6"/>
  <c r="M94" i="6"/>
  <c r="H95" i="6"/>
  <c r="I95" i="6"/>
  <c r="J95" i="6"/>
  <c r="K95" i="6"/>
  <c r="L95" i="6"/>
  <c r="M95" i="6"/>
  <c r="H96" i="6"/>
  <c r="I96" i="6"/>
  <c r="J96" i="6"/>
  <c r="M96" i="6"/>
  <c r="H97" i="6"/>
  <c r="I97" i="6"/>
  <c r="J97" i="6"/>
  <c r="K97" i="6"/>
  <c r="M97" i="6"/>
  <c r="I98" i="6"/>
  <c r="W57" i="7" s="1"/>
  <c r="J98" i="6"/>
  <c r="X57" i="7" s="1"/>
  <c r="C108" i="6"/>
  <c r="K105" i="7" s="1"/>
  <c r="D108" i="6"/>
  <c r="E108" i="6"/>
  <c r="M105" i="7" s="1"/>
  <c r="H88" i="67"/>
  <c r="I88" i="67"/>
  <c r="C88" i="58"/>
  <c r="C34" i="7" s="1"/>
  <c r="D88" i="58"/>
  <c r="D34" i="7" s="1"/>
  <c r="E88" i="58"/>
  <c r="E34" i="7" s="1"/>
  <c r="F88" i="58"/>
  <c r="F34" i="7" s="1"/>
  <c r="G88" i="58"/>
  <c r="G34" i="7" s="1"/>
  <c r="H88" i="58"/>
  <c r="H34" i="7" s="1"/>
  <c r="I88" i="58"/>
  <c r="I34" i="7" s="1"/>
  <c r="J88" i="58"/>
  <c r="J34" i="7" s="1"/>
  <c r="K88" i="58"/>
  <c r="K34" i="7" s="1"/>
  <c r="L88" i="58"/>
  <c r="L34" i="7" s="1"/>
  <c r="M88" i="58"/>
  <c r="M34" i="7" s="1"/>
  <c r="N88" i="58"/>
  <c r="N34" i="7" s="1"/>
  <c r="I60" i="34"/>
  <c r="J60" i="34"/>
  <c r="K60" i="34"/>
  <c r="L60" i="34"/>
  <c r="M60" i="34"/>
  <c r="H60" i="34"/>
  <c r="H59" i="34"/>
  <c r="I59" i="34"/>
  <c r="J59" i="34"/>
  <c r="K59" i="34"/>
  <c r="L59" i="34"/>
  <c r="M59" i="34"/>
  <c r="H61" i="34"/>
  <c r="I61" i="34"/>
  <c r="I62" i="34" s="1"/>
  <c r="J61" i="34"/>
  <c r="K61" i="34"/>
  <c r="L61" i="34"/>
  <c r="L62" i="34" s="1"/>
  <c r="M61" i="34"/>
  <c r="M62" i="34" s="1"/>
  <c r="H62" i="34"/>
  <c r="E101" i="28"/>
  <c r="E111" i="7" s="1"/>
  <c r="D101" i="28"/>
  <c r="D111" i="7" s="1"/>
  <c r="C101" i="28"/>
  <c r="N79" i="28"/>
  <c r="N16" i="7" s="1"/>
  <c r="M79" i="28"/>
  <c r="M16" i="7" s="1"/>
  <c r="L79" i="28"/>
  <c r="L16" i="7" s="1"/>
  <c r="K79" i="28"/>
  <c r="K16" i="7" s="1"/>
  <c r="J79" i="28"/>
  <c r="J16" i="7" s="1"/>
  <c r="I79" i="28"/>
  <c r="I16" i="7" s="1"/>
  <c r="H79" i="28"/>
  <c r="H16" i="7" s="1"/>
  <c r="G79" i="28"/>
  <c r="G16" i="7" s="1"/>
  <c r="F79" i="28"/>
  <c r="F16" i="7" s="1"/>
  <c r="E79" i="28"/>
  <c r="E16" i="7" s="1"/>
  <c r="D79" i="28"/>
  <c r="D16" i="7" s="1"/>
  <c r="C79" i="28"/>
  <c r="Y60" i="28"/>
  <c r="X60" i="28"/>
  <c r="X61" i="28" s="1"/>
  <c r="W60" i="28"/>
  <c r="W61" i="28" s="1"/>
  <c r="V60" i="28"/>
  <c r="U60" i="28"/>
  <c r="T60" i="28"/>
  <c r="T61" i="28" s="1"/>
  <c r="S60" i="28"/>
  <c r="S61" i="28" s="1"/>
  <c r="R60" i="28"/>
  <c r="Q60" i="28"/>
  <c r="P60" i="28"/>
  <c r="P61" i="28" s="1"/>
  <c r="C68" i="28" s="1"/>
  <c r="D68" i="28" s="1"/>
  <c r="O60" i="28"/>
  <c r="M60" i="28"/>
  <c r="L60" i="28"/>
  <c r="K60" i="28"/>
  <c r="K61" i="28" s="1"/>
  <c r="J60" i="28"/>
  <c r="J61" i="28" s="1"/>
  <c r="I60" i="28"/>
  <c r="H60" i="28"/>
  <c r="G60" i="28"/>
  <c r="G61" i="28" s="1"/>
  <c r="F60" i="28"/>
  <c r="E60" i="28"/>
  <c r="D60" i="28"/>
  <c r="C60" i="28"/>
  <c r="C61" i="28" s="1"/>
  <c r="Y59" i="28"/>
  <c r="X59" i="28"/>
  <c r="W59" i="28"/>
  <c r="V59" i="28"/>
  <c r="U59" i="28"/>
  <c r="T59" i="28"/>
  <c r="S59" i="28"/>
  <c r="R59" i="28"/>
  <c r="Q59" i="28"/>
  <c r="P59" i="28"/>
  <c r="O59" i="28"/>
  <c r="M59" i="28"/>
  <c r="L59" i="28"/>
  <c r="K59" i="28"/>
  <c r="J59" i="28"/>
  <c r="I59" i="28"/>
  <c r="H59" i="28"/>
  <c r="G59" i="28"/>
  <c r="F59" i="28"/>
  <c r="E59" i="28"/>
  <c r="D59" i="28"/>
  <c r="C59" i="28"/>
  <c r="Y58" i="28"/>
  <c r="Y61" i="28" s="1"/>
  <c r="X58" i="28"/>
  <c r="W58" i="28"/>
  <c r="V58" i="28"/>
  <c r="U58" i="28"/>
  <c r="U61" i="28" s="1"/>
  <c r="T58" i="28"/>
  <c r="S58" i="28"/>
  <c r="R58" i="28"/>
  <c r="Q58" i="28"/>
  <c r="Q61" i="28" s="1"/>
  <c r="C69" i="28" s="1"/>
  <c r="D69" i="28" s="1"/>
  <c r="P58" i="28"/>
  <c r="O58" i="28"/>
  <c r="M58" i="28"/>
  <c r="L58" i="28"/>
  <c r="K58" i="28"/>
  <c r="J58" i="28"/>
  <c r="I58" i="28"/>
  <c r="H58" i="28"/>
  <c r="G58" i="28"/>
  <c r="F58" i="28"/>
  <c r="F61" i="28" s="1"/>
  <c r="E58" i="28"/>
  <c r="D58" i="28"/>
  <c r="C58" i="28"/>
  <c r="A58" i="28"/>
  <c r="AC57" i="28"/>
  <c r="Z57" i="28"/>
  <c r="N57" i="28"/>
  <c r="AC56" i="28"/>
  <c r="Z56" i="28"/>
  <c r="N56" i="28"/>
  <c r="AC55" i="28"/>
  <c r="Z55" i="28"/>
  <c r="N55" i="28"/>
  <c r="AC54" i="28"/>
  <c r="Z54" i="28"/>
  <c r="N54" i="28"/>
  <c r="AC53" i="28"/>
  <c r="Z53" i="28"/>
  <c r="N53" i="28"/>
  <c r="AC52" i="28"/>
  <c r="Z52" i="28"/>
  <c r="N52" i="28"/>
  <c r="AC51" i="28"/>
  <c r="Z51" i="28"/>
  <c r="N51" i="28"/>
  <c r="AC50" i="28"/>
  <c r="Z50" i="28"/>
  <c r="N50" i="28"/>
  <c r="AC49" i="28"/>
  <c r="Z49" i="28"/>
  <c r="N49" i="28"/>
  <c r="AC48" i="28"/>
  <c r="Z48" i="28"/>
  <c r="N48" i="28"/>
  <c r="AC47" i="28"/>
  <c r="Z47" i="28"/>
  <c r="N47" i="28"/>
  <c r="AC46" i="28"/>
  <c r="Z46" i="28"/>
  <c r="N46" i="28"/>
  <c r="AC45" i="28"/>
  <c r="Z45" i="28"/>
  <c r="N45" i="28"/>
  <c r="AC44" i="28"/>
  <c r="Z44" i="28"/>
  <c r="N44" i="28"/>
  <c r="AC43" i="28"/>
  <c r="Z43" i="28"/>
  <c r="N43" i="28"/>
  <c r="AC42" i="28"/>
  <c r="Z42" i="28"/>
  <c r="N42" i="28"/>
  <c r="AC41" i="28"/>
  <c r="Z41" i="28"/>
  <c r="N41" i="28"/>
  <c r="AC40" i="28"/>
  <c r="Z40" i="28"/>
  <c r="N40" i="28"/>
  <c r="AC39" i="28"/>
  <c r="Z39" i="28"/>
  <c r="N39" i="28"/>
  <c r="AC38" i="28"/>
  <c r="Z38" i="28"/>
  <c r="N38" i="28"/>
  <c r="AC37" i="28"/>
  <c r="Z37" i="28"/>
  <c r="N37" i="28"/>
  <c r="AC36" i="28"/>
  <c r="Z36" i="28"/>
  <c r="N36" i="28"/>
  <c r="AC35" i="28"/>
  <c r="Z35" i="28"/>
  <c r="N35" i="28"/>
  <c r="AC34" i="28"/>
  <c r="Z34" i="28"/>
  <c r="N34" i="28"/>
  <c r="AC33" i="28"/>
  <c r="Z33" i="28"/>
  <c r="N33" i="28"/>
  <c r="AC32" i="28"/>
  <c r="Z32" i="28"/>
  <c r="N32" i="28"/>
  <c r="AC31" i="28"/>
  <c r="Z31" i="28"/>
  <c r="N31" i="28"/>
  <c r="AC30" i="28"/>
  <c r="Z30" i="28"/>
  <c r="N30" i="28"/>
  <c r="AC29" i="28"/>
  <c r="Z29" i="28"/>
  <c r="N29" i="28"/>
  <c r="AC28" i="28"/>
  <c r="Z28" i="28"/>
  <c r="N28" i="28"/>
  <c r="AC27" i="28"/>
  <c r="Z27" i="28"/>
  <c r="N27" i="28"/>
  <c r="AC26" i="28"/>
  <c r="Z26" i="28"/>
  <c r="N26" i="28"/>
  <c r="AC25" i="28"/>
  <c r="Z25" i="28"/>
  <c r="N25" i="28"/>
  <c r="AC24" i="28"/>
  <c r="Z24" i="28"/>
  <c r="N24" i="28"/>
  <c r="AC23" i="28"/>
  <c r="Z23" i="28"/>
  <c r="N23" i="28"/>
  <c r="AC22" i="28"/>
  <c r="Z22" i="28"/>
  <c r="N22" i="28"/>
  <c r="AC21" i="28"/>
  <c r="Z21" i="28"/>
  <c r="N21" i="28"/>
  <c r="AC20" i="28"/>
  <c r="Z20" i="28"/>
  <c r="N20" i="28"/>
  <c r="AC19" i="28"/>
  <c r="Z19" i="28"/>
  <c r="N19" i="28"/>
  <c r="AC18" i="28"/>
  <c r="Z18" i="28"/>
  <c r="N18" i="28"/>
  <c r="AC17" i="28"/>
  <c r="Z17" i="28"/>
  <c r="N17" i="28"/>
  <c r="AC16" i="28"/>
  <c r="Z16" i="28"/>
  <c r="N16" i="28"/>
  <c r="AC15" i="28"/>
  <c r="Z15" i="28"/>
  <c r="N15" i="28"/>
  <c r="AC14" i="28"/>
  <c r="Z14" i="28"/>
  <c r="N14" i="28"/>
  <c r="AC13" i="28"/>
  <c r="Z13" i="28"/>
  <c r="N13" i="28"/>
  <c r="AC12" i="28"/>
  <c r="Z12" i="28"/>
  <c r="N12" i="28"/>
  <c r="AC11" i="28"/>
  <c r="Z11" i="28"/>
  <c r="N11" i="28"/>
  <c r="AC10" i="28"/>
  <c r="Z10" i="28"/>
  <c r="N10" i="28"/>
  <c r="AC9" i="28"/>
  <c r="Z9" i="28"/>
  <c r="E109" i="67"/>
  <c r="D109" i="67"/>
  <c r="C109" i="67"/>
  <c r="N88" i="67"/>
  <c r="M88" i="67"/>
  <c r="L88" i="67"/>
  <c r="Z84" i="7" s="1"/>
  <c r="K88" i="67"/>
  <c r="Y37" i="7" s="1"/>
  <c r="G88" i="67"/>
  <c r="U84" i="7" s="1"/>
  <c r="F88" i="67"/>
  <c r="E88" i="67"/>
  <c r="D88" i="67"/>
  <c r="C88" i="67"/>
  <c r="C68" i="67"/>
  <c r="C69" i="67" s="1"/>
  <c r="C70" i="67" s="1"/>
  <c r="C77" i="67" s="1"/>
  <c r="D77" i="67" s="1"/>
  <c r="C67" i="67"/>
  <c r="E66" i="67"/>
  <c r="E65" i="67"/>
  <c r="E64" i="67"/>
  <c r="E63" i="67"/>
  <c r="E62" i="67"/>
  <c r="E61" i="67"/>
  <c r="E60" i="67"/>
  <c r="E59" i="67"/>
  <c r="E58" i="67"/>
  <c r="E57" i="67"/>
  <c r="E56" i="67"/>
  <c r="E55" i="67"/>
  <c r="E54" i="67"/>
  <c r="E53" i="67"/>
  <c r="E52" i="67"/>
  <c r="E51" i="67"/>
  <c r="E50" i="67"/>
  <c r="E49" i="67"/>
  <c r="E48" i="67"/>
  <c r="E47" i="67"/>
  <c r="E46" i="67"/>
  <c r="E45" i="67"/>
  <c r="E44" i="67"/>
  <c r="E43" i="67"/>
  <c r="E42" i="67"/>
  <c r="E41" i="67"/>
  <c r="E40" i="67"/>
  <c r="E39" i="67"/>
  <c r="E38" i="67"/>
  <c r="E37" i="67"/>
  <c r="E36" i="67"/>
  <c r="E35" i="67"/>
  <c r="E34" i="67"/>
  <c r="E33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9" i="67"/>
  <c r="E18" i="67"/>
  <c r="E17" i="67"/>
  <c r="E16" i="67"/>
  <c r="E15" i="67"/>
  <c r="E14" i="67"/>
  <c r="E13" i="67"/>
  <c r="E12" i="67"/>
  <c r="E11" i="67"/>
  <c r="E10" i="67"/>
  <c r="E9" i="67"/>
  <c r="E69" i="67" s="1"/>
  <c r="E70" i="67" s="1"/>
  <c r="E109" i="89"/>
  <c r="AC112" i="7" s="1"/>
  <c r="D109" i="89"/>
  <c r="C109" i="89"/>
  <c r="AA112" i="7" s="1"/>
  <c r="N88" i="89"/>
  <c r="AB38" i="7" s="1"/>
  <c r="M88" i="89"/>
  <c r="AA38" i="7" s="1"/>
  <c r="L88" i="89"/>
  <c r="Z38" i="7" s="1"/>
  <c r="K88" i="89"/>
  <c r="Y38" i="7" s="1"/>
  <c r="I88" i="89"/>
  <c r="W38" i="7" s="1"/>
  <c r="G88" i="89"/>
  <c r="U38" i="7" s="1"/>
  <c r="F88" i="89"/>
  <c r="E88" i="89"/>
  <c r="S38" i="7" s="1"/>
  <c r="D88" i="89"/>
  <c r="R38" i="7" s="1"/>
  <c r="C88" i="89"/>
  <c r="Q38" i="7" s="1"/>
  <c r="D66" i="89"/>
  <c r="D65" i="89"/>
  <c r="D64" i="89"/>
  <c r="D63" i="89"/>
  <c r="D62" i="89"/>
  <c r="D61" i="89"/>
  <c r="D60" i="89"/>
  <c r="D59" i="89"/>
  <c r="D58" i="89"/>
  <c r="D57" i="89"/>
  <c r="D56" i="89"/>
  <c r="D55" i="89"/>
  <c r="D54" i="89"/>
  <c r="D53" i="89"/>
  <c r="D52" i="89"/>
  <c r="D51" i="89"/>
  <c r="D50" i="89"/>
  <c r="D49" i="89"/>
  <c r="D48" i="89"/>
  <c r="D47" i="89"/>
  <c r="D46" i="89"/>
  <c r="D45" i="89"/>
  <c r="D44" i="89"/>
  <c r="D43" i="89"/>
  <c r="D42" i="89"/>
  <c r="D41" i="89"/>
  <c r="D40" i="89"/>
  <c r="D39" i="89"/>
  <c r="D38" i="89"/>
  <c r="D37" i="89"/>
  <c r="D36" i="89"/>
  <c r="D35" i="89"/>
  <c r="D34" i="89"/>
  <c r="D33" i="89"/>
  <c r="D32" i="89"/>
  <c r="D31" i="89"/>
  <c r="D30" i="89"/>
  <c r="D29" i="89"/>
  <c r="D28" i="89"/>
  <c r="D27" i="89"/>
  <c r="D26" i="89"/>
  <c r="D25" i="89"/>
  <c r="D24" i="89"/>
  <c r="D23" i="89"/>
  <c r="D22" i="89"/>
  <c r="D21" i="89"/>
  <c r="D20" i="89"/>
  <c r="D19" i="89"/>
  <c r="D18" i="89"/>
  <c r="D17" i="89"/>
  <c r="D16" i="89"/>
  <c r="D15" i="89"/>
  <c r="D14" i="89"/>
  <c r="D13" i="89"/>
  <c r="D12" i="89"/>
  <c r="D11" i="89"/>
  <c r="D10" i="89"/>
  <c r="D69" i="89" s="1"/>
  <c r="D70" i="89" s="1"/>
  <c r="D9" i="89"/>
  <c r="E109" i="88"/>
  <c r="U107" i="7" s="1"/>
  <c r="D109" i="88"/>
  <c r="T107" i="7" s="1"/>
  <c r="C109" i="88"/>
  <c r="S107" i="7" s="1"/>
  <c r="N88" i="88"/>
  <c r="N33" i="7" s="1"/>
  <c r="H88" i="88"/>
  <c r="H33" i="7" s="1"/>
  <c r="G88" i="88"/>
  <c r="G33" i="7" s="1"/>
  <c r="F88" i="88"/>
  <c r="F33" i="7" s="1"/>
  <c r="E88" i="88"/>
  <c r="E33" i="7" s="1"/>
  <c r="D88" i="88"/>
  <c r="D33" i="7" s="1"/>
  <c r="C88" i="88"/>
  <c r="C69" i="88"/>
  <c r="C70" i="88" s="1"/>
  <c r="C68" i="88"/>
  <c r="C67" i="88"/>
  <c r="E66" i="88"/>
  <c r="E65" i="88"/>
  <c r="E64" i="88"/>
  <c r="E63" i="88"/>
  <c r="E62" i="88"/>
  <c r="E61" i="88"/>
  <c r="E60" i="88"/>
  <c r="E59" i="88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E43" i="88"/>
  <c r="E42" i="88"/>
  <c r="E41" i="88"/>
  <c r="E40" i="88"/>
  <c r="E39" i="88"/>
  <c r="E38" i="88"/>
  <c r="E37" i="88"/>
  <c r="E36" i="88"/>
  <c r="E35" i="88"/>
  <c r="E34" i="88"/>
  <c r="E33" i="88"/>
  <c r="E32" i="88"/>
  <c r="E31" i="88"/>
  <c r="E30" i="88"/>
  <c r="E29" i="88"/>
  <c r="E28" i="88"/>
  <c r="E27" i="88"/>
  <c r="E26" i="88"/>
  <c r="E25" i="88"/>
  <c r="E24" i="88"/>
  <c r="E23" i="88"/>
  <c r="E22" i="88"/>
  <c r="E21" i="88"/>
  <c r="E20" i="88"/>
  <c r="E19" i="88"/>
  <c r="E18" i="88"/>
  <c r="E17" i="88"/>
  <c r="E16" i="88"/>
  <c r="E15" i="88"/>
  <c r="E14" i="88"/>
  <c r="E13" i="88"/>
  <c r="E12" i="88"/>
  <c r="E11" i="88"/>
  <c r="E10" i="88"/>
  <c r="E9" i="88"/>
  <c r="E109" i="87"/>
  <c r="AC110" i="7" s="1"/>
  <c r="D109" i="87"/>
  <c r="AB110" i="7" s="1"/>
  <c r="C109" i="87"/>
  <c r="AA110" i="7" s="1"/>
  <c r="N88" i="87"/>
  <c r="AB36" i="7" s="1"/>
  <c r="M88" i="87"/>
  <c r="AA36" i="7" s="1"/>
  <c r="L88" i="87"/>
  <c r="Z36" i="7" s="1"/>
  <c r="K88" i="87"/>
  <c r="Y36" i="7" s="1"/>
  <c r="G88" i="87"/>
  <c r="U36" i="7" s="1"/>
  <c r="F88" i="87"/>
  <c r="T36" i="7" s="1"/>
  <c r="E88" i="87"/>
  <c r="S36" i="7" s="1"/>
  <c r="D88" i="87"/>
  <c r="R36" i="7" s="1"/>
  <c r="C88" i="87"/>
  <c r="C69" i="87"/>
  <c r="C70" i="87" s="1"/>
  <c r="C68" i="87"/>
  <c r="C67" i="87"/>
  <c r="E66" i="87"/>
  <c r="E65" i="87"/>
  <c r="E64" i="87"/>
  <c r="E63" i="87"/>
  <c r="E62" i="87"/>
  <c r="E61" i="87"/>
  <c r="E60" i="87"/>
  <c r="E59" i="87"/>
  <c r="E58" i="87"/>
  <c r="E57" i="87"/>
  <c r="E56" i="87"/>
  <c r="E55" i="87"/>
  <c r="E54" i="87"/>
  <c r="E53" i="87"/>
  <c r="E52" i="87"/>
  <c r="E51" i="87"/>
  <c r="E50" i="87"/>
  <c r="E49" i="87"/>
  <c r="E48" i="87"/>
  <c r="E47" i="87"/>
  <c r="E46" i="87"/>
  <c r="E45" i="87"/>
  <c r="E44" i="87"/>
  <c r="E43" i="87"/>
  <c r="E42" i="87"/>
  <c r="E41" i="87"/>
  <c r="E40" i="87"/>
  <c r="E39" i="87"/>
  <c r="E38" i="87"/>
  <c r="E37" i="87"/>
  <c r="E36" i="87"/>
  <c r="E35" i="87"/>
  <c r="E34" i="87"/>
  <c r="E33" i="87"/>
  <c r="E32" i="87"/>
  <c r="E31" i="87"/>
  <c r="E30" i="87"/>
  <c r="E29" i="87"/>
  <c r="E28" i="87"/>
  <c r="E27" i="87"/>
  <c r="E26" i="87"/>
  <c r="E25" i="87"/>
  <c r="E24" i="87"/>
  <c r="E23" i="87"/>
  <c r="E22" i="87"/>
  <c r="E21" i="87"/>
  <c r="E20" i="87"/>
  <c r="E19" i="87"/>
  <c r="E18" i="87"/>
  <c r="E17" i="87"/>
  <c r="E16" i="87"/>
  <c r="E15" i="87"/>
  <c r="E14" i="87"/>
  <c r="E13" i="87"/>
  <c r="E12" i="87"/>
  <c r="E11" i="87"/>
  <c r="E10" i="87"/>
  <c r="E9" i="87"/>
  <c r="O73" i="51"/>
  <c r="N10" i="7" s="1"/>
  <c r="N73" i="51"/>
  <c r="M10" i="7" s="1"/>
  <c r="M73" i="51"/>
  <c r="L10" i="7" s="1"/>
  <c r="L73" i="51"/>
  <c r="K10" i="7" s="1"/>
  <c r="K73" i="51"/>
  <c r="J10" i="7" s="1"/>
  <c r="J73" i="51"/>
  <c r="I10" i="7" s="1"/>
  <c r="I73" i="51"/>
  <c r="H10" i="7" s="1"/>
  <c r="H73" i="51"/>
  <c r="G10" i="7" s="1"/>
  <c r="G73" i="51"/>
  <c r="F10" i="7" s="1"/>
  <c r="F73" i="51"/>
  <c r="E73" i="51"/>
  <c r="D10" i="7" s="1"/>
  <c r="D73" i="51"/>
  <c r="C10" i="7" s="1"/>
  <c r="AC9" i="86"/>
  <c r="AC10" i="86"/>
  <c r="AC11" i="86"/>
  <c r="AC12" i="86"/>
  <c r="AC13" i="86"/>
  <c r="AC14" i="86"/>
  <c r="AC15" i="86"/>
  <c r="AC16" i="86"/>
  <c r="AC17" i="86"/>
  <c r="AC18" i="86"/>
  <c r="AC19" i="86"/>
  <c r="AC20" i="86"/>
  <c r="AC21" i="86"/>
  <c r="AC22" i="86"/>
  <c r="AC23" i="86"/>
  <c r="AC24" i="86"/>
  <c r="AC25" i="86"/>
  <c r="AC26" i="86"/>
  <c r="AC27" i="86"/>
  <c r="AC28" i="86"/>
  <c r="AC29" i="86"/>
  <c r="AC30" i="86"/>
  <c r="AC31" i="86"/>
  <c r="AC32" i="86"/>
  <c r="AC33" i="86"/>
  <c r="AC34" i="86"/>
  <c r="AC35" i="86"/>
  <c r="AC36" i="86"/>
  <c r="AC37" i="86"/>
  <c r="AC38" i="86"/>
  <c r="AC39" i="86"/>
  <c r="AC40" i="86"/>
  <c r="AC41" i="86"/>
  <c r="AC42" i="86"/>
  <c r="AC43" i="86"/>
  <c r="AC44" i="86"/>
  <c r="AC45" i="86"/>
  <c r="AC46" i="86"/>
  <c r="AC47" i="86"/>
  <c r="AC48" i="86"/>
  <c r="AC49" i="86"/>
  <c r="AC50" i="86"/>
  <c r="AC51" i="86"/>
  <c r="AC52" i="86"/>
  <c r="AC53" i="86"/>
  <c r="AC54" i="86"/>
  <c r="AC55" i="86"/>
  <c r="AC56" i="86"/>
  <c r="C60" i="86"/>
  <c r="C58" i="86"/>
  <c r="F60" i="86"/>
  <c r="F61" i="86" s="1"/>
  <c r="F58" i="86"/>
  <c r="H60" i="86"/>
  <c r="H58" i="86"/>
  <c r="I60" i="86"/>
  <c r="I58" i="86"/>
  <c r="J60" i="86"/>
  <c r="J58" i="86"/>
  <c r="L60" i="86"/>
  <c r="L58" i="86"/>
  <c r="D60" i="86"/>
  <c r="D61" i="86" s="1"/>
  <c r="D58" i="86"/>
  <c r="E60" i="86"/>
  <c r="E58" i="86"/>
  <c r="E61" i="86" s="1"/>
  <c r="K60" i="86"/>
  <c r="K58" i="86"/>
  <c r="S60" i="86"/>
  <c r="S61" i="86" s="1"/>
  <c r="S58" i="86"/>
  <c r="T60" i="86"/>
  <c r="T58" i="86"/>
  <c r="G60" i="86"/>
  <c r="G61" i="86" s="1"/>
  <c r="G58" i="86"/>
  <c r="M60" i="86"/>
  <c r="M61" i="86" s="1"/>
  <c r="M58" i="86"/>
  <c r="O60" i="86"/>
  <c r="O58" i="86"/>
  <c r="U60" i="86"/>
  <c r="U61" i="86" s="1"/>
  <c r="U58" i="86"/>
  <c r="V60" i="86"/>
  <c r="V58" i="86"/>
  <c r="P60" i="86"/>
  <c r="P58" i="86"/>
  <c r="Q60" i="86"/>
  <c r="Q58" i="86"/>
  <c r="W60" i="86"/>
  <c r="W58" i="86"/>
  <c r="R60" i="86"/>
  <c r="R58" i="86"/>
  <c r="R61" i="86" s="1"/>
  <c r="X60" i="86"/>
  <c r="X58" i="86"/>
  <c r="Y60" i="86"/>
  <c r="Y58" i="86"/>
  <c r="L80" i="86"/>
  <c r="L8" i="7" s="1"/>
  <c r="J80" i="86"/>
  <c r="J8" i="7" s="1"/>
  <c r="H80" i="86"/>
  <c r="H8" i="7" s="1"/>
  <c r="F80" i="86"/>
  <c r="F8" i="7" s="1"/>
  <c r="E101" i="86"/>
  <c r="E103" i="7" s="1"/>
  <c r="E80" i="86"/>
  <c r="E8" i="7" s="1"/>
  <c r="D101" i="86"/>
  <c r="D103" i="7" s="1"/>
  <c r="D80" i="86"/>
  <c r="C101" i="86"/>
  <c r="C102" i="86" s="1"/>
  <c r="C80" i="86"/>
  <c r="C8" i="7" s="1"/>
  <c r="G80" i="86"/>
  <c r="G8" i="7" s="1"/>
  <c r="I80" i="86"/>
  <c r="I8" i="7" s="1"/>
  <c r="K80" i="86"/>
  <c r="K8" i="7" s="1"/>
  <c r="M80" i="86"/>
  <c r="M8" i="7" s="1"/>
  <c r="N80" i="86"/>
  <c r="N8" i="7" s="1"/>
  <c r="Y59" i="86"/>
  <c r="X59" i="86"/>
  <c r="W59" i="86"/>
  <c r="V59" i="86"/>
  <c r="U59" i="86"/>
  <c r="T59" i="86"/>
  <c r="S59" i="86"/>
  <c r="R59" i="86"/>
  <c r="Q59" i="86"/>
  <c r="P59" i="86"/>
  <c r="O59" i="86"/>
  <c r="M59" i="86"/>
  <c r="L59" i="86"/>
  <c r="K59" i="86"/>
  <c r="J59" i="86"/>
  <c r="I59" i="86"/>
  <c r="H59" i="86"/>
  <c r="G59" i="86"/>
  <c r="F59" i="86"/>
  <c r="E59" i="86"/>
  <c r="D59" i="86"/>
  <c r="C59" i="86"/>
  <c r="AC57" i="86"/>
  <c r="Z57" i="86"/>
  <c r="N57" i="86"/>
  <c r="Z56" i="86"/>
  <c r="N56" i="86"/>
  <c r="Z55" i="86"/>
  <c r="N55" i="86"/>
  <c r="Z54" i="86"/>
  <c r="N54" i="86"/>
  <c r="Z53" i="86"/>
  <c r="N53" i="86"/>
  <c r="Z52" i="86"/>
  <c r="N52" i="86"/>
  <c r="Z51" i="86"/>
  <c r="N51" i="86"/>
  <c r="Z50" i="86"/>
  <c r="N50" i="86"/>
  <c r="Z49" i="86"/>
  <c r="N49" i="86"/>
  <c r="Z48" i="86"/>
  <c r="N48" i="86"/>
  <c r="Z47" i="86"/>
  <c r="N47" i="86"/>
  <c r="Z46" i="86"/>
  <c r="N46" i="86"/>
  <c r="Z45" i="86"/>
  <c r="N45" i="86"/>
  <c r="Z44" i="86"/>
  <c r="N44" i="86"/>
  <c r="Z43" i="86"/>
  <c r="N43" i="86"/>
  <c r="Z42" i="86"/>
  <c r="N42" i="86"/>
  <c r="Z41" i="86"/>
  <c r="N41" i="86"/>
  <c r="Z40" i="86"/>
  <c r="N40" i="86"/>
  <c r="Z39" i="86"/>
  <c r="N39" i="86"/>
  <c r="Z38" i="86"/>
  <c r="N38" i="86"/>
  <c r="Z37" i="86"/>
  <c r="N37" i="86"/>
  <c r="Z36" i="86"/>
  <c r="N36" i="86"/>
  <c r="Z35" i="86"/>
  <c r="N35" i="86"/>
  <c r="Z34" i="86"/>
  <c r="N34" i="86"/>
  <c r="Z33" i="86"/>
  <c r="N33" i="86"/>
  <c r="Z32" i="86"/>
  <c r="N32" i="86"/>
  <c r="Z31" i="86"/>
  <c r="N31" i="86"/>
  <c r="Z30" i="86"/>
  <c r="N30" i="86"/>
  <c r="Z29" i="86"/>
  <c r="N29" i="86"/>
  <c r="Z28" i="86"/>
  <c r="N28" i="86"/>
  <c r="Z27" i="86"/>
  <c r="N27" i="86"/>
  <c r="Z26" i="86"/>
  <c r="N26" i="86"/>
  <c r="Z25" i="86"/>
  <c r="N25" i="86"/>
  <c r="Z24" i="86"/>
  <c r="N24" i="86"/>
  <c r="Z23" i="86"/>
  <c r="N23" i="86"/>
  <c r="Z22" i="86"/>
  <c r="N22" i="86"/>
  <c r="Z21" i="86"/>
  <c r="N21" i="86"/>
  <c r="Z20" i="86"/>
  <c r="N20" i="86"/>
  <c r="Z19" i="86"/>
  <c r="N19" i="86"/>
  <c r="Z18" i="86"/>
  <c r="N18" i="86"/>
  <c r="Z17" i="86"/>
  <c r="N17" i="86"/>
  <c r="Z16" i="86"/>
  <c r="N16" i="86"/>
  <c r="Z15" i="86"/>
  <c r="N15" i="86"/>
  <c r="Z14" i="86"/>
  <c r="N14" i="86"/>
  <c r="Z13" i="86"/>
  <c r="N13" i="86"/>
  <c r="Z12" i="86"/>
  <c r="N12" i="86"/>
  <c r="Z11" i="86"/>
  <c r="N11" i="86"/>
  <c r="Z10" i="86"/>
  <c r="N10" i="86"/>
  <c r="Z9" i="86"/>
  <c r="N9" i="86"/>
  <c r="L62" i="30"/>
  <c r="X62" i="30"/>
  <c r="C61" i="30"/>
  <c r="D61" i="30"/>
  <c r="E61" i="30"/>
  <c r="E62" i="30" s="1"/>
  <c r="F61" i="30"/>
  <c r="G61" i="30"/>
  <c r="H61" i="30"/>
  <c r="H62" i="30" s="1"/>
  <c r="I61" i="30"/>
  <c r="I62" i="30" s="1"/>
  <c r="J61" i="30"/>
  <c r="K61" i="30"/>
  <c r="L61" i="30"/>
  <c r="M61" i="30"/>
  <c r="M62" i="30" s="1"/>
  <c r="N61" i="30"/>
  <c r="O61" i="30"/>
  <c r="P61" i="30"/>
  <c r="Q61" i="30"/>
  <c r="Q62" i="30" s="1"/>
  <c r="R61" i="30"/>
  <c r="S61" i="30"/>
  <c r="S62" i="30" s="1"/>
  <c r="T61" i="30"/>
  <c r="U61" i="30"/>
  <c r="U62" i="30" s="1"/>
  <c r="V61" i="30"/>
  <c r="W61" i="30"/>
  <c r="X61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C60" i="30"/>
  <c r="D59" i="30"/>
  <c r="D62" i="30" s="1"/>
  <c r="E59" i="30"/>
  <c r="F59" i="30"/>
  <c r="G59" i="30"/>
  <c r="G62" i="30" s="1"/>
  <c r="H59" i="30"/>
  <c r="I59" i="30"/>
  <c r="J59" i="30"/>
  <c r="K59" i="30"/>
  <c r="K62" i="30" s="1"/>
  <c r="L59" i="30"/>
  <c r="M59" i="30"/>
  <c r="N59" i="30"/>
  <c r="O59" i="30"/>
  <c r="P59" i="30"/>
  <c r="P62" i="30" s="1"/>
  <c r="Q59" i="30"/>
  <c r="R59" i="30"/>
  <c r="S59" i="30"/>
  <c r="T59" i="30"/>
  <c r="T62" i="30" s="1"/>
  <c r="U59" i="30"/>
  <c r="V59" i="30"/>
  <c r="W59" i="30"/>
  <c r="W62" i="30" s="1"/>
  <c r="X59" i="30"/>
  <c r="C59" i="30"/>
  <c r="B10" i="54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B31" i="54" s="1"/>
  <c r="B32" i="54" s="1"/>
  <c r="B33" i="54" s="1"/>
  <c r="B34" i="54" s="1"/>
  <c r="B35" i="54" s="1"/>
  <c r="B36" i="54" s="1"/>
  <c r="B37" i="54" s="1"/>
  <c r="B38" i="54" s="1"/>
  <c r="B39" i="54" s="1"/>
  <c r="B40" i="54" s="1"/>
  <c r="B41" i="54" s="1"/>
  <c r="B42" i="54" s="1"/>
  <c r="B43" i="54" s="1"/>
  <c r="B44" i="54" s="1"/>
  <c r="B45" i="54" s="1"/>
  <c r="B46" i="54" s="1"/>
  <c r="B47" i="54" s="1"/>
  <c r="B48" i="54" s="1"/>
  <c r="B49" i="54" s="1"/>
  <c r="B50" i="54" s="1"/>
  <c r="B51" i="54" s="1"/>
  <c r="B52" i="54" s="1"/>
  <c r="B53" i="54" s="1"/>
  <c r="B54" i="54" s="1"/>
  <c r="B55" i="54" s="1"/>
  <c r="B56" i="54" s="1"/>
  <c r="B57" i="54" s="1"/>
  <c r="B10" i="53"/>
  <c r="B11" i="53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12" i="36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11" i="35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11" i="34"/>
  <c r="B12" i="34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10" i="52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10" i="5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B55" i="51" s="1"/>
  <c r="B56" i="51" s="1"/>
  <c r="B57" i="51" s="1"/>
  <c r="B12" i="32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11" i="30"/>
  <c r="B12" i="30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X61" i="29"/>
  <c r="X59" i="29"/>
  <c r="W61" i="29"/>
  <c r="W62" i="29" s="1"/>
  <c r="W59" i="29"/>
  <c r="V61" i="29"/>
  <c r="V59" i="29"/>
  <c r="V62" i="29" s="1"/>
  <c r="U61" i="29"/>
  <c r="U62" i="29" s="1"/>
  <c r="U59" i="29"/>
  <c r="T61" i="29"/>
  <c r="T59" i="29"/>
  <c r="AA10" i="29"/>
  <c r="AA11" i="29"/>
  <c r="AA12" i="29"/>
  <c r="AA13" i="29"/>
  <c r="AA14" i="29"/>
  <c r="AA15" i="29"/>
  <c r="AA16" i="29"/>
  <c r="AA17" i="29"/>
  <c r="AA18" i="29"/>
  <c r="AA19" i="29"/>
  <c r="AA20" i="29"/>
  <c r="AA21" i="29"/>
  <c r="AA22" i="29"/>
  <c r="AA23" i="29"/>
  <c r="AA24" i="29"/>
  <c r="AA25" i="29"/>
  <c r="AA26" i="29"/>
  <c r="AA27" i="29"/>
  <c r="AA28" i="29"/>
  <c r="AA29" i="29"/>
  <c r="AA30" i="29"/>
  <c r="AA31" i="29"/>
  <c r="AA32" i="29"/>
  <c r="AA33" i="29"/>
  <c r="AA34" i="29"/>
  <c r="AA35" i="29"/>
  <c r="AA36" i="29"/>
  <c r="AA37" i="29"/>
  <c r="AA38" i="29"/>
  <c r="AA39" i="29"/>
  <c r="AA40" i="29"/>
  <c r="AA41" i="29"/>
  <c r="AA42" i="29"/>
  <c r="AA43" i="29"/>
  <c r="AA44" i="29"/>
  <c r="AA45" i="29"/>
  <c r="AA46" i="29"/>
  <c r="AA47" i="29"/>
  <c r="AA48" i="29"/>
  <c r="AA49" i="29"/>
  <c r="AA50" i="29"/>
  <c r="AA51" i="29"/>
  <c r="AA52" i="29"/>
  <c r="AA53" i="29"/>
  <c r="AA54" i="29"/>
  <c r="AA55" i="29"/>
  <c r="AA56" i="29"/>
  <c r="AA57" i="29"/>
  <c r="AA58" i="29"/>
  <c r="O61" i="29"/>
  <c r="O62" i="29" s="1"/>
  <c r="P61" i="29"/>
  <c r="Q61" i="29"/>
  <c r="R61" i="29"/>
  <c r="R62" i="29" s="1"/>
  <c r="S61" i="29"/>
  <c r="S62" i="29" s="1"/>
  <c r="P60" i="29"/>
  <c r="Q60" i="29"/>
  <c r="R60" i="29"/>
  <c r="S60" i="29"/>
  <c r="T60" i="29"/>
  <c r="U60" i="29"/>
  <c r="V60" i="29"/>
  <c r="W60" i="29"/>
  <c r="X60" i="29"/>
  <c r="O60" i="29"/>
  <c r="O59" i="29"/>
  <c r="P59" i="29"/>
  <c r="Q59" i="29"/>
  <c r="R59" i="29"/>
  <c r="S59" i="29"/>
  <c r="N61" i="29"/>
  <c r="N59" i="29"/>
  <c r="B11" i="29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B56" i="29" s="1"/>
  <c r="B57" i="29" s="1"/>
  <c r="B58" i="29" s="1"/>
  <c r="D61" i="29"/>
  <c r="D59" i="29"/>
  <c r="E61" i="29"/>
  <c r="E59" i="29"/>
  <c r="F61" i="29"/>
  <c r="F59" i="29"/>
  <c r="G61" i="29"/>
  <c r="G59" i="29"/>
  <c r="G62" i="29" s="1"/>
  <c r="H61" i="29"/>
  <c r="H62" i="29" s="1"/>
  <c r="H59" i="29"/>
  <c r="I61" i="29"/>
  <c r="I62" i="29" s="1"/>
  <c r="I59" i="29"/>
  <c r="J61" i="29"/>
  <c r="J62" i="29" s="1"/>
  <c r="J59" i="29"/>
  <c r="K61" i="29"/>
  <c r="K62" i="29" s="1"/>
  <c r="K59" i="29"/>
  <c r="L61" i="29"/>
  <c r="L59" i="29"/>
  <c r="E60" i="29"/>
  <c r="F60" i="29"/>
  <c r="G60" i="29"/>
  <c r="H60" i="29"/>
  <c r="I60" i="29"/>
  <c r="J60" i="29"/>
  <c r="K60" i="29"/>
  <c r="L60" i="29"/>
  <c r="D60" i="29"/>
  <c r="N8" i="5"/>
  <c r="N9" i="5"/>
  <c r="AA9" i="5" s="1"/>
  <c r="Z9" i="5"/>
  <c r="AD9" i="5"/>
  <c r="N10" i="5"/>
  <c r="AA10" i="5" s="1"/>
  <c r="Z10" i="5"/>
  <c r="AD10" i="5"/>
  <c r="N11" i="5"/>
  <c r="AA11" i="5" s="1"/>
  <c r="Z11" i="5"/>
  <c r="AD11" i="5"/>
  <c r="N12" i="5"/>
  <c r="Z12" i="5"/>
  <c r="Z67" i="5" s="1"/>
  <c r="AD12" i="5"/>
  <c r="N13" i="5"/>
  <c r="AA13" i="5" s="1"/>
  <c r="Z13" i="5"/>
  <c r="AD13" i="5"/>
  <c r="N14" i="5"/>
  <c r="AA14" i="5" s="1"/>
  <c r="Z14" i="5"/>
  <c r="AD14" i="5"/>
  <c r="N15" i="5"/>
  <c r="AA15" i="5" s="1"/>
  <c r="Z15" i="5"/>
  <c r="AD15" i="5"/>
  <c r="N16" i="5"/>
  <c r="Z16" i="5"/>
  <c r="AD16" i="5"/>
  <c r="N17" i="5"/>
  <c r="AA17" i="5" s="1"/>
  <c r="Z17" i="5"/>
  <c r="AD17" i="5"/>
  <c r="N18" i="5"/>
  <c r="AA18" i="5" s="1"/>
  <c r="Z18" i="5"/>
  <c r="AD18" i="5"/>
  <c r="N19" i="5"/>
  <c r="AA19" i="5" s="1"/>
  <c r="Z19" i="5"/>
  <c r="AD19" i="5"/>
  <c r="N20" i="5"/>
  <c r="Z20" i="5"/>
  <c r="AD20" i="5"/>
  <c r="N21" i="5"/>
  <c r="AA21" i="5" s="1"/>
  <c r="Z21" i="5"/>
  <c r="AD21" i="5"/>
  <c r="N22" i="5"/>
  <c r="AA22" i="5" s="1"/>
  <c r="Z22" i="5"/>
  <c r="AD22" i="5"/>
  <c r="N23" i="5"/>
  <c r="AA23" i="5" s="1"/>
  <c r="Z23" i="5"/>
  <c r="AD23" i="5"/>
  <c r="N24" i="5"/>
  <c r="Z24" i="5"/>
  <c r="AD24" i="5"/>
  <c r="N25" i="5"/>
  <c r="AA25" i="5" s="1"/>
  <c r="Z25" i="5"/>
  <c r="AD25" i="5"/>
  <c r="N26" i="5"/>
  <c r="AA26" i="5" s="1"/>
  <c r="Z26" i="5"/>
  <c r="AD26" i="5"/>
  <c r="N27" i="5"/>
  <c r="AA27" i="5" s="1"/>
  <c r="Z27" i="5"/>
  <c r="AD27" i="5"/>
  <c r="N28" i="5"/>
  <c r="Z28" i="5"/>
  <c r="AD28" i="5"/>
  <c r="N29" i="5"/>
  <c r="AA29" i="5" s="1"/>
  <c r="Z29" i="5"/>
  <c r="AD29" i="5"/>
  <c r="N30" i="5"/>
  <c r="AA30" i="5" s="1"/>
  <c r="Z30" i="5"/>
  <c r="AD30" i="5"/>
  <c r="N31" i="5"/>
  <c r="AA31" i="5" s="1"/>
  <c r="Z31" i="5"/>
  <c r="AD31" i="5"/>
  <c r="N32" i="5"/>
  <c r="Z32" i="5"/>
  <c r="AD32" i="5"/>
  <c r="N33" i="5"/>
  <c r="AA33" i="5" s="1"/>
  <c r="Z33" i="5"/>
  <c r="AD33" i="5"/>
  <c r="N34" i="5"/>
  <c r="AA34" i="5" s="1"/>
  <c r="Z34" i="5"/>
  <c r="AD34" i="5"/>
  <c r="N35" i="5"/>
  <c r="AA35" i="5" s="1"/>
  <c r="Z35" i="5"/>
  <c r="AD35" i="5"/>
  <c r="N36" i="5"/>
  <c r="Z36" i="5"/>
  <c r="AD36" i="5"/>
  <c r="N37" i="5"/>
  <c r="AA37" i="5" s="1"/>
  <c r="Z37" i="5"/>
  <c r="AD37" i="5"/>
  <c r="N38" i="5"/>
  <c r="AA38" i="5" s="1"/>
  <c r="Z38" i="5"/>
  <c r="AD38" i="5"/>
  <c r="N39" i="5"/>
  <c r="AA39" i="5" s="1"/>
  <c r="Z39" i="5"/>
  <c r="AD39" i="5"/>
  <c r="N40" i="5"/>
  <c r="Z40" i="5"/>
  <c r="AD40" i="5"/>
  <c r="N41" i="5"/>
  <c r="AA41" i="5" s="1"/>
  <c r="Z41" i="5"/>
  <c r="AD41" i="5"/>
  <c r="N42" i="5"/>
  <c r="AA42" i="5" s="1"/>
  <c r="Z42" i="5"/>
  <c r="AD42" i="5"/>
  <c r="N43" i="5"/>
  <c r="AA43" i="5" s="1"/>
  <c r="Z43" i="5"/>
  <c r="AD43" i="5"/>
  <c r="N44" i="5"/>
  <c r="Z44" i="5"/>
  <c r="AD44" i="5"/>
  <c r="N45" i="5"/>
  <c r="AA45" i="5" s="1"/>
  <c r="Z45" i="5"/>
  <c r="AD45" i="5"/>
  <c r="N46" i="5"/>
  <c r="AA46" i="5" s="1"/>
  <c r="Z46" i="5"/>
  <c r="AD46" i="5"/>
  <c r="N47" i="5"/>
  <c r="AA47" i="5" s="1"/>
  <c r="Z47" i="5"/>
  <c r="AD47" i="5"/>
  <c r="N48" i="5"/>
  <c r="Z48" i="5"/>
  <c r="AD48" i="5"/>
  <c r="N49" i="5"/>
  <c r="AA49" i="5" s="1"/>
  <c r="Z49" i="5"/>
  <c r="AD49" i="5"/>
  <c r="N50" i="5"/>
  <c r="AA50" i="5" s="1"/>
  <c r="Z50" i="5"/>
  <c r="AD50" i="5"/>
  <c r="N51" i="5"/>
  <c r="AA51" i="5" s="1"/>
  <c r="Z51" i="5"/>
  <c r="AD51" i="5"/>
  <c r="N52" i="5"/>
  <c r="Z52" i="5"/>
  <c r="AD52" i="5"/>
  <c r="N53" i="5"/>
  <c r="AA53" i="5" s="1"/>
  <c r="Z53" i="5"/>
  <c r="AD53" i="5"/>
  <c r="N54" i="5"/>
  <c r="AA54" i="5" s="1"/>
  <c r="Z54" i="5"/>
  <c r="AD54" i="5"/>
  <c r="N55" i="5"/>
  <c r="AA55" i="5" s="1"/>
  <c r="Z55" i="5"/>
  <c r="AD55" i="5"/>
  <c r="N56" i="5"/>
  <c r="Z56" i="5"/>
  <c r="AD56" i="5"/>
  <c r="N57" i="5"/>
  <c r="AA57" i="5" s="1"/>
  <c r="Z57" i="5"/>
  <c r="AD57" i="5"/>
  <c r="N58" i="5"/>
  <c r="AA58" i="5" s="1"/>
  <c r="Z58" i="5"/>
  <c r="AD58" i="5"/>
  <c r="N59" i="5"/>
  <c r="AA59" i="5" s="1"/>
  <c r="Z59" i="5"/>
  <c r="AD59" i="5"/>
  <c r="N60" i="5"/>
  <c r="Z60" i="5"/>
  <c r="N61" i="5"/>
  <c r="AA61" i="5" s="1"/>
  <c r="Z61" i="5"/>
  <c r="N62" i="5"/>
  <c r="AA62" i="5" s="1"/>
  <c r="Z62" i="5"/>
  <c r="N63" i="5"/>
  <c r="AA63" i="5" s="1"/>
  <c r="Z63" i="5"/>
  <c r="N64" i="5"/>
  <c r="AA64" i="5" s="1"/>
  <c r="Z64" i="5"/>
  <c r="N65" i="5"/>
  <c r="AA65" i="5" s="1"/>
  <c r="Z65" i="5"/>
  <c r="N66" i="5"/>
  <c r="AA66" i="5" s="1"/>
  <c r="Z66" i="5"/>
  <c r="C67" i="5"/>
  <c r="C70" i="5" s="1"/>
  <c r="D67" i="5"/>
  <c r="D70" i="5" s="1"/>
  <c r="E67" i="5"/>
  <c r="F67" i="5"/>
  <c r="G67" i="5"/>
  <c r="H67" i="5"/>
  <c r="I67" i="5"/>
  <c r="I70" i="5" s="1"/>
  <c r="J67" i="5"/>
  <c r="J70" i="5" s="1"/>
  <c r="K67" i="5"/>
  <c r="L67" i="5"/>
  <c r="M67" i="5"/>
  <c r="O67" i="5"/>
  <c r="P67" i="5"/>
  <c r="Q67" i="5"/>
  <c r="R67" i="5"/>
  <c r="S67" i="5"/>
  <c r="S70" i="5" s="1"/>
  <c r="T67" i="5"/>
  <c r="T70" i="5" s="1"/>
  <c r="U67" i="5"/>
  <c r="V67" i="5"/>
  <c r="W67" i="5"/>
  <c r="X67" i="5"/>
  <c r="Y67" i="5"/>
  <c r="E69" i="5"/>
  <c r="F69" i="5"/>
  <c r="F70" i="5" s="1"/>
  <c r="H69" i="5"/>
  <c r="H70" i="5" s="1"/>
  <c r="I69" i="5"/>
  <c r="J69" i="5"/>
  <c r="K69" i="5"/>
  <c r="K70" i="5" s="1"/>
  <c r="L69" i="5"/>
  <c r="M69" i="5"/>
  <c r="M70" i="5" s="1"/>
  <c r="Q69" i="5"/>
  <c r="Q70" i="5"/>
  <c r="R69" i="5"/>
  <c r="U69" i="5"/>
  <c r="V69" i="5"/>
  <c r="X69" i="5"/>
  <c r="X70" i="5" s="1"/>
  <c r="Y69" i="5"/>
  <c r="Y70" i="5" s="1"/>
  <c r="C86" i="5"/>
  <c r="D86" i="5"/>
  <c r="R9" i="7" s="1"/>
  <c r="E86" i="5"/>
  <c r="S9" i="7" s="1"/>
  <c r="F86" i="5"/>
  <c r="T9" i="7" s="1"/>
  <c r="G86" i="5"/>
  <c r="U9" i="7" s="1"/>
  <c r="H86" i="5"/>
  <c r="V9" i="7" s="1"/>
  <c r="J86" i="5"/>
  <c r="X9" i="7" s="1"/>
  <c r="N86" i="5"/>
  <c r="AB9" i="7" s="1"/>
  <c r="C106" i="5"/>
  <c r="K104" i="7" s="1"/>
  <c r="D106" i="5"/>
  <c r="L104" i="7" s="1"/>
  <c r="E106" i="5"/>
  <c r="D113" i="22"/>
  <c r="T112" i="7" s="1"/>
  <c r="C113" i="22"/>
  <c r="S112" i="7" s="1"/>
  <c r="C90" i="20"/>
  <c r="D113" i="20"/>
  <c r="T110" i="7" s="1"/>
  <c r="C113" i="20"/>
  <c r="S110" i="7" s="1"/>
  <c r="O73" i="61"/>
  <c r="P73" i="61"/>
  <c r="Q73" i="61"/>
  <c r="C63" i="61"/>
  <c r="D63" i="61"/>
  <c r="E63" i="61"/>
  <c r="F63" i="61"/>
  <c r="G63" i="61"/>
  <c r="H63" i="61"/>
  <c r="N63" i="61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G163" i="7"/>
  <c r="AB25" i="64"/>
  <c r="AB26" i="64"/>
  <c r="AB27" i="64"/>
  <c r="AB28" i="64"/>
  <c r="AB29" i="64"/>
  <c r="AB30" i="64"/>
  <c r="AB31" i="64"/>
  <c r="AB32" i="64"/>
  <c r="AB33" i="64"/>
  <c r="AB34" i="64"/>
  <c r="AB35" i="64"/>
  <c r="AB36" i="64"/>
  <c r="AB37" i="64"/>
  <c r="AB38" i="64"/>
  <c r="AB39" i="64"/>
  <c r="AB40" i="64"/>
  <c r="AB41" i="64"/>
  <c r="AB42" i="64"/>
  <c r="AB43" i="64"/>
  <c r="AB44" i="64"/>
  <c r="AB45" i="64"/>
  <c r="AB11" i="64"/>
  <c r="AB12" i="64"/>
  <c r="AB13" i="64"/>
  <c r="AB14" i="64"/>
  <c r="AB15" i="64"/>
  <c r="AB16" i="64"/>
  <c r="AB17" i="64"/>
  <c r="AB18" i="64"/>
  <c r="AB19" i="64"/>
  <c r="AB20" i="64"/>
  <c r="AB21" i="64"/>
  <c r="AB22" i="64"/>
  <c r="AB23" i="64"/>
  <c r="AB24" i="64"/>
  <c r="AB10" i="64"/>
  <c r="E113" i="60"/>
  <c r="AC102" i="7" s="1"/>
  <c r="D113" i="60"/>
  <c r="AB102" i="7" s="1"/>
  <c r="C113" i="60"/>
  <c r="AA102" i="7" s="1"/>
  <c r="N90" i="60"/>
  <c r="AB28" i="7" s="1"/>
  <c r="F90" i="60"/>
  <c r="T28" i="7" s="1"/>
  <c r="E90" i="60"/>
  <c r="S28" i="7" s="1"/>
  <c r="D90" i="60"/>
  <c r="C90" i="60"/>
  <c r="Q28" i="7" s="1"/>
  <c r="AD70" i="60"/>
  <c r="AC70" i="60"/>
  <c r="AC71" i="60" s="1"/>
  <c r="AB70" i="60"/>
  <c r="AA70" i="60"/>
  <c r="Y70" i="60"/>
  <c r="Y71" i="60" s="1"/>
  <c r="X70" i="60"/>
  <c r="W70" i="60"/>
  <c r="W71" i="60" s="1"/>
  <c r="V70" i="60"/>
  <c r="V71" i="60" s="1"/>
  <c r="U70" i="60"/>
  <c r="T70" i="60"/>
  <c r="S70" i="60"/>
  <c r="R70" i="60"/>
  <c r="R71" i="60" s="1"/>
  <c r="Q70" i="60"/>
  <c r="P70" i="60"/>
  <c r="P71" i="60"/>
  <c r="M70" i="60"/>
  <c r="M71" i="60" s="1"/>
  <c r="L70" i="60"/>
  <c r="K70" i="60"/>
  <c r="J70" i="60"/>
  <c r="J71" i="60" s="1"/>
  <c r="I70" i="60"/>
  <c r="H70" i="60"/>
  <c r="G70" i="60"/>
  <c r="F70" i="60"/>
  <c r="F71" i="60" s="1"/>
  <c r="O69" i="60"/>
  <c r="O70" i="60" s="1"/>
  <c r="O71" i="60" s="1"/>
  <c r="E69" i="60"/>
  <c r="E70" i="60" s="1"/>
  <c r="D69" i="60"/>
  <c r="D70" i="60" s="1"/>
  <c r="C69" i="60"/>
  <c r="C70" i="60" s="1"/>
  <c r="AD68" i="60"/>
  <c r="AC68" i="60"/>
  <c r="AB68" i="60"/>
  <c r="AB71" i="60" s="1"/>
  <c r="AA68" i="60"/>
  <c r="Y68" i="60"/>
  <c r="X68" i="60"/>
  <c r="W68" i="60"/>
  <c r="V68" i="60"/>
  <c r="U68" i="60"/>
  <c r="U71" i="60"/>
  <c r="T68" i="60"/>
  <c r="T71" i="60" s="1"/>
  <c r="S68" i="60"/>
  <c r="R68" i="60"/>
  <c r="Q68" i="60"/>
  <c r="Q71" i="60" s="1"/>
  <c r="P68" i="60"/>
  <c r="O68" i="60"/>
  <c r="M68" i="60"/>
  <c r="L68" i="60"/>
  <c r="L71" i="60" s="1"/>
  <c r="K68" i="60"/>
  <c r="K71" i="60" s="1"/>
  <c r="J68" i="60"/>
  <c r="I68" i="60"/>
  <c r="H68" i="60"/>
  <c r="H71" i="60" s="1"/>
  <c r="G68" i="60"/>
  <c r="F68" i="60"/>
  <c r="E68" i="60"/>
  <c r="D68" i="60"/>
  <c r="C68" i="60"/>
  <c r="AH67" i="60"/>
  <c r="AE67" i="60"/>
  <c r="AH66" i="60"/>
  <c r="AE66" i="60"/>
  <c r="AH65" i="60"/>
  <c r="AE65" i="60"/>
  <c r="AH64" i="60"/>
  <c r="AE64" i="60"/>
  <c r="AH63" i="60"/>
  <c r="AE63" i="60"/>
  <c r="AH62" i="60"/>
  <c r="AE62" i="60"/>
  <c r="AH61" i="60"/>
  <c r="AE61" i="60"/>
  <c r="AH60" i="60"/>
  <c r="AE60" i="60"/>
  <c r="AH59" i="60"/>
  <c r="AE59" i="60"/>
  <c r="AH58" i="60"/>
  <c r="AE58" i="60"/>
  <c r="AH57" i="60"/>
  <c r="AE57" i="60"/>
  <c r="AH56" i="60"/>
  <c r="AE56" i="60"/>
  <c r="AH55" i="60"/>
  <c r="AE55" i="60"/>
  <c r="AH54" i="60"/>
  <c r="AE54" i="60"/>
  <c r="AH53" i="60"/>
  <c r="AE53" i="60"/>
  <c r="AH52" i="60"/>
  <c r="AE52" i="60"/>
  <c r="AH51" i="60"/>
  <c r="AE51" i="60"/>
  <c r="AH50" i="60"/>
  <c r="AE50" i="60"/>
  <c r="AH49" i="60"/>
  <c r="AE49" i="60"/>
  <c r="AH48" i="60"/>
  <c r="AE48" i="60"/>
  <c r="AH47" i="60"/>
  <c r="AE47" i="60"/>
  <c r="AH46" i="60"/>
  <c r="AE46" i="60"/>
  <c r="AH45" i="60"/>
  <c r="AE45" i="60"/>
  <c r="AH44" i="60"/>
  <c r="AE44" i="60"/>
  <c r="AH43" i="60"/>
  <c r="AE43" i="60"/>
  <c r="AH42" i="60"/>
  <c r="AE42" i="60"/>
  <c r="AH41" i="60"/>
  <c r="AE41" i="60"/>
  <c r="AH40" i="60"/>
  <c r="AE40" i="60"/>
  <c r="AH39" i="60"/>
  <c r="AE39" i="60"/>
  <c r="AH38" i="60"/>
  <c r="AE38" i="60"/>
  <c r="AH37" i="60"/>
  <c r="AE37" i="60"/>
  <c r="AH36" i="60"/>
  <c r="AE36" i="60"/>
  <c r="AH35" i="60"/>
  <c r="AE35" i="60"/>
  <c r="AH34" i="60"/>
  <c r="AE34" i="60"/>
  <c r="AH33" i="60"/>
  <c r="AE33" i="60"/>
  <c r="AH32" i="60"/>
  <c r="AE32" i="60"/>
  <c r="AH31" i="60"/>
  <c r="AE31" i="60"/>
  <c r="AH30" i="60"/>
  <c r="AE30" i="60"/>
  <c r="AH29" i="60"/>
  <c r="AE29" i="60"/>
  <c r="AH28" i="60"/>
  <c r="AE28" i="60"/>
  <c r="AH27" i="60"/>
  <c r="AE27" i="60"/>
  <c r="AH26" i="60"/>
  <c r="AE26" i="60"/>
  <c r="AH25" i="60"/>
  <c r="AE25" i="60"/>
  <c r="AH24" i="60"/>
  <c r="AE24" i="60"/>
  <c r="AH23" i="60"/>
  <c r="AE23" i="60"/>
  <c r="AH22" i="60"/>
  <c r="AE22" i="60"/>
  <c r="AH21" i="60"/>
  <c r="AE21" i="60"/>
  <c r="AH20" i="60"/>
  <c r="AE20" i="60"/>
  <c r="AH19" i="60"/>
  <c r="AE19" i="60"/>
  <c r="AH18" i="60"/>
  <c r="AE18" i="60"/>
  <c r="AH17" i="60"/>
  <c r="AE17" i="60"/>
  <c r="AH16" i="60"/>
  <c r="AE16" i="60"/>
  <c r="AH15" i="60"/>
  <c r="AE15" i="60"/>
  <c r="AH14" i="60"/>
  <c r="AE14" i="60"/>
  <c r="AH13" i="60"/>
  <c r="AE13" i="60"/>
  <c r="AH12" i="60"/>
  <c r="AE12" i="60"/>
  <c r="AH11" i="60"/>
  <c r="AE11" i="60"/>
  <c r="AH10" i="60"/>
  <c r="AH70" i="60" s="1"/>
  <c r="AH71" i="60" s="1"/>
  <c r="AE10" i="60"/>
  <c r="AA71" i="60"/>
  <c r="C114" i="60"/>
  <c r="E113" i="20"/>
  <c r="U110" i="7" s="1"/>
  <c r="N90" i="20"/>
  <c r="N36" i="7" s="1"/>
  <c r="H90" i="20"/>
  <c r="H36" i="7" s="1"/>
  <c r="G90" i="20"/>
  <c r="G36" i="7" s="1"/>
  <c r="F90" i="20"/>
  <c r="F36" i="7" s="1"/>
  <c r="E90" i="20"/>
  <c r="E36" i="7" s="1"/>
  <c r="D90" i="20"/>
  <c r="D36" i="7" s="1"/>
  <c r="AB70" i="20"/>
  <c r="AA70" i="20"/>
  <c r="AA71" i="20" s="1"/>
  <c r="Y70" i="20"/>
  <c r="Y71" i="20" s="1"/>
  <c r="X70" i="20"/>
  <c r="W70" i="20"/>
  <c r="V70" i="20"/>
  <c r="V71" i="20" s="1"/>
  <c r="T70" i="20"/>
  <c r="M70" i="20"/>
  <c r="L70" i="20"/>
  <c r="K70" i="20"/>
  <c r="K71" i="20" s="1"/>
  <c r="J70" i="20"/>
  <c r="I70" i="20"/>
  <c r="I71" i="20" s="1"/>
  <c r="H70" i="20"/>
  <c r="G70" i="20"/>
  <c r="U69" i="20"/>
  <c r="U70" i="20" s="1"/>
  <c r="U71" i="20" s="1"/>
  <c r="S69" i="20"/>
  <c r="S70" i="20" s="1"/>
  <c r="R69" i="20"/>
  <c r="R70" i="20" s="1"/>
  <c r="Q69" i="20"/>
  <c r="Q70" i="20" s="1"/>
  <c r="Q71" i="20" s="1"/>
  <c r="C79" i="20" s="1"/>
  <c r="D79" i="20" s="1"/>
  <c r="P69" i="20"/>
  <c r="P70" i="20" s="1"/>
  <c r="O69" i="20"/>
  <c r="O70" i="20" s="1"/>
  <c r="F69" i="20"/>
  <c r="F70" i="20" s="1"/>
  <c r="E69" i="20"/>
  <c r="E70" i="20" s="1"/>
  <c r="D69" i="20"/>
  <c r="D70" i="20" s="1"/>
  <c r="C69" i="20"/>
  <c r="C70" i="20" s="1"/>
  <c r="AB68" i="20"/>
  <c r="AA68" i="20"/>
  <c r="Y68" i="20"/>
  <c r="X68" i="20"/>
  <c r="W68" i="20"/>
  <c r="V68" i="20"/>
  <c r="U68" i="20"/>
  <c r="T68" i="20"/>
  <c r="S68" i="20"/>
  <c r="R68" i="20"/>
  <c r="Q68" i="20"/>
  <c r="P68" i="20"/>
  <c r="O68" i="20"/>
  <c r="M68" i="20"/>
  <c r="L68" i="20"/>
  <c r="K68" i="20"/>
  <c r="J68" i="20"/>
  <c r="I68" i="20"/>
  <c r="H68" i="20"/>
  <c r="G68" i="20"/>
  <c r="F68" i="20"/>
  <c r="E68" i="20"/>
  <c r="D68" i="20"/>
  <c r="C68" i="20"/>
  <c r="AD67" i="20"/>
  <c r="Z67" i="20"/>
  <c r="N67" i="20"/>
  <c r="AD66" i="20"/>
  <c r="Z66" i="20"/>
  <c r="N66" i="20"/>
  <c r="AD65" i="20"/>
  <c r="Z65" i="20"/>
  <c r="N65" i="20"/>
  <c r="AD64" i="20"/>
  <c r="Z64" i="20"/>
  <c r="N64" i="20"/>
  <c r="AD63" i="20"/>
  <c r="Z63" i="20"/>
  <c r="N63" i="20"/>
  <c r="AD62" i="20"/>
  <c r="Z62" i="20"/>
  <c r="N62" i="20"/>
  <c r="AD61" i="20"/>
  <c r="Z61" i="20"/>
  <c r="N61" i="20"/>
  <c r="AD60" i="20"/>
  <c r="Z60" i="20"/>
  <c r="N60" i="20"/>
  <c r="AD59" i="20"/>
  <c r="Z59" i="20"/>
  <c r="N59" i="20"/>
  <c r="AD58" i="20"/>
  <c r="Z58" i="20"/>
  <c r="N58" i="20"/>
  <c r="AD57" i="20"/>
  <c r="Z57" i="20"/>
  <c r="N57" i="20"/>
  <c r="AD56" i="20"/>
  <c r="Z56" i="20"/>
  <c r="N56" i="20"/>
  <c r="AD55" i="20"/>
  <c r="Z55" i="20"/>
  <c r="N55" i="20"/>
  <c r="AD54" i="20"/>
  <c r="Z54" i="20"/>
  <c r="N54" i="20"/>
  <c r="AD53" i="20"/>
  <c r="Z53" i="20"/>
  <c r="N53" i="20"/>
  <c r="AD52" i="20"/>
  <c r="Z52" i="20"/>
  <c r="N52" i="20"/>
  <c r="AD51" i="20"/>
  <c r="Z51" i="20"/>
  <c r="N51" i="20"/>
  <c r="AD50" i="20"/>
  <c r="Z50" i="20"/>
  <c r="N50" i="20"/>
  <c r="AD49" i="20"/>
  <c r="Z49" i="20"/>
  <c r="N49" i="20"/>
  <c r="AD48" i="20"/>
  <c r="Z48" i="20"/>
  <c r="N48" i="20"/>
  <c r="AD47" i="20"/>
  <c r="Z47" i="20"/>
  <c r="N47" i="20"/>
  <c r="AD46" i="20"/>
  <c r="Z46" i="20"/>
  <c r="N46" i="20"/>
  <c r="AD45" i="20"/>
  <c r="Z45" i="20"/>
  <c r="N45" i="20"/>
  <c r="AD44" i="20"/>
  <c r="Z44" i="20"/>
  <c r="N44" i="20"/>
  <c r="AD43" i="20"/>
  <c r="Z43" i="20"/>
  <c r="N43" i="20"/>
  <c r="AD42" i="20"/>
  <c r="Z42" i="20"/>
  <c r="N42" i="20"/>
  <c r="AD41" i="20"/>
  <c r="Z41" i="20"/>
  <c r="N41" i="20"/>
  <c r="AD40" i="20"/>
  <c r="Z40" i="20"/>
  <c r="N40" i="20"/>
  <c r="AD39" i="20"/>
  <c r="Z39" i="20"/>
  <c r="N39" i="20"/>
  <c r="AD38" i="20"/>
  <c r="Z38" i="20"/>
  <c r="N38" i="20"/>
  <c r="AD37" i="20"/>
  <c r="Z37" i="20"/>
  <c r="N37" i="20"/>
  <c r="AD36" i="20"/>
  <c r="Z36" i="20"/>
  <c r="N36" i="20"/>
  <c r="AD35" i="20"/>
  <c r="Z35" i="20"/>
  <c r="N35" i="20"/>
  <c r="AD34" i="20"/>
  <c r="Z34" i="20"/>
  <c r="N34" i="20"/>
  <c r="AD33" i="20"/>
  <c r="Z33" i="20"/>
  <c r="N33" i="20"/>
  <c r="AD32" i="20"/>
  <c r="Z32" i="20"/>
  <c r="N32" i="20"/>
  <c r="AD31" i="20"/>
  <c r="Z31" i="20"/>
  <c r="N31" i="20"/>
  <c r="AD30" i="20"/>
  <c r="Z30" i="20"/>
  <c r="N30" i="20"/>
  <c r="AD29" i="20"/>
  <c r="Z29" i="20"/>
  <c r="N29" i="20"/>
  <c r="AD28" i="20"/>
  <c r="Z28" i="20"/>
  <c r="N28" i="20"/>
  <c r="AD27" i="20"/>
  <c r="Z27" i="20"/>
  <c r="N27" i="20"/>
  <c r="AD26" i="20"/>
  <c r="Z26" i="20"/>
  <c r="N26" i="20"/>
  <c r="AD25" i="20"/>
  <c r="Z25" i="20"/>
  <c r="N25" i="20"/>
  <c r="AD24" i="20"/>
  <c r="Z24" i="20"/>
  <c r="N24" i="20"/>
  <c r="AD23" i="20"/>
  <c r="Z23" i="20"/>
  <c r="N23" i="20"/>
  <c r="AD22" i="20"/>
  <c r="Z22" i="20"/>
  <c r="N22" i="20"/>
  <c r="AD21" i="20"/>
  <c r="Z21" i="20"/>
  <c r="N21" i="20"/>
  <c r="AD20" i="20"/>
  <c r="Z20" i="20"/>
  <c r="N20" i="20"/>
  <c r="AD19" i="20"/>
  <c r="Z19" i="20"/>
  <c r="N19" i="20"/>
  <c r="AD18" i="20"/>
  <c r="Z18" i="20"/>
  <c r="N18" i="20"/>
  <c r="AD17" i="20"/>
  <c r="Z17" i="20"/>
  <c r="N17" i="20"/>
  <c r="AD16" i="20"/>
  <c r="Z16" i="20"/>
  <c r="N16" i="20"/>
  <c r="AD15" i="20"/>
  <c r="Z15" i="20"/>
  <c r="N15" i="20"/>
  <c r="AD14" i="20"/>
  <c r="Z14" i="20"/>
  <c r="N14" i="20"/>
  <c r="AD13" i="20"/>
  <c r="Z13" i="20"/>
  <c r="N13" i="20"/>
  <c r="AD12" i="20"/>
  <c r="Z12" i="20"/>
  <c r="N12" i="20"/>
  <c r="AD11" i="20"/>
  <c r="Z11" i="20"/>
  <c r="N11" i="20"/>
  <c r="AD10" i="20"/>
  <c r="Z10" i="20"/>
  <c r="N10" i="20"/>
  <c r="M71" i="20"/>
  <c r="T71" i="20"/>
  <c r="H71" i="20"/>
  <c r="X71" i="20"/>
  <c r="D90" i="8"/>
  <c r="D27" i="7" s="1"/>
  <c r="E90" i="8"/>
  <c r="E27" i="7" s="1"/>
  <c r="F90" i="8"/>
  <c r="F27" i="7" s="1"/>
  <c r="G90" i="8"/>
  <c r="G27" i="7" s="1"/>
  <c r="H90" i="8"/>
  <c r="H27" i="7" s="1"/>
  <c r="I90" i="8"/>
  <c r="I27" i="7" s="1"/>
  <c r="J90" i="8"/>
  <c r="J27" i="7" s="1"/>
  <c r="K90" i="8"/>
  <c r="K27" i="7" s="1"/>
  <c r="L90" i="8"/>
  <c r="L27" i="7" s="1"/>
  <c r="M90" i="8"/>
  <c r="M27" i="7" s="1"/>
  <c r="N90" i="8"/>
  <c r="N27" i="7" s="1"/>
  <c r="D88" i="70"/>
  <c r="R17" i="7" s="1"/>
  <c r="E88" i="70"/>
  <c r="S17" i="7" s="1"/>
  <c r="F88" i="70"/>
  <c r="T17" i="7" s="1"/>
  <c r="G88" i="70"/>
  <c r="U17" i="7" s="1"/>
  <c r="I88" i="70"/>
  <c r="W17" i="7" s="1"/>
  <c r="K88" i="70"/>
  <c r="Y17" i="7" s="1"/>
  <c r="N88" i="70"/>
  <c r="AB17" i="7" s="1"/>
  <c r="C88" i="70"/>
  <c r="Q17" i="7" s="1"/>
  <c r="C89" i="70"/>
  <c r="D87" i="77"/>
  <c r="D44" i="7" s="1"/>
  <c r="E87" i="77"/>
  <c r="E44" i="7" s="1"/>
  <c r="F87" i="77"/>
  <c r="F44" i="7" s="1"/>
  <c r="G87" i="77"/>
  <c r="G44" i="7" s="1"/>
  <c r="I87" i="77"/>
  <c r="I44" i="7" s="1"/>
  <c r="J87" i="77"/>
  <c r="J44" i="7" s="1"/>
  <c r="K87" i="77"/>
  <c r="K44" i="7" s="1"/>
  <c r="L87" i="77"/>
  <c r="L44" i="7" s="1"/>
  <c r="M87" i="77"/>
  <c r="M44" i="7" s="1"/>
  <c r="N87" i="77"/>
  <c r="N44" i="7" s="1"/>
  <c r="E108" i="77"/>
  <c r="U118" i="7" s="1"/>
  <c r="D108" i="77"/>
  <c r="T118" i="7" s="1"/>
  <c r="C108" i="77"/>
  <c r="S118" i="7" s="1"/>
  <c r="C87" i="77"/>
  <c r="C44" i="7" s="1"/>
  <c r="C68" i="77"/>
  <c r="C69" i="77"/>
  <c r="C70" i="77" s="1"/>
  <c r="C67" i="77"/>
  <c r="E66" i="77"/>
  <c r="E65" i="77"/>
  <c r="E64" i="77"/>
  <c r="E63" i="77"/>
  <c r="E62" i="77"/>
  <c r="E61" i="77"/>
  <c r="E60" i="77"/>
  <c r="E59" i="77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E43" i="77"/>
  <c r="E42" i="77"/>
  <c r="E41" i="77"/>
  <c r="E40" i="77"/>
  <c r="E39" i="77"/>
  <c r="E38" i="77"/>
  <c r="E37" i="77"/>
  <c r="E36" i="77"/>
  <c r="E35" i="77"/>
  <c r="E34" i="77"/>
  <c r="E33" i="77"/>
  <c r="E32" i="77"/>
  <c r="E31" i="77"/>
  <c r="E30" i="77"/>
  <c r="E29" i="77"/>
  <c r="E28" i="77"/>
  <c r="E27" i="77"/>
  <c r="E26" i="77"/>
  <c r="E25" i="77"/>
  <c r="E24" i="77"/>
  <c r="E23" i="77"/>
  <c r="E22" i="77"/>
  <c r="E21" i="77"/>
  <c r="E20" i="77"/>
  <c r="E19" i="77"/>
  <c r="E18" i="77"/>
  <c r="E17" i="77"/>
  <c r="E16" i="77"/>
  <c r="E15" i="77"/>
  <c r="E14" i="77"/>
  <c r="E13" i="77"/>
  <c r="E12" i="77"/>
  <c r="E11" i="77"/>
  <c r="E10" i="77"/>
  <c r="E9" i="77"/>
  <c r="D90" i="21"/>
  <c r="D37" i="7" s="1"/>
  <c r="E90" i="21"/>
  <c r="E37" i="7" s="1"/>
  <c r="F90" i="21"/>
  <c r="F37" i="7" s="1"/>
  <c r="G90" i="21"/>
  <c r="G37" i="7" s="1"/>
  <c r="I90" i="21"/>
  <c r="I37" i="7" s="1"/>
  <c r="K90" i="21"/>
  <c r="K37" i="7" s="1"/>
  <c r="M90" i="21"/>
  <c r="M37" i="7" s="1"/>
  <c r="N90" i="21"/>
  <c r="N37" i="7" s="1"/>
  <c r="D90" i="10"/>
  <c r="D32" i="7" s="1"/>
  <c r="E90" i="10"/>
  <c r="E32" i="7" s="1"/>
  <c r="F90" i="10"/>
  <c r="F32" i="7" s="1"/>
  <c r="G90" i="10"/>
  <c r="G32" i="7" s="1"/>
  <c r="H90" i="10"/>
  <c r="H32" i="7" s="1"/>
  <c r="N90" i="10"/>
  <c r="N32" i="7" s="1"/>
  <c r="C90" i="10"/>
  <c r="C32" i="7" s="1"/>
  <c r="C109" i="77"/>
  <c r="C76" i="77"/>
  <c r="D76" i="77" s="1"/>
  <c r="D88" i="74"/>
  <c r="R21" i="7" s="1"/>
  <c r="E88" i="74"/>
  <c r="C88" i="74"/>
  <c r="Q21" i="7" s="1"/>
  <c r="N88" i="74"/>
  <c r="AB21" i="7" s="1"/>
  <c r="I88" i="74"/>
  <c r="W21" i="7" s="1"/>
  <c r="H88" i="74"/>
  <c r="V21" i="7" s="1"/>
  <c r="G88" i="74"/>
  <c r="U21" i="7" s="1"/>
  <c r="F88" i="74"/>
  <c r="T21" i="7" s="1"/>
  <c r="H40" i="79"/>
  <c r="D76" i="78"/>
  <c r="T115" i="7" s="1"/>
  <c r="E76" i="78"/>
  <c r="U115" i="7" s="1"/>
  <c r="C76" i="78"/>
  <c r="S115" i="7" s="1"/>
  <c r="J55" i="78"/>
  <c r="J41" i="7" s="1"/>
  <c r="K55" i="78"/>
  <c r="K41" i="7" s="1"/>
  <c r="L55" i="78"/>
  <c r="L41" i="7" s="1"/>
  <c r="M55" i="78"/>
  <c r="M41" i="7" s="1"/>
  <c r="N55" i="78"/>
  <c r="N41" i="7" s="1"/>
  <c r="E109" i="59"/>
  <c r="U109" i="7" s="1"/>
  <c r="D109" i="59"/>
  <c r="T109" i="7" s="1"/>
  <c r="C109" i="59"/>
  <c r="S109" i="7" s="1"/>
  <c r="N88" i="59"/>
  <c r="N35" i="7" s="1"/>
  <c r="M88" i="59"/>
  <c r="M35" i="7" s="1"/>
  <c r="L88" i="59"/>
  <c r="L35" i="7" s="1"/>
  <c r="K88" i="59"/>
  <c r="K35" i="7" s="1"/>
  <c r="J88" i="59"/>
  <c r="J35" i="7" s="1"/>
  <c r="I88" i="59"/>
  <c r="I35" i="7" s="1"/>
  <c r="H88" i="59"/>
  <c r="H35" i="7" s="1"/>
  <c r="G88" i="59"/>
  <c r="G35" i="7" s="1"/>
  <c r="F88" i="59"/>
  <c r="E88" i="59"/>
  <c r="E35" i="7" s="1"/>
  <c r="D88" i="59"/>
  <c r="D35" i="7" s="1"/>
  <c r="C88" i="59"/>
  <c r="C35" i="7" s="1"/>
  <c r="C68" i="59"/>
  <c r="C69" i="59" s="1"/>
  <c r="C70" i="59" s="1"/>
  <c r="C74" i="59" s="1"/>
  <c r="D74" i="59" s="1"/>
  <c r="C67" i="59"/>
  <c r="E66" i="59"/>
  <c r="E65" i="59"/>
  <c r="E64" i="59"/>
  <c r="E63" i="59"/>
  <c r="E62" i="59"/>
  <c r="E61" i="59"/>
  <c r="E60" i="59"/>
  <c r="E59" i="59"/>
  <c r="E58" i="59"/>
  <c r="E57" i="59"/>
  <c r="E56" i="59"/>
  <c r="E55" i="59"/>
  <c r="E54" i="59"/>
  <c r="E53" i="59"/>
  <c r="E52" i="59"/>
  <c r="E51" i="59"/>
  <c r="E50" i="59"/>
  <c r="E49" i="59"/>
  <c r="E48" i="59"/>
  <c r="E47" i="59"/>
  <c r="E46" i="59"/>
  <c r="E45" i="59"/>
  <c r="E44" i="59"/>
  <c r="E43" i="59"/>
  <c r="E42" i="59"/>
  <c r="E41" i="59"/>
  <c r="E40" i="59"/>
  <c r="E39" i="59"/>
  <c r="E38" i="59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D80" i="82"/>
  <c r="T103" i="7" s="1"/>
  <c r="E80" i="82"/>
  <c r="U103" i="7" s="1"/>
  <c r="C80" i="82"/>
  <c r="S103" i="7" s="1"/>
  <c r="D71" i="82"/>
  <c r="D76" i="7" s="1"/>
  <c r="E71" i="82"/>
  <c r="F71" i="82"/>
  <c r="F76" i="7" s="1"/>
  <c r="G71" i="82"/>
  <c r="G76" i="7" s="1"/>
  <c r="H71" i="82"/>
  <c r="H76" i="7" s="1"/>
  <c r="J71" i="82"/>
  <c r="J76" i="7" s="1"/>
  <c r="N71" i="82"/>
  <c r="N76" i="7" s="1"/>
  <c r="C71" i="82"/>
  <c r="C76" i="7" s="1"/>
  <c r="E109" i="75"/>
  <c r="M117" i="7" s="1"/>
  <c r="D109" i="75"/>
  <c r="L117" i="7" s="1"/>
  <c r="C109" i="75"/>
  <c r="N88" i="75"/>
  <c r="AB22" i="7" s="1"/>
  <c r="M88" i="75"/>
  <c r="AA22" i="7" s="1"/>
  <c r="L88" i="75"/>
  <c r="Z22" i="7" s="1"/>
  <c r="K88" i="75"/>
  <c r="Y22" i="7" s="1"/>
  <c r="J88" i="75"/>
  <c r="X22" i="7" s="1"/>
  <c r="I88" i="75"/>
  <c r="W22" i="7" s="1"/>
  <c r="H88" i="75"/>
  <c r="V22" i="7" s="1"/>
  <c r="G88" i="75"/>
  <c r="U22" i="7" s="1"/>
  <c r="F88" i="75"/>
  <c r="T22" i="7" s="1"/>
  <c r="E88" i="75"/>
  <c r="S22" i="7" s="1"/>
  <c r="D88" i="75"/>
  <c r="R22" i="7" s="1"/>
  <c r="C88" i="75"/>
  <c r="C68" i="75"/>
  <c r="C69" i="75" s="1"/>
  <c r="C70" i="75" s="1"/>
  <c r="C75" i="75" s="1"/>
  <c r="D75" i="75" s="1"/>
  <c r="C67" i="75"/>
  <c r="E66" i="75"/>
  <c r="E65" i="75"/>
  <c r="E64" i="75"/>
  <c r="E63" i="75"/>
  <c r="E62" i="75"/>
  <c r="E61" i="75"/>
  <c r="E60" i="75"/>
  <c r="E59" i="75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E43" i="75"/>
  <c r="E42" i="75"/>
  <c r="E41" i="75"/>
  <c r="E40" i="75"/>
  <c r="E39" i="75"/>
  <c r="E38" i="75"/>
  <c r="E37" i="75"/>
  <c r="E36" i="75"/>
  <c r="E35" i="75"/>
  <c r="E34" i="75"/>
  <c r="E33" i="75"/>
  <c r="E32" i="75"/>
  <c r="E31" i="75"/>
  <c r="E30" i="75"/>
  <c r="E29" i="75"/>
  <c r="E28" i="75"/>
  <c r="E27" i="75"/>
  <c r="E26" i="75"/>
  <c r="E25" i="75"/>
  <c r="E24" i="75"/>
  <c r="E23" i="75"/>
  <c r="E22" i="75"/>
  <c r="E21" i="75"/>
  <c r="E20" i="75"/>
  <c r="E19" i="75"/>
  <c r="E18" i="75"/>
  <c r="E17" i="75"/>
  <c r="E16" i="75"/>
  <c r="E15" i="75"/>
  <c r="E14" i="75"/>
  <c r="E13" i="75"/>
  <c r="E12" i="75"/>
  <c r="E11" i="75"/>
  <c r="E10" i="75"/>
  <c r="E9" i="75"/>
  <c r="J88" i="56"/>
  <c r="X12" i="7" s="1"/>
  <c r="K88" i="56"/>
  <c r="Y12" i="7" s="1"/>
  <c r="L88" i="56"/>
  <c r="Z12" i="7" s="1"/>
  <c r="M88" i="56"/>
  <c r="AA12" i="7" s="1"/>
  <c r="C77" i="75"/>
  <c r="D77" i="75" s="1"/>
  <c r="E109" i="56"/>
  <c r="D109" i="56"/>
  <c r="L107" i="7" s="1"/>
  <c r="C109" i="56"/>
  <c r="K107" i="7" s="1"/>
  <c r="N88" i="56"/>
  <c r="AB12" i="7" s="1"/>
  <c r="I88" i="56"/>
  <c r="W12" i="7" s="1"/>
  <c r="G88" i="56"/>
  <c r="U12" i="7" s="1"/>
  <c r="F88" i="56"/>
  <c r="T12" i="7" s="1"/>
  <c r="E88" i="56"/>
  <c r="S12" i="7" s="1"/>
  <c r="D88" i="56"/>
  <c r="C88" i="56"/>
  <c r="Q12" i="7" s="1"/>
  <c r="C68" i="56"/>
  <c r="C69" i="56" s="1"/>
  <c r="C70" i="56" s="1"/>
  <c r="C77" i="56" s="1"/>
  <c r="D77" i="56" s="1"/>
  <c r="C67" i="56"/>
  <c r="E66" i="56"/>
  <c r="E65" i="56"/>
  <c r="E64" i="56"/>
  <c r="E63" i="56"/>
  <c r="E62" i="56"/>
  <c r="E61" i="56"/>
  <c r="E60" i="56"/>
  <c r="E59" i="56"/>
  <c r="E58" i="56"/>
  <c r="E57" i="56"/>
  <c r="E56" i="56"/>
  <c r="E55" i="56"/>
  <c r="E54" i="56"/>
  <c r="E53" i="56"/>
  <c r="E52" i="56"/>
  <c r="E51" i="56"/>
  <c r="E50" i="56"/>
  <c r="E49" i="56"/>
  <c r="E48" i="56"/>
  <c r="E47" i="56"/>
  <c r="E46" i="56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69" i="56" s="1"/>
  <c r="E70" i="56" s="1"/>
  <c r="E109" i="57"/>
  <c r="M108" i="7" s="1"/>
  <c r="D109" i="57"/>
  <c r="L108" i="7" s="1"/>
  <c r="C109" i="57"/>
  <c r="K108" i="7" s="1"/>
  <c r="N88" i="57"/>
  <c r="AB13" i="7" s="1"/>
  <c r="I88" i="57"/>
  <c r="W13" i="7" s="1"/>
  <c r="H88" i="57"/>
  <c r="V13" i="7" s="1"/>
  <c r="G88" i="57"/>
  <c r="U13" i="7" s="1"/>
  <c r="F88" i="57"/>
  <c r="T13" i="7" s="1"/>
  <c r="E88" i="57"/>
  <c r="S13" i="7" s="1"/>
  <c r="D88" i="57"/>
  <c r="R13" i="7" s="1"/>
  <c r="C88" i="57"/>
  <c r="C68" i="57"/>
  <c r="C69" i="57"/>
  <c r="C67" i="57"/>
  <c r="E66" i="57"/>
  <c r="E65" i="57"/>
  <c r="E64" i="57"/>
  <c r="E63" i="57"/>
  <c r="E62" i="57"/>
  <c r="E61" i="57"/>
  <c r="E60" i="57"/>
  <c r="E59" i="57"/>
  <c r="E58" i="57"/>
  <c r="E57" i="57"/>
  <c r="E56" i="57"/>
  <c r="E55" i="57"/>
  <c r="E54" i="57"/>
  <c r="E53" i="57"/>
  <c r="E52" i="57"/>
  <c r="E51" i="57"/>
  <c r="E50" i="57"/>
  <c r="E49" i="57"/>
  <c r="E48" i="57"/>
  <c r="E47" i="57"/>
  <c r="E46" i="57"/>
  <c r="E45" i="57"/>
  <c r="E44" i="57"/>
  <c r="E43" i="57"/>
  <c r="E42" i="57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AD61" i="8"/>
  <c r="AD62" i="8"/>
  <c r="AD63" i="8"/>
  <c r="AD64" i="8"/>
  <c r="AD65" i="8"/>
  <c r="AD66" i="8"/>
  <c r="AD67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W68" i="8"/>
  <c r="U68" i="8"/>
  <c r="V68" i="8"/>
  <c r="E113" i="8"/>
  <c r="U101" i="7" s="1"/>
  <c r="D113" i="8"/>
  <c r="T101" i="7" s="1"/>
  <c r="C113" i="8"/>
  <c r="C90" i="8"/>
  <c r="M70" i="8"/>
  <c r="M71" i="8" s="1"/>
  <c r="L70" i="8"/>
  <c r="L71" i="8" s="1"/>
  <c r="K70" i="8"/>
  <c r="J70" i="8"/>
  <c r="I70" i="8"/>
  <c r="H70" i="8"/>
  <c r="H71" i="8" s="1"/>
  <c r="G70" i="8"/>
  <c r="S69" i="8"/>
  <c r="S70" i="8" s="1"/>
  <c r="R69" i="8"/>
  <c r="R70" i="8"/>
  <c r="R71" i="8" s="1"/>
  <c r="Q69" i="8"/>
  <c r="Q70" i="8"/>
  <c r="P69" i="8"/>
  <c r="P70" i="8" s="1"/>
  <c r="O69" i="8"/>
  <c r="O70" i="8" s="1"/>
  <c r="O71" i="8" s="1"/>
  <c r="F69" i="8"/>
  <c r="F70" i="8"/>
  <c r="E69" i="8"/>
  <c r="D69" i="8"/>
  <c r="D70" i="8" s="1"/>
  <c r="D71" i="8" s="1"/>
  <c r="C69" i="8"/>
  <c r="Y68" i="8"/>
  <c r="X68" i="8"/>
  <c r="T68" i="8"/>
  <c r="S68" i="8"/>
  <c r="R68" i="8"/>
  <c r="Q68" i="8"/>
  <c r="P68" i="8"/>
  <c r="O68" i="8"/>
  <c r="M68" i="8"/>
  <c r="L68" i="8"/>
  <c r="K68" i="8"/>
  <c r="J68" i="8"/>
  <c r="I68" i="8"/>
  <c r="H68" i="8"/>
  <c r="G68" i="8"/>
  <c r="F68" i="8"/>
  <c r="E68" i="8"/>
  <c r="D68" i="8"/>
  <c r="C68" i="8"/>
  <c r="Z67" i="8"/>
  <c r="N67" i="8"/>
  <c r="Z66" i="8"/>
  <c r="N66" i="8"/>
  <c r="Z65" i="8"/>
  <c r="N65" i="8"/>
  <c r="Z64" i="8"/>
  <c r="N64" i="8"/>
  <c r="Z63" i="8"/>
  <c r="N63" i="8"/>
  <c r="Z62" i="8"/>
  <c r="N62" i="8"/>
  <c r="Z61" i="8"/>
  <c r="N61" i="8"/>
  <c r="Z60" i="8"/>
  <c r="N60" i="8"/>
  <c r="Z59" i="8"/>
  <c r="N59" i="8"/>
  <c r="Z58" i="8"/>
  <c r="N58" i="8"/>
  <c r="Z57" i="8"/>
  <c r="N57" i="8"/>
  <c r="Z56" i="8"/>
  <c r="N56" i="8"/>
  <c r="Z55" i="8"/>
  <c r="N55" i="8"/>
  <c r="Z54" i="8"/>
  <c r="N54" i="8"/>
  <c r="Z53" i="8"/>
  <c r="N53" i="8"/>
  <c r="Z52" i="8"/>
  <c r="N52" i="8"/>
  <c r="Z51" i="8"/>
  <c r="N51" i="8"/>
  <c r="Z50" i="8"/>
  <c r="N50" i="8"/>
  <c r="Z49" i="8"/>
  <c r="N49" i="8"/>
  <c r="Z48" i="8"/>
  <c r="N48" i="8"/>
  <c r="Z47" i="8"/>
  <c r="N47" i="8"/>
  <c r="Z46" i="8"/>
  <c r="N46" i="8"/>
  <c r="Z45" i="8"/>
  <c r="N45" i="8"/>
  <c r="Z44" i="8"/>
  <c r="N44" i="8"/>
  <c r="Z43" i="8"/>
  <c r="N43" i="8"/>
  <c r="Z42" i="8"/>
  <c r="N42" i="8"/>
  <c r="Z41" i="8"/>
  <c r="N41" i="8"/>
  <c r="Z40" i="8"/>
  <c r="N40" i="8"/>
  <c r="Z39" i="8"/>
  <c r="N39" i="8"/>
  <c r="Z38" i="8"/>
  <c r="N38" i="8"/>
  <c r="Z37" i="8"/>
  <c r="N37" i="8"/>
  <c r="Z36" i="8"/>
  <c r="N36" i="8"/>
  <c r="Z35" i="8"/>
  <c r="N35" i="8"/>
  <c r="Z34" i="8"/>
  <c r="N34" i="8"/>
  <c r="Z33" i="8"/>
  <c r="N33" i="8"/>
  <c r="Z32" i="8"/>
  <c r="N32" i="8"/>
  <c r="Z31" i="8"/>
  <c r="N31" i="8"/>
  <c r="Z30" i="8"/>
  <c r="N30" i="8"/>
  <c r="Z29" i="8"/>
  <c r="N29" i="8"/>
  <c r="Z28" i="8"/>
  <c r="N28" i="8"/>
  <c r="Z27" i="8"/>
  <c r="N27" i="8"/>
  <c r="Z26" i="8"/>
  <c r="N26" i="8"/>
  <c r="Z25" i="8"/>
  <c r="N25" i="8"/>
  <c r="Z24" i="8"/>
  <c r="N24" i="8"/>
  <c r="Z23" i="8"/>
  <c r="N23" i="8"/>
  <c r="Z22" i="8"/>
  <c r="N22" i="8"/>
  <c r="Z21" i="8"/>
  <c r="N21" i="8"/>
  <c r="Z20" i="8"/>
  <c r="N20" i="8"/>
  <c r="Z19" i="8"/>
  <c r="N19" i="8"/>
  <c r="Z18" i="8"/>
  <c r="N18" i="8"/>
  <c r="Z17" i="8"/>
  <c r="N17" i="8"/>
  <c r="Z16" i="8"/>
  <c r="N16" i="8"/>
  <c r="Z15" i="8"/>
  <c r="N15" i="8"/>
  <c r="Z14" i="8"/>
  <c r="N14" i="8"/>
  <c r="Z13" i="8"/>
  <c r="N13" i="8"/>
  <c r="Z12" i="8"/>
  <c r="N12" i="8"/>
  <c r="Z11" i="8"/>
  <c r="N11" i="8"/>
  <c r="Z10" i="8"/>
  <c r="N10" i="8"/>
  <c r="J71" i="8"/>
  <c r="J61" i="82"/>
  <c r="J29" i="7" s="1"/>
  <c r="AC10" i="82"/>
  <c r="AC11" i="82"/>
  <c r="AC12" i="82"/>
  <c r="AC13" i="82"/>
  <c r="AC14" i="82"/>
  <c r="AC15" i="82"/>
  <c r="AC16" i="82"/>
  <c r="AC17" i="82"/>
  <c r="AC18" i="82"/>
  <c r="AC19" i="82"/>
  <c r="AC20" i="82"/>
  <c r="AC21" i="82"/>
  <c r="AC22" i="82"/>
  <c r="AC23" i="82"/>
  <c r="AC24" i="82"/>
  <c r="AC25" i="82"/>
  <c r="AC26" i="82"/>
  <c r="AC27" i="82"/>
  <c r="AC28" i="82"/>
  <c r="AC29" i="82"/>
  <c r="AC30" i="82"/>
  <c r="AC31" i="82"/>
  <c r="AC32" i="82"/>
  <c r="AC33" i="82"/>
  <c r="AC34" i="82"/>
  <c r="AC35" i="82"/>
  <c r="AC36" i="82"/>
  <c r="AC37" i="82"/>
  <c r="AC38" i="82"/>
  <c r="AC39" i="82"/>
  <c r="AC40" i="82"/>
  <c r="AC41" i="82"/>
  <c r="AC9" i="82"/>
  <c r="AA44" i="82"/>
  <c r="AA45" i="82" s="1"/>
  <c r="AA42" i="82"/>
  <c r="V44" i="82"/>
  <c r="W44" i="82"/>
  <c r="X44" i="82"/>
  <c r="Y44" i="82"/>
  <c r="Y45" i="82" s="1"/>
  <c r="P42" i="82"/>
  <c r="Q42" i="82"/>
  <c r="R42" i="82"/>
  <c r="S42" i="82"/>
  <c r="T42" i="82"/>
  <c r="U42" i="82"/>
  <c r="V42" i="82"/>
  <c r="W42" i="82"/>
  <c r="X42" i="82"/>
  <c r="Y42" i="82"/>
  <c r="E44" i="82"/>
  <c r="F44" i="82"/>
  <c r="G44" i="82"/>
  <c r="H44" i="82"/>
  <c r="I44" i="82"/>
  <c r="J44" i="82"/>
  <c r="K44" i="82"/>
  <c r="L44" i="82"/>
  <c r="M44" i="82"/>
  <c r="W45" i="82"/>
  <c r="AB35" i="78"/>
  <c r="AB37" i="78"/>
  <c r="AA37" i="78"/>
  <c r="AA35" i="78"/>
  <c r="AD11" i="78"/>
  <c r="AD12" i="78"/>
  <c r="AD13" i="78"/>
  <c r="AD14" i="78"/>
  <c r="AD15" i="78"/>
  <c r="AD16" i="78"/>
  <c r="AD17" i="78"/>
  <c r="AD18" i="78"/>
  <c r="AD19" i="78"/>
  <c r="AD20" i="78"/>
  <c r="AD21" i="78"/>
  <c r="AD22" i="78"/>
  <c r="AD23" i="78"/>
  <c r="AD24" i="78"/>
  <c r="AD25" i="78"/>
  <c r="AD26" i="78"/>
  <c r="AD27" i="78"/>
  <c r="AD28" i="78"/>
  <c r="AD29" i="78"/>
  <c r="AD30" i="78"/>
  <c r="AD31" i="78"/>
  <c r="AD32" i="78"/>
  <c r="AD33" i="78"/>
  <c r="AD34" i="78"/>
  <c r="AD10" i="78"/>
  <c r="AC37" i="78" s="1"/>
  <c r="AC38" i="78" s="1"/>
  <c r="AF10" i="23"/>
  <c r="V37" i="78"/>
  <c r="X37" i="78"/>
  <c r="Y37" i="78"/>
  <c r="Y38" i="78" s="1"/>
  <c r="P35" i="78"/>
  <c r="Q35" i="78"/>
  <c r="R35" i="78"/>
  <c r="S35" i="78"/>
  <c r="T35" i="78"/>
  <c r="U35" i="78"/>
  <c r="V35" i="78"/>
  <c r="W35" i="78"/>
  <c r="X35" i="78"/>
  <c r="Y35" i="78"/>
  <c r="G37" i="78"/>
  <c r="G38" i="78" s="1"/>
  <c r="H37" i="78"/>
  <c r="H38" i="78" s="1"/>
  <c r="I37" i="78"/>
  <c r="I38" i="78" s="1"/>
  <c r="J37" i="78"/>
  <c r="K37" i="78"/>
  <c r="L37" i="78"/>
  <c r="L38" i="78" s="1"/>
  <c r="M37" i="78"/>
  <c r="D35" i="78"/>
  <c r="E35" i="78"/>
  <c r="F35" i="78"/>
  <c r="G35" i="78"/>
  <c r="H35" i="78"/>
  <c r="I35" i="78"/>
  <c r="J35" i="78"/>
  <c r="J38" i="78" s="1"/>
  <c r="K35" i="78"/>
  <c r="L35" i="78"/>
  <c r="M35" i="78"/>
  <c r="C35" i="78"/>
  <c r="M38" i="78"/>
  <c r="X38" i="78"/>
  <c r="E109" i="83"/>
  <c r="AC109" i="7" s="1"/>
  <c r="D109" i="83"/>
  <c r="AB109" i="7" s="1"/>
  <c r="C109" i="83"/>
  <c r="N88" i="83"/>
  <c r="AB35" i="7" s="1"/>
  <c r="M88" i="83"/>
  <c r="AA35" i="7" s="1"/>
  <c r="L88" i="83"/>
  <c r="Z35" i="7" s="1"/>
  <c r="K88" i="83"/>
  <c r="Y35" i="7" s="1"/>
  <c r="I88" i="83"/>
  <c r="W35" i="7" s="1"/>
  <c r="G88" i="83"/>
  <c r="U35" i="7" s="1"/>
  <c r="F88" i="83"/>
  <c r="T35" i="7" s="1"/>
  <c r="E88" i="83"/>
  <c r="D88" i="83"/>
  <c r="R35" i="7" s="1"/>
  <c r="C88" i="83"/>
  <c r="Q35" i="7" s="1"/>
  <c r="C68" i="83"/>
  <c r="C69" i="83"/>
  <c r="C67" i="83"/>
  <c r="E66" i="83"/>
  <c r="E65" i="83"/>
  <c r="E64" i="83"/>
  <c r="E63" i="83"/>
  <c r="E62" i="83"/>
  <c r="E61" i="83"/>
  <c r="E60" i="83"/>
  <c r="E59" i="83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43" i="83"/>
  <c r="E42" i="83"/>
  <c r="E41" i="83"/>
  <c r="E40" i="83"/>
  <c r="E39" i="83"/>
  <c r="E38" i="83"/>
  <c r="E37" i="83"/>
  <c r="E36" i="83"/>
  <c r="E35" i="83"/>
  <c r="E34" i="83"/>
  <c r="E33" i="83"/>
  <c r="E32" i="83"/>
  <c r="E31" i="83"/>
  <c r="E30" i="83"/>
  <c r="E29" i="83"/>
  <c r="E28" i="83"/>
  <c r="E27" i="83"/>
  <c r="E26" i="83"/>
  <c r="E25" i="83"/>
  <c r="E24" i="83"/>
  <c r="E23" i="83"/>
  <c r="E22" i="83"/>
  <c r="E21" i="83"/>
  <c r="E20" i="83"/>
  <c r="E19" i="83"/>
  <c r="E18" i="83"/>
  <c r="E17" i="83"/>
  <c r="E16" i="83"/>
  <c r="E15" i="83"/>
  <c r="E14" i="83"/>
  <c r="E13" i="83"/>
  <c r="E12" i="83"/>
  <c r="E11" i="83"/>
  <c r="E10" i="83"/>
  <c r="E9" i="83"/>
  <c r="E108" i="65"/>
  <c r="AC108" i="7" s="1"/>
  <c r="D108" i="65"/>
  <c r="AB108" i="7" s="1"/>
  <c r="C108" i="65"/>
  <c r="AA108" i="7" s="1"/>
  <c r="N87" i="65"/>
  <c r="AB34" i="7" s="1"/>
  <c r="M87" i="65"/>
  <c r="AA34" i="7" s="1"/>
  <c r="L87" i="65"/>
  <c r="Z34" i="7" s="1"/>
  <c r="K87" i="65"/>
  <c r="Y34" i="7" s="1"/>
  <c r="J87" i="65"/>
  <c r="X34" i="7" s="1"/>
  <c r="G87" i="65"/>
  <c r="U34" i="7" s="1"/>
  <c r="F87" i="65"/>
  <c r="T34" i="7" s="1"/>
  <c r="E87" i="65"/>
  <c r="S34" i="7" s="1"/>
  <c r="D87" i="65"/>
  <c r="R34" i="7" s="1"/>
  <c r="C87" i="65"/>
  <c r="C68" i="65"/>
  <c r="C69" i="65"/>
  <c r="C67" i="65"/>
  <c r="E66" i="65"/>
  <c r="E65" i="65"/>
  <c r="E64" i="65"/>
  <c r="E63" i="65"/>
  <c r="E62" i="65"/>
  <c r="E61" i="65"/>
  <c r="E60" i="65"/>
  <c r="E59" i="65"/>
  <c r="E58" i="65"/>
  <c r="E57" i="65"/>
  <c r="E56" i="65"/>
  <c r="E55" i="65"/>
  <c r="E54" i="65"/>
  <c r="E53" i="65"/>
  <c r="E52" i="65"/>
  <c r="E51" i="65"/>
  <c r="E50" i="65"/>
  <c r="E49" i="65"/>
  <c r="E48" i="65"/>
  <c r="E47" i="65"/>
  <c r="E46" i="65"/>
  <c r="E45" i="65"/>
  <c r="E44" i="65"/>
  <c r="E43" i="65"/>
  <c r="E42" i="65"/>
  <c r="E41" i="65"/>
  <c r="E40" i="65"/>
  <c r="E39" i="65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108" i="76"/>
  <c r="U117" i="7" s="1"/>
  <c r="D108" i="76"/>
  <c r="T117" i="7" s="1"/>
  <c r="C108" i="76"/>
  <c r="S117" i="7" s="1"/>
  <c r="N87" i="76"/>
  <c r="N43" i="7" s="1"/>
  <c r="M87" i="76"/>
  <c r="M43" i="7" s="1"/>
  <c r="L87" i="76"/>
  <c r="L43" i="7" s="1"/>
  <c r="K87" i="76"/>
  <c r="K43" i="7" s="1"/>
  <c r="J87" i="76"/>
  <c r="J43" i="7" s="1"/>
  <c r="I87" i="76"/>
  <c r="I43" i="7" s="1"/>
  <c r="G87" i="76"/>
  <c r="G43" i="7" s="1"/>
  <c r="F87" i="76"/>
  <c r="F43" i="7" s="1"/>
  <c r="E87" i="76"/>
  <c r="E43" i="7" s="1"/>
  <c r="D87" i="76"/>
  <c r="D43" i="7" s="1"/>
  <c r="C87" i="76"/>
  <c r="C43" i="7" s="1"/>
  <c r="C68" i="76"/>
  <c r="C69" i="76"/>
  <c r="C70" i="76" s="1"/>
  <c r="C67" i="76"/>
  <c r="E66" i="76"/>
  <c r="E65" i="76"/>
  <c r="E64" i="76"/>
  <c r="E63" i="76"/>
  <c r="E62" i="76"/>
  <c r="E61" i="76"/>
  <c r="E60" i="76"/>
  <c r="E59" i="76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E43" i="76"/>
  <c r="E42" i="76"/>
  <c r="E41" i="76"/>
  <c r="E40" i="76"/>
  <c r="E39" i="76"/>
  <c r="E38" i="76"/>
  <c r="E37" i="76"/>
  <c r="E36" i="76"/>
  <c r="E35" i="76"/>
  <c r="E34" i="76"/>
  <c r="E33" i="76"/>
  <c r="E32" i="76"/>
  <c r="E31" i="76"/>
  <c r="E30" i="76"/>
  <c r="E29" i="76"/>
  <c r="E28" i="76"/>
  <c r="E27" i="76"/>
  <c r="E26" i="76"/>
  <c r="E25" i="76"/>
  <c r="E24" i="76"/>
  <c r="E23" i="76"/>
  <c r="E22" i="76"/>
  <c r="E21" i="76"/>
  <c r="E20" i="76"/>
  <c r="E19" i="76"/>
  <c r="E18" i="76"/>
  <c r="E17" i="76"/>
  <c r="E16" i="76"/>
  <c r="E15" i="76"/>
  <c r="E14" i="76"/>
  <c r="E13" i="76"/>
  <c r="E12" i="76"/>
  <c r="E11" i="76"/>
  <c r="E10" i="76"/>
  <c r="E9" i="76"/>
  <c r="E113" i="10"/>
  <c r="U106" i="7" s="1"/>
  <c r="D113" i="10"/>
  <c r="T106" i="7" s="1"/>
  <c r="C113" i="10"/>
  <c r="S106" i="7" s="1"/>
  <c r="W70" i="10"/>
  <c r="V70" i="10"/>
  <c r="V71" i="10" s="1"/>
  <c r="T70" i="10"/>
  <c r="S70" i="10"/>
  <c r="M70" i="10"/>
  <c r="L70" i="10"/>
  <c r="L71" i="10" s="1"/>
  <c r="K70" i="10"/>
  <c r="J70" i="10"/>
  <c r="I70" i="10"/>
  <c r="H70" i="10"/>
  <c r="G70" i="10"/>
  <c r="F70" i="10"/>
  <c r="F71" i="10" s="1"/>
  <c r="Y69" i="10"/>
  <c r="Y70" i="10"/>
  <c r="X69" i="10"/>
  <c r="X70" i="10"/>
  <c r="U69" i="10"/>
  <c r="U70" i="10"/>
  <c r="R69" i="10"/>
  <c r="R70" i="10" s="1"/>
  <c r="Q69" i="10"/>
  <c r="Q70" i="10" s="1"/>
  <c r="P69" i="10"/>
  <c r="P70" i="10"/>
  <c r="O69" i="10"/>
  <c r="O70" i="10"/>
  <c r="E69" i="10"/>
  <c r="E70" i="10"/>
  <c r="E71" i="10" s="1"/>
  <c r="D69" i="10"/>
  <c r="D70" i="10"/>
  <c r="C69" i="10"/>
  <c r="C70" i="10" s="1"/>
  <c r="Y68" i="10"/>
  <c r="X68" i="10"/>
  <c r="W68" i="10"/>
  <c r="V68" i="10"/>
  <c r="U68" i="10"/>
  <c r="T68" i="10"/>
  <c r="T71" i="10" s="1"/>
  <c r="S68" i="10"/>
  <c r="R68" i="10"/>
  <c r="Q68" i="10"/>
  <c r="P68" i="10"/>
  <c r="O68" i="10"/>
  <c r="M68" i="10"/>
  <c r="L68" i="10"/>
  <c r="K68" i="10"/>
  <c r="K71" i="10" s="1"/>
  <c r="J68" i="10"/>
  <c r="I68" i="10"/>
  <c r="I71" i="10" s="1"/>
  <c r="H68" i="10"/>
  <c r="G68" i="10"/>
  <c r="G71" i="10" s="1"/>
  <c r="F68" i="10"/>
  <c r="E68" i="10"/>
  <c r="D68" i="10"/>
  <c r="C68" i="10"/>
  <c r="AC67" i="10"/>
  <c r="Z67" i="10"/>
  <c r="N67" i="10"/>
  <c r="AC66" i="10"/>
  <c r="Z66" i="10"/>
  <c r="N66" i="10"/>
  <c r="AA66" i="10" s="1"/>
  <c r="AC65" i="10"/>
  <c r="Z65" i="10"/>
  <c r="N65" i="10"/>
  <c r="AC64" i="10"/>
  <c r="Z64" i="10"/>
  <c r="AA64" i="10" s="1"/>
  <c r="N64" i="10"/>
  <c r="AC63" i="10"/>
  <c r="Z63" i="10"/>
  <c r="N63" i="10"/>
  <c r="AA63" i="10" s="1"/>
  <c r="AC62" i="10"/>
  <c r="Z62" i="10"/>
  <c r="N62" i="10"/>
  <c r="AC61" i="10"/>
  <c r="Z61" i="10"/>
  <c r="N61" i="10"/>
  <c r="AC60" i="10"/>
  <c r="Z60" i="10"/>
  <c r="N60" i="10"/>
  <c r="AC59" i="10"/>
  <c r="Z59" i="10"/>
  <c r="N59" i="10"/>
  <c r="AC58" i="10"/>
  <c r="Z58" i="10"/>
  <c r="N58" i="10"/>
  <c r="AC57" i="10"/>
  <c r="Z57" i="10"/>
  <c r="N57" i="10"/>
  <c r="AC56" i="10"/>
  <c r="Z56" i="10"/>
  <c r="N56" i="10"/>
  <c r="AC55" i="10"/>
  <c r="Z55" i="10"/>
  <c r="N55" i="10"/>
  <c r="AC54" i="10"/>
  <c r="Z54" i="10"/>
  <c r="N54" i="10"/>
  <c r="AC53" i="10"/>
  <c r="Z53" i="10"/>
  <c r="N53" i="10"/>
  <c r="AC52" i="10"/>
  <c r="Z52" i="10"/>
  <c r="N52" i="10"/>
  <c r="AC51" i="10"/>
  <c r="Z51" i="10"/>
  <c r="N51" i="10"/>
  <c r="AC50" i="10"/>
  <c r="Z50" i="10"/>
  <c r="AA50" i="10" s="1"/>
  <c r="N50" i="10"/>
  <c r="AC49" i="10"/>
  <c r="Z49" i="10"/>
  <c r="N49" i="10"/>
  <c r="AA49" i="10" s="1"/>
  <c r="AC48" i="10"/>
  <c r="Z48" i="10"/>
  <c r="N48" i="10"/>
  <c r="AC47" i="10"/>
  <c r="Z47" i="10"/>
  <c r="N47" i="10"/>
  <c r="AA47" i="10" s="1"/>
  <c r="AC46" i="10"/>
  <c r="Z46" i="10"/>
  <c r="N46" i="10"/>
  <c r="AC45" i="10"/>
  <c r="Z45" i="10"/>
  <c r="N45" i="10"/>
  <c r="AC44" i="10"/>
  <c r="Z44" i="10"/>
  <c r="N44" i="10"/>
  <c r="AC43" i="10"/>
  <c r="Z43" i="10"/>
  <c r="N43" i="10"/>
  <c r="AC42" i="10"/>
  <c r="Z42" i="10"/>
  <c r="N42" i="10"/>
  <c r="AC41" i="10"/>
  <c r="Z41" i="10"/>
  <c r="N41" i="10"/>
  <c r="AC40" i="10"/>
  <c r="Z40" i="10"/>
  <c r="N40" i="10"/>
  <c r="AC39" i="10"/>
  <c r="Z39" i="10"/>
  <c r="N39" i="10"/>
  <c r="AA39" i="10" s="1"/>
  <c r="AC38" i="10"/>
  <c r="Z38" i="10"/>
  <c r="N38" i="10"/>
  <c r="AC37" i="10"/>
  <c r="Z37" i="10"/>
  <c r="N37" i="10"/>
  <c r="AC36" i="10"/>
  <c r="Z36" i="10"/>
  <c r="N36" i="10"/>
  <c r="AC35" i="10"/>
  <c r="Z35" i="10"/>
  <c r="N35" i="10"/>
  <c r="AC34" i="10"/>
  <c r="Z34" i="10"/>
  <c r="N34" i="10"/>
  <c r="AA34" i="10" s="1"/>
  <c r="AC33" i="10"/>
  <c r="Z33" i="10"/>
  <c r="N33" i="10"/>
  <c r="AC32" i="10"/>
  <c r="Z32" i="10"/>
  <c r="N32" i="10"/>
  <c r="AC31" i="10"/>
  <c r="Z31" i="10"/>
  <c r="N31" i="10"/>
  <c r="AC30" i="10"/>
  <c r="Z30" i="10"/>
  <c r="N30" i="10"/>
  <c r="AC29" i="10"/>
  <c r="Z29" i="10"/>
  <c r="N29" i="10"/>
  <c r="AC28" i="10"/>
  <c r="Z28" i="10"/>
  <c r="N28" i="10"/>
  <c r="AC27" i="10"/>
  <c r="Z27" i="10"/>
  <c r="N27" i="10"/>
  <c r="AC26" i="10"/>
  <c r="Z26" i="10"/>
  <c r="N26" i="10"/>
  <c r="AC25" i="10"/>
  <c r="Z25" i="10"/>
  <c r="N25" i="10"/>
  <c r="AC24" i="10"/>
  <c r="Z24" i="10"/>
  <c r="N24" i="10"/>
  <c r="AC23" i="10"/>
  <c r="Z23" i="10"/>
  <c r="N23" i="10"/>
  <c r="AA23" i="10" s="1"/>
  <c r="AC22" i="10"/>
  <c r="Z22" i="10"/>
  <c r="N22" i="10"/>
  <c r="AC21" i="10"/>
  <c r="Z21" i="10"/>
  <c r="N21" i="10"/>
  <c r="AC20" i="10"/>
  <c r="Z20" i="10"/>
  <c r="N20" i="10"/>
  <c r="AC19" i="10"/>
  <c r="Z19" i="10"/>
  <c r="N19" i="10"/>
  <c r="AC18" i="10"/>
  <c r="Z18" i="10"/>
  <c r="AA18" i="10" s="1"/>
  <c r="N18" i="10"/>
  <c r="AC17" i="10"/>
  <c r="Z17" i="10"/>
  <c r="N17" i="10"/>
  <c r="AC16" i="10"/>
  <c r="Z16" i="10"/>
  <c r="N16" i="10"/>
  <c r="AC15" i="10"/>
  <c r="Z15" i="10"/>
  <c r="N15" i="10"/>
  <c r="AA15" i="10" s="1"/>
  <c r="AC14" i="10"/>
  <c r="Z14" i="10"/>
  <c r="N14" i="10"/>
  <c r="AC13" i="10"/>
  <c r="Z13" i="10"/>
  <c r="N13" i="10"/>
  <c r="AA13" i="10" s="1"/>
  <c r="AC12" i="10"/>
  <c r="Z12" i="10"/>
  <c r="N12" i="10"/>
  <c r="AC11" i="10"/>
  <c r="Z11" i="10"/>
  <c r="N11" i="10"/>
  <c r="AC10" i="10"/>
  <c r="Z10" i="10"/>
  <c r="N10" i="10"/>
  <c r="N9" i="10"/>
  <c r="AA31" i="10"/>
  <c r="AA55" i="10"/>
  <c r="AA10" i="10"/>
  <c r="AA26" i="10"/>
  <c r="AA42" i="10"/>
  <c r="AA58" i="10"/>
  <c r="M71" i="10"/>
  <c r="W71" i="10"/>
  <c r="C91" i="10"/>
  <c r="S71" i="10"/>
  <c r="C109" i="76"/>
  <c r="E109" i="58"/>
  <c r="U108" i="7" s="1"/>
  <c r="D109" i="58"/>
  <c r="T108" i="7" s="1"/>
  <c r="C109" i="58"/>
  <c r="S108" i="7" s="1"/>
  <c r="C68" i="58"/>
  <c r="C69" i="58" s="1"/>
  <c r="C67" i="58"/>
  <c r="E66" i="58"/>
  <c r="E65" i="58"/>
  <c r="E64" i="58"/>
  <c r="E63" i="58"/>
  <c r="E62" i="58"/>
  <c r="E61" i="58"/>
  <c r="E60" i="58"/>
  <c r="E59" i="58"/>
  <c r="E58" i="58"/>
  <c r="E57" i="58"/>
  <c r="E56" i="58"/>
  <c r="E55" i="58"/>
  <c r="E54" i="58"/>
  <c r="E53" i="58"/>
  <c r="E52" i="58"/>
  <c r="E51" i="58"/>
  <c r="E50" i="58"/>
  <c r="E49" i="58"/>
  <c r="E48" i="58"/>
  <c r="E47" i="58"/>
  <c r="E46" i="58"/>
  <c r="E45" i="58"/>
  <c r="E44" i="58"/>
  <c r="E43" i="58"/>
  <c r="E42" i="58"/>
  <c r="E41" i="58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69" i="58" s="1"/>
  <c r="E70" i="58" s="1"/>
  <c r="C89" i="58"/>
  <c r="E113" i="9"/>
  <c r="U104" i="7" s="1"/>
  <c r="D113" i="9"/>
  <c r="T104" i="7" s="1"/>
  <c r="C113" i="9"/>
  <c r="S104" i="7" s="1"/>
  <c r="N90" i="9"/>
  <c r="N30" i="7" s="1"/>
  <c r="H90" i="9"/>
  <c r="H30" i="7" s="1"/>
  <c r="G90" i="9"/>
  <c r="G30" i="7" s="1"/>
  <c r="F90" i="9"/>
  <c r="F30" i="7" s="1"/>
  <c r="E90" i="9"/>
  <c r="E30" i="7" s="1"/>
  <c r="D90" i="9"/>
  <c r="D30" i="7" s="1"/>
  <c r="C90" i="9"/>
  <c r="C30" i="7" s="1"/>
  <c r="AA70" i="9"/>
  <c r="Z70" i="9"/>
  <c r="X70" i="9"/>
  <c r="W70" i="9"/>
  <c r="V70" i="9"/>
  <c r="U70" i="9"/>
  <c r="U71" i="9" s="1"/>
  <c r="T70" i="9"/>
  <c r="P70" i="9"/>
  <c r="O70" i="9"/>
  <c r="N70" i="9"/>
  <c r="L70" i="9"/>
  <c r="K70" i="9"/>
  <c r="J70" i="9"/>
  <c r="I70" i="9"/>
  <c r="H70" i="9"/>
  <c r="H71" i="9" s="1"/>
  <c r="G70" i="9"/>
  <c r="S69" i="9"/>
  <c r="S70" i="9" s="1"/>
  <c r="S71" i="9" s="1"/>
  <c r="R69" i="9"/>
  <c r="R70" i="9" s="1"/>
  <c r="R71" i="9" s="1"/>
  <c r="Q69" i="9"/>
  <c r="Q70" i="9" s="1"/>
  <c r="F69" i="9"/>
  <c r="F70" i="9" s="1"/>
  <c r="F71" i="9" s="1"/>
  <c r="E69" i="9"/>
  <c r="E70" i="9" s="1"/>
  <c r="E71" i="9" s="1"/>
  <c r="D69" i="9"/>
  <c r="D70" i="9" s="1"/>
  <c r="D71" i="9" s="1"/>
  <c r="C69" i="9"/>
  <c r="C70" i="9" s="1"/>
  <c r="C71" i="9" s="1"/>
  <c r="AA68" i="9"/>
  <c r="Z68" i="9"/>
  <c r="X68" i="9"/>
  <c r="X71" i="9" s="1"/>
  <c r="W68" i="9"/>
  <c r="V68" i="9"/>
  <c r="V71" i="9" s="1"/>
  <c r="U68" i="9"/>
  <c r="T68" i="9"/>
  <c r="T71" i="9" s="1"/>
  <c r="S68" i="9"/>
  <c r="R68" i="9"/>
  <c r="Q68" i="9"/>
  <c r="P68" i="9"/>
  <c r="P71" i="9" s="1"/>
  <c r="O68" i="9"/>
  <c r="N68" i="9"/>
  <c r="L68" i="9"/>
  <c r="K68" i="9"/>
  <c r="J68" i="9"/>
  <c r="I68" i="9"/>
  <c r="H68" i="9"/>
  <c r="G68" i="9"/>
  <c r="G71" i="9" s="1"/>
  <c r="F68" i="9"/>
  <c r="E68" i="9"/>
  <c r="D68" i="9"/>
  <c r="C68" i="9"/>
  <c r="AC67" i="9"/>
  <c r="M67" i="9"/>
  <c r="AC66" i="9"/>
  <c r="M66" i="9"/>
  <c r="AC65" i="9"/>
  <c r="M65" i="9"/>
  <c r="AC64" i="9"/>
  <c r="M64" i="9"/>
  <c r="AC63" i="9"/>
  <c r="M63" i="9"/>
  <c r="AC62" i="9"/>
  <c r="M62" i="9"/>
  <c r="AC61" i="9"/>
  <c r="M61" i="9"/>
  <c r="AC60" i="9"/>
  <c r="M60" i="9"/>
  <c r="AC59" i="9"/>
  <c r="M59" i="9"/>
  <c r="AC58" i="9"/>
  <c r="AC57" i="9"/>
  <c r="M57" i="9"/>
  <c r="AC56" i="9"/>
  <c r="M56" i="9"/>
  <c r="AC55" i="9"/>
  <c r="M55" i="9"/>
  <c r="AC54" i="9"/>
  <c r="AC53" i="9"/>
  <c r="AC52" i="9"/>
  <c r="M52" i="9"/>
  <c r="AC51" i="9"/>
  <c r="M51" i="9"/>
  <c r="AC50" i="9"/>
  <c r="M50" i="9"/>
  <c r="AC49" i="9"/>
  <c r="M49" i="9"/>
  <c r="AC48" i="9"/>
  <c r="M48" i="9"/>
  <c r="AC47" i="9"/>
  <c r="AC46" i="9"/>
  <c r="AC45" i="9"/>
  <c r="AC44" i="9"/>
  <c r="M44" i="9"/>
  <c r="AC43" i="9"/>
  <c r="M43" i="9"/>
  <c r="AC42" i="9"/>
  <c r="M42" i="9"/>
  <c r="AC41" i="9"/>
  <c r="M41" i="9"/>
  <c r="AC40" i="9"/>
  <c r="M40" i="9"/>
  <c r="AC39" i="9"/>
  <c r="M39" i="9"/>
  <c r="AC38" i="9"/>
  <c r="AC37" i="9"/>
  <c r="M37" i="9"/>
  <c r="AC36" i="9"/>
  <c r="M36" i="9"/>
  <c r="AC35" i="9"/>
  <c r="M35" i="9"/>
  <c r="AC34" i="9"/>
  <c r="M34" i="9"/>
  <c r="AC33" i="9"/>
  <c r="M33" i="9"/>
  <c r="AC32" i="9"/>
  <c r="AC31" i="9"/>
  <c r="AC30" i="9"/>
  <c r="M30" i="9"/>
  <c r="AC29" i="9"/>
  <c r="M29" i="9"/>
  <c r="AC28" i="9"/>
  <c r="AC27" i="9"/>
  <c r="AC26" i="9"/>
  <c r="AC25" i="9"/>
  <c r="AC24" i="9"/>
  <c r="AC23" i="9"/>
  <c r="M23" i="9"/>
  <c r="AC22" i="9"/>
  <c r="M22" i="9"/>
  <c r="AC21" i="9"/>
  <c r="AC20" i="9"/>
  <c r="M20" i="9"/>
  <c r="AC19" i="9"/>
  <c r="M19" i="9"/>
  <c r="AC18" i="9"/>
  <c r="AC17" i="9"/>
  <c r="AC16" i="9"/>
  <c r="AC15" i="9"/>
  <c r="M15" i="9"/>
  <c r="AC14" i="9"/>
  <c r="AC13" i="9"/>
  <c r="AC12" i="9"/>
  <c r="AC11" i="9"/>
  <c r="AC70" i="9" s="1"/>
  <c r="AC71" i="9" s="1"/>
  <c r="AC10" i="9"/>
  <c r="L71" i="9"/>
  <c r="J71" i="9"/>
  <c r="O71" i="9"/>
  <c r="AA71" i="9"/>
  <c r="E109" i="74"/>
  <c r="M116" i="7" s="1"/>
  <c r="D109" i="74"/>
  <c r="L116" i="7" s="1"/>
  <c r="C109" i="74"/>
  <c r="K116" i="7" s="1"/>
  <c r="C68" i="74"/>
  <c r="C69" i="74" s="1"/>
  <c r="C67" i="74"/>
  <c r="E66" i="74"/>
  <c r="E65" i="74"/>
  <c r="E64" i="74"/>
  <c r="E63" i="74"/>
  <c r="E62" i="74"/>
  <c r="E61" i="74"/>
  <c r="E60" i="74"/>
  <c r="E59" i="74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43" i="74"/>
  <c r="E42" i="74"/>
  <c r="E41" i="74"/>
  <c r="E40" i="74"/>
  <c r="E39" i="74"/>
  <c r="E38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E12" i="74"/>
  <c r="E11" i="74"/>
  <c r="E10" i="74"/>
  <c r="E9" i="74"/>
  <c r="C70" i="74"/>
  <c r="C77" i="74" s="1"/>
  <c r="D77" i="74" s="1"/>
  <c r="E109" i="70"/>
  <c r="M112" i="7" s="1"/>
  <c r="D109" i="70"/>
  <c r="L112" i="7" s="1"/>
  <c r="C109" i="70"/>
  <c r="K112" i="7" s="1"/>
  <c r="V70" i="70"/>
  <c r="V71" i="70" s="1"/>
  <c r="U70" i="70"/>
  <c r="S70" i="70"/>
  <c r="S71" i="70" s="1"/>
  <c r="R70" i="70"/>
  <c r="L70" i="70"/>
  <c r="K70" i="70"/>
  <c r="J70" i="70"/>
  <c r="I70" i="70"/>
  <c r="H70" i="70"/>
  <c r="G70" i="70"/>
  <c r="F70" i="70"/>
  <c r="F71" i="70" s="1"/>
  <c r="X69" i="70"/>
  <c r="X70" i="70"/>
  <c r="X71" i="70" s="1"/>
  <c r="W69" i="70"/>
  <c r="W70" i="70"/>
  <c r="W71" i="70" s="1"/>
  <c r="T69" i="70"/>
  <c r="T70" i="70" s="1"/>
  <c r="Q69" i="70"/>
  <c r="Q70" i="70" s="1"/>
  <c r="P69" i="70"/>
  <c r="P70" i="70" s="1"/>
  <c r="P71" i="70" s="1"/>
  <c r="O69" i="70"/>
  <c r="O70" i="70" s="1"/>
  <c r="N69" i="70"/>
  <c r="N70" i="70"/>
  <c r="N71" i="70" s="1"/>
  <c r="E69" i="70"/>
  <c r="E70" i="70"/>
  <c r="E71" i="70" s="1"/>
  <c r="D69" i="70"/>
  <c r="D70" i="70" s="1"/>
  <c r="C69" i="70"/>
  <c r="C70" i="70" s="1"/>
  <c r="C71" i="70" s="1"/>
  <c r="X68" i="70"/>
  <c r="W68" i="70"/>
  <c r="V68" i="70"/>
  <c r="U68" i="70"/>
  <c r="U71" i="70" s="1"/>
  <c r="T68" i="70"/>
  <c r="S68" i="70"/>
  <c r="R68" i="70"/>
  <c r="Q68" i="70"/>
  <c r="P68" i="70"/>
  <c r="O68" i="70"/>
  <c r="O71" i="70" s="1"/>
  <c r="N68" i="70"/>
  <c r="L68" i="70"/>
  <c r="K68" i="70"/>
  <c r="J68" i="70"/>
  <c r="I68" i="70"/>
  <c r="I71" i="70" s="1"/>
  <c r="H68" i="70"/>
  <c r="G68" i="70"/>
  <c r="F68" i="70"/>
  <c r="E68" i="70"/>
  <c r="D68" i="70"/>
  <c r="D71" i="70" s="1"/>
  <c r="C68" i="70"/>
  <c r="AC67" i="70"/>
  <c r="Y67" i="70"/>
  <c r="M67" i="70"/>
  <c r="Z67" i="70" s="1"/>
  <c r="AC66" i="70"/>
  <c r="Y66" i="70"/>
  <c r="Z66" i="70" s="1"/>
  <c r="M66" i="70"/>
  <c r="AC65" i="70"/>
  <c r="Y65" i="70"/>
  <c r="M65" i="70"/>
  <c r="Z65" i="70" s="1"/>
  <c r="AC64" i="70"/>
  <c r="Y64" i="70"/>
  <c r="Z64" i="70" s="1"/>
  <c r="M64" i="70"/>
  <c r="AC63" i="70"/>
  <c r="Y63" i="70"/>
  <c r="M63" i="70"/>
  <c r="Z63" i="70" s="1"/>
  <c r="AC62" i="70"/>
  <c r="Y62" i="70"/>
  <c r="Z62" i="70" s="1"/>
  <c r="M62" i="70"/>
  <c r="AC61" i="70"/>
  <c r="Y61" i="70"/>
  <c r="M61" i="70"/>
  <c r="Z61" i="70" s="1"/>
  <c r="AC60" i="70"/>
  <c r="Y60" i="70"/>
  <c r="M60" i="70"/>
  <c r="AC59" i="70"/>
  <c r="Y59" i="70"/>
  <c r="M59" i="70"/>
  <c r="Z59" i="70" s="1"/>
  <c r="AC58" i="70"/>
  <c r="Y58" i="70"/>
  <c r="Z58" i="70" s="1"/>
  <c r="M58" i="70"/>
  <c r="AC57" i="70"/>
  <c r="Y57" i="70"/>
  <c r="M57" i="70"/>
  <c r="Z57" i="70" s="1"/>
  <c r="AC56" i="70"/>
  <c r="Y56" i="70"/>
  <c r="Z56" i="70" s="1"/>
  <c r="M56" i="70"/>
  <c r="AC55" i="70"/>
  <c r="Y55" i="70"/>
  <c r="M55" i="70"/>
  <c r="Z55" i="70" s="1"/>
  <c r="AC54" i="70"/>
  <c r="Y54" i="70"/>
  <c r="M54" i="70"/>
  <c r="AC53" i="70"/>
  <c r="Y53" i="70"/>
  <c r="M53" i="70"/>
  <c r="AC52" i="70"/>
  <c r="Y52" i="70"/>
  <c r="Z52" i="70" s="1"/>
  <c r="M52" i="70"/>
  <c r="AC51" i="70"/>
  <c r="Y51" i="70"/>
  <c r="M51" i="70"/>
  <c r="Z51" i="70" s="1"/>
  <c r="AC50" i="70"/>
  <c r="Y50" i="70"/>
  <c r="Z50" i="70" s="1"/>
  <c r="M50" i="70"/>
  <c r="AC49" i="70"/>
  <c r="Y49" i="70"/>
  <c r="M49" i="70"/>
  <c r="Z49" i="70" s="1"/>
  <c r="AC48" i="70"/>
  <c r="Y48" i="70"/>
  <c r="Z48" i="70" s="1"/>
  <c r="M48" i="70"/>
  <c r="AC47" i="70"/>
  <c r="Y47" i="70"/>
  <c r="M47" i="70"/>
  <c r="Z47" i="70" s="1"/>
  <c r="AC46" i="70"/>
  <c r="Y46" i="70"/>
  <c r="M46" i="70"/>
  <c r="Z46" i="70" s="1"/>
  <c r="AC45" i="70"/>
  <c r="Y45" i="70"/>
  <c r="M45" i="70"/>
  <c r="Z45" i="70" s="1"/>
  <c r="AC44" i="70"/>
  <c r="Y44" i="70"/>
  <c r="Z44" i="70" s="1"/>
  <c r="M44" i="70"/>
  <c r="AC43" i="70"/>
  <c r="Y43" i="70"/>
  <c r="M43" i="70"/>
  <c r="Z43" i="70" s="1"/>
  <c r="AC42" i="70"/>
  <c r="Y42" i="70"/>
  <c r="Z42" i="70" s="1"/>
  <c r="M42" i="70"/>
  <c r="AC41" i="70"/>
  <c r="Y41" i="70"/>
  <c r="M41" i="70"/>
  <c r="Z41" i="70" s="1"/>
  <c r="AC40" i="70"/>
  <c r="Y40" i="70"/>
  <c r="Z40" i="70" s="1"/>
  <c r="M40" i="70"/>
  <c r="AC39" i="70"/>
  <c r="Y39" i="70"/>
  <c r="M39" i="70"/>
  <c r="Z39" i="70" s="1"/>
  <c r="AC38" i="70"/>
  <c r="Y38" i="70"/>
  <c r="M38" i="70"/>
  <c r="AC37" i="70"/>
  <c r="Y37" i="70"/>
  <c r="M37" i="70"/>
  <c r="AC36" i="70"/>
  <c r="Y36" i="70"/>
  <c r="Z36" i="70" s="1"/>
  <c r="M36" i="70"/>
  <c r="AC35" i="70"/>
  <c r="Y35" i="70"/>
  <c r="M35" i="70"/>
  <c r="Z35" i="70" s="1"/>
  <c r="AC34" i="70"/>
  <c r="Y34" i="70"/>
  <c r="Z34" i="70" s="1"/>
  <c r="M34" i="70"/>
  <c r="AC33" i="70"/>
  <c r="Y33" i="70"/>
  <c r="M33" i="70"/>
  <c r="Z33" i="70" s="1"/>
  <c r="AC32" i="70"/>
  <c r="Y32" i="70"/>
  <c r="Z32" i="70" s="1"/>
  <c r="M32" i="70"/>
  <c r="AC31" i="70"/>
  <c r="Y31" i="70"/>
  <c r="M31" i="70"/>
  <c r="Z31" i="70" s="1"/>
  <c r="AC30" i="70"/>
  <c r="Y30" i="70"/>
  <c r="Z30" i="70" s="1"/>
  <c r="M30" i="70"/>
  <c r="AC29" i="70"/>
  <c r="Y29" i="70"/>
  <c r="M29" i="70"/>
  <c r="Z29" i="70" s="1"/>
  <c r="AC28" i="70"/>
  <c r="Y28" i="70"/>
  <c r="Z28" i="70" s="1"/>
  <c r="M28" i="70"/>
  <c r="AC27" i="70"/>
  <c r="Y27" i="70"/>
  <c r="M27" i="70"/>
  <c r="Z27" i="70" s="1"/>
  <c r="AC26" i="70"/>
  <c r="Y26" i="70"/>
  <c r="Z26" i="70" s="1"/>
  <c r="M26" i="70"/>
  <c r="AC25" i="70"/>
  <c r="Y25" i="70"/>
  <c r="M25" i="70"/>
  <c r="Z25" i="70" s="1"/>
  <c r="AC24" i="70"/>
  <c r="Y24" i="70"/>
  <c r="Z24" i="70" s="1"/>
  <c r="M24" i="70"/>
  <c r="AC23" i="70"/>
  <c r="Y23" i="70"/>
  <c r="M23" i="70"/>
  <c r="Z23" i="70" s="1"/>
  <c r="AC22" i="70"/>
  <c r="Y22" i="70"/>
  <c r="M22" i="70"/>
  <c r="AC21" i="70"/>
  <c r="Y21" i="70"/>
  <c r="M21" i="70"/>
  <c r="AC20" i="70"/>
  <c r="Y20" i="70"/>
  <c r="Z20" i="70" s="1"/>
  <c r="M20" i="70"/>
  <c r="AC19" i="70"/>
  <c r="Y19" i="70"/>
  <c r="M19" i="70"/>
  <c r="Z19" i="70" s="1"/>
  <c r="AC18" i="70"/>
  <c r="Y18" i="70"/>
  <c r="Z18" i="70" s="1"/>
  <c r="M18" i="70"/>
  <c r="AC17" i="70"/>
  <c r="Y17" i="70"/>
  <c r="M17" i="70"/>
  <c r="Z17" i="70" s="1"/>
  <c r="AC16" i="70"/>
  <c r="Y16" i="70"/>
  <c r="Z16" i="70" s="1"/>
  <c r="M16" i="70"/>
  <c r="AC15" i="70"/>
  <c r="Y15" i="70"/>
  <c r="M15" i="70"/>
  <c r="Z15" i="70" s="1"/>
  <c r="AC14" i="70"/>
  <c r="Y14" i="70"/>
  <c r="M14" i="70"/>
  <c r="Z14" i="70" s="1"/>
  <c r="AC13" i="70"/>
  <c r="AC70" i="70" s="1"/>
  <c r="AC71" i="70" s="1"/>
  <c r="Y13" i="70"/>
  <c r="M13" i="70"/>
  <c r="Z13" i="70" s="1"/>
  <c r="AC12" i="70"/>
  <c r="Y12" i="70"/>
  <c r="Y68" i="70" s="1"/>
  <c r="M12" i="70"/>
  <c r="AC11" i="70"/>
  <c r="Y11" i="70"/>
  <c r="M11" i="70"/>
  <c r="Z11" i="70" s="1"/>
  <c r="AC10" i="70"/>
  <c r="Y10" i="70"/>
  <c r="Z10" i="70" s="1"/>
  <c r="M10" i="70"/>
  <c r="M9" i="70"/>
  <c r="Z21" i="70"/>
  <c r="Z37" i="70"/>
  <c r="Z53" i="70"/>
  <c r="C110" i="70"/>
  <c r="Z60" i="70"/>
  <c r="R71" i="70"/>
  <c r="G71" i="70"/>
  <c r="K71" i="70"/>
  <c r="J71" i="70"/>
  <c r="Z22" i="70"/>
  <c r="Z38" i="70"/>
  <c r="Z54" i="70"/>
  <c r="L71" i="70"/>
  <c r="AD61" i="81"/>
  <c r="AD62" i="81"/>
  <c r="AD63" i="81"/>
  <c r="AD64" i="81"/>
  <c r="AD65" i="81"/>
  <c r="AD66" i="81"/>
  <c r="AD67" i="81"/>
  <c r="AD11" i="81"/>
  <c r="AD12" i="81"/>
  <c r="AD13" i="81"/>
  <c r="AD14" i="81"/>
  <c r="AD15" i="81"/>
  <c r="AD16" i="81"/>
  <c r="AD17" i="81"/>
  <c r="AD18" i="81"/>
  <c r="AD19" i="81"/>
  <c r="AD20" i="81"/>
  <c r="AD21" i="81"/>
  <c r="AD22" i="81"/>
  <c r="AD23" i="81"/>
  <c r="AD24" i="81"/>
  <c r="AD25" i="81"/>
  <c r="AD26" i="81"/>
  <c r="AD27" i="81"/>
  <c r="AD28" i="81"/>
  <c r="AD29" i="81"/>
  <c r="AD30" i="81"/>
  <c r="AD31" i="81"/>
  <c r="AD32" i="81"/>
  <c r="AD33" i="81"/>
  <c r="AD34" i="81"/>
  <c r="AD35" i="81"/>
  <c r="AD36" i="81"/>
  <c r="AD37" i="81"/>
  <c r="AD38" i="81"/>
  <c r="AD39" i="81"/>
  <c r="AD40" i="81"/>
  <c r="AD41" i="81"/>
  <c r="AD42" i="81"/>
  <c r="AD43" i="81"/>
  <c r="AD44" i="81"/>
  <c r="AD45" i="81"/>
  <c r="AD46" i="81"/>
  <c r="AD47" i="81"/>
  <c r="AD48" i="81"/>
  <c r="AD49" i="81"/>
  <c r="AD50" i="81"/>
  <c r="AD51" i="81"/>
  <c r="AD52" i="81"/>
  <c r="AD53" i="81"/>
  <c r="AD54" i="81"/>
  <c r="AD55" i="81"/>
  <c r="AD56" i="81"/>
  <c r="AD57" i="81"/>
  <c r="AD58" i="81"/>
  <c r="AD59" i="81"/>
  <c r="AD60" i="81"/>
  <c r="AD10" i="81"/>
  <c r="AD11" i="80"/>
  <c r="AD10" i="80"/>
  <c r="AD61" i="80"/>
  <c r="AD62" i="80"/>
  <c r="AD63" i="80"/>
  <c r="AD64" i="80"/>
  <c r="AD65" i="80"/>
  <c r="AD66" i="80"/>
  <c r="AD67" i="80"/>
  <c r="AD12" i="80"/>
  <c r="AD13" i="80"/>
  <c r="AD14" i="80"/>
  <c r="AD15" i="80"/>
  <c r="AD16" i="80"/>
  <c r="AD17" i="80"/>
  <c r="AD18" i="80"/>
  <c r="AD19" i="80"/>
  <c r="AD20" i="80"/>
  <c r="AD21" i="80"/>
  <c r="AD22" i="80"/>
  <c r="AD23" i="80"/>
  <c r="AD24" i="80"/>
  <c r="AD25" i="80"/>
  <c r="AD26" i="80"/>
  <c r="AD27" i="80"/>
  <c r="AD28" i="80"/>
  <c r="AD29" i="80"/>
  <c r="AD30" i="80"/>
  <c r="AD31" i="80"/>
  <c r="AD32" i="80"/>
  <c r="AD33" i="80"/>
  <c r="AD34" i="80"/>
  <c r="AD35" i="80"/>
  <c r="AD36" i="80"/>
  <c r="AD37" i="80"/>
  <c r="AD38" i="80"/>
  <c r="AD39" i="80"/>
  <c r="AD40" i="80"/>
  <c r="AD41" i="80"/>
  <c r="AD42" i="80"/>
  <c r="AD43" i="80"/>
  <c r="AD44" i="80"/>
  <c r="AD45" i="80"/>
  <c r="AD46" i="80"/>
  <c r="AD47" i="80"/>
  <c r="AD48" i="80"/>
  <c r="AD49" i="80"/>
  <c r="AD50" i="80"/>
  <c r="AD51" i="80"/>
  <c r="AD52" i="80"/>
  <c r="AD53" i="80"/>
  <c r="AD54" i="80"/>
  <c r="AD55" i="80"/>
  <c r="AD56" i="80"/>
  <c r="AD57" i="80"/>
  <c r="AD58" i="80"/>
  <c r="AD59" i="80"/>
  <c r="AD60" i="80"/>
  <c r="M48" i="64"/>
  <c r="L48" i="64"/>
  <c r="L49" i="64" s="1"/>
  <c r="K48" i="64"/>
  <c r="J48" i="64"/>
  <c r="J49" i="64" s="1"/>
  <c r="I48" i="64"/>
  <c r="H48" i="64"/>
  <c r="G48" i="64"/>
  <c r="W48" i="64"/>
  <c r="W49" i="64" s="1"/>
  <c r="U47" i="64"/>
  <c r="U48" i="64" s="1"/>
  <c r="U49" i="64"/>
  <c r="S47" i="64"/>
  <c r="S48" i="64"/>
  <c r="S49" i="64" s="1"/>
  <c r="R47" i="64"/>
  <c r="R48" i="64" s="1"/>
  <c r="Q47" i="64"/>
  <c r="Q48" i="64" s="1"/>
  <c r="Q49" i="64" s="1"/>
  <c r="P47" i="64"/>
  <c r="P48" i="64" s="1"/>
  <c r="P49" i="64" s="1"/>
  <c r="C56" i="64" s="1"/>
  <c r="O47" i="64"/>
  <c r="O48" i="64"/>
  <c r="O49" i="64" s="1"/>
  <c r="F47" i="64"/>
  <c r="F48" i="64" s="1"/>
  <c r="E47" i="64"/>
  <c r="E48" i="64" s="1"/>
  <c r="E49" i="64" s="1"/>
  <c r="D47" i="64"/>
  <c r="D48" i="64" s="1"/>
  <c r="D49" i="64" s="1"/>
  <c r="C47" i="64"/>
  <c r="C48" i="64" s="1"/>
  <c r="C49" i="64" s="1"/>
  <c r="V48" i="64"/>
  <c r="W46" i="64"/>
  <c r="V46" i="64"/>
  <c r="U46" i="64"/>
  <c r="T46" i="64"/>
  <c r="S46" i="64"/>
  <c r="R46" i="64"/>
  <c r="Q46" i="64"/>
  <c r="P46" i="64"/>
  <c r="O46" i="64"/>
  <c r="M46" i="64"/>
  <c r="L46" i="64"/>
  <c r="K46" i="64"/>
  <c r="J46" i="64"/>
  <c r="I46" i="64"/>
  <c r="H46" i="64"/>
  <c r="G46" i="64"/>
  <c r="F46" i="64"/>
  <c r="E46" i="64"/>
  <c r="D46" i="64"/>
  <c r="C46" i="64"/>
  <c r="X45" i="64"/>
  <c r="N45" i="64"/>
  <c r="X44" i="64"/>
  <c r="N44" i="64"/>
  <c r="X43" i="64"/>
  <c r="N43" i="64"/>
  <c r="X42" i="64"/>
  <c r="X41" i="64"/>
  <c r="N41" i="64"/>
  <c r="X40" i="64"/>
  <c r="X39" i="64"/>
  <c r="N39" i="64"/>
  <c r="X38" i="64"/>
  <c r="N38" i="64"/>
  <c r="X37" i="64"/>
  <c r="N37" i="64"/>
  <c r="X36" i="64"/>
  <c r="N36" i="64"/>
  <c r="X35" i="64"/>
  <c r="N35" i="64"/>
  <c r="X34" i="64"/>
  <c r="N34" i="64"/>
  <c r="X33" i="64"/>
  <c r="N33" i="64"/>
  <c r="X32" i="64"/>
  <c r="N32" i="64"/>
  <c r="X31" i="64"/>
  <c r="N31" i="64"/>
  <c r="X30" i="64"/>
  <c r="N30" i="64"/>
  <c r="X29" i="64"/>
  <c r="N29" i="64"/>
  <c r="X28" i="64"/>
  <c r="N28" i="64"/>
  <c r="X27" i="64"/>
  <c r="N27" i="64"/>
  <c r="X26" i="64"/>
  <c r="N26" i="64"/>
  <c r="X25" i="64"/>
  <c r="X24" i="64"/>
  <c r="N24" i="64"/>
  <c r="X23" i="64"/>
  <c r="N23" i="64"/>
  <c r="X22" i="64"/>
  <c r="N22" i="64"/>
  <c r="X21" i="64"/>
  <c r="N21" i="64"/>
  <c r="X20" i="64"/>
  <c r="N20" i="64"/>
  <c r="X19" i="64"/>
  <c r="N19" i="64"/>
  <c r="X18" i="64"/>
  <c r="N18" i="64"/>
  <c r="X17" i="64"/>
  <c r="N17" i="64"/>
  <c r="X16" i="64"/>
  <c r="N16" i="64"/>
  <c r="X15" i="64"/>
  <c r="N15" i="64"/>
  <c r="X14" i="64"/>
  <c r="N14" i="64"/>
  <c r="X13" i="64"/>
  <c r="N13" i="64"/>
  <c r="X12" i="64"/>
  <c r="N12" i="64"/>
  <c r="X11" i="64"/>
  <c r="N11" i="64"/>
  <c r="X10" i="64"/>
  <c r="N10" i="64"/>
  <c r="I49" i="64"/>
  <c r="C92" i="64"/>
  <c r="H49" i="64"/>
  <c r="T48" i="64"/>
  <c r="T49" i="64" s="1"/>
  <c r="E76" i="84"/>
  <c r="AC106" i="7" s="1"/>
  <c r="D76" i="84"/>
  <c r="AB106" i="7" s="1"/>
  <c r="C76" i="84"/>
  <c r="AA106" i="7" s="1"/>
  <c r="N54" i="84"/>
  <c r="AB32" i="7" s="1"/>
  <c r="M54" i="84"/>
  <c r="AA32" i="7" s="1"/>
  <c r="K54" i="84"/>
  <c r="Y32" i="7" s="1"/>
  <c r="H54" i="84"/>
  <c r="V32" i="7" s="1"/>
  <c r="G54" i="84"/>
  <c r="U32" i="7" s="1"/>
  <c r="F54" i="84"/>
  <c r="T32" i="7" s="1"/>
  <c r="E54" i="84"/>
  <c r="S32" i="7" s="1"/>
  <c r="D54" i="84"/>
  <c r="R32" i="7" s="1"/>
  <c r="C54" i="84"/>
  <c r="Q32" i="7" s="1"/>
  <c r="AD34" i="84"/>
  <c r="AC34" i="84"/>
  <c r="AB34" i="84"/>
  <c r="AA34" i="84"/>
  <c r="Y34" i="84"/>
  <c r="X34" i="84"/>
  <c r="X35" i="84" s="1"/>
  <c r="W34" i="84"/>
  <c r="V34" i="84"/>
  <c r="U34" i="84"/>
  <c r="T34" i="84"/>
  <c r="T35" i="84" s="1"/>
  <c r="S34" i="84"/>
  <c r="R34" i="84"/>
  <c r="R35" i="84" s="1"/>
  <c r="Q34" i="84"/>
  <c r="P34" i="84"/>
  <c r="P35" i="84" s="1"/>
  <c r="M34" i="84"/>
  <c r="L34" i="84"/>
  <c r="L35" i="84" s="1"/>
  <c r="K34" i="84"/>
  <c r="K35" i="84" s="1"/>
  <c r="J34" i="84"/>
  <c r="I34" i="84"/>
  <c r="H34" i="84"/>
  <c r="G34" i="84"/>
  <c r="G35" i="84" s="1"/>
  <c r="F34" i="84"/>
  <c r="O33" i="84"/>
  <c r="O34" i="84" s="1"/>
  <c r="E33" i="84"/>
  <c r="E34" i="84"/>
  <c r="D33" i="84"/>
  <c r="D34" i="84"/>
  <c r="C33" i="84"/>
  <c r="C34" i="84"/>
  <c r="AD32" i="84"/>
  <c r="AC32" i="84"/>
  <c r="AB32" i="84"/>
  <c r="AA32" i="84"/>
  <c r="Y32" i="84"/>
  <c r="X32" i="84"/>
  <c r="W32" i="84"/>
  <c r="V32" i="84"/>
  <c r="V35" i="84" s="1"/>
  <c r="U32" i="84"/>
  <c r="U35" i="84"/>
  <c r="T32" i="84"/>
  <c r="S32" i="84"/>
  <c r="S35" i="84" s="1"/>
  <c r="R32" i="84"/>
  <c r="Q32" i="84"/>
  <c r="P32" i="84"/>
  <c r="O32" i="84"/>
  <c r="M32" i="84"/>
  <c r="L32" i="84"/>
  <c r="K32" i="84"/>
  <c r="J32" i="84"/>
  <c r="I32" i="84"/>
  <c r="H32" i="84"/>
  <c r="G32" i="84"/>
  <c r="F32" i="84"/>
  <c r="F35" i="84" s="1"/>
  <c r="E32" i="84"/>
  <c r="D32" i="84"/>
  <c r="C32" i="84"/>
  <c r="AI31" i="84"/>
  <c r="AI30" i="84"/>
  <c r="AI29" i="84"/>
  <c r="AI28" i="84"/>
  <c r="AI27" i="84"/>
  <c r="AI26" i="84"/>
  <c r="AI25" i="84"/>
  <c r="AI24" i="84"/>
  <c r="AI23" i="84"/>
  <c r="AI22" i="84"/>
  <c r="AI21" i="84"/>
  <c r="AI20" i="84"/>
  <c r="AI19" i="84"/>
  <c r="AI18" i="84"/>
  <c r="AI17" i="84"/>
  <c r="AI16" i="84"/>
  <c r="AI15" i="84"/>
  <c r="AI14" i="84"/>
  <c r="AI13" i="84"/>
  <c r="AI12" i="84"/>
  <c r="AI11" i="84"/>
  <c r="AI10" i="84"/>
  <c r="AB35" i="84"/>
  <c r="AC35" i="84"/>
  <c r="E113" i="63"/>
  <c r="D113" i="63"/>
  <c r="AB105" i="7" s="1"/>
  <c r="C113" i="63"/>
  <c r="AA105" i="7" s="1"/>
  <c r="N90" i="63"/>
  <c r="AB31" i="7" s="1"/>
  <c r="K90" i="63"/>
  <c r="Y31" i="7" s="1"/>
  <c r="G90" i="63"/>
  <c r="U31" i="7" s="1"/>
  <c r="F90" i="63"/>
  <c r="T31" i="7" s="1"/>
  <c r="E90" i="63"/>
  <c r="S31" i="7" s="1"/>
  <c r="D90" i="63"/>
  <c r="R31" i="7" s="1"/>
  <c r="C90" i="63"/>
  <c r="Q31" i="7" s="1"/>
  <c r="AD70" i="63"/>
  <c r="AC70" i="63"/>
  <c r="AC71" i="63" s="1"/>
  <c r="AB70" i="63"/>
  <c r="AA70" i="63"/>
  <c r="AA71" i="63" s="1"/>
  <c r="Y70" i="63"/>
  <c r="X70" i="63"/>
  <c r="W70" i="63"/>
  <c r="V70" i="63"/>
  <c r="U70" i="63"/>
  <c r="T70" i="63"/>
  <c r="T71" i="63" s="1"/>
  <c r="S70" i="63"/>
  <c r="R70" i="63"/>
  <c r="Q70" i="63"/>
  <c r="P70" i="63"/>
  <c r="P71" i="63" s="1"/>
  <c r="M70" i="63"/>
  <c r="L70" i="63"/>
  <c r="K70" i="63"/>
  <c r="J70" i="63"/>
  <c r="I70" i="63"/>
  <c r="H70" i="63"/>
  <c r="G70" i="63"/>
  <c r="F70" i="63"/>
  <c r="F71" i="63" s="1"/>
  <c r="O69" i="63"/>
  <c r="O70" i="63" s="1"/>
  <c r="E69" i="63"/>
  <c r="E70" i="63" s="1"/>
  <c r="D69" i="63"/>
  <c r="D70" i="63" s="1"/>
  <c r="D71" i="63" s="1"/>
  <c r="C69" i="63"/>
  <c r="C70" i="63"/>
  <c r="AD68" i="63"/>
  <c r="AC68" i="63"/>
  <c r="AB68" i="63"/>
  <c r="AA68" i="63"/>
  <c r="Y68" i="63"/>
  <c r="X68" i="63"/>
  <c r="W68" i="63"/>
  <c r="V68" i="63"/>
  <c r="V71" i="63" s="1"/>
  <c r="U68" i="63"/>
  <c r="U71" i="63"/>
  <c r="T68" i="63"/>
  <c r="S68" i="63"/>
  <c r="R68" i="63"/>
  <c r="Q68" i="63"/>
  <c r="P68" i="63"/>
  <c r="O68" i="63"/>
  <c r="M68" i="63"/>
  <c r="M71" i="63" s="1"/>
  <c r="L68" i="63"/>
  <c r="K68" i="63"/>
  <c r="J68" i="63"/>
  <c r="I68" i="63"/>
  <c r="H68" i="63"/>
  <c r="G68" i="63"/>
  <c r="G71" i="63" s="1"/>
  <c r="F68" i="63"/>
  <c r="E68" i="63"/>
  <c r="D68" i="63"/>
  <c r="C68" i="63"/>
  <c r="AG67" i="63"/>
  <c r="AE67" i="63"/>
  <c r="AG66" i="63"/>
  <c r="AE66" i="63"/>
  <c r="AG65" i="63"/>
  <c r="AE65" i="63"/>
  <c r="AG64" i="63"/>
  <c r="AE64" i="63"/>
  <c r="AG63" i="63"/>
  <c r="AE63" i="63"/>
  <c r="AG62" i="63"/>
  <c r="AE62" i="63"/>
  <c r="AG61" i="63"/>
  <c r="AE61" i="63"/>
  <c r="AG60" i="63"/>
  <c r="AE60" i="63"/>
  <c r="AG59" i="63"/>
  <c r="AE59" i="63"/>
  <c r="AG58" i="63"/>
  <c r="AE58" i="63"/>
  <c r="AG57" i="63"/>
  <c r="AE57" i="63"/>
  <c r="AG56" i="63"/>
  <c r="AE56" i="63"/>
  <c r="AG55" i="63"/>
  <c r="AE55" i="63"/>
  <c r="AG54" i="63"/>
  <c r="AE54" i="63"/>
  <c r="AG53" i="63"/>
  <c r="AE53" i="63"/>
  <c r="AG52" i="63"/>
  <c r="AE52" i="63"/>
  <c r="AG51" i="63"/>
  <c r="AE51" i="63"/>
  <c r="AG50" i="63"/>
  <c r="AE50" i="63"/>
  <c r="AG49" i="63"/>
  <c r="AE49" i="63"/>
  <c r="AG48" i="63"/>
  <c r="AE48" i="63"/>
  <c r="AG47" i="63"/>
  <c r="AE47" i="63"/>
  <c r="AG46" i="63"/>
  <c r="AE46" i="63"/>
  <c r="AG45" i="63"/>
  <c r="AE45" i="63"/>
  <c r="AG44" i="63"/>
  <c r="AE44" i="63"/>
  <c r="AG43" i="63"/>
  <c r="AE43" i="63"/>
  <c r="AG42" i="63"/>
  <c r="AE42" i="63"/>
  <c r="AG41" i="63"/>
  <c r="AE41" i="63"/>
  <c r="AG40" i="63"/>
  <c r="AE40" i="63"/>
  <c r="AG39" i="63"/>
  <c r="AE39" i="63"/>
  <c r="AG38" i="63"/>
  <c r="AE38" i="63"/>
  <c r="AG37" i="63"/>
  <c r="AE37" i="63"/>
  <c r="AG36" i="63"/>
  <c r="AE36" i="63"/>
  <c r="AG35" i="63"/>
  <c r="AE35" i="63"/>
  <c r="AG34" i="63"/>
  <c r="AE34" i="63"/>
  <c r="AG33" i="63"/>
  <c r="AE33" i="63"/>
  <c r="AG32" i="63"/>
  <c r="AE32" i="63"/>
  <c r="AG31" i="63"/>
  <c r="AE31" i="63"/>
  <c r="AG30" i="63"/>
  <c r="AE30" i="63"/>
  <c r="AG29" i="63"/>
  <c r="AE29" i="63"/>
  <c r="AG28" i="63"/>
  <c r="AE28" i="63"/>
  <c r="AG27" i="63"/>
  <c r="AE27" i="63"/>
  <c r="AG26" i="63"/>
  <c r="AE26" i="63"/>
  <c r="AG25" i="63"/>
  <c r="AE25" i="63"/>
  <c r="AG24" i="63"/>
  <c r="AE24" i="63"/>
  <c r="AG23" i="63"/>
  <c r="AE23" i="63"/>
  <c r="AG22" i="63"/>
  <c r="AE22" i="63"/>
  <c r="AG21" i="63"/>
  <c r="AE21" i="63"/>
  <c r="AG20" i="63"/>
  <c r="AE20" i="63"/>
  <c r="AG19" i="63"/>
  <c r="AE19" i="63"/>
  <c r="AG18" i="63"/>
  <c r="AE18" i="63"/>
  <c r="AG17" i="63"/>
  <c r="AE17" i="63"/>
  <c r="AG16" i="63"/>
  <c r="AE16" i="63"/>
  <c r="AG15" i="63"/>
  <c r="AE15" i="63"/>
  <c r="AG14" i="63"/>
  <c r="AE14" i="63"/>
  <c r="AG13" i="63"/>
  <c r="AE13" i="63"/>
  <c r="AG12" i="63"/>
  <c r="AE12" i="63"/>
  <c r="AG11" i="63"/>
  <c r="AE11" i="63"/>
  <c r="AG10" i="63"/>
  <c r="AE10" i="63"/>
  <c r="AG70" i="63"/>
  <c r="AG71" i="63" s="1"/>
  <c r="E76" i="63" s="1"/>
  <c r="W71" i="63"/>
  <c r="R71" i="63"/>
  <c r="E89" i="62"/>
  <c r="AC104" i="7" s="1"/>
  <c r="D89" i="62"/>
  <c r="C89" i="62"/>
  <c r="AA104" i="7" s="1"/>
  <c r="N66" i="62"/>
  <c r="AB30" i="7" s="1"/>
  <c r="L66" i="62"/>
  <c r="Z30" i="7" s="1"/>
  <c r="K66" i="62"/>
  <c r="Y30" i="7" s="1"/>
  <c r="I66" i="62"/>
  <c r="W30" i="7" s="1"/>
  <c r="G66" i="62"/>
  <c r="U30" i="7" s="1"/>
  <c r="F66" i="62"/>
  <c r="T30" i="7" s="1"/>
  <c r="E66" i="62"/>
  <c r="S30" i="7" s="1"/>
  <c r="D66" i="62"/>
  <c r="R30" i="7" s="1"/>
  <c r="C66" i="62"/>
  <c r="Q30" i="7" s="1"/>
  <c r="M46" i="62"/>
  <c r="M47" i="62" s="1"/>
  <c r="L46" i="62"/>
  <c r="K46" i="62"/>
  <c r="J46" i="62"/>
  <c r="I46" i="62"/>
  <c r="I47" i="62" s="1"/>
  <c r="H46" i="62"/>
  <c r="G46" i="62"/>
  <c r="G47" i="62" s="1"/>
  <c r="U45" i="62"/>
  <c r="U46" i="62"/>
  <c r="S45" i="62"/>
  <c r="S46" i="62" s="1"/>
  <c r="R45" i="62"/>
  <c r="R46" i="62" s="1"/>
  <c r="R47" i="62" s="1"/>
  <c r="Q45" i="62"/>
  <c r="Q46" i="62" s="1"/>
  <c r="P45" i="62"/>
  <c r="P46" i="62" s="1"/>
  <c r="P47" i="62" s="1"/>
  <c r="O45" i="62"/>
  <c r="O46" i="62"/>
  <c r="O47" i="62" s="1"/>
  <c r="F45" i="62"/>
  <c r="F46" i="62" s="1"/>
  <c r="E45" i="62"/>
  <c r="E46" i="62" s="1"/>
  <c r="E47" i="62" s="1"/>
  <c r="D45" i="62"/>
  <c r="W45" i="62" s="1"/>
  <c r="W46" i="62" s="1"/>
  <c r="C45" i="62"/>
  <c r="W44" i="62"/>
  <c r="V44" i="62"/>
  <c r="U44" i="62"/>
  <c r="T44" i="62"/>
  <c r="S44" i="62"/>
  <c r="R44" i="62"/>
  <c r="Q44" i="62"/>
  <c r="P44" i="62"/>
  <c r="O44" i="62"/>
  <c r="M44" i="62"/>
  <c r="L44" i="62"/>
  <c r="L47" i="62" s="1"/>
  <c r="K44" i="62"/>
  <c r="J44" i="62"/>
  <c r="J47" i="62" s="1"/>
  <c r="I44" i="62"/>
  <c r="H44" i="62"/>
  <c r="H47" i="62" s="1"/>
  <c r="G44" i="62"/>
  <c r="F44" i="62"/>
  <c r="E44" i="62"/>
  <c r="D44" i="62"/>
  <c r="D47" i="62" s="1"/>
  <c r="C44" i="62"/>
  <c r="AB43" i="62"/>
  <c r="X43" i="62"/>
  <c r="N43" i="62"/>
  <c r="AB42" i="62"/>
  <c r="X42" i="62"/>
  <c r="N42" i="62"/>
  <c r="AB41" i="62"/>
  <c r="X41" i="62"/>
  <c r="N41" i="62"/>
  <c r="AB40" i="62"/>
  <c r="X40" i="62"/>
  <c r="N40" i="62"/>
  <c r="AB39" i="62"/>
  <c r="X39" i="62"/>
  <c r="N39" i="62"/>
  <c r="AB38" i="62"/>
  <c r="X38" i="62"/>
  <c r="N38" i="62"/>
  <c r="AB37" i="62"/>
  <c r="X37" i="62"/>
  <c r="N37" i="62"/>
  <c r="AB36" i="62"/>
  <c r="X36" i="62"/>
  <c r="N36" i="62"/>
  <c r="AB35" i="62"/>
  <c r="X35" i="62"/>
  <c r="N35" i="62"/>
  <c r="AB34" i="62"/>
  <c r="X34" i="62"/>
  <c r="N34" i="62"/>
  <c r="AB33" i="62"/>
  <c r="X33" i="62"/>
  <c r="N33" i="62"/>
  <c r="AB32" i="62"/>
  <c r="X32" i="62"/>
  <c r="N32" i="62"/>
  <c r="AB31" i="62"/>
  <c r="X31" i="62"/>
  <c r="N31" i="62"/>
  <c r="AB30" i="62"/>
  <c r="X30" i="62"/>
  <c r="N30" i="62"/>
  <c r="AB29" i="62"/>
  <c r="X29" i="62"/>
  <c r="N29" i="62"/>
  <c r="AB28" i="62"/>
  <c r="X28" i="62"/>
  <c r="N28" i="62"/>
  <c r="AB27" i="62"/>
  <c r="X27" i="62"/>
  <c r="N27" i="62"/>
  <c r="AB26" i="62"/>
  <c r="X26" i="62"/>
  <c r="N26" i="62"/>
  <c r="AB25" i="62"/>
  <c r="X25" i="62"/>
  <c r="N25" i="62"/>
  <c r="AB24" i="62"/>
  <c r="X24" i="62"/>
  <c r="N24" i="62"/>
  <c r="AB23" i="62"/>
  <c r="X23" i="62"/>
  <c r="N23" i="62"/>
  <c r="AB22" i="62"/>
  <c r="X22" i="62"/>
  <c r="N22" i="62"/>
  <c r="AB21" i="62"/>
  <c r="X21" i="62"/>
  <c r="N21" i="62"/>
  <c r="AB20" i="62"/>
  <c r="X20" i="62"/>
  <c r="N20" i="62"/>
  <c r="AB19" i="62"/>
  <c r="X19" i="62"/>
  <c r="N19" i="62"/>
  <c r="AB18" i="62"/>
  <c r="X18" i="62"/>
  <c r="N18" i="62"/>
  <c r="AB17" i="62"/>
  <c r="X17" i="62"/>
  <c r="N17" i="62"/>
  <c r="AB16" i="62"/>
  <c r="X16" i="62"/>
  <c r="N16" i="62"/>
  <c r="AB15" i="62"/>
  <c r="X15" i="62"/>
  <c r="N15" i="62"/>
  <c r="AB14" i="62"/>
  <c r="X14" i="62"/>
  <c r="N14" i="62"/>
  <c r="AB13" i="62"/>
  <c r="X13" i="62"/>
  <c r="N13" i="62"/>
  <c r="AB12" i="62"/>
  <c r="X12" i="62"/>
  <c r="N12" i="62"/>
  <c r="AB11" i="62"/>
  <c r="X11" i="62"/>
  <c r="N11" i="62"/>
  <c r="AB10" i="62"/>
  <c r="X10" i="62"/>
  <c r="N10" i="62"/>
  <c r="AB46" i="62"/>
  <c r="AB47" i="62" s="1"/>
  <c r="E54" i="62" s="1"/>
  <c r="K47" i="62"/>
  <c r="D46" i="62"/>
  <c r="E75" i="61"/>
  <c r="AC103" i="7" s="1"/>
  <c r="D75" i="61"/>
  <c r="AB103" i="7" s="1"/>
  <c r="C75" i="61"/>
  <c r="AA103" i="7" s="1"/>
  <c r="O54" i="61"/>
  <c r="I54" i="61"/>
  <c r="W29" i="7" s="1"/>
  <c r="G54" i="61"/>
  <c r="U29" i="7" s="1"/>
  <c r="F54" i="61"/>
  <c r="T29" i="7" s="1"/>
  <c r="E54" i="61"/>
  <c r="S29" i="7" s="1"/>
  <c r="D54" i="61"/>
  <c r="R29" i="7" s="1"/>
  <c r="C54" i="61"/>
  <c r="Q29" i="7" s="1"/>
  <c r="G41" i="61"/>
  <c r="U35" i="61"/>
  <c r="U36" i="61" s="1"/>
  <c r="T35" i="61"/>
  <c r="T36" i="61" s="1"/>
  <c r="S35" i="61"/>
  <c r="S36" i="61" s="1"/>
  <c r="R35" i="61"/>
  <c r="R36" i="61" s="1"/>
  <c r="Q35" i="61"/>
  <c r="Q36" i="61" s="1"/>
  <c r="P35" i="61"/>
  <c r="P36" i="61" s="1"/>
  <c r="O35" i="61"/>
  <c r="O36" i="61" s="1"/>
  <c r="D35" i="61"/>
  <c r="W35" i="61" s="1"/>
  <c r="W36" i="61" s="1"/>
  <c r="C35" i="61"/>
  <c r="Y34" i="61"/>
  <c r="X34" i="61"/>
  <c r="W34" i="61"/>
  <c r="V34" i="61"/>
  <c r="U34" i="61"/>
  <c r="T34" i="61"/>
  <c r="S34" i="61"/>
  <c r="R34" i="61"/>
  <c r="Q34" i="61"/>
  <c r="P34" i="61"/>
  <c r="O34" i="61"/>
  <c r="M34" i="61"/>
  <c r="L34" i="61"/>
  <c r="K34" i="61"/>
  <c r="J34" i="61"/>
  <c r="I34" i="61"/>
  <c r="H34" i="61"/>
  <c r="G34" i="61"/>
  <c r="F34" i="61"/>
  <c r="E34" i="61"/>
  <c r="D34" i="61"/>
  <c r="C34" i="61"/>
  <c r="AD32" i="61"/>
  <c r="AD31" i="61"/>
  <c r="AD30" i="61"/>
  <c r="AD29" i="61"/>
  <c r="AD28" i="61"/>
  <c r="AD27" i="61"/>
  <c r="AD26" i="61"/>
  <c r="AD25" i="61"/>
  <c r="AD24" i="61"/>
  <c r="AD23" i="61"/>
  <c r="AD22" i="61"/>
  <c r="AD21" i="61"/>
  <c r="AD20" i="61"/>
  <c r="AD19" i="61"/>
  <c r="AD18" i="61"/>
  <c r="AD17" i="61"/>
  <c r="AD16" i="61"/>
  <c r="AD15" i="61"/>
  <c r="AD14" i="61"/>
  <c r="AD13" i="61"/>
  <c r="AD12" i="61"/>
  <c r="AD11" i="61"/>
  <c r="AD10" i="61"/>
  <c r="D36" i="61"/>
  <c r="E61" i="61"/>
  <c r="E81" i="79"/>
  <c r="U116" i="7" s="1"/>
  <c r="D81" i="79"/>
  <c r="T116" i="7" s="1"/>
  <c r="C81" i="79"/>
  <c r="S116" i="7" s="1"/>
  <c r="N60" i="79"/>
  <c r="N42" i="7" s="1"/>
  <c r="H60" i="79"/>
  <c r="H42" i="7" s="1"/>
  <c r="G60" i="79"/>
  <c r="G42" i="7" s="1"/>
  <c r="F60" i="79"/>
  <c r="F42" i="7" s="1"/>
  <c r="E60" i="79"/>
  <c r="E42" i="7" s="1"/>
  <c r="D60" i="79"/>
  <c r="D42" i="7" s="1"/>
  <c r="C60" i="79"/>
  <c r="C42" i="7" s="1"/>
  <c r="D47" i="79"/>
  <c r="G47" i="79" s="1"/>
  <c r="G67" i="79" s="1"/>
  <c r="W41" i="79"/>
  <c r="W42" i="79" s="1"/>
  <c r="U41" i="79"/>
  <c r="U42" i="79" s="1"/>
  <c r="U43" i="79" s="1"/>
  <c r="T41" i="79"/>
  <c r="T42" i="79" s="1"/>
  <c r="T43" i="79" s="1"/>
  <c r="S41" i="79"/>
  <c r="S42" i="79" s="1"/>
  <c r="R41" i="79"/>
  <c r="R42" i="79"/>
  <c r="R43" i="79" s="1"/>
  <c r="Q41" i="79"/>
  <c r="Q42" i="79" s="1"/>
  <c r="P41" i="79"/>
  <c r="O41" i="79"/>
  <c r="F41" i="79"/>
  <c r="E41" i="79"/>
  <c r="E42" i="79" s="1"/>
  <c r="E43" i="79" s="1"/>
  <c r="D41" i="79"/>
  <c r="H41" i="79" s="1"/>
  <c r="H42" i="79" s="1"/>
  <c r="H43" i="79" s="1"/>
  <c r="C41" i="79"/>
  <c r="G41" i="79"/>
  <c r="W40" i="79"/>
  <c r="U40" i="79"/>
  <c r="T40" i="79"/>
  <c r="S40" i="79"/>
  <c r="R40" i="79"/>
  <c r="Q40" i="79"/>
  <c r="P40" i="79"/>
  <c r="O40" i="79"/>
  <c r="L40" i="79"/>
  <c r="K40" i="79"/>
  <c r="J40" i="79"/>
  <c r="I40" i="79"/>
  <c r="G40" i="79"/>
  <c r="F40" i="79"/>
  <c r="E40" i="79"/>
  <c r="D40" i="79"/>
  <c r="C40" i="79"/>
  <c r="AE39" i="79"/>
  <c r="AA39" i="79"/>
  <c r="N39" i="79"/>
  <c r="AA38" i="79"/>
  <c r="AA37" i="79"/>
  <c r="AA36" i="79"/>
  <c r="AA35" i="79"/>
  <c r="AA34" i="79"/>
  <c r="AE33" i="79"/>
  <c r="AA33" i="79"/>
  <c r="N33" i="79"/>
  <c r="AE32" i="79"/>
  <c r="AA32" i="79"/>
  <c r="N32" i="79"/>
  <c r="AE31" i="79"/>
  <c r="AA31" i="79"/>
  <c r="N31" i="79"/>
  <c r="AE30" i="79"/>
  <c r="AA30" i="79"/>
  <c r="N30" i="79"/>
  <c r="AE29" i="79"/>
  <c r="AA29" i="79"/>
  <c r="N29" i="79"/>
  <c r="AE28" i="79"/>
  <c r="AA28" i="79"/>
  <c r="N28" i="79"/>
  <c r="AE27" i="79"/>
  <c r="AA27" i="79"/>
  <c r="N27" i="79"/>
  <c r="AE26" i="79"/>
  <c r="AA26" i="79"/>
  <c r="N26" i="79"/>
  <c r="AE25" i="79"/>
  <c r="AA25" i="79"/>
  <c r="N25" i="79"/>
  <c r="AE24" i="79"/>
  <c r="AA24" i="79"/>
  <c r="N24" i="79"/>
  <c r="AE22" i="79"/>
  <c r="AA22" i="79"/>
  <c r="N22" i="79"/>
  <c r="AE21" i="79"/>
  <c r="AA21" i="79"/>
  <c r="N21" i="79"/>
  <c r="AE20" i="79"/>
  <c r="AA20" i="79"/>
  <c r="N20" i="79"/>
  <c r="AE19" i="79"/>
  <c r="AA19" i="79"/>
  <c r="N19" i="79"/>
  <c r="AE18" i="79"/>
  <c r="AA18" i="79"/>
  <c r="N18" i="79"/>
  <c r="AE17" i="79"/>
  <c r="AA17" i="79"/>
  <c r="N17" i="79"/>
  <c r="AE16" i="79"/>
  <c r="AA16" i="79"/>
  <c r="N16" i="79"/>
  <c r="AE15" i="79"/>
  <c r="AA15" i="79"/>
  <c r="N15" i="79"/>
  <c r="AE14" i="79"/>
  <c r="AA14" i="79"/>
  <c r="N14" i="79"/>
  <c r="AE13" i="79"/>
  <c r="AA13" i="79"/>
  <c r="N13" i="79"/>
  <c r="AE12" i="79"/>
  <c r="AA12" i="79"/>
  <c r="N12" i="79"/>
  <c r="AE11" i="79"/>
  <c r="AA11" i="79"/>
  <c r="N11" i="79"/>
  <c r="AE10" i="79"/>
  <c r="AA10" i="79"/>
  <c r="N10" i="79"/>
  <c r="C61" i="79"/>
  <c r="C42" i="79"/>
  <c r="C43" i="79" s="1"/>
  <c r="O42" i="79"/>
  <c r="C77" i="78"/>
  <c r="I55" i="78"/>
  <c r="I41" i="7" s="1"/>
  <c r="G55" i="78"/>
  <c r="G41" i="7" s="1"/>
  <c r="F55" i="78"/>
  <c r="E55" i="78"/>
  <c r="E41" i="7" s="1"/>
  <c r="D55" i="78"/>
  <c r="D41" i="7" s="1"/>
  <c r="C55" i="78"/>
  <c r="C41" i="7" s="1"/>
  <c r="W36" i="78"/>
  <c r="W37" i="78" s="1"/>
  <c r="U36" i="78"/>
  <c r="U37" i="78"/>
  <c r="U38" i="78" s="1"/>
  <c r="T36" i="78"/>
  <c r="T37" i="78" s="1"/>
  <c r="T38" i="78"/>
  <c r="S36" i="78"/>
  <c r="S37" i="78"/>
  <c r="R36" i="78"/>
  <c r="R37" i="78" s="1"/>
  <c r="R38" i="78" s="1"/>
  <c r="Q36" i="78"/>
  <c r="Q37" i="78" s="1"/>
  <c r="Q38" i="78" s="1"/>
  <c r="P36" i="78"/>
  <c r="P37" i="78" s="1"/>
  <c r="P38" i="78" s="1"/>
  <c r="O36" i="78"/>
  <c r="O37" i="78" s="1"/>
  <c r="O38" i="78" s="1"/>
  <c r="F36" i="78"/>
  <c r="F37" i="78"/>
  <c r="E36" i="78"/>
  <c r="E37" i="78" s="1"/>
  <c r="E38" i="78" s="1"/>
  <c r="D36" i="78"/>
  <c r="D37" i="78" s="1"/>
  <c r="D38" i="78" s="1"/>
  <c r="C36" i="78"/>
  <c r="C37" i="78" s="1"/>
  <c r="O35" i="78"/>
  <c r="E84" i="23"/>
  <c r="U114" i="7" s="1"/>
  <c r="D84" i="23"/>
  <c r="C84" i="23"/>
  <c r="S114" i="7" s="1"/>
  <c r="N61" i="23"/>
  <c r="N40" i="7" s="1"/>
  <c r="I61" i="23"/>
  <c r="I40" i="7" s="1"/>
  <c r="G61" i="23"/>
  <c r="G40" i="7" s="1"/>
  <c r="F61" i="23"/>
  <c r="F40" i="7" s="1"/>
  <c r="E61" i="23"/>
  <c r="E40" i="7" s="1"/>
  <c r="D61" i="23"/>
  <c r="D40" i="7" s="1"/>
  <c r="C61" i="23"/>
  <c r="Z40" i="23"/>
  <c r="Z41" i="23"/>
  <c r="Z42" i="23" s="1"/>
  <c r="Y40" i="23"/>
  <c r="Y41" i="23" s="1"/>
  <c r="X40" i="23"/>
  <c r="X41" i="23"/>
  <c r="W40" i="23"/>
  <c r="W41" i="23" s="1"/>
  <c r="W42" i="23" s="1"/>
  <c r="V40" i="23"/>
  <c r="V41" i="23" s="1"/>
  <c r="V42" i="23" s="1"/>
  <c r="U40" i="23"/>
  <c r="U41" i="23" s="1"/>
  <c r="T40" i="23"/>
  <c r="T41" i="23" s="1"/>
  <c r="T42" i="23" s="1"/>
  <c r="S40" i="23"/>
  <c r="S41" i="23" s="1"/>
  <c r="S42" i="23"/>
  <c r="R40" i="23"/>
  <c r="R41" i="23" s="1"/>
  <c r="R42" i="23" s="1"/>
  <c r="Q40" i="23"/>
  <c r="Q41" i="23" s="1"/>
  <c r="P40" i="23"/>
  <c r="P41" i="23"/>
  <c r="O40" i="23"/>
  <c r="O41" i="23" s="1"/>
  <c r="M40" i="23"/>
  <c r="L40" i="23"/>
  <c r="M41" i="23"/>
  <c r="J40" i="23"/>
  <c r="J41" i="23" s="1"/>
  <c r="J42" i="23" s="1"/>
  <c r="I40" i="23"/>
  <c r="I41" i="23" s="1"/>
  <c r="H40" i="23"/>
  <c r="H41" i="23"/>
  <c r="H42" i="23" s="1"/>
  <c r="G40" i="23"/>
  <c r="G41" i="23" s="1"/>
  <c r="F40" i="23"/>
  <c r="F41" i="23" s="1"/>
  <c r="E40" i="23"/>
  <c r="E41" i="23" s="1"/>
  <c r="E42" i="23" s="1"/>
  <c r="D40" i="23"/>
  <c r="D41" i="23"/>
  <c r="D42" i="23" s="1"/>
  <c r="C40" i="23"/>
  <c r="C41" i="23" s="1"/>
  <c r="Z39" i="23"/>
  <c r="Y39" i="23"/>
  <c r="X39" i="23"/>
  <c r="W39" i="23"/>
  <c r="V39" i="23"/>
  <c r="U39" i="23"/>
  <c r="T39" i="23"/>
  <c r="S39" i="23"/>
  <c r="R39" i="23"/>
  <c r="Q39" i="23"/>
  <c r="P39" i="23"/>
  <c r="O39" i="23"/>
  <c r="M39" i="23"/>
  <c r="M42" i="23" s="1"/>
  <c r="L39" i="23"/>
  <c r="J39" i="23"/>
  <c r="I39" i="23"/>
  <c r="H39" i="23"/>
  <c r="G39" i="23"/>
  <c r="F39" i="23"/>
  <c r="E39" i="23"/>
  <c r="D39" i="23"/>
  <c r="C39" i="23"/>
  <c r="AF38" i="23"/>
  <c r="AA38" i="23"/>
  <c r="N38" i="23"/>
  <c r="AF37" i="23"/>
  <c r="AA37" i="23"/>
  <c r="N37" i="23"/>
  <c r="AF36" i="23"/>
  <c r="AA36" i="23"/>
  <c r="N36" i="23"/>
  <c r="AF35" i="23"/>
  <c r="AA35" i="23"/>
  <c r="N35" i="23"/>
  <c r="AF34" i="23"/>
  <c r="AA34" i="23"/>
  <c r="N34" i="23"/>
  <c r="AF33" i="23"/>
  <c r="AA33" i="23"/>
  <c r="N33" i="23"/>
  <c r="AF32" i="23"/>
  <c r="AA32" i="23"/>
  <c r="N32" i="23"/>
  <c r="AF31" i="23"/>
  <c r="AA31" i="23"/>
  <c r="N31" i="23"/>
  <c r="AF30" i="23"/>
  <c r="AA30" i="23"/>
  <c r="N30" i="23"/>
  <c r="AF29" i="23"/>
  <c r="AA29" i="23"/>
  <c r="N29" i="23"/>
  <c r="AF28" i="23"/>
  <c r="AA28" i="23"/>
  <c r="N28" i="23"/>
  <c r="AF27" i="23"/>
  <c r="AA27" i="23"/>
  <c r="N27" i="23"/>
  <c r="AF26" i="23"/>
  <c r="AA26" i="23"/>
  <c r="N26" i="23"/>
  <c r="AF25" i="23"/>
  <c r="AA25" i="23"/>
  <c r="N25" i="23"/>
  <c r="AF24" i="23"/>
  <c r="AA24" i="23"/>
  <c r="N24" i="23"/>
  <c r="AF23" i="23"/>
  <c r="AA23" i="23"/>
  <c r="AF22" i="23"/>
  <c r="AA22" i="23"/>
  <c r="N22" i="23"/>
  <c r="AF21" i="23"/>
  <c r="AA21" i="23"/>
  <c r="N21" i="23"/>
  <c r="AF20" i="23"/>
  <c r="AA20" i="23"/>
  <c r="N20" i="23"/>
  <c r="AF19" i="23"/>
  <c r="AA19" i="23"/>
  <c r="N19" i="23"/>
  <c r="AF18" i="23"/>
  <c r="AA18" i="23"/>
  <c r="N18" i="23"/>
  <c r="AF17" i="23"/>
  <c r="AA17" i="23"/>
  <c r="N17" i="23"/>
  <c r="AF16" i="23"/>
  <c r="AA16" i="23"/>
  <c r="N16" i="23"/>
  <c r="AF15" i="23"/>
  <c r="AA15" i="23"/>
  <c r="N15" i="23"/>
  <c r="AF14" i="23"/>
  <c r="AA14" i="23"/>
  <c r="N14" i="23"/>
  <c r="AF13" i="23"/>
  <c r="AA13" i="23"/>
  <c r="N13" i="23"/>
  <c r="AF12" i="23"/>
  <c r="AA12" i="23"/>
  <c r="N12" i="23"/>
  <c r="AF11" i="23"/>
  <c r="AA11" i="23"/>
  <c r="N11" i="23"/>
  <c r="AA10" i="23"/>
  <c r="N10" i="23"/>
  <c r="E85" i="24"/>
  <c r="U113" i="7" s="1"/>
  <c r="D85" i="24"/>
  <c r="T113" i="7" s="1"/>
  <c r="C85" i="24"/>
  <c r="S113" i="7" s="1"/>
  <c r="N64" i="24"/>
  <c r="L64" i="24"/>
  <c r="K64" i="24"/>
  <c r="I64" i="24"/>
  <c r="G64" i="24"/>
  <c r="F64" i="24"/>
  <c r="E64" i="24"/>
  <c r="D64" i="24"/>
  <c r="C64" i="24"/>
  <c r="G54" i="24"/>
  <c r="C73" i="24"/>
  <c r="V44" i="24"/>
  <c r="V45" i="24" s="1"/>
  <c r="U44" i="24"/>
  <c r="U45" i="24"/>
  <c r="S44" i="24"/>
  <c r="S45" i="24" s="1"/>
  <c r="R44" i="24"/>
  <c r="R45" i="24"/>
  <c r="Q44" i="24"/>
  <c r="Q45" i="24" s="1"/>
  <c r="P44" i="24"/>
  <c r="P45" i="24"/>
  <c r="O44" i="24"/>
  <c r="O45" i="24" s="1"/>
  <c r="O46" i="24" s="1"/>
  <c r="N44" i="24"/>
  <c r="N45" i="24"/>
  <c r="N46" i="24" s="1"/>
  <c r="L44" i="24"/>
  <c r="L45" i="24" s="1"/>
  <c r="K44" i="24"/>
  <c r="K45" i="24" s="1"/>
  <c r="J44" i="24"/>
  <c r="J45" i="24" s="1"/>
  <c r="I44" i="24"/>
  <c r="I45" i="24" s="1"/>
  <c r="H44" i="24"/>
  <c r="H45" i="24" s="1"/>
  <c r="G44" i="24"/>
  <c r="G45" i="24" s="1"/>
  <c r="F44" i="24"/>
  <c r="F45" i="24" s="1"/>
  <c r="E44" i="24"/>
  <c r="E45" i="24" s="1"/>
  <c r="D44" i="24"/>
  <c r="D45" i="24" s="1"/>
  <c r="C44" i="24"/>
  <c r="C45" i="24" s="1"/>
  <c r="V43" i="24"/>
  <c r="U43" i="24"/>
  <c r="S43" i="24"/>
  <c r="R43" i="24"/>
  <c r="Q43" i="24"/>
  <c r="P43" i="24"/>
  <c r="O43" i="24"/>
  <c r="N43" i="24"/>
  <c r="L43" i="24"/>
  <c r="K43" i="24"/>
  <c r="J43" i="24"/>
  <c r="I43" i="24"/>
  <c r="H43" i="24"/>
  <c r="G43" i="24"/>
  <c r="F43" i="24"/>
  <c r="E43" i="24"/>
  <c r="D43" i="24"/>
  <c r="C43" i="24"/>
  <c r="AA42" i="24"/>
  <c r="W42" i="24"/>
  <c r="M42" i="24"/>
  <c r="AA41" i="24"/>
  <c r="W41" i="24"/>
  <c r="M41" i="24"/>
  <c r="AA40" i="24"/>
  <c r="W40" i="24"/>
  <c r="M40" i="24"/>
  <c r="AA39" i="24"/>
  <c r="W39" i="24"/>
  <c r="M39" i="24"/>
  <c r="AA38" i="24"/>
  <c r="W38" i="24"/>
  <c r="M38" i="24"/>
  <c r="AA37" i="24"/>
  <c r="W37" i="24"/>
  <c r="M37" i="24"/>
  <c r="AA36" i="24"/>
  <c r="W36" i="24"/>
  <c r="M36" i="24"/>
  <c r="AA35" i="24"/>
  <c r="W35" i="24"/>
  <c r="M35" i="24"/>
  <c r="AA34" i="24"/>
  <c r="W34" i="24"/>
  <c r="M34" i="24"/>
  <c r="AA33" i="24"/>
  <c r="W33" i="24"/>
  <c r="M33" i="24"/>
  <c r="AA32" i="24"/>
  <c r="W32" i="24"/>
  <c r="M32" i="24"/>
  <c r="AA31" i="24"/>
  <c r="W31" i="24"/>
  <c r="M31" i="24"/>
  <c r="AA30" i="24"/>
  <c r="W30" i="24"/>
  <c r="M30" i="24"/>
  <c r="AA29" i="24"/>
  <c r="W29" i="24"/>
  <c r="M29" i="24"/>
  <c r="AA28" i="24"/>
  <c r="W28" i="24"/>
  <c r="M28" i="24"/>
  <c r="AA27" i="24"/>
  <c r="W27" i="24"/>
  <c r="M27" i="24"/>
  <c r="AA26" i="24"/>
  <c r="W26" i="24"/>
  <c r="M26" i="24"/>
  <c r="AA25" i="24"/>
  <c r="W25" i="24"/>
  <c r="M25" i="24"/>
  <c r="AA24" i="24"/>
  <c r="W24" i="24"/>
  <c r="M24" i="24"/>
  <c r="AA23" i="24"/>
  <c r="W23" i="24"/>
  <c r="M23" i="24"/>
  <c r="AA22" i="24"/>
  <c r="W22" i="24"/>
  <c r="M22" i="24"/>
  <c r="AA21" i="24"/>
  <c r="W21" i="24"/>
  <c r="M21" i="24"/>
  <c r="AA20" i="24"/>
  <c r="W20" i="24"/>
  <c r="M20" i="24"/>
  <c r="AA19" i="24"/>
  <c r="W19" i="24"/>
  <c r="M19" i="24"/>
  <c r="AA18" i="24"/>
  <c r="W18" i="24"/>
  <c r="M18" i="24"/>
  <c r="AA17" i="24"/>
  <c r="W17" i="24"/>
  <c r="M17" i="24"/>
  <c r="AA16" i="24"/>
  <c r="W16" i="24"/>
  <c r="M16" i="24"/>
  <c r="AA15" i="24"/>
  <c r="W15" i="24"/>
  <c r="M15" i="24"/>
  <c r="AA14" i="24"/>
  <c r="W14" i="24"/>
  <c r="M14" i="24"/>
  <c r="AA13" i="24"/>
  <c r="W13" i="24"/>
  <c r="M13" i="24"/>
  <c r="AA12" i="24"/>
  <c r="W12" i="24"/>
  <c r="M12" i="24"/>
  <c r="AA11" i="24"/>
  <c r="W11" i="24"/>
  <c r="M11" i="24"/>
  <c r="AA10" i="24"/>
  <c r="W10" i="24"/>
  <c r="M10" i="24"/>
  <c r="L73" i="24"/>
  <c r="I73" i="24"/>
  <c r="E113" i="22"/>
  <c r="N90" i="22"/>
  <c r="N38" i="7" s="1"/>
  <c r="H90" i="22"/>
  <c r="H38" i="7" s="1"/>
  <c r="G90" i="22"/>
  <c r="G38" i="7" s="1"/>
  <c r="E90" i="22"/>
  <c r="E38" i="7" s="1"/>
  <c r="D90" i="22"/>
  <c r="D38" i="7" s="1"/>
  <c r="C90" i="22"/>
  <c r="C38" i="7" s="1"/>
  <c r="M70" i="22"/>
  <c r="L70" i="22"/>
  <c r="K70" i="22"/>
  <c r="K71" i="22" s="1"/>
  <c r="J70" i="22"/>
  <c r="J71" i="22" s="1"/>
  <c r="I70" i="22"/>
  <c r="H70" i="22"/>
  <c r="G70" i="22"/>
  <c r="G71" i="22" s="1"/>
  <c r="Z69" i="22"/>
  <c r="Z70" i="22" s="1"/>
  <c r="Z71" i="22" s="1"/>
  <c r="E69" i="22"/>
  <c r="E70" i="22"/>
  <c r="Z68" i="22"/>
  <c r="Y68" i="22"/>
  <c r="W68" i="22"/>
  <c r="V68" i="22"/>
  <c r="U68" i="22"/>
  <c r="T68" i="22"/>
  <c r="S68" i="22"/>
  <c r="R68" i="22"/>
  <c r="R71" i="22" s="1"/>
  <c r="Q68" i="22"/>
  <c r="P68" i="22"/>
  <c r="O68" i="22"/>
  <c r="O71" i="22" s="1"/>
  <c r="M68" i="22"/>
  <c r="L68" i="22"/>
  <c r="L71" i="22" s="1"/>
  <c r="K68" i="22"/>
  <c r="J68" i="22"/>
  <c r="I68" i="22"/>
  <c r="H68" i="22"/>
  <c r="H71" i="22" s="1"/>
  <c r="G68" i="22"/>
  <c r="F68" i="22"/>
  <c r="E68" i="22"/>
  <c r="D68" i="22"/>
  <c r="C68" i="22"/>
  <c r="AB67" i="22"/>
  <c r="AB66" i="22"/>
  <c r="AB65" i="22"/>
  <c r="AB64" i="22"/>
  <c r="AB63" i="22"/>
  <c r="AB62" i="22"/>
  <c r="AB61" i="22"/>
  <c r="AB60" i="22"/>
  <c r="AB59" i="22"/>
  <c r="AB58" i="22"/>
  <c r="AB57" i="22"/>
  <c r="AB56" i="22"/>
  <c r="AB55" i="22"/>
  <c r="AB54" i="22"/>
  <c r="AB53" i="22"/>
  <c r="AB52" i="22"/>
  <c r="AB51" i="22"/>
  <c r="AB50" i="22"/>
  <c r="AB49" i="22"/>
  <c r="AB48" i="22"/>
  <c r="AB47" i="22"/>
  <c r="AB46" i="22"/>
  <c r="AB45" i="22"/>
  <c r="AB44" i="22"/>
  <c r="AB43" i="22"/>
  <c r="AB42" i="22"/>
  <c r="AB41" i="22"/>
  <c r="AB40" i="22"/>
  <c r="AB39" i="22"/>
  <c r="AB38" i="22"/>
  <c r="AB37" i="22"/>
  <c r="AB36" i="22"/>
  <c r="AB35" i="22"/>
  <c r="AB34" i="22"/>
  <c r="AB33" i="22"/>
  <c r="AB32" i="22"/>
  <c r="AB31" i="22"/>
  <c r="AB30" i="22"/>
  <c r="AB29" i="22"/>
  <c r="AB28" i="22"/>
  <c r="AB27" i="22"/>
  <c r="AB26" i="22"/>
  <c r="AB25" i="22"/>
  <c r="AB24" i="22"/>
  <c r="AB23" i="22"/>
  <c r="AB22" i="22"/>
  <c r="AB21" i="22"/>
  <c r="AB20" i="22"/>
  <c r="AB19" i="22"/>
  <c r="AB18" i="22"/>
  <c r="AB17" i="22"/>
  <c r="AB16" i="22"/>
  <c r="AB15" i="22"/>
  <c r="AB14" i="22"/>
  <c r="AB13" i="22"/>
  <c r="AB12" i="22"/>
  <c r="AB11" i="22"/>
  <c r="AB10" i="22"/>
  <c r="G70" i="21"/>
  <c r="G71" i="21" s="1"/>
  <c r="H70" i="21"/>
  <c r="I70" i="21"/>
  <c r="J70" i="21"/>
  <c r="J71" i="21" s="1"/>
  <c r="K70" i="21"/>
  <c r="L70" i="21"/>
  <c r="M70" i="21"/>
  <c r="AB70" i="21"/>
  <c r="AA70" i="21"/>
  <c r="AA71" i="21" s="1"/>
  <c r="AB68" i="21"/>
  <c r="AA68" i="21"/>
  <c r="AB71" i="21"/>
  <c r="AD61" i="21"/>
  <c r="AD62" i="21"/>
  <c r="AD63" i="21"/>
  <c r="AD64" i="21"/>
  <c r="AD65" i="21"/>
  <c r="AD66" i="21"/>
  <c r="AD67" i="21"/>
  <c r="AD11" i="21"/>
  <c r="AD12" i="2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2" i="21"/>
  <c r="AD33" i="21"/>
  <c r="AD34" i="21"/>
  <c r="AD35" i="21"/>
  <c r="AD36" i="21"/>
  <c r="AD37" i="21"/>
  <c r="AD38" i="21"/>
  <c r="AD39" i="21"/>
  <c r="AD40" i="21"/>
  <c r="AD41" i="21"/>
  <c r="AD42" i="21"/>
  <c r="AD43" i="21"/>
  <c r="AD44" i="21"/>
  <c r="AD45" i="21"/>
  <c r="AD46" i="21"/>
  <c r="AD47" i="21"/>
  <c r="AD48" i="21"/>
  <c r="AD49" i="21"/>
  <c r="AD50" i="21"/>
  <c r="AD51" i="21"/>
  <c r="AD52" i="21"/>
  <c r="AD53" i="21"/>
  <c r="AD54" i="21"/>
  <c r="AD55" i="21"/>
  <c r="AD56" i="21"/>
  <c r="AD57" i="21"/>
  <c r="AD58" i="21"/>
  <c r="AD59" i="21"/>
  <c r="AD60" i="21"/>
  <c r="AD10" i="21"/>
  <c r="AA10" i="48"/>
  <c r="E113" i="21"/>
  <c r="D113" i="21"/>
  <c r="T111" i="7" s="1"/>
  <c r="C113" i="21"/>
  <c r="S111" i="7" s="1"/>
  <c r="C90" i="21"/>
  <c r="C37" i="7" s="1"/>
  <c r="Y70" i="21"/>
  <c r="X70" i="21"/>
  <c r="W70" i="21"/>
  <c r="V70" i="21"/>
  <c r="U70" i="21"/>
  <c r="U71" i="21" s="1"/>
  <c r="T70" i="21"/>
  <c r="T71" i="21" s="1"/>
  <c r="S69" i="21"/>
  <c r="S70" i="21" s="1"/>
  <c r="R69" i="21"/>
  <c r="R70" i="21"/>
  <c r="Q69" i="21"/>
  <c r="Q70" i="21" s="1"/>
  <c r="Q71" i="21" s="1"/>
  <c r="P69" i="21"/>
  <c r="P70" i="21"/>
  <c r="O69" i="21"/>
  <c r="O70" i="21" s="1"/>
  <c r="O71" i="21" s="1"/>
  <c r="F69" i="21"/>
  <c r="F70" i="21" s="1"/>
  <c r="E69" i="21"/>
  <c r="E70" i="21" s="1"/>
  <c r="E71" i="21" s="1"/>
  <c r="D69" i="21"/>
  <c r="D70" i="21" s="1"/>
  <c r="D71" i="21" s="1"/>
  <c r="C69" i="21"/>
  <c r="C70" i="21" s="1"/>
  <c r="Y68" i="21"/>
  <c r="X68" i="21"/>
  <c r="W68" i="21"/>
  <c r="V68" i="21"/>
  <c r="U68" i="21"/>
  <c r="T68" i="21"/>
  <c r="S68" i="21"/>
  <c r="R68" i="21"/>
  <c r="Q68" i="21"/>
  <c r="P68" i="21"/>
  <c r="O68" i="21"/>
  <c r="M68" i="21"/>
  <c r="L68" i="21"/>
  <c r="L71" i="21" s="1"/>
  <c r="K68" i="21"/>
  <c r="J68" i="21"/>
  <c r="I68" i="21"/>
  <c r="I71" i="21"/>
  <c r="H68" i="21"/>
  <c r="H71" i="21" s="1"/>
  <c r="G68" i="21"/>
  <c r="F68" i="21"/>
  <c r="E68" i="21"/>
  <c r="D68" i="21"/>
  <c r="C68" i="21"/>
  <c r="Z67" i="21"/>
  <c r="N67" i="21"/>
  <c r="Z66" i="21"/>
  <c r="N66" i="21"/>
  <c r="Z65" i="21"/>
  <c r="N65" i="21"/>
  <c r="Z64" i="21"/>
  <c r="N64" i="21"/>
  <c r="Z63" i="21"/>
  <c r="N63" i="21"/>
  <c r="Z62" i="21"/>
  <c r="N62" i="21"/>
  <c r="Z61" i="21"/>
  <c r="N61" i="21"/>
  <c r="Z60" i="21"/>
  <c r="N60" i="21"/>
  <c r="Z59" i="21"/>
  <c r="Z58" i="21"/>
  <c r="N58" i="21"/>
  <c r="Z57" i="21"/>
  <c r="N57" i="21"/>
  <c r="Z56" i="21"/>
  <c r="N56" i="21"/>
  <c r="Z55" i="21"/>
  <c r="N55" i="21"/>
  <c r="Z54" i="21"/>
  <c r="N54" i="21"/>
  <c r="Z53" i="21"/>
  <c r="N53" i="21"/>
  <c r="Z52" i="21"/>
  <c r="N52" i="21"/>
  <c r="Z51" i="21"/>
  <c r="N51" i="21"/>
  <c r="Z50" i="21"/>
  <c r="Z49" i="21"/>
  <c r="N49" i="21"/>
  <c r="Z48" i="21"/>
  <c r="N48" i="21"/>
  <c r="Z47" i="21"/>
  <c r="N47" i="21"/>
  <c r="N46" i="21"/>
  <c r="Z45" i="21"/>
  <c r="N45" i="21"/>
  <c r="Z44" i="21"/>
  <c r="N44" i="21"/>
  <c r="Z43" i="21"/>
  <c r="N43" i="21"/>
  <c r="Z42" i="21"/>
  <c r="N42" i="21"/>
  <c r="Z41" i="21"/>
  <c r="N41" i="21"/>
  <c r="Z40" i="21"/>
  <c r="N40" i="21"/>
  <c r="Z39" i="21"/>
  <c r="N39" i="21"/>
  <c r="Z38" i="21"/>
  <c r="N38" i="21"/>
  <c r="Z37" i="21"/>
  <c r="N37" i="21"/>
  <c r="Z36" i="21"/>
  <c r="N36" i="21"/>
  <c r="Z35" i="21"/>
  <c r="N35" i="21"/>
  <c r="Z34" i="21"/>
  <c r="N34" i="21"/>
  <c r="Z33" i="21"/>
  <c r="N33" i="21"/>
  <c r="Z32" i="21"/>
  <c r="N32" i="21"/>
  <c r="Z31" i="21"/>
  <c r="N31" i="21"/>
  <c r="Z30" i="21"/>
  <c r="N30" i="21"/>
  <c r="Z29" i="21"/>
  <c r="N29" i="21"/>
  <c r="Z28" i="21"/>
  <c r="N28" i="21"/>
  <c r="Z27" i="21"/>
  <c r="N27" i="21"/>
  <c r="Z26" i="21"/>
  <c r="N26" i="21"/>
  <c r="Z24" i="21"/>
  <c r="N24" i="21"/>
  <c r="Z23" i="21"/>
  <c r="N23" i="21"/>
  <c r="Z22" i="21"/>
  <c r="N22" i="21"/>
  <c r="Z21" i="21"/>
  <c r="N21" i="21"/>
  <c r="Z20" i="21"/>
  <c r="N20" i="21"/>
  <c r="Z19" i="21"/>
  <c r="N19" i="21"/>
  <c r="Z18" i="21"/>
  <c r="N18" i="21"/>
  <c r="Z17" i="21"/>
  <c r="N17" i="21"/>
  <c r="Z16" i="21"/>
  <c r="N16" i="21"/>
  <c r="Z15" i="21"/>
  <c r="N15" i="21"/>
  <c r="Z14" i="21"/>
  <c r="N14" i="21"/>
  <c r="Z13" i="21"/>
  <c r="N13" i="21"/>
  <c r="Z12" i="21"/>
  <c r="N12" i="21"/>
  <c r="Z11" i="21"/>
  <c r="N11" i="21"/>
  <c r="Z10" i="21"/>
  <c r="N10" i="21"/>
  <c r="C91" i="21"/>
  <c r="W71" i="21"/>
  <c r="Y71" i="21"/>
  <c r="C81" i="82"/>
  <c r="N61" i="82"/>
  <c r="N29" i="7" s="1"/>
  <c r="H61" i="82"/>
  <c r="H29" i="7" s="1"/>
  <c r="G61" i="82"/>
  <c r="G29" i="7" s="1"/>
  <c r="F61" i="82"/>
  <c r="F29" i="7" s="1"/>
  <c r="E61" i="82"/>
  <c r="E29" i="7" s="1"/>
  <c r="D61" i="82"/>
  <c r="D29" i="7" s="1"/>
  <c r="C61" i="82"/>
  <c r="C29" i="7" s="1"/>
  <c r="U43" i="82"/>
  <c r="U44" i="82" s="1"/>
  <c r="U45" i="82" s="1"/>
  <c r="T43" i="82"/>
  <c r="T44" i="82" s="1"/>
  <c r="T45" i="82" s="1"/>
  <c r="S43" i="82"/>
  <c r="S44" i="82"/>
  <c r="S45" i="82" s="1"/>
  <c r="R43" i="82"/>
  <c r="R44" i="82" s="1"/>
  <c r="R45" i="82" s="1"/>
  <c r="Q43" i="82"/>
  <c r="Q44" i="82"/>
  <c r="Q45" i="82" s="1"/>
  <c r="P43" i="82"/>
  <c r="P44" i="82" s="1"/>
  <c r="P45" i="82" s="1"/>
  <c r="O43" i="82"/>
  <c r="O44" i="82"/>
  <c r="O45" i="82" s="1"/>
  <c r="D43" i="82"/>
  <c r="D44" i="82" s="1"/>
  <c r="C43" i="82"/>
  <c r="C44" i="82" s="1"/>
  <c r="O42" i="82"/>
  <c r="M42" i="82"/>
  <c r="M45" i="82" s="1"/>
  <c r="L42" i="82"/>
  <c r="L45" i="82" s="1"/>
  <c r="K42" i="82"/>
  <c r="J42" i="82"/>
  <c r="J45" i="82" s="1"/>
  <c r="I42" i="82"/>
  <c r="I45" i="82" s="1"/>
  <c r="H42" i="82"/>
  <c r="H45" i="82" s="1"/>
  <c r="G42" i="82"/>
  <c r="F42" i="82"/>
  <c r="F45" i="82" s="1"/>
  <c r="E42" i="82"/>
  <c r="E45" i="82" s="1"/>
  <c r="D42" i="82"/>
  <c r="C42" i="82"/>
  <c r="E109" i="48"/>
  <c r="U105" i="7" s="1"/>
  <c r="D109" i="48"/>
  <c r="T105" i="7" s="1"/>
  <c r="C109" i="48"/>
  <c r="N88" i="48"/>
  <c r="N31" i="7" s="1"/>
  <c r="H88" i="48"/>
  <c r="H31" i="7" s="1"/>
  <c r="G88" i="48"/>
  <c r="G31" i="7" s="1"/>
  <c r="F88" i="48"/>
  <c r="F31" i="7" s="1"/>
  <c r="E88" i="48"/>
  <c r="E31" i="7" s="1"/>
  <c r="D88" i="48"/>
  <c r="D31" i="7" s="1"/>
  <c r="C88" i="48"/>
  <c r="C31" i="7" s="1"/>
  <c r="U69" i="48"/>
  <c r="U70" i="48" s="1"/>
  <c r="S69" i="48"/>
  <c r="S70" i="48" s="1"/>
  <c r="R69" i="48"/>
  <c r="R70" i="48"/>
  <c r="R71" i="48" s="1"/>
  <c r="Q69" i="48"/>
  <c r="Q70" i="48" s="1"/>
  <c r="P69" i="48"/>
  <c r="P70" i="48" s="1"/>
  <c r="O69" i="48"/>
  <c r="O70" i="48" s="1"/>
  <c r="O71" i="48" s="1"/>
  <c r="N69" i="48"/>
  <c r="N70" i="48"/>
  <c r="N71" i="48" s="1"/>
  <c r="F69" i="48"/>
  <c r="I69" i="48" s="1"/>
  <c r="E69" i="48"/>
  <c r="D69" i="48"/>
  <c r="D70" i="48"/>
  <c r="C69" i="48"/>
  <c r="G69" i="48" s="1"/>
  <c r="Y68" i="48"/>
  <c r="X68" i="48"/>
  <c r="V68" i="48"/>
  <c r="U68" i="48"/>
  <c r="S68" i="48"/>
  <c r="R68" i="48"/>
  <c r="Q68" i="48"/>
  <c r="P68" i="48"/>
  <c r="O68" i="48"/>
  <c r="N68" i="48"/>
  <c r="L68" i="48"/>
  <c r="K68" i="48"/>
  <c r="J68" i="48"/>
  <c r="I68" i="48"/>
  <c r="H68" i="48"/>
  <c r="G68" i="48"/>
  <c r="F68" i="48"/>
  <c r="E68" i="48"/>
  <c r="D68" i="48"/>
  <c r="C68" i="48"/>
  <c r="AA67" i="48"/>
  <c r="M67" i="48"/>
  <c r="AA66" i="48"/>
  <c r="M66" i="48"/>
  <c r="AA65" i="48"/>
  <c r="M65" i="48"/>
  <c r="AA64" i="48"/>
  <c r="M64" i="48"/>
  <c r="AA63" i="48"/>
  <c r="M63" i="48"/>
  <c r="AA62" i="48"/>
  <c r="M62" i="48"/>
  <c r="AA61" i="48"/>
  <c r="M61" i="48"/>
  <c r="AA60" i="48"/>
  <c r="M60" i="48"/>
  <c r="AA59" i="48"/>
  <c r="M59" i="48"/>
  <c r="AA58" i="48"/>
  <c r="AA57" i="48"/>
  <c r="M57" i="48"/>
  <c r="AA56" i="48"/>
  <c r="M56" i="48"/>
  <c r="AA55" i="48"/>
  <c r="M55" i="48"/>
  <c r="AA54" i="48"/>
  <c r="AA53" i="48"/>
  <c r="AA52" i="48"/>
  <c r="M52" i="48"/>
  <c r="AA51" i="48"/>
  <c r="M51" i="48"/>
  <c r="AA50" i="48"/>
  <c r="M50" i="48"/>
  <c r="AA49" i="48"/>
  <c r="AA48" i="48"/>
  <c r="M48" i="48"/>
  <c r="AA47" i="48"/>
  <c r="AA46" i="48"/>
  <c r="AA45" i="48"/>
  <c r="AA44" i="48"/>
  <c r="M44" i="48"/>
  <c r="AA43" i="48"/>
  <c r="M43" i="48"/>
  <c r="AA42" i="48"/>
  <c r="M42" i="48"/>
  <c r="AA41" i="48"/>
  <c r="M41" i="48"/>
  <c r="AA40" i="48"/>
  <c r="M40" i="48"/>
  <c r="AA39" i="48"/>
  <c r="M39" i="48"/>
  <c r="AA38" i="48"/>
  <c r="AA37" i="48"/>
  <c r="M37" i="48"/>
  <c r="AA36" i="48"/>
  <c r="M36" i="48"/>
  <c r="AA35" i="48"/>
  <c r="M35" i="48"/>
  <c r="AA34" i="48"/>
  <c r="M34" i="48"/>
  <c r="AA33" i="48"/>
  <c r="M33" i="48"/>
  <c r="AA32" i="48"/>
  <c r="AA31" i="48"/>
  <c r="AA30" i="48"/>
  <c r="M30" i="48"/>
  <c r="AA29" i="48"/>
  <c r="M29" i="48"/>
  <c r="AA28" i="48"/>
  <c r="AA27" i="48"/>
  <c r="AA26" i="48"/>
  <c r="AA25" i="48"/>
  <c r="AA24" i="48"/>
  <c r="AA23" i="48"/>
  <c r="M23" i="48"/>
  <c r="AA22" i="48"/>
  <c r="M22" i="48"/>
  <c r="AA21" i="48"/>
  <c r="AA20" i="48"/>
  <c r="M20" i="48"/>
  <c r="AA19" i="48"/>
  <c r="M19" i="48"/>
  <c r="AA18" i="48"/>
  <c r="AA17" i="48"/>
  <c r="AA16" i="48"/>
  <c r="AA15" i="48"/>
  <c r="M15" i="48"/>
  <c r="AA14" i="48"/>
  <c r="AA13" i="48"/>
  <c r="AA12" i="48"/>
  <c r="AA11" i="48"/>
  <c r="U71" i="48"/>
  <c r="E113" i="81"/>
  <c r="M115" i="7" s="1"/>
  <c r="D113" i="81"/>
  <c r="L115" i="7" s="1"/>
  <c r="C113" i="81"/>
  <c r="K115" i="7" s="1"/>
  <c r="N90" i="81"/>
  <c r="AB20" i="7" s="1"/>
  <c r="H90" i="81"/>
  <c r="V20" i="7" s="1"/>
  <c r="G90" i="81"/>
  <c r="U20" i="7" s="1"/>
  <c r="F90" i="81"/>
  <c r="T20" i="7" s="1"/>
  <c r="E90" i="81"/>
  <c r="S20" i="7" s="1"/>
  <c r="D90" i="81"/>
  <c r="C90" i="81"/>
  <c r="Q20" i="7" s="1"/>
  <c r="W69" i="81"/>
  <c r="W70" i="81" s="1"/>
  <c r="W71" i="81" s="1"/>
  <c r="V69" i="81"/>
  <c r="V70" i="81"/>
  <c r="U69" i="81"/>
  <c r="U70" i="81" s="1"/>
  <c r="U71" i="81" s="1"/>
  <c r="T69" i="81"/>
  <c r="T70" i="81" s="1"/>
  <c r="S69" i="81"/>
  <c r="S70" i="81" s="1"/>
  <c r="S71" i="81" s="1"/>
  <c r="R69" i="81"/>
  <c r="R70" i="81" s="1"/>
  <c r="R71" i="81" s="1"/>
  <c r="Q69" i="81"/>
  <c r="Q70" i="81"/>
  <c r="P69" i="81"/>
  <c r="P70" i="81" s="1"/>
  <c r="O69" i="81"/>
  <c r="O70" i="81" s="1"/>
  <c r="O71" i="81" s="1"/>
  <c r="F69" i="81"/>
  <c r="F70" i="81"/>
  <c r="F71" i="81" s="1"/>
  <c r="E69" i="81"/>
  <c r="E70" i="81" s="1"/>
  <c r="E71" i="81" s="1"/>
  <c r="D69" i="81"/>
  <c r="H69" i="81" s="1"/>
  <c r="D70" i="81"/>
  <c r="C69" i="81"/>
  <c r="C70" i="81" s="1"/>
  <c r="W68" i="81"/>
  <c r="V68" i="81"/>
  <c r="U68" i="81"/>
  <c r="T68" i="81"/>
  <c r="T71" i="81" s="1"/>
  <c r="S68" i="81"/>
  <c r="R68" i="81"/>
  <c r="Q68" i="81"/>
  <c r="P68" i="81"/>
  <c r="O68" i="81"/>
  <c r="M68" i="81"/>
  <c r="L68" i="81"/>
  <c r="K68" i="81"/>
  <c r="J68" i="81"/>
  <c r="I68" i="81"/>
  <c r="H68" i="81"/>
  <c r="G68" i="81"/>
  <c r="F68" i="81"/>
  <c r="E68" i="81"/>
  <c r="D68" i="81"/>
  <c r="C68" i="81"/>
  <c r="C71" i="81" s="1"/>
  <c r="J69" i="81"/>
  <c r="J70" i="81" s="1"/>
  <c r="J71" i="81" s="1"/>
  <c r="AB70" i="80"/>
  <c r="AA70" i="80"/>
  <c r="AB68" i="80"/>
  <c r="AA68" i="80"/>
  <c r="E113" i="80"/>
  <c r="M114" i="7" s="1"/>
  <c r="D113" i="80"/>
  <c r="L114" i="7" s="1"/>
  <c r="C113" i="80"/>
  <c r="K114" i="7" s="1"/>
  <c r="N90" i="80"/>
  <c r="AB19" i="7" s="1"/>
  <c r="H90" i="80"/>
  <c r="V19" i="7" s="1"/>
  <c r="G90" i="80"/>
  <c r="U19" i="7" s="1"/>
  <c r="F90" i="80"/>
  <c r="T19" i="7" s="1"/>
  <c r="E90" i="80"/>
  <c r="S19" i="7" s="1"/>
  <c r="D90" i="80"/>
  <c r="R19" i="7" s="1"/>
  <c r="C90" i="80"/>
  <c r="Q19" i="7" s="1"/>
  <c r="M70" i="80"/>
  <c r="L70" i="80"/>
  <c r="K70" i="80"/>
  <c r="J70" i="80"/>
  <c r="I70" i="80"/>
  <c r="H70" i="80"/>
  <c r="G70" i="80"/>
  <c r="G71" i="80" s="1"/>
  <c r="W69" i="80"/>
  <c r="W70" i="80" s="1"/>
  <c r="V69" i="80"/>
  <c r="V70" i="80" s="1"/>
  <c r="V71" i="80" s="1"/>
  <c r="U69" i="80"/>
  <c r="U70" i="80" s="1"/>
  <c r="U71" i="80" s="1"/>
  <c r="T69" i="80"/>
  <c r="T70" i="80"/>
  <c r="S69" i="80"/>
  <c r="S70" i="80" s="1"/>
  <c r="R69" i="80"/>
  <c r="R70" i="80" s="1"/>
  <c r="R71" i="80"/>
  <c r="Q69" i="80"/>
  <c r="Q70" i="80" s="1"/>
  <c r="Q71" i="80" s="1"/>
  <c r="P69" i="80"/>
  <c r="P70" i="80" s="1"/>
  <c r="O69" i="80"/>
  <c r="O70" i="80" s="1"/>
  <c r="F69" i="80"/>
  <c r="F70" i="80" s="1"/>
  <c r="E69" i="80"/>
  <c r="E70" i="80"/>
  <c r="E71" i="80" s="1"/>
  <c r="D69" i="80"/>
  <c r="D70" i="80" s="1"/>
  <c r="D71" i="80" s="1"/>
  <c r="C69" i="80"/>
  <c r="C70" i="80"/>
  <c r="W68" i="80"/>
  <c r="V68" i="80"/>
  <c r="U68" i="80"/>
  <c r="T68" i="80"/>
  <c r="S68" i="80"/>
  <c r="R68" i="80"/>
  <c r="Q68" i="80"/>
  <c r="P68" i="80"/>
  <c r="P71" i="80" s="1"/>
  <c r="O68" i="80"/>
  <c r="M68" i="80"/>
  <c r="L68" i="80"/>
  <c r="L71" i="80" s="1"/>
  <c r="K68" i="80"/>
  <c r="J68" i="80"/>
  <c r="J71" i="80" s="1"/>
  <c r="I68" i="80"/>
  <c r="H68" i="80"/>
  <c r="H71" i="80" s="1"/>
  <c r="G68" i="80"/>
  <c r="F68" i="80"/>
  <c r="E68" i="80"/>
  <c r="D68" i="80"/>
  <c r="C68" i="80"/>
  <c r="N66" i="80"/>
  <c r="N65" i="80"/>
  <c r="N64" i="80"/>
  <c r="N62" i="80"/>
  <c r="N60" i="80"/>
  <c r="N59" i="80"/>
  <c r="N58" i="80"/>
  <c r="N57" i="80"/>
  <c r="N56" i="80"/>
  <c r="N55" i="80"/>
  <c r="N54" i="80"/>
  <c r="N52" i="80"/>
  <c r="N51" i="80"/>
  <c r="N50" i="80"/>
  <c r="N49" i="80"/>
  <c r="N48" i="80"/>
  <c r="N47" i="80"/>
  <c r="N46" i="80"/>
  <c r="N45" i="80"/>
  <c r="N44" i="80"/>
  <c r="N43" i="80"/>
  <c r="N42" i="80"/>
  <c r="N41" i="80"/>
  <c r="N40" i="80"/>
  <c r="N38" i="80"/>
  <c r="N37" i="80"/>
  <c r="N36" i="80"/>
  <c r="N35" i="80"/>
  <c r="N34" i="80"/>
  <c r="N33" i="80"/>
  <c r="N32" i="80"/>
  <c r="N31" i="80"/>
  <c r="N30" i="80"/>
  <c r="N29" i="80"/>
  <c r="N28" i="80"/>
  <c r="N26" i="80"/>
  <c r="N24" i="80"/>
  <c r="N23" i="80"/>
  <c r="N22" i="80"/>
  <c r="N20" i="80"/>
  <c r="N19" i="80"/>
  <c r="N17" i="80"/>
  <c r="N16" i="80"/>
  <c r="N15" i="80"/>
  <c r="N14" i="80"/>
  <c r="N13" i="80"/>
  <c r="N11" i="80"/>
  <c r="M71" i="80"/>
  <c r="E109" i="71"/>
  <c r="M113" i="7" s="1"/>
  <c r="D109" i="71"/>
  <c r="L113" i="7" s="1"/>
  <c r="C109" i="71"/>
  <c r="K113" i="7" s="1"/>
  <c r="N88" i="71"/>
  <c r="AB18" i="7" s="1"/>
  <c r="H88" i="71"/>
  <c r="V18" i="7" s="1"/>
  <c r="G88" i="71"/>
  <c r="U18" i="7" s="1"/>
  <c r="F88" i="71"/>
  <c r="T18" i="7" s="1"/>
  <c r="E88" i="71"/>
  <c r="S18" i="7" s="1"/>
  <c r="D88" i="71"/>
  <c r="R18" i="7" s="1"/>
  <c r="C88" i="71"/>
  <c r="Q18" i="7" s="1"/>
  <c r="AB70" i="71"/>
  <c r="AA70" i="71"/>
  <c r="AA71" i="71" s="1"/>
  <c r="Y70" i="71"/>
  <c r="X70" i="71"/>
  <c r="L70" i="71"/>
  <c r="L71" i="71" s="1"/>
  <c r="K70" i="71"/>
  <c r="J70" i="71"/>
  <c r="I70" i="71"/>
  <c r="H70" i="71"/>
  <c r="G70" i="71"/>
  <c r="G71" i="71" s="1"/>
  <c r="W69" i="71"/>
  <c r="W70" i="71"/>
  <c r="V69" i="71"/>
  <c r="V70" i="71" s="1"/>
  <c r="V71" i="71" s="1"/>
  <c r="T69" i="71"/>
  <c r="T70" i="71" s="1"/>
  <c r="T71" i="71" s="1"/>
  <c r="S69" i="71"/>
  <c r="S70" i="71" s="1"/>
  <c r="R69" i="71"/>
  <c r="R70" i="71" s="1"/>
  <c r="R71" i="71" s="1"/>
  <c r="Q69" i="71"/>
  <c r="Q70" i="71"/>
  <c r="Q71" i="71" s="1"/>
  <c r="P69" i="71"/>
  <c r="P70" i="71" s="1"/>
  <c r="P71" i="71" s="1"/>
  <c r="O69" i="71"/>
  <c r="O70" i="71" s="1"/>
  <c r="O71" i="71" s="1"/>
  <c r="F69" i="71"/>
  <c r="F70" i="71" s="1"/>
  <c r="E69" i="71"/>
  <c r="E70" i="71" s="1"/>
  <c r="E71" i="71" s="1"/>
  <c r="D69" i="71"/>
  <c r="D70" i="71" s="1"/>
  <c r="C69" i="71"/>
  <c r="C70" i="71"/>
  <c r="C71" i="71" s="1"/>
  <c r="AB68" i="71"/>
  <c r="AA68" i="71"/>
  <c r="Y68" i="71"/>
  <c r="Y71" i="71" s="1"/>
  <c r="X68" i="71"/>
  <c r="W68" i="71"/>
  <c r="V68" i="71"/>
  <c r="T68" i="71"/>
  <c r="S68" i="71"/>
  <c r="R68" i="71"/>
  <c r="Q68" i="71"/>
  <c r="P68" i="71"/>
  <c r="O68" i="71"/>
  <c r="L68" i="71"/>
  <c r="K68" i="71"/>
  <c r="J68" i="71"/>
  <c r="I68" i="71"/>
  <c r="H68" i="71"/>
  <c r="G68" i="71"/>
  <c r="F68" i="71"/>
  <c r="E68" i="71"/>
  <c r="D68" i="71"/>
  <c r="C68" i="71"/>
  <c r="AD67" i="71"/>
  <c r="N67" i="71"/>
  <c r="AD66" i="71"/>
  <c r="N66" i="71"/>
  <c r="AD65" i="71"/>
  <c r="N65" i="71"/>
  <c r="AD64" i="71"/>
  <c r="N64" i="71"/>
  <c r="AD63" i="71"/>
  <c r="N63" i="71"/>
  <c r="AD62" i="71"/>
  <c r="N62" i="71"/>
  <c r="AD61" i="71"/>
  <c r="N61" i="71"/>
  <c r="AD60" i="71"/>
  <c r="N60" i="71"/>
  <c r="AD59" i="71"/>
  <c r="N59" i="71"/>
  <c r="AD58" i="71"/>
  <c r="N58" i="71"/>
  <c r="AD57" i="71"/>
  <c r="N57" i="71"/>
  <c r="AD56" i="71"/>
  <c r="N56" i="71"/>
  <c r="AD55" i="71"/>
  <c r="N55" i="71"/>
  <c r="AD54" i="71"/>
  <c r="N54" i="71"/>
  <c r="AD53" i="71"/>
  <c r="AD52" i="71"/>
  <c r="N52" i="71"/>
  <c r="AD51" i="71"/>
  <c r="N51" i="71"/>
  <c r="AD50" i="71"/>
  <c r="N50" i="71"/>
  <c r="AD49" i="71"/>
  <c r="N49" i="71"/>
  <c r="AD48" i="71"/>
  <c r="N48" i="71"/>
  <c r="AD47" i="71"/>
  <c r="N47" i="71"/>
  <c r="AD46" i="71"/>
  <c r="N46" i="71"/>
  <c r="AD45" i="71"/>
  <c r="N45" i="71"/>
  <c r="AD44" i="71"/>
  <c r="N44" i="71"/>
  <c r="AD43" i="71"/>
  <c r="N43" i="71"/>
  <c r="AD42" i="71"/>
  <c r="N42" i="71"/>
  <c r="AD41" i="71"/>
  <c r="N41" i="71"/>
  <c r="AD40" i="71"/>
  <c r="N40" i="71"/>
  <c r="AD39" i="71"/>
  <c r="N39" i="71"/>
  <c r="AD38" i="71"/>
  <c r="N38" i="71"/>
  <c r="AD37" i="71"/>
  <c r="N37" i="71"/>
  <c r="AD36" i="71"/>
  <c r="N36" i="71"/>
  <c r="AD35" i="71"/>
  <c r="N35" i="71"/>
  <c r="AD34" i="71"/>
  <c r="N34" i="71"/>
  <c r="AD33" i="71"/>
  <c r="N33" i="71"/>
  <c r="AD32" i="71"/>
  <c r="N32" i="71"/>
  <c r="AD31" i="71"/>
  <c r="N31" i="71"/>
  <c r="AD30" i="71"/>
  <c r="N30" i="71"/>
  <c r="AD29" i="71"/>
  <c r="N29" i="71"/>
  <c r="AD28" i="71"/>
  <c r="N28" i="71"/>
  <c r="AD27" i="71"/>
  <c r="AD26" i="71"/>
  <c r="N26" i="71"/>
  <c r="AD25" i="71"/>
  <c r="AD24" i="71"/>
  <c r="N24" i="71"/>
  <c r="AD23" i="71"/>
  <c r="N23" i="71"/>
  <c r="AD22" i="71"/>
  <c r="N22" i="71"/>
  <c r="AD21" i="71"/>
  <c r="N21" i="71"/>
  <c r="AD20" i="71"/>
  <c r="N20" i="71"/>
  <c r="AD19" i="71"/>
  <c r="N19" i="71"/>
  <c r="AD18" i="71"/>
  <c r="AD17" i="71"/>
  <c r="N17" i="71"/>
  <c r="AD16" i="71"/>
  <c r="N16" i="71"/>
  <c r="AD15" i="71"/>
  <c r="N15" i="71"/>
  <c r="AD14" i="71"/>
  <c r="N14" i="71"/>
  <c r="AD13" i="71"/>
  <c r="N13" i="71"/>
  <c r="AD12" i="71"/>
  <c r="N12" i="71"/>
  <c r="AD11" i="71"/>
  <c r="N11" i="71"/>
  <c r="AD10" i="71"/>
  <c r="J71" i="71"/>
  <c r="K71" i="71"/>
  <c r="X71" i="71"/>
  <c r="E111" i="69"/>
  <c r="M111" i="7" s="1"/>
  <c r="D111" i="69"/>
  <c r="L111" i="7" s="1"/>
  <c r="C111" i="69"/>
  <c r="K111" i="7" s="1"/>
  <c r="N90" i="69"/>
  <c r="AB16" i="7" s="1"/>
  <c r="L90" i="69"/>
  <c r="Z16" i="7" s="1"/>
  <c r="K90" i="69"/>
  <c r="Y16" i="7" s="1"/>
  <c r="J90" i="69"/>
  <c r="X16" i="7" s="1"/>
  <c r="I90" i="69"/>
  <c r="W16" i="7" s="1"/>
  <c r="H90" i="69"/>
  <c r="V16" i="7" s="1"/>
  <c r="G90" i="69"/>
  <c r="U16" i="7" s="1"/>
  <c r="E90" i="69"/>
  <c r="D90" i="69"/>
  <c r="R16" i="7" s="1"/>
  <c r="C90" i="69"/>
  <c r="Q16" i="7" s="1"/>
  <c r="R68" i="69"/>
  <c r="R69" i="69"/>
  <c r="U67" i="69"/>
  <c r="T67" i="69"/>
  <c r="S67" i="69"/>
  <c r="R67" i="69"/>
  <c r="Q67" i="69"/>
  <c r="P67" i="69"/>
  <c r="O67" i="69"/>
  <c r="N67" i="69"/>
  <c r="K67" i="69"/>
  <c r="J67" i="69"/>
  <c r="I67" i="69"/>
  <c r="H67" i="69"/>
  <c r="G67" i="69"/>
  <c r="F67" i="69"/>
  <c r="E67" i="69"/>
  <c r="D67" i="69"/>
  <c r="C67" i="69"/>
  <c r="AB66" i="69"/>
  <c r="X66" i="69"/>
  <c r="W66" i="69"/>
  <c r="Y66" i="69" s="1"/>
  <c r="V66" i="69"/>
  <c r="L66" i="69"/>
  <c r="AB65" i="69"/>
  <c r="X65" i="69"/>
  <c r="Y65" i="69" s="1"/>
  <c r="W65" i="69"/>
  <c r="V65" i="69"/>
  <c r="L65" i="69"/>
  <c r="AB64" i="69"/>
  <c r="X64" i="69"/>
  <c r="W64" i="69"/>
  <c r="V64" i="69"/>
  <c r="L64" i="69"/>
  <c r="AB63" i="69"/>
  <c r="X63" i="69"/>
  <c r="W63" i="69"/>
  <c r="Y63" i="69" s="1"/>
  <c r="V63" i="69"/>
  <c r="L63" i="69"/>
  <c r="AB62" i="69"/>
  <c r="X62" i="69"/>
  <c r="W62" i="69"/>
  <c r="V62" i="69"/>
  <c r="L62" i="69"/>
  <c r="AB61" i="69"/>
  <c r="X61" i="69"/>
  <c r="W61" i="69"/>
  <c r="V61" i="69"/>
  <c r="L61" i="69"/>
  <c r="AB60" i="69"/>
  <c r="X60" i="69"/>
  <c r="W60" i="69"/>
  <c r="Y60" i="69" s="1"/>
  <c r="V60" i="69"/>
  <c r="L60" i="69"/>
  <c r="AB59" i="69"/>
  <c r="X59" i="69"/>
  <c r="W59" i="69"/>
  <c r="Y59" i="69" s="1"/>
  <c r="V59" i="69"/>
  <c r="L59" i="69"/>
  <c r="AB58" i="69"/>
  <c r="X58" i="69"/>
  <c r="Y58" i="69" s="1"/>
  <c r="W58" i="69"/>
  <c r="V58" i="69"/>
  <c r="L58" i="69"/>
  <c r="AB57" i="69"/>
  <c r="X57" i="69"/>
  <c r="W57" i="69"/>
  <c r="Y57" i="69" s="1"/>
  <c r="V57" i="69"/>
  <c r="L57" i="69"/>
  <c r="AB56" i="69"/>
  <c r="X56" i="69"/>
  <c r="W56" i="69"/>
  <c r="Y56" i="69" s="1"/>
  <c r="V56" i="69"/>
  <c r="L56" i="69"/>
  <c r="AB55" i="69"/>
  <c r="X55" i="69"/>
  <c r="Y55" i="69" s="1"/>
  <c r="W55" i="69"/>
  <c r="V55" i="69"/>
  <c r="L55" i="69"/>
  <c r="AB54" i="69"/>
  <c r="X54" i="69"/>
  <c r="W54" i="69"/>
  <c r="V54" i="69"/>
  <c r="L54" i="69"/>
  <c r="AB53" i="69"/>
  <c r="X53" i="69"/>
  <c r="W53" i="69"/>
  <c r="V53" i="69"/>
  <c r="L53" i="69"/>
  <c r="AB52" i="69"/>
  <c r="X52" i="69"/>
  <c r="W52" i="69"/>
  <c r="V52" i="69"/>
  <c r="L52" i="69"/>
  <c r="AB51" i="69"/>
  <c r="X51" i="69"/>
  <c r="Y51" i="69" s="1"/>
  <c r="W51" i="69"/>
  <c r="V51" i="69"/>
  <c r="L51" i="69"/>
  <c r="AB50" i="69"/>
  <c r="X50" i="69"/>
  <c r="W50" i="69"/>
  <c r="V50" i="69"/>
  <c r="L50" i="69"/>
  <c r="AB49" i="69"/>
  <c r="X49" i="69"/>
  <c r="W49" i="69"/>
  <c r="Y49" i="69" s="1"/>
  <c r="V49" i="69"/>
  <c r="L49" i="69"/>
  <c r="AB48" i="69"/>
  <c r="X48" i="69"/>
  <c r="W48" i="69"/>
  <c r="V48" i="69"/>
  <c r="L48" i="69"/>
  <c r="AB47" i="69"/>
  <c r="X47" i="69"/>
  <c r="W47" i="69"/>
  <c r="V47" i="69"/>
  <c r="L47" i="69"/>
  <c r="AB46" i="69"/>
  <c r="X46" i="69"/>
  <c r="W46" i="69"/>
  <c r="V46" i="69"/>
  <c r="L46" i="69"/>
  <c r="AB45" i="69"/>
  <c r="X45" i="69"/>
  <c r="Y45" i="69"/>
  <c r="W45" i="69"/>
  <c r="V45" i="69"/>
  <c r="L45" i="69"/>
  <c r="AB44" i="69"/>
  <c r="X44" i="69"/>
  <c r="W44" i="69"/>
  <c r="V44" i="69"/>
  <c r="L44" i="69"/>
  <c r="AB43" i="69"/>
  <c r="X43" i="69"/>
  <c r="W43" i="69"/>
  <c r="Y43" i="69" s="1"/>
  <c r="V43" i="69"/>
  <c r="L43" i="69"/>
  <c r="AB42" i="69"/>
  <c r="X42" i="69"/>
  <c r="W42" i="69"/>
  <c r="V42" i="69"/>
  <c r="L42" i="69"/>
  <c r="AB41" i="69"/>
  <c r="X41" i="69"/>
  <c r="Y41" i="69" s="1"/>
  <c r="W41" i="69"/>
  <c r="V41" i="69"/>
  <c r="L41" i="69"/>
  <c r="AB40" i="69"/>
  <c r="X40" i="69"/>
  <c r="W40" i="69"/>
  <c r="Y40" i="69" s="1"/>
  <c r="V40" i="69"/>
  <c r="L40" i="69"/>
  <c r="AB39" i="69"/>
  <c r="X39" i="69"/>
  <c r="W39" i="69"/>
  <c r="Y39" i="69" s="1"/>
  <c r="V39" i="69"/>
  <c r="L39" i="69"/>
  <c r="AB38" i="69"/>
  <c r="X38" i="69"/>
  <c r="Y38" i="69" s="1"/>
  <c r="W38" i="69"/>
  <c r="V38" i="69"/>
  <c r="L38" i="69"/>
  <c r="AB37" i="69"/>
  <c r="X37" i="69"/>
  <c r="W37" i="69"/>
  <c r="Y37" i="69" s="1"/>
  <c r="V37" i="69"/>
  <c r="L37" i="69"/>
  <c r="AB36" i="69"/>
  <c r="X36" i="69"/>
  <c r="W36" i="69"/>
  <c r="Y36" i="69" s="1"/>
  <c r="V36" i="69"/>
  <c r="L36" i="69"/>
  <c r="AB35" i="69"/>
  <c r="X35" i="69"/>
  <c r="Y35" i="69" s="1"/>
  <c r="W35" i="69"/>
  <c r="V35" i="69"/>
  <c r="L35" i="69"/>
  <c r="AB34" i="69"/>
  <c r="X34" i="69"/>
  <c r="W34" i="69"/>
  <c r="V34" i="69"/>
  <c r="L34" i="69"/>
  <c r="AB33" i="69"/>
  <c r="X33" i="69"/>
  <c r="W33" i="69"/>
  <c r="Y33" i="69" s="1"/>
  <c r="V33" i="69"/>
  <c r="L33" i="69"/>
  <c r="AB32" i="69"/>
  <c r="X32" i="69"/>
  <c r="W32" i="69"/>
  <c r="V32" i="69"/>
  <c r="L32" i="69"/>
  <c r="AB31" i="69"/>
  <c r="X31" i="69"/>
  <c r="Y31" i="69" s="1"/>
  <c r="W31" i="69"/>
  <c r="V31" i="69"/>
  <c r="L31" i="69"/>
  <c r="AB30" i="69"/>
  <c r="X30" i="69"/>
  <c r="W30" i="69"/>
  <c r="V30" i="69"/>
  <c r="L30" i="69"/>
  <c r="AB29" i="69"/>
  <c r="X29" i="69"/>
  <c r="W29" i="69"/>
  <c r="Y29" i="69" s="1"/>
  <c r="V29" i="69"/>
  <c r="L29" i="69"/>
  <c r="AB28" i="69"/>
  <c r="X28" i="69"/>
  <c r="W28" i="69"/>
  <c r="Y28" i="69" s="1"/>
  <c r="V28" i="69"/>
  <c r="L28" i="69"/>
  <c r="AB27" i="69"/>
  <c r="X27" i="69"/>
  <c r="W27" i="69"/>
  <c r="V27" i="69"/>
  <c r="L27" i="69"/>
  <c r="AB26" i="69"/>
  <c r="X26" i="69"/>
  <c r="W26" i="69"/>
  <c r="Y26" i="69" s="1"/>
  <c r="V26" i="69"/>
  <c r="L26" i="69"/>
  <c r="AB25" i="69"/>
  <c r="X25" i="69"/>
  <c r="W25" i="69"/>
  <c r="V25" i="69"/>
  <c r="L25" i="69"/>
  <c r="AB24" i="69"/>
  <c r="X24" i="69"/>
  <c r="W24" i="69"/>
  <c r="V24" i="69"/>
  <c r="L24" i="69"/>
  <c r="AB23" i="69"/>
  <c r="X23" i="69"/>
  <c r="W23" i="69"/>
  <c r="V23" i="69"/>
  <c r="L23" i="69"/>
  <c r="AB22" i="69"/>
  <c r="X22" i="69"/>
  <c r="W22" i="69"/>
  <c r="Y22" i="69" s="1"/>
  <c r="V22" i="69"/>
  <c r="L22" i="69"/>
  <c r="AB21" i="69"/>
  <c r="X21" i="69"/>
  <c r="W21" i="69"/>
  <c r="V21" i="69"/>
  <c r="L21" i="69"/>
  <c r="AB20" i="69"/>
  <c r="X20" i="69"/>
  <c r="W20" i="69"/>
  <c r="V20" i="69"/>
  <c r="L20" i="69"/>
  <c r="AB19" i="69"/>
  <c r="X19" i="69"/>
  <c r="Y19" i="69" s="1"/>
  <c r="W19" i="69"/>
  <c r="V19" i="69"/>
  <c r="L19" i="69"/>
  <c r="AB18" i="69"/>
  <c r="X18" i="69"/>
  <c r="W18" i="69"/>
  <c r="Y18" i="69" s="1"/>
  <c r="V18" i="69"/>
  <c r="L18" i="69"/>
  <c r="AB17" i="69"/>
  <c r="X17" i="69"/>
  <c r="W17" i="69"/>
  <c r="Y17" i="69" s="1"/>
  <c r="V17" i="69"/>
  <c r="L17" i="69"/>
  <c r="AB16" i="69"/>
  <c r="X16" i="69"/>
  <c r="Y16" i="69" s="1"/>
  <c r="W16" i="69"/>
  <c r="V16" i="69"/>
  <c r="L16" i="69"/>
  <c r="AB15" i="69"/>
  <c r="X15" i="69"/>
  <c r="W15" i="69"/>
  <c r="V15" i="69"/>
  <c r="L15" i="69"/>
  <c r="AB14" i="69"/>
  <c r="X14" i="69"/>
  <c r="W14" i="69"/>
  <c r="Y14" i="69" s="1"/>
  <c r="V14" i="69"/>
  <c r="L14" i="69"/>
  <c r="AB13" i="69"/>
  <c r="X13" i="69"/>
  <c r="W13" i="69"/>
  <c r="V13" i="69"/>
  <c r="L13" i="69"/>
  <c r="AB12" i="69"/>
  <c r="X12" i="69"/>
  <c r="W12" i="69"/>
  <c r="Y12" i="69" s="1"/>
  <c r="V12" i="69"/>
  <c r="L12" i="69"/>
  <c r="AB11" i="69"/>
  <c r="X11" i="69"/>
  <c r="W11" i="69"/>
  <c r="V11" i="69"/>
  <c r="L11" i="69"/>
  <c r="AB10" i="69"/>
  <c r="X10" i="69"/>
  <c r="W10" i="69"/>
  <c r="Y10" i="69" s="1"/>
  <c r="V10" i="69"/>
  <c r="L10" i="69"/>
  <c r="AB9" i="69"/>
  <c r="X9" i="69"/>
  <c r="W9" i="69"/>
  <c r="V9" i="69"/>
  <c r="L9" i="69"/>
  <c r="Y25" i="69"/>
  <c r="Y34" i="69"/>
  <c r="Y42" i="69"/>
  <c r="Y50" i="69"/>
  <c r="Y54" i="69"/>
  <c r="Y13" i="69"/>
  <c r="Y11" i="69"/>
  <c r="Y52" i="69"/>
  <c r="Y64" i="69"/>
  <c r="Y15" i="69"/>
  <c r="P68" i="69"/>
  <c r="P69" i="69" s="1"/>
  <c r="P70" i="69" s="1"/>
  <c r="S68" i="69"/>
  <c r="S69" i="69" s="1"/>
  <c r="S70" i="69" s="1"/>
  <c r="I68" i="69"/>
  <c r="I69" i="69" s="1"/>
  <c r="I70" i="69" s="1"/>
  <c r="U68" i="69"/>
  <c r="U69" i="69" s="1"/>
  <c r="U70" i="69" s="1"/>
  <c r="K68" i="69"/>
  <c r="K69" i="69"/>
  <c r="K70" i="69" s="1"/>
  <c r="C68" i="69"/>
  <c r="C69" i="69" s="1"/>
  <c r="C70" i="69" s="1"/>
  <c r="T68" i="69"/>
  <c r="T69" i="69"/>
  <c r="T70" i="69" s="1"/>
  <c r="N68" i="69"/>
  <c r="N69" i="69" s="1"/>
  <c r="C108" i="68"/>
  <c r="K110" i="7" s="1"/>
  <c r="N88" i="68"/>
  <c r="AB15" i="7" s="1"/>
  <c r="H88" i="68"/>
  <c r="V15" i="7" s="1"/>
  <c r="F88" i="68"/>
  <c r="T15" i="7" s="1"/>
  <c r="E88" i="68"/>
  <c r="S15" i="7" s="1"/>
  <c r="D88" i="68"/>
  <c r="R15" i="7" s="1"/>
  <c r="C88" i="68"/>
  <c r="Q15" i="7" s="1"/>
  <c r="AC70" i="68"/>
  <c r="AB70" i="68"/>
  <c r="AA70" i="68"/>
  <c r="Y70" i="68"/>
  <c r="X70" i="68"/>
  <c r="W70" i="68"/>
  <c r="V70" i="68"/>
  <c r="V71" i="68" s="1"/>
  <c r="U70" i="68"/>
  <c r="T70" i="68"/>
  <c r="S70" i="68"/>
  <c r="S71" i="68" s="1"/>
  <c r="R70" i="68"/>
  <c r="M70" i="68"/>
  <c r="L70" i="68"/>
  <c r="K70" i="68"/>
  <c r="K71" i="68" s="1"/>
  <c r="J70" i="68"/>
  <c r="J71" i="68" s="1"/>
  <c r="I70" i="68"/>
  <c r="H70" i="68"/>
  <c r="G70" i="68"/>
  <c r="Q69" i="68"/>
  <c r="Q70" i="68" s="1"/>
  <c r="Q71" i="68" s="1"/>
  <c r="P69" i="68"/>
  <c r="P70" i="68" s="1"/>
  <c r="O69" i="68"/>
  <c r="O70" i="68"/>
  <c r="O71" i="68" s="1"/>
  <c r="F69" i="68"/>
  <c r="F70" i="68" s="1"/>
  <c r="F71" i="68" s="1"/>
  <c r="E69" i="68"/>
  <c r="E70" i="68"/>
  <c r="E71" i="68" s="1"/>
  <c r="D69" i="68"/>
  <c r="D70" i="68" s="1"/>
  <c r="C69" i="68"/>
  <c r="C70" i="68"/>
  <c r="C71" i="68" s="1"/>
  <c r="AC68" i="68"/>
  <c r="AC71" i="68" s="1"/>
  <c r="AB68" i="68"/>
  <c r="AA68" i="68"/>
  <c r="Y68" i="68"/>
  <c r="X68" i="68"/>
  <c r="W68" i="68"/>
  <c r="V68" i="68"/>
  <c r="U68" i="68"/>
  <c r="T68" i="68"/>
  <c r="T71" i="68" s="1"/>
  <c r="S68" i="68"/>
  <c r="R68" i="68"/>
  <c r="Q68" i="68"/>
  <c r="P68" i="68"/>
  <c r="O68" i="68"/>
  <c r="M68" i="68"/>
  <c r="L68" i="68"/>
  <c r="L71" i="68" s="1"/>
  <c r="K68" i="68"/>
  <c r="J68" i="68"/>
  <c r="I68" i="68"/>
  <c r="H68" i="68"/>
  <c r="G68" i="68"/>
  <c r="F68" i="68"/>
  <c r="E68" i="68"/>
  <c r="D68" i="68"/>
  <c r="C68" i="68"/>
  <c r="AE67" i="68"/>
  <c r="Z67" i="68"/>
  <c r="N67" i="68"/>
  <c r="AE66" i="68"/>
  <c r="Z66" i="68"/>
  <c r="N66" i="68"/>
  <c r="AE65" i="68"/>
  <c r="Z65" i="68"/>
  <c r="N65" i="68"/>
  <c r="AE64" i="68"/>
  <c r="Z64" i="68"/>
  <c r="N64" i="68"/>
  <c r="AE63" i="68"/>
  <c r="Z63" i="68"/>
  <c r="N63" i="68"/>
  <c r="AE62" i="68"/>
  <c r="Z62" i="68"/>
  <c r="N62" i="68"/>
  <c r="AE61" i="68"/>
  <c r="Z61" i="68"/>
  <c r="N61" i="68"/>
  <c r="AE60" i="68"/>
  <c r="Z60" i="68"/>
  <c r="N60" i="68"/>
  <c r="AE59" i="68"/>
  <c r="Z59" i="68"/>
  <c r="N59" i="68"/>
  <c r="AE58" i="68"/>
  <c r="Z58" i="68"/>
  <c r="N58" i="68"/>
  <c r="AE57" i="68"/>
  <c r="Z57" i="68"/>
  <c r="N57" i="68"/>
  <c r="AE56" i="68"/>
  <c r="Z56" i="68"/>
  <c r="N56" i="68"/>
  <c r="AE55" i="68"/>
  <c r="Z55" i="68"/>
  <c r="N55" i="68"/>
  <c r="AE54" i="68"/>
  <c r="Z54" i="68"/>
  <c r="N54" i="68"/>
  <c r="AE53" i="68"/>
  <c r="Z53" i="68"/>
  <c r="N53" i="68"/>
  <c r="AE52" i="68"/>
  <c r="Z52" i="68"/>
  <c r="N52" i="68"/>
  <c r="AE51" i="68"/>
  <c r="Z51" i="68"/>
  <c r="N51" i="68"/>
  <c r="AE50" i="68"/>
  <c r="Z50" i="68"/>
  <c r="N50" i="68"/>
  <c r="AE49" i="68"/>
  <c r="Z49" i="68"/>
  <c r="N49" i="68"/>
  <c r="AE48" i="68"/>
  <c r="Z48" i="68"/>
  <c r="N48" i="68"/>
  <c r="AE47" i="68"/>
  <c r="Z47" i="68"/>
  <c r="N47" i="68"/>
  <c r="AE46" i="68"/>
  <c r="Z46" i="68"/>
  <c r="N46" i="68"/>
  <c r="AE45" i="68"/>
  <c r="Z45" i="68"/>
  <c r="N45" i="68"/>
  <c r="AE44" i="68"/>
  <c r="Z44" i="68"/>
  <c r="N44" i="68"/>
  <c r="AE43" i="68"/>
  <c r="Z43" i="68"/>
  <c r="N43" i="68"/>
  <c r="AE42" i="68"/>
  <c r="Z42" i="68"/>
  <c r="N42" i="68"/>
  <c r="AE41" i="68"/>
  <c r="Z41" i="68"/>
  <c r="N41" i="68"/>
  <c r="AE40" i="68"/>
  <c r="Z40" i="68"/>
  <c r="N40" i="68"/>
  <c r="AE39" i="68"/>
  <c r="Z39" i="68"/>
  <c r="N39" i="68"/>
  <c r="AE38" i="68"/>
  <c r="Z38" i="68"/>
  <c r="N38" i="68"/>
  <c r="AE37" i="68"/>
  <c r="Z37" i="68"/>
  <c r="N37" i="68"/>
  <c r="AE36" i="68"/>
  <c r="Z36" i="68"/>
  <c r="N36" i="68"/>
  <c r="AE35" i="68"/>
  <c r="Z35" i="68"/>
  <c r="N35" i="68"/>
  <c r="AE34" i="68"/>
  <c r="Z34" i="68"/>
  <c r="N34" i="68"/>
  <c r="AE33" i="68"/>
  <c r="Z33" i="68"/>
  <c r="N33" i="68"/>
  <c r="AE32" i="68"/>
  <c r="Z32" i="68"/>
  <c r="N32" i="68"/>
  <c r="AE31" i="68"/>
  <c r="N31" i="68"/>
  <c r="AE30" i="68"/>
  <c r="Z30" i="68"/>
  <c r="N30" i="68"/>
  <c r="AE29" i="68"/>
  <c r="Z29" i="68"/>
  <c r="N29" i="68"/>
  <c r="AE28" i="68"/>
  <c r="Z28" i="68"/>
  <c r="N28" i="68"/>
  <c r="AE27" i="68"/>
  <c r="Z27" i="68"/>
  <c r="N27" i="68"/>
  <c r="AE26" i="68"/>
  <c r="Z26" i="68"/>
  <c r="N26" i="68"/>
  <c r="AE25" i="68"/>
  <c r="Z25" i="68"/>
  <c r="N25" i="68"/>
  <c r="AE24" i="68"/>
  <c r="Z24" i="68"/>
  <c r="N24" i="68"/>
  <c r="AE23" i="68"/>
  <c r="Z23" i="68"/>
  <c r="N23" i="68"/>
  <c r="AE22" i="68"/>
  <c r="Z22" i="68"/>
  <c r="N22" i="68"/>
  <c r="AE21" i="68"/>
  <c r="Z21" i="68"/>
  <c r="N21" i="68"/>
  <c r="AE20" i="68"/>
  <c r="Z20" i="68"/>
  <c r="N20" i="68"/>
  <c r="AE19" i="68"/>
  <c r="Z19" i="68"/>
  <c r="N19" i="68"/>
  <c r="AE18" i="68"/>
  <c r="Z18" i="68"/>
  <c r="N18" i="68"/>
  <c r="AE17" i="68"/>
  <c r="Z17" i="68"/>
  <c r="N17" i="68"/>
  <c r="AE16" i="68"/>
  <c r="Z16" i="68"/>
  <c r="N16" i="68"/>
  <c r="AE15" i="68"/>
  <c r="Z15" i="68"/>
  <c r="N15" i="68"/>
  <c r="AE14" i="68"/>
  <c r="Z14" i="68"/>
  <c r="N14" i="68"/>
  <c r="AE13" i="68"/>
  <c r="Z13" i="68"/>
  <c r="N13" i="68"/>
  <c r="AE12" i="68"/>
  <c r="Z12" i="68"/>
  <c r="N12" i="68"/>
  <c r="AE11" i="68"/>
  <c r="Z11" i="68"/>
  <c r="N11" i="68"/>
  <c r="AE10" i="68"/>
  <c r="Z10" i="68"/>
  <c r="N10" i="68"/>
  <c r="G71" i="68"/>
  <c r="H71" i="68"/>
  <c r="C109" i="68"/>
  <c r="W71" i="68"/>
  <c r="AB71" i="68"/>
  <c r="X71" i="68"/>
  <c r="E107" i="4"/>
  <c r="D107" i="4"/>
  <c r="L103" i="7" s="1"/>
  <c r="C107" i="4"/>
  <c r="K103" i="7" s="1"/>
  <c r="N88" i="4"/>
  <c r="AB8" i="7" s="1"/>
  <c r="H88" i="4"/>
  <c r="V8" i="7" s="1"/>
  <c r="G88" i="4"/>
  <c r="U8" i="7" s="1"/>
  <c r="F88" i="4"/>
  <c r="T8" i="7" s="1"/>
  <c r="E88" i="4"/>
  <c r="S8" i="7" s="1"/>
  <c r="D88" i="4"/>
  <c r="R8" i="7" s="1"/>
  <c r="C88" i="4"/>
  <c r="Q8" i="7" s="1"/>
  <c r="Y69" i="4"/>
  <c r="Y70" i="4" s="1"/>
  <c r="Y71" i="4" s="1"/>
  <c r="X69" i="4"/>
  <c r="X70" i="4" s="1"/>
  <c r="W69" i="4"/>
  <c r="W70" i="4" s="1"/>
  <c r="V69" i="4"/>
  <c r="V70" i="4"/>
  <c r="U69" i="4"/>
  <c r="U70" i="4"/>
  <c r="T69" i="4"/>
  <c r="T70" i="4"/>
  <c r="S69" i="4"/>
  <c r="S70" i="4" s="1"/>
  <c r="R69" i="4"/>
  <c r="R70" i="4"/>
  <c r="R71" i="4" s="1"/>
  <c r="Q69" i="4"/>
  <c r="Q70" i="4" s="1"/>
  <c r="Q71" i="4" s="1"/>
  <c r="P69" i="4"/>
  <c r="P70" i="4"/>
  <c r="O69" i="4"/>
  <c r="O70" i="4" s="1"/>
  <c r="M69" i="4"/>
  <c r="M70" i="4" s="1"/>
  <c r="M71" i="4" s="1"/>
  <c r="L69" i="4"/>
  <c r="L70" i="4" s="1"/>
  <c r="L71" i="4"/>
  <c r="K69" i="4"/>
  <c r="K70" i="4" s="1"/>
  <c r="J69" i="4"/>
  <c r="J70" i="4" s="1"/>
  <c r="I69" i="4"/>
  <c r="I70" i="4" s="1"/>
  <c r="I71" i="4" s="1"/>
  <c r="H69" i="4"/>
  <c r="H70" i="4" s="1"/>
  <c r="G69" i="4"/>
  <c r="G70" i="4" s="1"/>
  <c r="F69" i="4"/>
  <c r="F70" i="4" s="1"/>
  <c r="F71" i="4" s="1"/>
  <c r="E69" i="4"/>
  <c r="E70" i="4" s="1"/>
  <c r="E71" i="4" s="1"/>
  <c r="D69" i="4"/>
  <c r="D70" i="4"/>
  <c r="D71" i="4" s="1"/>
  <c r="C69" i="4"/>
  <c r="C70" i="4" s="1"/>
  <c r="Y68" i="4"/>
  <c r="X68" i="4"/>
  <c r="W68" i="4"/>
  <c r="V68" i="4"/>
  <c r="U68" i="4"/>
  <c r="T68" i="4"/>
  <c r="S68" i="4"/>
  <c r="R68" i="4"/>
  <c r="Q68" i="4"/>
  <c r="P68" i="4"/>
  <c r="O68" i="4"/>
  <c r="M68" i="4"/>
  <c r="L68" i="4"/>
  <c r="K68" i="4"/>
  <c r="J68" i="4"/>
  <c r="I68" i="4"/>
  <c r="H68" i="4"/>
  <c r="G68" i="4"/>
  <c r="F68" i="4"/>
  <c r="E68" i="4"/>
  <c r="D68" i="4"/>
  <c r="C68" i="4"/>
  <c r="AD67" i="4"/>
  <c r="Z67" i="4"/>
  <c r="N67" i="4"/>
  <c r="AD66" i="4"/>
  <c r="Z66" i="4"/>
  <c r="N66" i="4"/>
  <c r="AA66" i="4" s="1"/>
  <c r="AD65" i="4"/>
  <c r="Z65" i="4"/>
  <c r="N65" i="4"/>
  <c r="AD64" i="4"/>
  <c r="Z64" i="4"/>
  <c r="AA64" i="4" s="1"/>
  <c r="N64" i="4"/>
  <c r="AD63" i="4"/>
  <c r="Z63" i="4"/>
  <c r="AA63" i="4" s="1"/>
  <c r="N63" i="4"/>
  <c r="AD62" i="4"/>
  <c r="Z62" i="4"/>
  <c r="N62" i="4"/>
  <c r="AD61" i="4"/>
  <c r="Z61" i="4"/>
  <c r="N61" i="4"/>
  <c r="AD60" i="4"/>
  <c r="Z60" i="4"/>
  <c r="N60" i="4"/>
  <c r="AA60" i="4" s="1"/>
  <c r="AD59" i="4"/>
  <c r="Z59" i="4"/>
  <c r="N59" i="4"/>
  <c r="AD58" i="4"/>
  <c r="Z58" i="4"/>
  <c r="N58" i="4"/>
  <c r="AD57" i="4"/>
  <c r="Z57" i="4"/>
  <c r="N57" i="4"/>
  <c r="AA57" i="4" s="1"/>
  <c r="AD56" i="4"/>
  <c r="Z56" i="4"/>
  <c r="N56" i="4"/>
  <c r="AA56" i="4" s="1"/>
  <c r="AD55" i="4"/>
  <c r="Z55" i="4"/>
  <c r="N55" i="4"/>
  <c r="AA55" i="4" s="1"/>
  <c r="AD54" i="4"/>
  <c r="Z54" i="4"/>
  <c r="N54" i="4"/>
  <c r="AD53" i="4"/>
  <c r="Z53" i="4"/>
  <c r="N53" i="4"/>
  <c r="AD52" i="4"/>
  <c r="Z52" i="4"/>
  <c r="AA52" i="4" s="1"/>
  <c r="N52" i="4"/>
  <c r="AD51" i="4"/>
  <c r="Z51" i="4"/>
  <c r="N51" i="4"/>
  <c r="AD50" i="4"/>
  <c r="Z50" i="4"/>
  <c r="N50" i="4"/>
  <c r="AA50" i="4" s="1"/>
  <c r="AD49" i="4"/>
  <c r="Z49" i="4"/>
  <c r="N49" i="4"/>
  <c r="AA49" i="4" s="1"/>
  <c r="AD48" i="4"/>
  <c r="Z48" i="4"/>
  <c r="N48" i="4"/>
  <c r="AD47" i="4"/>
  <c r="Z47" i="4"/>
  <c r="N47" i="4"/>
  <c r="AD46" i="4"/>
  <c r="Z46" i="4"/>
  <c r="N46" i="4"/>
  <c r="AD45" i="4"/>
  <c r="Z45" i="4"/>
  <c r="N45" i="4"/>
  <c r="AD44" i="4"/>
  <c r="Z44" i="4"/>
  <c r="N44" i="4"/>
  <c r="AA44" i="4" s="1"/>
  <c r="AD43" i="4"/>
  <c r="Z43" i="4"/>
  <c r="N43" i="4"/>
  <c r="AD42" i="4"/>
  <c r="Z42" i="4"/>
  <c r="N42" i="4"/>
  <c r="AD41" i="4"/>
  <c r="Z41" i="4"/>
  <c r="N41" i="4"/>
  <c r="AD40" i="4"/>
  <c r="Z40" i="4"/>
  <c r="N40" i="4"/>
  <c r="AD39" i="4"/>
  <c r="Z39" i="4"/>
  <c r="N39" i="4"/>
  <c r="AD38" i="4"/>
  <c r="Z38" i="4"/>
  <c r="AA38" i="4" s="1"/>
  <c r="N38" i="4"/>
  <c r="AD37" i="4"/>
  <c r="Z37" i="4"/>
  <c r="N37" i="4"/>
  <c r="AA37" i="4" s="1"/>
  <c r="AD36" i="4"/>
  <c r="Z36" i="4"/>
  <c r="N36" i="4"/>
  <c r="AA36" i="4"/>
  <c r="AD35" i="4"/>
  <c r="Z35" i="4"/>
  <c r="N35" i="4"/>
  <c r="AD34" i="4"/>
  <c r="Z34" i="4"/>
  <c r="N34" i="4"/>
  <c r="AA34" i="4" s="1"/>
  <c r="AD33" i="4"/>
  <c r="Z33" i="4"/>
  <c r="N33" i="4"/>
  <c r="AA33" i="4" s="1"/>
  <c r="AD32" i="4"/>
  <c r="Z32" i="4"/>
  <c r="N32" i="4"/>
  <c r="AA32" i="4" s="1"/>
  <c r="AD31" i="4"/>
  <c r="Z31" i="4"/>
  <c r="N31" i="4"/>
  <c r="AD30" i="4"/>
  <c r="Z30" i="4"/>
  <c r="AA30" i="4" s="1"/>
  <c r="N30" i="4"/>
  <c r="AD29" i="4"/>
  <c r="Z29" i="4"/>
  <c r="N29" i="4"/>
  <c r="AD28" i="4"/>
  <c r="Z28" i="4"/>
  <c r="N28" i="4"/>
  <c r="AA28" i="4" s="1"/>
  <c r="AD27" i="4"/>
  <c r="Z27" i="4"/>
  <c r="N27" i="4"/>
  <c r="AD26" i="4"/>
  <c r="Z26" i="4"/>
  <c r="N26" i="4"/>
  <c r="AD25" i="4"/>
  <c r="Z25" i="4"/>
  <c r="N25" i="4"/>
  <c r="AA25" i="4" s="1"/>
  <c r="AD24" i="4"/>
  <c r="Z24" i="4"/>
  <c r="N24" i="4"/>
  <c r="AA24" i="4" s="1"/>
  <c r="AD23" i="4"/>
  <c r="Z23" i="4"/>
  <c r="N23" i="4"/>
  <c r="AD22" i="4"/>
  <c r="Z22" i="4"/>
  <c r="N22" i="4"/>
  <c r="AD21" i="4"/>
  <c r="Z21" i="4"/>
  <c r="N21" i="4"/>
  <c r="AA21" i="4" s="1"/>
  <c r="AD20" i="4"/>
  <c r="Z20" i="4"/>
  <c r="AA20" i="4" s="1"/>
  <c r="N20" i="4"/>
  <c r="AD19" i="4"/>
  <c r="Z19" i="4"/>
  <c r="N19" i="4"/>
  <c r="AD18" i="4"/>
  <c r="Z18" i="4"/>
  <c r="AA18" i="4"/>
  <c r="N18" i="4"/>
  <c r="AD17" i="4"/>
  <c r="Z17" i="4"/>
  <c r="N17" i="4"/>
  <c r="AA17" i="4" s="1"/>
  <c r="AD16" i="4"/>
  <c r="Z16" i="4"/>
  <c r="N16" i="4"/>
  <c r="AA16" i="4" s="1"/>
  <c r="AD15" i="4"/>
  <c r="Z15" i="4"/>
  <c r="AA15" i="4" s="1"/>
  <c r="N15" i="4"/>
  <c r="AD14" i="4"/>
  <c r="Z14" i="4"/>
  <c r="N14" i="4"/>
  <c r="AD13" i="4"/>
  <c r="Z13" i="4"/>
  <c r="AA13" i="4" s="1"/>
  <c r="N13" i="4"/>
  <c r="AD12" i="4"/>
  <c r="Z12" i="4"/>
  <c r="N12" i="4"/>
  <c r="AD11" i="4"/>
  <c r="Z11" i="4"/>
  <c r="N11" i="4"/>
  <c r="AA11" i="4" s="1"/>
  <c r="AD10" i="4"/>
  <c r="Z10" i="4"/>
  <c r="N10" i="4"/>
  <c r="AA10" i="4"/>
  <c r="AA27" i="4"/>
  <c r="AA43" i="4"/>
  <c r="AA59" i="4"/>
  <c r="AA14" i="4"/>
  <c r="AA45" i="4"/>
  <c r="C89" i="4"/>
  <c r="Y61" i="85"/>
  <c r="Y62" i="85"/>
  <c r="Y63" i="85"/>
  <c r="Y64" i="85"/>
  <c r="Y65" i="85"/>
  <c r="Y66" i="85"/>
  <c r="J69" i="85"/>
  <c r="J70" i="85"/>
  <c r="I69" i="85"/>
  <c r="I70" i="85" s="1"/>
  <c r="I68" i="85"/>
  <c r="I71" i="85" s="1"/>
  <c r="H68" i="85"/>
  <c r="H69" i="85"/>
  <c r="H70" i="85"/>
  <c r="H71" i="85" s="1"/>
  <c r="K69" i="85"/>
  <c r="K70" i="85" s="1"/>
  <c r="K71" i="85" s="1"/>
  <c r="E109" i="85"/>
  <c r="M102" i="7" s="1"/>
  <c r="D109" i="85"/>
  <c r="L102" i="7" s="1"/>
  <c r="C109" i="85"/>
  <c r="K102" i="7" s="1"/>
  <c r="N88" i="85"/>
  <c r="AB7" i="7" s="1"/>
  <c r="H88" i="85"/>
  <c r="V7" i="7" s="1"/>
  <c r="G88" i="85"/>
  <c r="U7" i="7" s="1"/>
  <c r="F88" i="85"/>
  <c r="T7" i="7" s="1"/>
  <c r="E88" i="85"/>
  <c r="S7" i="7" s="1"/>
  <c r="D88" i="85"/>
  <c r="R7" i="7" s="1"/>
  <c r="C88" i="85"/>
  <c r="Q7" i="7" s="1"/>
  <c r="T69" i="85"/>
  <c r="T70" i="85" s="1"/>
  <c r="T71" i="85" s="1"/>
  <c r="S69" i="85"/>
  <c r="S70" i="85" s="1"/>
  <c r="R69" i="85"/>
  <c r="R70" i="85"/>
  <c r="Q69" i="85"/>
  <c r="Q70" i="85" s="1"/>
  <c r="Q71" i="85" s="1"/>
  <c r="P69" i="85"/>
  <c r="P70" i="85"/>
  <c r="O69" i="85"/>
  <c r="O70" i="85" s="1"/>
  <c r="N69" i="85"/>
  <c r="N70" i="85" s="1"/>
  <c r="M69" i="85"/>
  <c r="M70" i="85" s="1"/>
  <c r="G69" i="85"/>
  <c r="G70" i="85"/>
  <c r="F69" i="85"/>
  <c r="F70" i="85" s="1"/>
  <c r="F71" i="85" s="1"/>
  <c r="E69" i="85"/>
  <c r="E70" i="85"/>
  <c r="D69" i="85"/>
  <c r="D70" i="85" s="1"/>
  <c r="C69" i="85"/>
  <c r="C70" i="85" s="1"/>
  <c r="T68" i="85"/>
  <c r="S68" i="85"/>
  <c r="R68" i="85"/>
  <c r="Q68" i="85"/>
  <c r="P68" i="85"/>
  <c r="O68" i="85"/>
  <c r="N68" i="85"/>
  <c r="M68" i="85"/>
  <c r="K68" i="85"/>
  <c r="J68" i="85"/>
  <c r="G68" i="85"/>
  <c r="F68" i="85"/>
  <c r="E68" i="85"/>
  <c r="D68" i="85"/>
  <c r="C68" i="85"/>
  <c r="Y67" i="85"/>
  <c r="U67" i="85"/>
  <c r="L67" i="85"/>
  <c r="U66" i="85"/>
  <c r="V66" i="85" s="1"/>
  <c r="L66" i="85"/>
  <c r="U65" i="85"/>
  <c r="L65" i="85"/>
  <c r="U64" i="85"/>
  <c r="V64" i="85" s="1"/>
  <c r="L64" i="85"/>
  <c r="U63" i="85"/>
  <c r="L63" i="85"/>
  <c r="U62" i="85"/>
  <c r="V62" i="85" s="1"/>
  <c r="L62" i="85"/>
  <c r="U61" i="85"/>
  <c r="L61" i="85"/>
  <c r="Y60" i="85"/>
  <c r="U60" i="85"/>
  <c r="L60" i="85"/>
  <c r="V60" i="85" s="1"/>
  <c r="Y59" i="85"/>
  <c r="U59" i="85"/>
  <c r="V59" i="85" s="1"/>
  <c r="L59" i="85"/>
  <c r="Y58" i="85"/>
  <c r="U58" i="85"/>
  <c r="L58" i="85"/>
  <c r="V58" i="85" s="1"/>
  <c r="Y57" i="85"/>
  <c r="U57" i="85"/>
  <c r="L57" i="85"/>
  <c r="Y56" i="85"/>
  <c r="U56" i="85"/>
  <c r="L56" i="85"/>
  <c r="Y55" i="85"/>
  <c r="U55" i="85"/>
  <c r="L55" i="85"/>
  <c r="Y54" i="85"/>
  <c r="U54" i="85"/>
  <c r="L54" i="85"/>
  <c r="V54" i="85" s="1"/>
  <c r="Y53" i="85"/>
  <c r="U53" i="85"/>
  <c r="L53" i="85"/>
  <c r="Y52" i="85"/>
  <c r="U52" i="85"/>
  <c r="L52" i="85"/>
  <c r="V52" i="85" s="1"/>
  <c r="Y51" i="85"/>
  <c r="U51" i="85"/>
  <c r="V51" i="85" s="1"/>
  <c r="L51" i="85"/>
  <c r="Y50" i="85"/>
  <c r="U50" i="85"/>
  <c r="L50" i="85"/>
  <c r="V50" i="85" s="1"/>
  <c r="Y49" i="85"/>
  <c r="U49" i="85"/>
  <c r="L49" i="85"/>
  <c r="Y48" i="85"/>
  <c r="U48" i="85"/>
  <c r="L48" i="85"/>
  <c r="Y47" i="85"/>
  <c r="U47" i="85"/>
  <c r="V47" i="85" s="1"/>
  <c r="L47" i="85"/>
  <c r="Y46" i="85"/>
  <c r="U46" i="85"/>
  <c r="L46" i="85"/>
  <c r="V46" i="85" s="1"/>
  <c r="Y45" i="85"/>
  <c r="U45" i="85"/>
  <c r="L45" i="85"/>
  <c r="V45" i="85" s="1"/>
  <c r="Y44" i="85"/>
  <c r="U44" i="85"/>
  <c r="L44" i="85"/>
  <c r="V44" i="85" s="1"/>
  <c r="Y43" i="85"/>
  <c r="U43" i="85"/>
  <c r="V43" i="85" s="1"/>
  <c r="L43" i="85"/>
  <c r="Y42" i="85"/>
  <c r="U42" i="85"/>
  <c r="L42" i="85"/>
  <c r="V42" i="85" s="1"/>
  <c r="Y41" i="85"/>
  <c r="U41" i="85"/>
  <c r="L41" i="85"/>
  <c r="Y40" i="85"/>
  <c r="U40" i="85"/>
  <c r="L40" i="85"/>
  <c r="Y39" i="85"/>
  <c r="U39" i="85"/>
  <c r="V39" i="85" s="1"/>
  <c r="L39" i="85"/>
  <c r="Y38" i="85"/>
  <c r="U38" i="85"/>
  <c r="L38" i="85"/>
  <c r="V38" i="85" s="1"/>
  <c r="Y37" i="85"/>
  <c r="U37" i="85"/>
  <c r="L37" i="85"/>
  <c r="Y36" i="85"/>
  <c r="U36" i="85"/>
  <c r="L36" i="85"/>
  <c r="Y35" i="85"/>
  <c r="U35" i="85"/>
  <c r="V35" i="85" s="1"/>
  <c r="L35" i="85"/>
  <c r="Y34" i="85"/>
  <c r="U34" i="85"/>
  <c r="L34" i="85"/>
  <c r="V34" i="85" s="1"/>
  <c r="Y33" i="85"/>
  <c r="U33" i="85"/>
  <c r="L33" i="85"/>
  <c r="Y32" i="85"/>
  <c r="U32" i="85"/>
  <c r="L32" i="85"/>
  <c r="Y31" i="85"/>
  <c r="U31" i="85"/>
  <c r="V31" i="85" s="1"/>
  <c r="L31" i="85"/>
  <c r="Y30" i="85"/>
  <c r="U30" i="85"/>
  <c r="L30" i="85"/>
  <c r="V30" i="85" s="1"/>
  <c r="Y29" i="85"/>
  <c r="U29" i="85"/>
  <c r="L29" i="85"/>
  <c r="Y28" i="85"/>
  <c r="U28" i="85"/>
  <c r="L28" i="85"/>
  <c r="V28" i="85" s="1"/>
  <c r="Y27" i="85"/>
  <c r="U27" i="85"/>
  <c r="V27" i="85" s="1"/>
  <c r="L27" i="85"/>
  <c r="Y26" i="85"/>
  <c r="U26" i="85"/>
  <c r="L26" i="85"/>
  <c r="V26" i="85" s="1"/>
  <c r="Y25" i="85"/>
  <c r="U25" i="85"/>
  <c r="L25" i="85"/>
  <c r="V25" i="85" s="1"/>
  <c r="Y24" i="85"/>
  <c r="U24" i="85"/>
  <c r="L24" i="85"/>
  <c r="V24" i="85" s="1"/>
  <c r="Y23" i="85"/>
  <c r="U23" i="85"/>
  <c r="V23" i="85" s="1"/>
  <c r="L23" i="85"/>
  <c r="Y22" i="85"/>
  <c r="U22" i="85"/>
  <c r="L22" i="85"/>
  <c r="V22" i="85" s="1"/>
  <c r="Y21" i="85"/>
  <c r="U21" i="85"/>
  <c r="L21" i="85"/>
  <c r="Y20" i="85"/>
  <c r="U20" i="85"/>
  <c r="L20" i="85"/>
  <c r="V20" i="85" s="1"/>
  <c r="Y19" i="85"/>
  <c r="U19" i="85"/>
  <c r="V19" i="85" s="1"/>
  <c r="L19" i="85"/>
  <c r="Y18" i="85"/>
  <c r="U18" i="85"/>
  <c r="L18" i="85"/>
  <c r="V18" i="85" s="1"/>
  <c r="Y17" i="85"/>
  <c r="U17" i="85"/>
  <c r="L17" i="85"/>
  <c r="V17" i="85" s="1"/>
  <c r="Y16" i="85"/>
  <c r="U16" i="85"/>
  <c r="L16" i="85"/>
  <c r="Y15" i="85"/>
  <c r="U15" i="85"/>
  <c r="V15" i="85" s="1"/>
  <c r="L15" i="85"/>
  <c r="Y14" i="85"/>
  <c r="U14" i="85"/>
  <c r="L14" i="85"/>
  <c r="V14" i="85" s="1"/>
  <c r="Y13" i="85"/>
  <c r="U13" i="85"/>
  <c r="L13" i="85"/>
  <c r="Y12" i="85"/>
  <c r="U12" i="85"/>
  <c r="L12" i="85"/>
  <c r="V12" i="85" s="1"/>
  <c r="Y11" i="85"/>
  <c r="U11" i="85"/>
  <c r="V11" i="85" s="1"/>
  <c r="L11" i="85"/>
  <c r="Y10" i="85"/>
  <c r="U10" i="85"/>
  <c r="L10" i="85"/>
  <c r="V10" i="85" s="1"/>
  <c r="V36" i="85"/>
  <c r="V48" i="85"/>
  <c r="V56" i="85"/>
  <c r="V40" i="85"/>
  <c r="V55" i="85"/>
  <c r="V37" i="85"/>
  <c r="V53" i="85"/>
  <c r="V61" i="85"/>
  <c r="C89" i="85"/>
  <c r="V33" i="85"/>
  <c r="V16" i="85"/>
  <c r="V32" i="85"/>
  <c r="C58" i="54"/>
  <c r="E57" i="54"/>
  <c r="E56" i="54"/>
  <c r="E55" i="54"/>
  <c r="E54" i="54"/>
  <c r="E53" i="54"/>
  <c r="E52" i="54"/>
  <c r="E51" i="54"/>
  <c r="E50" i="54"/>
  <c r="E49" i="54"/>
  <c r="E48" i="54"/>
  <c r="E47" i="54"/>
  <c r="E46" i="54"/>
  <c r="E45" i="54"/>
  <c r="E44" i="54"/>
  <c r="E43" i="54"/>
  <c r="E42" i="54"/>
  <c r="E41" i="54"/>
  <c r="E40" i="54"/>
  <c r="E39" i="54"/>
  <c r="E38" i="54"/>
  <c r="E37" i="54"/>
  <c r="E36" i="54"/>
  <c r="E35" i="54"/>
  <c r="E34" i="54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W14" i="54"/>
  <c r="E113" i="7" s="1"/>
  <c r="V14" i="54"/>
  <c r="D113" i="7" s="1"/>
  <c r="U14" i="54"/>
  <c r="C113" i="7" s="1"/>
  <c r="T14" i="54"/>
  <c r="N18" i="7" s="1"/>
  <c r="S14" i="54"/>
  <c r="M18" i="7" s="1"/>
  <c r="P14" i="54"/>
  <c r="J18" i="7" s="1"/>
  <c r="N14" i="54"/>
  <c r="H18" i="7" s="1"/>
  <c r="M14" i="54"/>
  <c r="G18" i="7" s="1"/>
  <c r="L14" i="54"/>
  <c r="F18" i="7" s="1"/>
  <c r="K14" i="54"/>
  <c r="J14" i="54"/>
  <c r="D18" i="7" s="1"/>
  <c r="I14" i="54"/>
  <c r="C18" i="7" s="1"/>
  <c r="E14" i="54"/>
  <c r="E13" i="54"/>
  <c r="E12" i="54"/>
  <c r="E11" i="54"/>
  <c r="E10" i="54"/>
  <c r="E60" i="54" s="1"/>
  <c r="E61" i="54" s="1"/>
  <c r="K4" i="54" s="1"/>
  <c r="E9" i="54"/>
  <c r="C58" i="53"/>
  <c r="E57" i="53"/>
  <c r="E56" i="53"/>
  <c r="E55" i="53"/>
  <c r="E54" i="53"/>
  <c r="E53" i="53"/>
  <c r="E52" i="53"/>
  <c r="E51" i="53"/>
  <c r="E50" i="53"/>
  <c r="E49" i="53"/>
  <c r="E48" i="53"/>
  <c r="E47" i="53"/>
  <c r="E46" i="53"/>
  <c r="E45" i="53"/>
  <c r="E44" i="53"/>
  <c r="E43" i="53"/>
  <c r="E42" i="53"/>
  <c r="E41" i="53"/>
  <c r="E40" i="53"/>
  <c r="E39" i="53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R73" i="53"/>
  <c r="Q73" i="53"/>
  <c r="D112" i="7" s="1"/>
  <c r="P73" i="53"/>
  <c r="C112" i="7" s="1"/>
  <c r="O73" i="53"/>
  <c r="N17" i="7" s="1"/>
  <c r="N73" i="53"/>
  <c r="M17" i="7" s="1"/>
  <c r="M73" i="53"/>
  <c r="L17" i="7" s="1"/>
  <c r="L73" i="53"/>
  <c r="K17" i="7" s="1"/>
  <c r="K73" i="53"/>
  <c r="J17" i="7" s="1"/>
  <c r="J73" i="53"/>
  <c r="I17" i="7" s="1"/>
  <c r="I73" i="53"/>
  <c r="H17" i="7" s="1"/>
  <c r="H73" i="53"/>
  <c r="G17" i="7" s="1"/>
  <c r="G73" i="53"/>
  <c r="F17" i="7" s="1"/>
  <c r="F73" i="53"/>
  <c r="E73" i="53"/>
  <c r="D17" i="7" s="1"/>
  <c r="D73" i="53"/>
  <c r="C17" i="7" s="1"/>
  <c r="E14" i="53"/>
  <c r="E13" i="53"/>
  <c r="E12" i="53"/>
  <c r="E11" i="53"/>
  <c r="E10" i="53"/>
  <c r="E9" i="53"/>
  <c r="R60" i="2"/>
  <c r="R61" i="2"/>
  <c r="Q60" i="2"/>
  <c r="Q61" i="2" s="1"/>
  <c r="P60" i="2"/>
  <c r="P61" i="2"/>
  <c r="O60" i="2"/>
  <c r="O61" i="2" s="1"/>
  <c r="O62" i="2" s="1"/>
  <c r="N60" i="2"/>
  <c r="N61" i="2"/>
  <c r="M60" i="2"/>
  <c r="M61" i="2" s="1"/>
  <c r="L60" i="2"/>
  <c r="L61" i="2" s="1"/>
  <c r="L62" i="2" s="1"/>
  <c r="K60" i="2"/>
  <c r="K61" i="2" s="1"/>
  <c r="J60" i="2"/>
  <c r="J61" i="2" s="1"/>
  <c r="J62" i="2" s="1"/>
  <c r="I60" i="2"/>
  <c r="I61" i="2" s="1"/>
  <c r="H60" i="2"/>
  <c r="H61" i="2"/>
  <c r="H62" i="2" s="1"/>
  <c r="G60" i="2"/>
  <c r="G61" i="2" s="1"/>
  <c r="F60" i="2"/>
  <c r="F61" i="2"/>
  <c r="E60" i="2"/>
  <c r="E61" i="2" s="1"/>
  <c r="E62" i="2" s="1"/>
  <c r="D60" i="2"/>
  <c r="D61" i="2" s="1"/>
  <c r="D62" i="2" s="1"/>
  <c r="C60" i="2"/>
  <c r="C61" i="2" s="1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X58" i="2"/>
  <c r="Y58" i="2" s="1"/>
  <c r="W58" i="2"/>
  <c r="T58" i="2"/>
  <c r="S58" i="2"/>
  <c r="X57" i="2"/>
  <c r="Y57" i="2" s="1"/>
  <c r="W57" i="2"/>
  <c r="T57" i="2"/>
  <c r="U57" i="2"/>
  <c r="S57" i="2"/>
  <c r="X56" i="2"/>
  <c r="Y56" i="2" s="1"/>
  <c r="W56" i="2"/>
  <c r="T56" i="2"/>
  <c r="S56" i="2"/>
  <c r="X55" i="2"/>
  <c r="Y55" i="2" s="1"/>
  <c r="W55" i="2"/>
  <c r="T55" i="2"/>
  <c r="S55" i="2"/>
  <c r="X54" i="2"/>
  <c r="Y54" i="2" s="1"/>
  <c r="W54" i="2"/>
  <c r="T54" i="2"/>
  <c r="S54" i="2"/>
  <c r="X53" i="2"/>
  <c r="Y53" i="2" s="1"/>
  <c r="W53" i="2"/>
  <c r="T53" i="2"/>
  <c r="S53" i="2"/>
  <c r="X52" i="2"/>
  <c r="Y52" i="2" s="1"/>
  <c r="W52" i="2"/>
  <c r="T52" i="2"/>
  <c r="S52" i="2"/>
  <c r="U52" i="2" s="1"/>
  <c r="Z52" i="2" s="1"/>
  <c r="X51" i="2"/>
  <c r="Y51" i="2"/>
  <c r="W51" i="2"/>
  <c r="T51" i="2"/>
  <c r="S51" i="2"/>
  <c r="X50" i="2"/>
  <c r="Y50" i="2" s="1"/>
  <c r="Z50" i="2" s="1"/>
  <c r="W50" i="2"/>
  <c r="T50" i="2"/>
  <c r="S50" i="2"/>
  <c r="U50" i="2" s="1"/>
  <c r="X49" i="2"/>
  <c r="Y49" i="2" s="1"/>
  <c r="W49" i="2"/>
  <c r="T49" i="2"/>
  <c r="S49" i="2"/>
  <c r="U49" i="2" s="1"/>
  <c r="X48" i="2"/>
  <c r="Y48" i="2" s="1"/>
  <c r="W48" i="2"/>
  <c r="T48" i="2"/>
  <c r="S48" i="2"/>
  <c r="U48" i="2" s="1"/>
  <c r="X47" i="2"/>
  <c r="Y47" i="2" s="1"/>
  <c r="W47" i="2"/>
  <c r="T47" i="2"/>
  <c r="S47" i="2"/>
  <c r="U47" i="2" s="1"/>
  <c r="Z47" i="2" s="1"/>
  <c r="X46" i="2"/>
  <c r="Y46" i="2"/>
  <c r="W46" i="2"/>
  <c r="T46" i="2"/>
  <c r="U46" i="2" s="1"/>
  <c r="S46" i="2"/>
  <c r="X45" i="2"/>
  <c r="Y45" i="2"/>
  <c r="W45" i="2"/>
  <c r="T45" i="2"/>
  <c r="S45" i="2"/>
  <c r="U45" i="2"/>
  <c r="X44" i="2"/>
  <c r="Y44" i="2" s="1"/>
  <c r="W44" i="2"/>
  <c r="T44" i="2"/>
  <c r="S44" i="2"/>
  <c r="X43" i="2"/>
  <c r="Y43" i="2" s="1"/>
  <c r="W43" i="2"/>
  <c r="T43" i="2"/>
  <c r="U43" i="2" s="1"/>
  <c r="S43" i="2"/>
  <c r="W42" i="2"/>
  <c r="T42" i="2"/>
  <c r="U42" i="2" s="1"/>
  <c r="S42" i="2"/>
  <c r="W41" i="2"/>
  <c r="T41" i="2"/>
  <c r="S41" i="2"/>
  <c r="W40" i="2"/>
  <c r="T40" i="2"/>
  <c r="S40" i="2"/>
  <c r="U40" i="2" s="1"/>
  <c r="W39" i="2"/>
  <c r="T39" i="2"/>
  <c r="S39" i="2"/>
  <c r="U39" i="2" s="1"/>
  <c r="W38" i="2"/>
  <c r="T38" i="2"/>
  <c r="S38" i="2"/>
  <c r="W37" i="2"/>
  <c r="T37" i="2"/>
  <c r="S37" i="2"/>
  <c r="W36" i="2"/>
  <c r="T36" i="2"/>
  <c r="S36" i="2"/>
  <c r="U36" i="2" s="1"/>
  <c r="W35" i="2"/>
  <c r="T35" i="2"/>
  <c r="S35" i="2"/>
  <c r="U35" i="2" s="1"/>
  <c r="W34" i="2"/>
  <c r="T34" i="2"/>
  <c r="S34" i="2"/>
  <c r="W33" i="2"/>
  <c r="T33" i="2"/>
  <c r="S33" i="2"/>
  <c r="W32" i="2"/>
  <c r="T32" i="2"/>
  <c r="S32" i="2"/>
  <c r="U32" i="2" s="1"/>
  <c r="W31" i="2"/>
  <c r="T31" i="2"/>
  <c r="S31" i="2"/>
  <c r="U31" i="2" s="1"/>
  <c r="W30" i="2"/>
  <c r="T30" i="2"/>
  <c r="S30" i="2"/>
  <c r="W29" i="2"/>
  <c r="T29" i="2"/>
  <c r="U29" i="2" s="1"/>
  <c r="S29" i="2"/>
  <c r="W28" i="2"/>
  <c r="T28" i="2"/>
  <c r="S28" i="2"/>
  <c r="U28" i="2" s="1"/>
  <c r="W27" i="2"/>
  <c r="T27" i="2"/>
  <c r="S27" i="2"/>
  <c r="U27" i="2" s="1"/>
  <c r="W26" i="2"/>
  <c r="T26" i="2"/>
  <c r="S26" i="2"/>
  <c r="U26" i="2" s="1"/>
  <c r="W25" i="2"/>
  <c r="T25" i="2"/>
  <c r="S25" i="2"/>
  <c r="W24" i="2"/>
  <c r="T24" i="2"/>
  <c r="S24" i="2"/>
  <c r="R83" i="2"/>
  <c r="E108" i="7" s="1"/>
  <c r="Q83" i="2"/>
  <c r="D108" i="7" s="1"/>
  <c r="P84" i="2"/>
  <c r="P83" i="2"/>
  <c r="C108" i="7" s="1"/>
  <c r="O83" i="2"/>
  <c r="N13" i="7" s="1"/>
  <c r="H83" i="2"/>
  <c r="G13" i="7" s="1"/>
  <c r="G83" i="2"/>
  <c r="F83" i="2"/>
  <c r="E13" i="7" s="1"/>
  <c r="E83" i="2"/>
  <c r="D13" i="7" s="1"/>
  <c r="D83" i="2"/>
  <c r="C13" i="7" s="1"/>
  <c r="W23" i="2"/>
  <c r="T23" i="2"/>
  <c r="S23" i="2"/>
  <c r="W22" i="2"/>
  <c r="T22" i="2"/>
  <c r="S22" i="2"/>
  <c r="W21" i="2"/>
  <c r="T21" i="2"/>
  <c r="S21" i="2"/>
  <c r="X20" i="2"/>
  <c r="Y20" i="2" s="1"/>
  <c r="W20" i="2"/>
  <c r="T20" i="2"/>
  <c r="S20" i="2"/>
  <c r="X19" i="2"/>
  <c r="Y19" i="2"/>
  <c r="W19" i="2"/>
  <c r="T19" i="2"/>
  <c r="U19" i="2" s="1"/>
  <c r="S19" i="2"/>
  <c r="X18" i="2"/>
  <c r="Y18" i="2"/>
  <c r="Z18" i="2" s="1"/>
  <c r="W18" i="2"/>
  <c r="T18" i="2"/>
  <c r="S18" i="2"/>
  <c r="U18" i="2" s="1"/>
  <c r="X17" i="2"/>
  <c r="Y17" i="2" s="1"/>
  <c r="Z17" i="2" s="1"/>
  <c r="W17" i="2"/>
  <c r="T17" i="2"/>
  <c r="S17" i="2"/>
  <c r="X16" i="2"/>
  <c r="Y16" i="2" s="1"/>
  <c r="W16" i="2"/>
  <c r="T16" i="2"/>
  <c r="S16" i="2"/>
  <c r="U16" i="2" s="1"/>
  <c r="X15" i="2"/>
  <c r="Y15" i="2" s="1"/>
  <c r="W15" i="2"/>
  <c r="T15" i="2"/>
  <c r="S15" i="2"/>
  <c r="X14" i="2"/>
  <c r="Y14" i="2"/>
  <c r="W14" i="2"/>
  <c r="T14" i="2"/>
  <c r="S14" i="2"/>
  <c r="X13" i="2"/>
  <c r="Y13" i="2" s="1"/>
  <c r="W13" i="2"/>
  <c r="T13" i="2"/>
  <c r="S13" i="2"/>
  <c r="X12" i="2"/>
  <c r="Y12" i="2" s="1"/>
  <c r="W12" i="2"/>
  <c r="T12" i="2"/>
  <c r="S12" i="2"/>
  <c r="U12" i="2" s="1"/>
  <c r="X11" i="2"/>
  <c r="Y11" i="2" s="1"/>
  <c r="W11" i="2"/>
  <c r="T11" i="2"/>
  <c r="U11" i="2"/>
  <c r="S11" i="2"/>
  <c r="X10" i="2"/>
  <c r="Y10" i="2" s="1"/>
  <c r="W10" i="2"/>
  <c r="T10" i="2"/>
  <c r="S10" i="2"/>
  <c r="U10" i="2" s="1"/>
  <c r="X9" i="2"/>
  <c r="Y9" i="2" s="1"/>
  <c r="Z9" i="2"/>
  <c r="Y62" i="36"/>
  <c r="X62" i="36"/>
  <c r="V62" i="36"/>
  <c r="U62" i="36"/>
  <c r="T62" i="36"/>
  <c r="S62" i="36"/>
  <c r="R62" i="36"/>
  <c r="Q62" i="36"/>
  <c r="P62" i="36"/>
  <c r="O62" i="36"/>
  <c r="N62" i="36"/>
  <c r="M62" i="36"/>
  <c r="L62" i="36"/>
  <c r="K62" i="36"/>
  <c r="J62" i="36"/>
  <c r="I62" i="36"/>
  <c r="I63" i="36" s="1"/>
  <c r="H62" i="36"/>
  <c r="G62" i="36"/>
  <c r="F62" i="36"/>
  <c r="E62" i="36"/>
  <c r="D62" i="36"/>
  <c r="C62" i="36"/>
  <c r="Y61" i="36"/>
  <c r="X61" i="36"/>
  <c r="W61" i="36"/>
  <c r="V61" i="36"/>
  <c r="U61" i="36"/>
  <c r="T61" i="36"/>
  <c r="S61" i="36"/>
  <c r="R61" i="36"/>
  <c r="Q61" i="36"/>
  <c r="P61" i="36"/>
  <c r="O61" i="36"/>
  <c r="N61" i="36"/>
  <c r="M61" i="36"/>
  <c r="L61" i="36"/>
  <c r="K61" i="36"/>
  <c r="J61" i="36"/>
  <c r="I61" i="36"/>
  <c r="H61" i="36"/>
  <c r="G61" i="36"/>
  <c r="F61" i="36"/>
  <c r="E61" i="36"/>
  <c r="D61" i="36"/>
  <c r="C61" i="36"/>
  <c r="Y60" i="36"/>
  <c r="X60" i="36"/>
  <c r="X63" i="36" s="1"/>
  <c r="V60" i="36"/>
  <c r="V63" i="36"/>
  <c r="U60" i="36"/>
  <c r="T60" i="36"/>
  <c r="T63" i="36" s="1"/>
  <c r="S60" i="36"/>
  <c r="R60" i="36"/>
  <c r="Q60" i="36"/>
  <c r="Q63" i="36" s="1"/>
  <c r="P60" i="36"/>
  <c r="O60" i="36"/>
  <c r="N60" i="36"/>
  <c r="N63" i="36" s="1"/>
  <c r="M60" i="36"/>
  <c r="L60" i="36"/>
  <c r="K60" i="36"/>
  <c r="J60" i="36"/>
  <c r="I60" i="36"/>
  <c r="H60" i="36"/>
  <c r="G60" i="36"/>
  <c r="G63" i="36" s="1"/>
  <c r="F60" i="36"/>
  <c r="F63" i="36"/>
  <c r="E60" i="36"/>
  <c r="D60" i="36"/>
  <c r="D63" i="36" s="1"/>
  <c r="C60" i="36"/>
  <c r="W62" i="36"/>
  <c r="AB59" i="36"/>
  <c r="AB58" i="36"/>
  <c r="AB57" i="36"/>
  <c r="AB56" i="36"/>
  <c r="AB55" i="36"/>
  <c r="AB54" i="36"/>
  <c r="AB53" i="36"/>
  <c r="AB52" i="36"/>
  <c r="AB51" i="36"/>
  <c r="AB50" i="36"/>
  <c r="AB49" i="36"/>
  <c r="AB48" i="36"/>
  <c r="AB47" i="36"/>
  <c r="AB46" i="36"/>
  <c r="AB45" i="36"/>
  <c r="AB44" i="36"/>
  <c r="AB43" i="36"/>
  <c r="AB42" i="36"/>
  <c r="AB41" i="36"/>
  <c r="AB40" i="36"/>
  <c r="AB39" i="36"/>
  <c r="AB38" i="36"/>
  <c r="AB37" i="36"/>
  <c r="AB36" i="36"/>
  <c r="AB35" i="36"/>
  <c r="AB34" i="36"/>
  <c r="AB33" i="36"/>
  <c r="AB32" i="36"/>
  <c r="AB31" i="36"/>
  <c r="AB30" i="36"/>
  <c r="AB29" i="36"/>
  <c r="AB28" i="36"/>
  <c r="AB27" i="36"/>
  <c r="AB26" i="36"/>
  <c r="AB25" i="36"/>
  <c r="AB24" i="36"/>
  <c r="AB23" i="36"/>
  <c r="AB22" i="36"/>
  <c r="AB21" i="36"/>
  <c r="AB20" i="36"/>
  <c r="AB19" i="36"/>
  <c r="AB18" i="36"/>
  <c r="AB17" i="36"/>
  <c r="AB16" i="36"/>
  <c r="AB15" i="36"/>
  <c r="AB14" i="36"/>
  <c r="AB13" i="36"/>
  <c r="AB12" i="36"/>
  <c r="AB11" i="36"/>
  <c r="R61" i="35"/>
  <c r="R62" i="35" s="1"/>
  <c r="Q61" i="35"/>
  <c r="P61" i="35"/>
  <c r="O61" i="35"/>
  <c r="N61" i="35"/>
  <c r="N62" i="35" s="1"/>
  <c r="M61" i="35"/>
  <c r="L61" i="35"/>
  <c r="K61" i="35"/>
  <c r="J61" i="35"/>
  <c r="J62" i="35" s="1"/>
  <c r="I61" i="35"/>
  <c r="H61" i="35"/>
  <c r="H62" i="35" s="1"/>
  <c r="D69" i="35" s="1"/>
  <c r="E69" i="35" s="1"/>
  <c r="G61" i="35"/>
  <c r="F61" i="35"/>
  <c r="E61" i="35"/>
  <c r="D61" i="35"/>
  <c r="C61" i="35"/>
  <c r="R60" i="35"/>
  <c r="Q60" i="35"/>
  <c r="P60" i="35"/>
  <c r="O60" i="35"/>
  <c r="N60" i="35"/>
  <c r="M60" i="35"/>
  <c r="L60" i="35"/>
  <c r="K60" i="35"/>
  <c r="J60" i="35"/>
  <c r="I60" i="35"/>
  <c r="H60" i="35"/>
  <c r="G60" i="35"/>
  <c r="F60" i="35"/>
  <c r="E60" i="35"/>
  <c r="D60" i="35"/>
  <c r="C60" i="35"/>
  <c r="R59" i="35"/>
  <c r="Q59" i="35"/>
  <c r="Q62" i="35" s="1"/>
  <c r="P59" i="35"/>
  <c r="O59" i="35"/>
  <c r="N59" i="35"/>
  <c r="M59" i="35"/>
  <c r="M62" i="35" s="1"/>
  <c r="L59" i="35"/>
  <c r="K59" i="35"/>
  <c r="J59" i="35"/>
  <c r="I59" i="35"/>
  <c r="I62" i="35" s="1"/>
  <c r="H59" i="35"/>
  <c r="G59" i="35"/>
  <c r="F59" i="35"/>
  <c r="E59" i="35"/>
  <c r="E62" i="35" s="1"/>
  <c r="D59" i="35"/>
  <c r="C59" i="35"/>
  <c r="U58" i="35"/>
  <c r="U57" i="35"/>
  <c r="U56" i="35"/>
  <c r="U55" i="35"/>
  <c r="U54" i="35"/>
  <c r="U53" i="35"/>
  <c r="U52" i="35"/>
  <c r="U51" i="35"/>
  <c r="U50" i="35"/>
  <c r="U49" i="35"/>
  <c r="U48" i="35"/>
  <c r="U47" i="35"/>
  <c r="U46" i="35"/>
  <c r="U45" i="35"/>
  <c r="U44" i="35"/>
  <c r="U43" i="35"/>
  <c r="U42" i="35"/>
  <c r="U41" i="35"/>
  <c r="U40" i="35"/>
  <c r="U39" i="35"/>
  <c r="U38" i="35"/>
  <c r="U37" i="35"/>
  <c r="U36" i="35"/>
  <c r="U35" i="35"/>
  <c r="U34" i="35"/>
  <c r="U33" i="35"/>
  <c r="U32" i="35"/>
  <c r="U31" i="35"/>
  <c r="U30" i="35"/>
  <c r="U29" i="35"/>
  <c r="U28" i="35"/>
  <c r="U27" i="35"/>
  <c r="U26" i="35"/>
  <c r="U25" i="35"/>
  <c r="R85" i="35"/>
  <c r="E109" i="7" s="1"/>
  <c r="Q85" i="35"/>
  <c r="P85" i="35"/>
  <c r="C109" i="7" s="1"/>
  <c r="O85" i="35"/>
  <c r="N14" i="7" s="1"/>
  <c r="I85" i="35"/>
  <c r="H14" i="7" s="1"/>
  <c r="H85" i="35"/>
  <c r="G14" i="7" s="1"/>
  <c r="G85" i="35"/>
  <c r="F14" i="7" s="1"/>
  <c r="F85" i="35"/>
  <c r="E85" i="35"/>
  <c r="D14" i="7" s="1"/>
  <c r="D85" i="35"/>
  <c r="C14" i="7" s="1"/>
  <c r="U24" i="35"/>
  <c r="U23" i="35"/>
  <c r="U22" i="35"/>
  <c r="U21" i="35"/>
  <c r="U20" i="35"/>
  <c r="U19" i="35"/>
  <c r="U18" i="35"/>
  <c r="U17" i="35"/>
  <c r="U16" i="35"/>
  <c r="U15" i="35"/>
  <c r="U14" i="35"/>
  <c r="U13" i="35"/>
  <c r="U12" i="35"/>
  <c r="U11" i="35"/>
  <c r="U10" i="35"/>
  <c r="U61" i="34"/>
  <c r="T61" i="34"/>
  <c r="S61" i="34"/>
  <c r="R61" i="34"/>
  <c r="Q61" i="34"/>
  <c r="P61" i="34"/>
  <c r="O61" i="34"/>
  <c r="N61" i="34"/>
  <c r="G61" i="34"/>
  <c r="F61" i="34"/>
  <c r="E61" i="34"/>
  <c r="D61" i="34"/>
  <c r="C61" i="34"/>
  <c r="U60" i="34"/>
  <c r="T60" i="34"/>
  <c r="S60" i="34"/>
  <c r="R60" i="34"/>
  <c r="Q60" i="34"/>
  <c r="P60" i="34"/>
  <c r="O60" i="34"/>
  <c r="N60" i="34"/>
  <c r="G60" i="34"/>
  <c r="F60" i="34"/>
  <c r="E60" i="34"/>
  <c r="D60" i="34"/>
  <c r="C60" i="34"/>
  <c r="U59" i="34"/>
  <c r="T59" i="34"/>
  <c r="S59" i="34"/>
  <c r="R59" i="34"/>
  <c r="R62" i="34" s="1"/>
  <c r="Q59" i="34"/>
  <c r="P59" i="34"/>
  <c r="O59" i="34"/>
  <c r="N59" i="34"/>
  <c r="N62" i="34" s="1"/>
  <c r="G59" i="34"/>
  <c r="F59" i="34"/>
  <c r="E59" i="34"/>
  <c r="D59" i="34"/>
  <c r="D62" i="34" s="1"/>
  <c r="C59" i="34"/>
  <c r="X58" i="34"/>
  <c r="X57" i="34"/>
  <c r="X56" i="34"/>
  <c r="X55" i="34"/>
  <c r="X54" i="34"/>
  <c r="X53" i="34"/>
  <c r="X52" i="34"/>
  <c r="X51" i="34"/>
  <c r="X50" i="34"/>
  <c r="X49" i="34"/>
  <c r="X48" i="34"/>
  <c r="X47" i="34"/>
  <c r="X46" i="34"/>
  <c r="X45" i="34"/>
  <c r="X44" i="34"/>
  <c r="X43" i="34"/>
  <c r="X42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X27" i="34"/>
  <c r="X26" i="34"/>
  <c r="X25" i="34"/>
  <c r="X24" i="34"/>
  <c r="X23" i="34"/>
  <c r="X22" i="34"/>
  <c r="T81" i="34"/>
  <c r="E107" i="7" s="1"/>
  <c r="S81" i="34"/>
  <c r="Q81" i="34"/>
  <c r="N12" i="7" s="1"/>
  <c r="F81" i="34"/>
  <c r="C12" i="7" s="1"/>
  <c r="X21" i="34"/>
  <c r="X20" i="34"/>
  <c r="X19" i="34"/>
  <c r="X18" i="34"/>
  <c r="X17" i="34"/>
  <c r="X16" i="34"/>
  <c r="X15" i="34"/>
  <c r="X14" i="34"/>
  <c r="X13" i="34"/>
  <c r="X12" i="34"/>
  <c r="X11" i="34"/>
  <c r="X10" i="34"/>
  <c r="C58" i="52"/>
  <c r="E57" i="52"/>
  <c r="E56" i="52"/>
  <c r="E55" i="52"/>
  <c r="E54" i="52"/>
  <c r="E53" i="52"/>
  <c r="E52" i="52"/>
  <c r="E51" i="52"/>
  <c r="E50" i="52"/>
  <c r="E49" i="52"/>
  <c r="E48" i="52"/>
  <c r="E47" i="52"/>
  <c r="E46" i="52"/>
  <c r="E45" i="52"/>
  <c r="E44" i="52"/>
  <c r="E43" i="52"/>
  <c r="E42" i="52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R72" i="52"/>
  <c r="E106" i="7" s="1"/>
  <c r="Q72" i="52"/>
  <c r="P72" i="52"/>
  <c r="C106" i="7" s="1"/>
  <c r="O72" i="52"/>
  <c r="N11" i="7" s="1"/>
  <c r="N72" i="52"/>
  <c r="M11" i="7" s="1"/>
  <c r="M72" i="52"/>
  <c r="L72" i="52"/>
  <c r="K11" i="7" s="1"/>
  <c r="I72" i="52"/>
  <c r="H11" i="7" s="1"/>
  <c r="D72" i="52"/>
  <c r="C11" i="7" s="1"/>
  <c r="E14" i="52"/>
  <c r="E13" i="52"/>
  <c r="E12" i="52"/>
  <c r="E11" i="52"/>
  <c r="E10" i="52"/>
  <c r="E9" i="52"/>
  <c r="C58" i="51"/>
  <c r="E57" i="51"/>
  <c r="E56" i="51"/>
  <c r="E55" i="51"/>
  <c r="E54" i="51"/>
  <c r="E53" i="51"/>
  <c r="E52" i="51"/>
  <c r="E51" i="51"/>
  <c r="E50" i="51"/>
  <c r="E49" i="51"/>
  <c r="E48" i="51"/>
  <c r="E47" i="51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D68" i="32"/>
  <c r="D67" i="32"/>
  <c r="D66" i="32"/>
  <c r="D65" i="32"/>
  <c r="R62" i="32"/>
  <c r="R63" i="32" s="1"/>
  <c r="Q62" i="32"/>
  <c r="P62" i="32"/>
  <c r="O62" i="32"/>
  <c r="N62" i="32"/>
  <c r="M62" i="32"/>
  <c r="L62" i="32"/>
  <c r="K62" i="32"/>
  <c r="J62" i="32"/>
  <c r="I62" i="32"/>
  <c r="H62" i="32"/>
  <c r="H63" i="32" s="1"/>
  <c r="G62" i="32"/>
  <c r="F62" i="32"/>
  <c r="E62" i="32"/>
  <c r="D62" i="32"/>
  <c r="D63" i="32" s="1"/>
  <c r="C62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R60" i="32"/>
  <c r="Q60" i="32"/>
  <c r="P60" i="32"/>
  <c r="O60" i="32"/>
  <c r="O63" i="32" s="1"/>
  <c r="N60" i="32"/>
  <c r="M60" i="32"/>
  <c r="L60" i="32"/>
  <c r="K60" i="32"/>
  <c r="J60" i="32"/>
  <c r="I60" i="32"/>
  <c r="I63" i="32" s="1"/>
  <c r="H60" i="32"/>
  <c r="G60" i="32"/>
  <c r="F60" i="32"/>
  <c r="E60" i="32"/>
  <c r="D60" i="32"/>
  <c r="C60" i="32"/>
  <c r="C63" i="32" s="1"/>
  <c r="U59" i="32"/>
  <c r="U58" i="32"/>
  <c r="U57" i="32"/>
  <c r="U56" i="32"/>
  <c r="U55" i="32"/>
  <c r="U54" i="32"/>
  <c r="U53" i="32"/>
  <c r="U52" i="32"/>
  <c r="U51" i="32"/>
  <c r="U50" i="32"/>
  <c r="U49" i="32"/>
  <c r="U48" i="32"/>
  <c r="U47" i="32"/>
  <c r="U46" i="32"/>
  <c r="U45" i="32"/>
  <c r="U44" i="32"/>
  <c r="U43" i="32"/>
  <c r="U42" i="32"/>
  <c r="U41" i="32"/>
  <c r="U40" i="32"/>
  <c r="U39" i="32"/>
  <c r="U38" i="32"/>
  <c r="U37" i="32"/>
  <c r="U36" i="32"/>
  <c r="U35" i="32"/>
  <c r="U34" i="32"/>
  <c r="U33" i="32"/>
  <c r="U32" i="32"/>
  <c r="U31" i="32"/>
  <c r="U30" i="32"/>
  <c r="U29" i="32"/>
  <c r="U28" i="32"/>
  <c r="U27" i="32"/>
  <c r="U26" i="32"/>
  <c r="U25" i="32"/>
  <c r="U24" i="32"/>
  <c r="U23" i="32"/>
  <c r="U22" i="32"/>
  <c r="U21" i="32"/>
  <c r="U20" i="32"/>
  <c r="U19" i="32"/>
  <c r="U18" i="32"/>
  <c r="U17" i="32"/>
  <c r="U16" i="32"/>
  <c r="U15" i="32"/>
  <c r="U14" i="32"/>
  <c r="U13" i="32"/>
  <c r="P85" i="32"/>
  <c r="E104" i="7" s="1"/>
  <c r="O85" i="32"/>
  <c r="D104" i="7" s="1"/>
  <c r="N85" i="32"/>
  <c r="C104" i="7" s="1"/>
  <c r="M85" i="32"/>
  <c r="N9" i="7" s="1"/>
  <c r="K85" i="32"/>
  <c r="L9" i="7" s="1"/>
  <c r="G85" i="32"/>
  <c r="H9" i="7" s="1"/>
  <c r="F85" i="32"/>
  <c r="G9" i="7" s="1"/>
  <c r="D85" i="32"/>
  <c r="E9" i="7" s="1"/>
  <c r="B85" i="32"/>
  <c r="C9" i="7" s="1"/>
  <c r="U12" i="32"/>
  <c r="U11" i="32"/>
  <c r="Z58" i="30"/>
  <c r="Z57" i="30"/>
  <c r="Z56" i="30"/>
  <c r="Z55" i="30"/>
  <c r="Z54" i="30"/>
  <c r="Z53" i="30"/>
  <c r="Z52" i="30"/>
  <c r="Z51" i="30"/>
  <c r="Z50" i="30"/>
  <c r="Z49" i="30"/>
  <c r="Z48" i="30"/>
  <c r="Z47" i="30"/>
  <c r="Z46" i="30"/>
  <c r="Z45" i="30"/>
  <c r="Z44" i="30"/>
  <c r="Z43" i="30"/>
  <c r="Z42" i="30"/>
  <c r="Z41" i="30"/>
  <c r="Z40" i="30"/>
  <c r="Z39" i="30"/>
  <c r="Z38" i="30"/>
  <c r="Z37" i="30"/>
  <c r="Z36" i="30"/>
  <c r="Z35" i="30"/>
  <c r="Z34" i="30"/>
  <c r="Z33" i="30"/>
  <c r="Z32" i="30"/>
  <c r="Z31" i="30"/>
  <c r="Z30" i="30"/>
  <c r="Z29" i="30"/>
  <c r="Z28" i="30"/>
  <c r="Z27" i="30"/>
  <c r="Z26" i="30"/>
  <c r="P82" i="30"/>
  <c r="D102" i="7" s="1"/>
  <c r="O82" i="30"/>
  <c r="C102" i="7" s="1"/>
  <c r="N82" i="30"/>
  <c r="D82" i="30"/>
  <c r="D6" i="7" s="1"/>
  <c r="C82" i="30"/>
  <c r="C6" i="7" s="1"/>
  <c r="Z25" i="30"/>
  <c r="Z24" i="30"/>
  <c r="Z23" i="30"/>
  <c r="Z22" i="30"/>
  <c r="Z21" i="30"/>
  <c r="Z20" i="30"/>
  <c r="Z19" i="30"/>
  <c r="Z18" i="30"/>
  <c r="Z17" i="30"/>
  <c r="Z16" i="30"/>
  <c r="Z15" i="30"/>
  <c r="Z14" i="30"/>
  <c r="Z13" i="30"/>
  <c r="Z12" i="30"/>
  <c r="Z11" i="30"/>
  <c r="Z10" i="30"/>
  <c r="Z60" i="30" s="1"/>
  <c r="Z61" i="30" s="1"/>
  <c r="C61" i="29"/>
  <c r="N60" i="29"/>
  <c r="C60" i="29"/>
  <c r="C59" i="29"/>
  <c r="C62" i="29" s="1"/>
  <c r="R83" i="29"/>
  <c r="E101" i="7" s="1"/>
  <c r="Q83" i="29"/>
  <c r="P83" i="29"/>
  <c r="C101" i="7" s="1"/>
  <c r="O83" i="29"/>
  <c r="N7" i="7" s="1"/>
  <c r="H83" i="29"/>
  <c r="G7" i="7" s="1"/>
  <c r="G83" i="29"/>
  <c r="F7" i="7" s="1"/>
  <c r="F83" i="29"/>
  <c r="E7" i="7" s="1"/>
  <c r="E83" i="29"/>
  <c r="D7" i="7" s="1"/>
  <c r="D83" i="29"/>
  <c r="C7" i="7" s="1"/>
  <c r="U58" i="2"/>
  <c r="U13" i="2"/>
  <c r="Z13" i="2" s="1"/>
  <c r="U15" i="2"/>
  <c r="U17" i="2"/>
  <c r="U21" i="2"/>
  <c r="U30" i="2"/>
  <c r="U34" i="2"/>
  <c r="U15" i="54"/>
  <c r="C63" i="36"/>
  <c r="H63" i="36"/>
  <c r="K63" i="36"/>
  <c r="P63" i="36"/>
  <c r="S63" i="36"/>
  <c r="Y63" i="36"/>
  <c r="C62" i="35"/>
  <c r="F62" i="35"/>
  <c r="K62" i="35"/>
  <c r="D72" i="35" s="1"/>
  <c r="E72" i="35" s="1"/>
  <c r="L62" i="35"/>
  <c r="P62" i="35"/>
  <c r="F62" i="34"/>
  <c r="Q62" i="34"/>
  <c r="E63" i="32"/>
  <c r="J63" i="32"/>
  <c r="N63" i="32"/>
  <c r="C59" i="54"/>
  <c r="C60" i="54"/>
  <c r="C61" i="54" s="1"/>
  <c r="I4" i="54" s="1"/>
  <c r="J4" i="54" s="1"/>
  <c r="C59" i="53"/>
  <c r="C60" i="53" s="1"/>
  <c r="W60" i="36"/>
  <c r="C59" i="52"/>
  <c r="C60" i="52" s="1"/>
  <c r="C59" i="51"/>
  <c r="C60" i="51"/>
  <c r="C61" i="51" s="1"/>
  <c r="D63" i="51" s="1"/>
  <c r="E63" i="51" s="1"/>
  <c r="C62" i="30"/>
  <c r="AD70" i="81"/>
  <c r="AD71" i="81" s="1"/>
  <c r="C35" i="84"/>
  <c r="D35" i="84"/>
  <c r="E35" i="84"/>
  <c r="D37" i="61"/>
  <c r="Q37" i="61"/>
  <c r="U37" i="61"/>
  <c r="R37" i="61"/>
  <c r="O37" i="61"/>
  <c r="C91" i="22"/>
  <c r="P71" i="8"/>
  <c r="E75" i="63"/>
  <c r="E78" i="63"/>
  <c r="E77" i="63"/>
  <c r="E79" i="63"/>
  <c r="E76" i="70"/>
  <c r="E78" i="70"/>
  <c r="E77" i="70"/>
  <c r="E75" i="70"/>
  <c r="L63" i="32"/>
  <c r="U71" i="4"/>
  <c r="D56" i="64"/>
  <c r="E53" i="62"/>
  <c r="E51" i="62"/>
  <c r="T45" i="62"/>
  <c r="T46" i="62"/>
  <c r="T47" i="62" s="1"/>
  <c r="E52" i="62"/>
  <c r="E35" i="61"/>
  <c r="E75" i="60"/>
  <c r="E78" i="60"/>
  <c r="AA45" i="24"/>
  <c r="AA46" i="24" s="1"/>
  <c r="F46" i="24"/>
  <c r="J46" i="24"/>
  <c r="D46" i="24"/>
  <c r="N73" i="24"/>
  <c r="E73" i="24"/>
  <c r="C86" i="24"/>
  <c r="P84" i="24"/>
  <c r="S46" i="24"/>
  <c r="F73" i="24"/>
  <c r="N84" i="24"/>
  <c r="G73" i="24"/>
  <c r="E46" i="24"/>
  <c r="H46" i="24"/>
  <c r="L46" i="24"/>
  <c r="P46" i="24"/>
  <c r="C54" i="24" s="1"/>
  <c r="U46" i="24"/>
  <c r="O84" i="24"/>
  <c r="D73" i="24"/>
  <c r="K73" i="24"/>
  <c r="Q46" i="24"/>
  <c r="V46" i="24"/>
  <c r="I46" i="24"/>
  <c r="R46" i="24"/>
  <c r="I41" i="79"/>
  <c r="D42" i="79"/>
  <c r="D43" i="79" s="1"/>
  <c r="I70" i="48"/>
  <c r="I71" i="48" s="1"/>
  <c r="L69" i="48"/>
  <c r="L70" i="48" s="1"/>
  <c r="L71" i="48" s="1"/>
  <c r="H69" i="48"/>
  <c r="Y69" i="48"/>
  <c r="Y70" i="48" s="1"/>
  <c r="Y71" i="48" s="1"/>
  <c r="F70" i="48"/>
  <c r="F71" i="48" s="1"/>
  <c r="Y69" i="8"/>
  <c r="Y70" i="8"/>
  <c r="Y71" i="8" s="1"/>
  <c r="U69" i="8"/>
  <c r="U70" i="8" s="1"/>
  <c r="U71" i="8" s="1"/>
  <c r="W69" i="8"/>
  <c r="W70" i="8"/>
  <c r="W71" i="8" s="1"/>
  <c r="E77" i="81"/>
  <c r="E76" i="81"/>
  <c r="G69" i="81"/>
  <c r="G70" i="81" s="1"/>
  <c r="I69" i="81"/>
  <c r="C79" i="80"/>
  <c r="D79" i="80" s="1"/>
  <c r="C78" i="69"/>
  <c r="D78" i="69" s="1"/>
  <c r="G68" i="69"/>
  <c r="G69" i="69" s="1"/>
  <c r="G70" i="69" s="1"/>
  <c r="E68" i="69"/>
  <c r="E69" i="69"/>
  <c r="E70" i="69" s="1"/>
  <c r="H68" i="69"/>
  <c r="H69" i="69" s="1"/>
  <c r="H70" i="69" s="1"/>
  <c r="F68" i="69"/>
  <c r="F69" i="69"/>
  <c r="F70" i="69" s="1"/>
  <c r="D68" i="69"/>
  <c r="D69" i="69" s="1"/>
  <c r="D70" i="69" s="1"/>
  <c r="J68" i="69"/>
  <c r="J69" i="69" s="1"/>
  <c r="J70" i="69" s="1"/>
  <c r="Q68" i="69"/>
  <c r="Q69" i="69" s="1"/>
  <c r="Q70" i="69"/>
  <c r="O68" i="69"/>
  <c r="O69" i="69" s="1"/>
  <c r="O70" i="69" s="1"/>
  <c r="C55" i="84"/>
  <c r="E62" i="34"/>
  <c r="T62" i="34"/>
  <c r="F82" i="34"/>
  <c r="P62" i="34"/>
  <c r="C62" i="34"/>
  <c r="G62" i="34"/>
  <c r="Z58" i="2"/>
  <c r="AC59" i="86"/>
  <c r="AC60" i="86" s="1"/>
  <c r="Y61" i="86"/>
  <c r="W61" i="86"/>
  <c r="O61" i="86"/>
  <c r="T61" i="86"/>
  <c r="L61" i="86"/>
  <c r="H61" i="86"/>
  <c r="C61" i="86"/>
  <c r="X35" i="61"/>
  <c r="X36" i="61" s="1"/>
  <c r="X37" i="61"/>
  <c r="E36" i="61"/>
  <c r="E37" i="61"/>
  <c r="G35" i="61"/>
  <c r="I42" i="79"/>
  <c r="I43" i="79" s="1"/>
  <c r="L41" i="79"/>
  <c r="L42" i="79" s="1"/>
  <c r="L43" i="79" s="1"/>
  <c r="K69" i="48"/>
  <c r="K70" i="48" s="1"/>
  <c r="K71" i="48" s="1"/>
  <c r="H70" i="48"/>
  <c r="H71" i="48"/>
  <c r="I70" i="81"/>
  <c r="I71" i="81"/>
  <c r="M69" i="81"/>
  <c r="M70" i="81"/>
  <c r="M71" i="81" s="1"/>
  <c r="I35" i="61"/>
  <c r="I36" i="61" s="1"/>
  <c r="I37" i="61" s="1"/>
  <c r="G36" i="61"/>
  <c r="G37" i="61" s="1"/>
  <c r="K35" i="61"/>
  <c r="K36" i="61"/>
  <c r="K37" i="61" s="1"/>
  <c r="M35" i="61"/>
  <c r="M36" i="61" s="1"/>
  <c r="M37" i="61" s="1"/>
  <c r="E65" i="86" l="1"/>
  <c r="E69" i="86"/>
  <c r="E66" i="86"/>
  <c r="E68" i="86"/>
  <c r="E67" i="86"/>
  <c r="K69" i="81"/>
  <c r="K70" i="81" s="1"/>
  <c r="K71" i="81" s="1"/>
  <c r="M4" i="54"/>
  <c r="K20" i="54" s="1"/>
  <c r="K21" i="54" s="1"/>
  <c r="E65" i="7" s="1"/>
  <c r="D71" i="35"/>
  <c r="E71" i="35" s="1"/>
  <c r="Z15" i="2"/>
  <c r="G63" i="32"/>
  <c r="K63" i="32"/>
  <c r="C77" i="32"/>
  <c r="D77" i="32" s="1"/>
  <c r="E60" i="51"/>
  <c r="E61" i="51" s="1"/>
  <c r="F63" i="51" s="1"/>
  <c r="E60" i="52"/>
  <c r="E61" i="52" s="1"/>
  <c r="F65" i="52" s="1"/>
  <c r="H65" i="52" s="1"/>
  <c r="X60" i="34"/>
  <c r="X61" i="34" s="1"/>
  <c r="D109" i="7"/>
  <c r="P86" i="35"/>
  <c r="G62" i="35"/>
  <c r="C52" i="24"/>
  <c r="D52" i="24" s="1"/>
  <c r="G52" i="24" s="1"/>
  <c r="C51" i="24"/>
  <c r="D51" i="24" s="1"/>
  <c r="G51" i="24" s="1"/>
  <c r="C61" i="52"/>
  <c r="D65" i="52" s="1"/>
  <c r="E65" i="52" s="1"/>
  <c r="U61" i="32"/>
  <c r="Q63" i="32"/>
  <c r="P63" i="32"/>
  <c r="C66" i="32" s="1"/>
  <c r="E66" i="32" s="1"/>
  <c r="F66" i="32" s="1"/>
  <c r="D62" i="35"/>
  <c r="D68" i="35" s="1"/>
  <c r="E68" i="35" s="1"/>
  <c r="O62" i="35"/>
  <c r="AB61" i="36"/>
  <c r="AB62" i="36" s="1"/>
  <c r="E63" i="36"/>
  <c r="L63" i="36"/>
  <c r="Z11" i="2"/>
  <c r="Z16" i="2"/>
  <c r="Z19" i="2"/>
  <c r="U20" i="2"/>
  <c r="U22" i="2"/>
  <c r="U24" i="2"/>
  <c r="U33" i="2"/>
  <c r="U37" i="2"/>
  <c r="U41" i="2"/>
  <c r="U44" i="2"/>
  <c r="Z46" i="2"/>
  <c r="Z48" i="2"/>
  <c r="Z49" i="2"/>
  <c r="U53" i="2"/>
  <c r="Z53" i="2" s="1"/>
  <c r="U54" i="2"/>
  <c r="U55" i="2"/>
  <c r="Z55" i="2" s="1"/>
  <c r="U56" i="2"/>
  <c r="G62" i="2"/>
  <c r="Q62" i="2"/>
  <c r="M71" i="85"/>
  <c r="S71" i="85"/>
  <c r="AA19" i="4"/>
  <c r="AD70" i="4"/>
  <c r="AD71" i="4" s="1"/>
  <c r="AA23" i="4"/>
  <c r="AA31" i="4"/>
  <c r="AA41" i="4"/>
  <c r="AA48" i="4"/>
  <c r="AA58" i="4"/>
  <c r="AA62" i="4"/>
  <c r="M103" i="7"/>
  <c r="C108" i="4"/>
  <c r="C76" i="68"/>
  <c r="D76" i="68" s="1"/>
  <c r="F63" i="32"/>
  <c r="O62" i="34"/>
  <c r="F69" i="34" s="1"/>
  <c r="G69" i="34" s="1"/>
  <c r="S62" i="34"/>
  <c r="U60" i="35"/>
  <c r="U61" i="35" s="1"/>
  <c r="W63" i="36"/>
  <c r="D70" i="36" s="1"/>
  <c r="E70" i="36" s="1"/>
  <c r="M63" i="36"/>
  <c r="D69" i="36" s="1"/>
  <c r="E69" i="36" s="1"/>
  <c r="U63" i="36"/>
  <c r="Z12" i="2"/>
  <c r="R62" i="2"/>
  <c r="N71" i="85"/>
  <c r="AA12" i="4"/>
  <c r="AA47" i="4"/>
  <c r="R63" i="36"/>
  <c r="C62" i="2"/>
  <c r="F62" i="2"/>
  <c r="K62" i="2"/>
  <c r="D69" i="2" s="1"/>
  <c r="E69" i="2" s="1"/>
  <c r="N62" i="2"/>
  <c r="D71" i="2" s="1"/>
  <c r="E71" i="2" s="1"/>
  <c r="P62" i="2"/>
  <c r="D71" i="85"/>
  <c r="O71" i="85"/>
  <c r="O63" i="36"/>
  <c r="Z10" i="2"/>
  <c r="U14" i="2"/>
  <c r="U23" i="2"/>
  <c r="U25" i="2"/>
  <c r="U38" i="2"/>
  <c r="Z54" i="2"/>
  <c r="Z56" i="2"/>
  <c r="I62" i="2"/>
  <c r="D68" i="2" s="1"/>
  <c r="E68" i="2" s="1"/>
  <c r="E60" i="53"/>
  <c r="E61" i="53" s="1"/>
  <c r="F66" i="53" s="1"/>
  <c r="V13" i="85"/>
  <c r="V21" i="85"/>
  <c r="V29" i="85"/>
  <c r="V41" i="85"/>
  <c r="V49" i="85"/>
  <c r="V57" i="85"/>
  <c r="V63" i="85"/>
  <c r="V65" i="85"/>
  <c r="V67" i="85"/>
  <c r="E71" i="85"/>
  <c r="P71" i="85"/>
  <c r="J71" i="85"/>
  <c r="AA29" i="4"/>
  <c r="O71" i="4"/>
  <c r="D71" i="68"/>
  <c r="H70" i="81"/>
  <c r="H71" i="81" s="1"/>
  <c r="L69" i="81"/>
  <c r="L70" i="81" s="1"/>
  <c r="L71" i="81" s="1"/>
  <c r="AA22" i="4"/>
  <c r="AA35" i="4"/>
  <c r="AA40" i="4"/>
  <c r="AA51" i="4"/>
  <c r="AA61" i="4"/>
  <c r="H71" i="4"/>
  <c r="W71" i="4"/>
  <c r="P71" i="68"/>
  <c r="N70" i="69"/>
  <c r="C77" i="69" s="1"/>
  <c r="D77" i="69" s="1"/>
  <c r="Y30" i="69"/>
  <c r="Y44" i="69"/>
  <c r="Y46" i="69"/>
  <c r="Y47" i="69"/>
  <c r="Y61" i="69"/>
  <c r="C89" i="71"/>
  <c r="D71" i="71"/>
  <c r="I71" i="80"/>
  <c r="AB71" i="80"/>
  <c r="S71" i="48"/>
  <c r="C71" i="21"/>
  <c r="C46" i="24"/>
  <c r="G46" i="24"/>
  <c r="K46" i="24"/>
  <c r="C53" i="24" s="1"/>
  <c r="D53" i="24" s="1"/>
  <c r="G53" i="24" s="1"/>
  <c r="C65" i="24"/>
  <c r="I42" i="23"/>
  <c r="Q42" i="23"/>
  <c r="AA40" i="79"/>
  <c r="T37" i="61"/>
  <c r="C44" i="61" s="1"/>
  <c r="D44" i="61" s="1"/>
  <c r="G44" i="61" s="1"/>
  <c r="W47" i="62"/>
  <c r="E71" i="63"/>
  <c r="L71" i="63"/>
  <c r="AA26" i="4"/>
  <c r="AA46" i="4"/>
  <c r="AA53" i="4"/>
  <c r="AA54" i="4"/>
  <c r="AA65" i="4"/>
  <c r="AA67" i="4"/>
  <c r="C71" i="4"/>
  <c r="S71" i="4"/>
  <c r="I71" i="68"/>
  <c r="U71" i="68"/>
  <c r="Y71" i="68"/>
  <c r="Y20" i="69"/>
  <c r="Y24" i="69"/>
  <c r="Y48" i="69"/>
  <c r="Y62" i="69"/>
  <c r="C110" i="71"/>
  <c r="AD70" i="71"/>
  <c r="AD71" i="71" s="1"/>
  <c r="H71" i="71"/>
  <c r="AB71" i="71"/>
  <c r="C91" i="80"/>
  <c r="AA71" i="80"/>
  <c r="C75" i="81"/>
  <c r="D75" i="81" s="1"/>
  <c r="G71" i="81"/>
  <c r="C45" i="82"/>
  <c r="S71" i="21"/>
  <c r="M71" i="22"/>
  <c r="O42" i="23"/>
  <c r="Y42" i="23"/>
  <c r="S43" i="79"/>
  <c r="C52" i="62"/>
  <c r="D52" i="62" s="1"/>
  <c r="G52" i="62" s="1"/>
  <c r="R70" i="69"/>
  <c r="C71" i="80"/>
  <c r="C75" i="80" s="1"/>
  <c r="D75" i="80" s="1"/>
  <c r="K71" i="80"/>
  <c r="D71" i="81"/>
  <c r="X71" i="21"/>
  <c r="K71" i="21"/>
  <c r="P42" i="23"/>
  <c r="K41" i="79"/>
  <c r="K42" i="79" s="1"/>
  <c r="G42" i="79"/>
  <c r="G43" i="79" s="1"/>
  <c r="J71" i="4"/>
  <c r="AE70" i="68"/>
  <c r="AE71" i="68" s="1"/>
  <c r="R71" i="68"/>
  <c r="C77" i="68" s="1"/>
  <c r="D77" i="68" s="1"/>
  <c r="AA71" i="68"/>
  <c r="C112" i="69"/>
  <c r="Y9" i="69"/>
  <c r="Y21" i="69"/>
  <c r="Y32" i="69"/>
  <c r="F71" i="71"/>
  <c r="S71" i="71"/>
  <c r="C77" i="71" s="1"/>
  <c r="D77" i="71" s="1"/>
  <c r="I71" i="71"/>
  <c r="C75" i="71" s="1"/>
  <c r="D75" i="71" s="1"/>
  <c r="C114" i="80"/>
  <c r="T71" i="80"/>
  <c r="C78" i="80" s="1"/>
  <c r="D78" i="80" s="1"/>
  <c r="C114" i="81"/>
  <c r="Q71" i="81"/>
  <c r="C79" i="81" s="1"/>
  <c r="D79" i="81" s="1"/>
  <c r="V71" i="81"/>
  <c r="AA70" i="48"/>
  <c r="AA71" i="48" s="1"/>
  <c r="E77" i="48" s="1"/>
  <c r="P71" i="48"/>
  <c r="P71" i="21"/>
  <c r="C78" i="21" s="1"/>
  <c r="D78" i="21" s="1"/>
  <c r="E71" i="22"/>
  <c r="AF39" i="23"/>
  <c r="F42" i="23"/>
  <c r="U42" i="23"/>
  <c r="J41" i="79"/>
  <c r="J42" i="79" s="1"/>
  <c r="J43" i="79" s="1"/>
  <c r="F42" i="79"/>
  <c r="F43" i="79" s="1"/>
  <c r="C48" i="79" s="1"/>
  <c r="D48" i="79" s="1"/>
  <c r="G48" i="79" s="1"/>
  <c r="F35" i="61"/>
  <c r="V45" i="62"/>
  <c r="V46" i="62" s="1"/>
  <c r="V47" i="62" s="1"/>
  <c r="C46" i="62"/>
  <c r="C47" i="62" s="1"/>
  <c r="X71" i="63"/>
  <c r="AA35" i="84"/>
  <c r="C71" i="63"/>
  <c r="C75" i="63" s="1"/>
  <c r="D75" i="63" s="1"/>
  <c r="G75" i="63" s="1"/>
  <c r="O35" i="84"/>
  <c r="C75" i="74"/>
  <c r="D75" i="74" s="1"/>
  <c r="C91" i="9"/>
  <c r="C110" i="58"/>
  <c r="D71" i="10"/>
  <c r="O71" i="10"/>
  <c r="Q71" i="10"/>
  <c r="J71" i="10"/>
  <c r="E69" i="76"/>
  <c r="E70" i="76" s="1"/>
  <c r="C70" i="65"/>
  <c r="E69" i="83"/>
  <c r="E70" i="83" s="1"/>
  <c r="E77" i="83" s="1"/>
  <c r="K45" i="82"/>
  <c r="G45" i="82"/>
  <c r="V45" i="82"/>
  <c r="I71" i="8"/>
  <c r="F71" i="8"/>
  <c r="Q71" i="8"/>
  <c r="S71" i="8"/>
  <c r="C70" i="57"/>
  <c r="C114" i="20"/>
  <c r="O43" i="79"/>
  <c r="F47" i="62"/>
  <c r="S47" i="62"/>
  <c r="C91" i="63"/>
  <c r="H71" i="63"/>
  <c r="O71" i="63"/>
  <c r="I71" i="63"/>
  <c r="S71" i="63"/>
  <c r="AI34" i="84"/>
  <c r="AI35" i="84" s="1"/>
  <c r="I35" i="84"/>
  <c r="C40" i="84" s="1"/>
  <c r="D40" i="84" s="1"/>
  <c r="J35" i="84"/>
  <c r="W35" i="84"/>
  <c r="T71" i="70"/>
  <c r="Q71" i="9"/>
  <c r="W71" i="9"/>
  <c r="C70" i="58"/>
  <c r="AA12" i="10"/>
  <c r="Z68" i="10"/>
  <c r="AA16" i="10"/>
  <c r="AA17" i="10"/>
  <c r="AA20" i="10"/>
  <c r="AA21" i="10"/>
  <c r="AA24" i="10"/>
  <c r="AA25" i="10"/>
  <c r="AA28" i="10"/>
  <c r="AA29" i="10"/>
  <c r="AA32" i="10"/>
  <c r="AA33" i="10"/>
  <c r="AA36" i="10"/>
  <c r="AA37" i="10"/>
  <c r="AA40" i="10"/>
  <c r="AA41" i="10"/>
  <c r="AA44" i="10"/>
  <c r="AA45" i="10"/>
  <c r="AB38" i="78"/>
  <c r="C75" i="77"/>
  <c r="D75" i="77" s="1"/>
  <c r="C74" i="77"/>
  <c r="D74" i="77" s="1"/>
  <c r="F71" i="20"/>
  <c r="C76" i="89"/>
  <c r="D76" i="89" s="1"/>
  <c r="C74" i="89"/>
  <c r="D74" i="89" s="1"/>
  <c r="AC59" i="28"/>
  <c r="AC60" i="28" s="1"/>
  <c r="E68" i="28" s="1"/>
  <c r="G68" i="28" s="1"/>
  <c r="P70" i="5"/>
  <c r="C78" i="70"/>
  <c r="D78" i="70" s="1"/>
  <c r="F78" i="70" s="1"/>
  <c r="C79" i="9"/>
  <c r="D79" i="9" s="1"/>
  <c r="U71" i="10"/>
  <c r="Y71" i="10"/>
  <c r="H71" i="10"/>
  <c r="Q13" i="7"/>
  <c r="C89" i="57"/>
  <c r="C71" i="20"/>
  <c r="G71" i="20"/>
  <c r="M104" i="7"/>
  <c r="C107" i="5"/>
  <c r="AD67" i="5"/>
  <c r="W43" i="79"/>
  <c r="S37" i="61"/>
  <c r="P37" i="61"/>
  <c r="J71" i="63"/>
  <c r="K71" i="63"/>
  <c r="Y71" i="63"/>
  <c r="AD71" i="63"/>
  <c r="H35" i="84"/>
  <c r="C39" i="84" s="1"/>
  <c r="D39" i="84" s="1"/>
  <c r="Q35" i="84"/>
  <c r="C43" i="84" s="1"/>
  <c r="D43" i="84" s="1"/>
  <c r="Y35" i="84"/>
  <c r="AD35" i="84"/>
  <c r="F49" i="64"/>
  <c r="C53" i="64" s="1"/>
  <c r="D53" i="64" s="1"/>
  <c r="G49" i="64"/>
  <c r="K49" i="64"/>
  <c r="E69" i="74"/>
  <c r="E70" i="74" s="1"/>
  <c r="I71" i="9"/>
  <c r="N71" i="9"/>
  <c r="Z71" i="9"/>
  <c r="C75" i="9" s="1"/>
  <c r="D75" i="9" s="1"/>
  <c r="AA11" i="10"/>
  <c r="AA14" i="10"/>
  <c r="AA19" i="10"/>
  <c r="AA22" i="10"/>
  <c r="AA27" i="10"/>
  <c r="AA30" i="10"/>
  <c r="AA35" i="10"/>
  <c r="AA38" i="10"/>
  <c r="AA43" i="10"/>
  <c r="AA46" i="10"/>
  <c r="AA51" i="10"/>
  <c r="AA54" i="10"/>
  <c r="AA59" i="10"/>
  <c r="AA62" i="10"/>
  <c r="AA67" i="10"/>
  <c r="C70" i="83"/>
  <c r="K38" i="78"/>
  <c r="C43" i="78" s="1"/>
  <c r="D43" i="78" s="1"/>
  <c r="E69" i="75"/>
  <c r="E70" i="75" s="1"/>
  <c r="C110" i="59"/>
  <c r="E69" i="77"/>
  <c r="E70" i="77" s="1"/>
  <c r="K61" i="86"/>
  <c r="C66" i="86" s="1"/>
  <c r="D66" i="86" s="1"/>
  <c r="C71" i="60"/>
  <c r="L70" i="5"/>
  <c r="N62" i="29"/>
  <c r="P62" i="29"/>
  <c r="V62" i="30"/>
  <c r="R62" i="30"/>
  <c r="N62" i="30"/>
  <c r="J62" i="30"/>
  <c r="F62" i="30"/>
  <c r="C66" i="30" s="1"/>
  <c r="D66" i="30" s="1"/>
  <c r="E69" i="88"/>
  <c r="E70" i="88" s="1"/>
  <c r="C77" i="88" s="1"/>
  <c r="D77" i="88" s="1"/>
  <c r="C76" i="6"/>
  <c r="D76" i="6" s="1"/>
  <c r="G70" i="90"/>
  <c r="G71" i="90" s="1"/>
  <c r="O61" i="28"/>
  <c r="C67" i="28" s="1"/>
  <c r="D67" i="28" s="1"/>
  <c r="L61" i="28"/>
  <c r="M98" i="6"/>
  <c r="AA57" i="7" s="1"/>
  <c r="V41" i="6"/>
  <c r="V31" i="6"/>
  <c r="V27" i="6"/>
  <c r="V24" i="6"/>
  <c r="G70" i="91"/>
  <c r="G71" i="91" s="1"/>
  <c r="E76" i="91" s="1"/>
  <c r="V71" i="92"/>
  <c r="C103" i="7"/>
  <c r="Z37" i="7"/>
  <c r="AA48" i="10"/>
  <c r="AA52" i="10"/>
  <c r="AA53" i="10"/>
  <c r="AA56" i="10"/>
  <c r="AA57" i="10"/>
  <c r="AA60" i="10"/>
  <c r="AA61" i="10"/>
  <c r="AA65" i="10"/>
  <c r="X71" i="10"/>
  <c r="R71" i="10"/>
  <c r="E69" i="65"/>
  <c r="E70" i="65" s="1"/>
  <c r="V38" i="78"/>
  <c r="AA38" i="78"/>
  <c r="AC44" i="82"/>
  <c r="AC45" i="82" s="1"/>
  <c r="G71" i="8"/>
  <c r="C77" i="8" s="1"/>
  <c r="D77" i="8" s="1"/>
  <c r="K71" i="8"/>
  <c r="AD70" i="8"/>
  <c r="AD71" i="8" s="1"/>
  <c r="E69" i="57"/>
  <c r="E70" i="57" s="1"/>
  <c r="D71" i="20"/>
  <c r="R71" i="20"/>
  <c r="I71" i="60"/>
  <c r="E71" i="60"/>
  <c r="G71" i="60"/>
  <c r="V70" i="5"/>
  <c r="E70" i="5"/>
  <c r="AA60" i="5"/>
  <c r="AA56" i="5"/>
  <c r="AA52" i="5"/>
  <c r="AA48" i="5"/>
  <c r="AA44" i="5"/>
  <c r="AA40" i="5"/>
  <c r="AA36" i="5"/>
  <c r="AA32" i="5"/>
  <c r="AA28" i="5"/>
  <c r="AA24" i="5"/>
  <c r="AA20" i="5"/>
  <c r="AA16" i="5"/>
  <c r="AA12" i="5"/>
  <c r="L62" i="29"/>
  <c r="E62" i="29"/>
  <c r="Q61" i="86"/>
  <c r="V61" i="86"/>
  <c r="C67" i="86" s="1"/>
  <c r="D67" i="86" s="1"/>
  <c r="I61" i="86"/>
  <c r="E69" i="87"/>
  <c r="E70" i="87" s="1"/>
  <c r="E74" i="87" s="1"/>
  <c r="R61" i="28"/>
  <c r="V61" i="28"/>
  <c r="K62" i="34"/>
  <c r="F70" i="34" s="1"/>
  <c r="V32" i="6"/>
  <c r="E71" i="20"/>
  <c r="P71" i="20"/>
  <c r="R70" i="5"/>
  <c r="D62" i="29"/>
  <c r="Q62" i="29"/>
  <c r="P61" i="86"/>
  <c r="C68" i="86" s="1"/>
  <c r="D68" i="86" s="1"/>
  <c r="C74" i="67"/>
  <c r="D74" i="67" s="1"/>
  <c r="C110" i="67"/>
  <c r="V49" i="6"/>
  <c r="V33" i="6"/>
  <c r="V29" i="6"/>
  <c r="V19" i="6"/>
  <c r="V11" i="6"/>
  <c r="E71" i="90"/>
  <c r="C78" i="90" s="1"/>
  <c r="D78" i="90" s="1"/>
  <c r="Y84" i="7"/>
  <c r="W69" i="22"/>
  <c r="W70" i="22" s="1"/>
  <c r="M78" i="52"/>
  <c r="M79" i="52" s="1"/>
  <c r="L58" i="7" s="1"/>
  <c r="I78" i="52"/>
  <c r="I79" i="52" s="1"/>
  <c r="H58" i="7" s="1"/>
  <c r="O78" i="52"/>
  <c r="O79" i="52" s="1"/>
  <c r="N58" i="7" s="1"/>
  <c r="Q78" i="52"/>
  <c r="Q79" i="52" s="1"/>
  <c r="G106" i="7" s="1"/>
  <c r="N78" i="52"/>
  <c r="N79" i="52" s="1"/>
  <c r="M58" i="7" s="1"/>
  <c r="H66" i="52"/>
  <c r="R78" i="52"/>
  <c r="R79" i="52" s="1"/>
  <c r="H106" i="7" s="1"/>
  <c r="L78" i="52"/>
  <c r="L79" i="52" s="1"/>
  <c r="K58" i="7" s="1"/>
  <c r="D78" i="52"/>
  <c r="D79" i="52" s="1"/>
  <c r="P78" i="52"/>
  <c r="P79" i="52" s="1"/>
  <c r="E75" i="4"/>
  <c r="E78" i="4"/>
  <c r="E77" i="4"/>
  <c r="E76" i="4"/>
  <c r="G63" i="51"/>
  <c r="I68" i="34"/>
  <c r="I67" i="34"/>
  <c r="I70" i="34"/>
  <c r="M70" i="34" s="1"/>
  <c r="I69" i="34"/>
  <c r="M69" i="34" s="1"/>
  <c r="C43" i="61"/>
  <c r="D43" i="61" s="1"/>
  <c r="C75" i="68"/>
  <c r="D75" i="68" s="1"/>
  <c r="C78" i="68"/>
  <c r="D106" i="7"/>
  <c r="P73" i="52"/>
  <c r="M20" i="54"/>
  <c r="M21" i="54" s="1"/>
  <c r="G65" i="7" s="1"/>
  <c r="M5" i="54"/>
  <c r="W20" i="54"/>
  <c r="W21" i="54" s="1"/>
  <c r="H113" i="7" s="1"/>
  <c r="N20" i="54"/>
  <c r="N21" i="54" s="1"/>
  <c r="H65" i="7" s="1"/>
  <c r="P20" i="54"/>
  <c r="P21" i="54" s="1"/>
  <c r="J65" i="7" s="1"/>
  <c r="V20" i="54"/>
  <c r="V21" i="54" s="1"/>
  <c r="G113" i="7" s="1"/>
  <c r="L20" i="54"/>
  <c r="L21" i="54" s="1"/>
  <c r="F65" i="7" s="1"/>
  <c r="I20" i="54"/>
  <c r="I21" i="54" s="1"/>
  <c r="T20" i="54"/>
  <c r="T21" i="54" s="1"/>
  <c r="N65" i="7" s="1"/>
  <c r="C76" i="81"/>
  <c r="D76" i="81" s="1"/>
  <c r="G76" i="81" s="1"/>
  <c r="E43" i="78"/>
  <c r="E44" i="78"/>
  <c r="E52" i="82"/>
  <c r="E50" i="82"/>
  <c r="E49" i="82"/>
  <c r="D70" i="24"/>
  <c r="S20" i="54"/>
  <c r="S21" i="54" s="1"/>
  <c r="M65" i="7" s="1"/>
  <c r="U20" i="54"/>
  <c r="U21" i="54" s="1"/>
  <c r="C76" i="69"/>
  <c r="D76" i="69" s="1"/>
  <c r="E45" i="78"/>
  <c r="F68" i="36"/>
  <c r="C61" i="53"/>
  <c r="D66" i="53" s="1"/>
  <c r="E66" i="53" s="1"/>
  <c r="H66" i="53" s="1"/>
  <c r="C75" i="32"/>
  <c r="D75" i="32" s="1"/>
  <c r="U62" i="34"/>
  <c r="F67" i="34" s="1"/>
  <c r="G67" i="34" s="1"/>
  <c r="J63" i="36"/>
  <c r="F13" i="7"/>
  <c r="D84" i="2"/>
  <c r="Z45" i="2"/>
  <c r="Y70" i="85"/>
  <c r="Y71" i="85" s="1"/>
  <c r="G71" i="85"/>
  <c r="C77" i="85" s="1"/>
  <c r="D77" i="85" s="1"/>
  <c r="T71" i="4"/>
  <c r="X71" i="4"/>
  <c r="C77" i="4" s="1"/>
  <c r="D77" i="4" s="1"/>
  <c r="J69" i="48"/>
  <c r="J70" i="48" s="1"/>
  <c r="J71" i="48" s="1"/>
  <c r="G70" i="48"/>
  <c r="G71" i="48" s="1"/>
  <c r="E70" i="48"/>
  <c r="E71" i="48" s="1"/>
  <c r="X69" i="48"/>
  <c r="X70" i="48" s="1"/>
  <c r="X71" i="48" s="1"/>
  <c r="M71" i="21"/>
  <c r="U112" i="7"/>
  <c r="C114" i="22"/>
  <c r="C40" i="7"/>
  <c r="C62" i="23"/>
  <c r="T114" i="7"/>
  <c r="C85" i="23"/>
  <c r="P42" i="79"/>
  <c r="AA41" i="79"/>
  <c r="C76" i="70"/>
  <c r="D76" i="70" s="1"/>
  <c r="F76" i="70" s="1"/>
  <c r="D98" i="70"/>
  <c r="N98" i="70"/>
  <c r="E98" i="70"/>
  <c r="I98" i="70"/>
  <c r="N108" i="70"/>
  <c r="M108" i="70"/>
  <c r="C98" i="70"/>
  <c r="G98" i="70"/>
  <c r="E75" i="9"/>
  <c r="E76" i="9"/>
  <c r="E79" i="9"/>
  <c r="G79" i="9" s="1"/>
  <c r="E78" i="9"/>
  <c r="E77" i="9"/>
  <c r="E76" i="83"/>
  <c r="E75" i="83"/>
  <c r="E74" i="83"/>
  <c r="E70" i="8"/>
  <c r="E71" i="8" s="1"/>
  <c r="C76" i="8" s="1"/>
  <c r="D76" i="8" s="1"/>
  <c r="V69" i="8"/>
  <c r="V70" i="8" s="1"/>
  <c r="V71" i="8" s="1"/>
  <c r="E74" i="75"/>
  <c r="E77" i="75"/>
  <c r="G77" i="75" s="1"/>
  <c r="E75" i="75"/>
  <c r="G75" i="75" s="1"/>
  <c r="E76" i="75"/>
  <c r="Q22" i="7"/>
  <c r="C89" i="75"/>
  <c r="K117" i="7"/>
  <c r="C110" i="75"/>
  <c r="S21" i="7"/>
  <c r="C89" i="74"/>
  <c r="E74" i="77"/>
  <c r="F74" i="77" s="1"/>
  <c r="E76" i="77"/>
  <c r="F76" i="77" s="1"/>
  <c r="E75" i="77"/>
  <c r="F75" i="77" s="1"/>
  <c r="E73" i="77"/>
  <c r="E79" i="60"/>
  <c r="E77" i="60"/>
  <c r="E76" i="60"/>
  <c r="D71" i="60"/>
  <c r="C76" i="60" s="1"/>
  <c r="D76" i="60" s="1"/>
  <c r="N70" i="24"/>
  <c r="O81" i="24"/>
  <c r="I70" i="24"/>
  <c r="G70" i="24"/>
  <c r="P81" i="24"/>
  <c r="K70" i="24"/>
  <c r="E68" i="30"/>
  <c r="E66" i="30"/>
  <c r="E67" i="30"/>
  <c r="E70" i="30"/>
  <c r="D107" i="7"/>
  <c r="R82" i="34"/>
  <c r="C75" i="69"/>
  <c r="D75" i="69" s="1"/>
  <c r="S16" i="7"/>
  <c r="C91" i="69"/>
  <c r="E77" i="58"/>
  <c r="E76" i="58"/>
  <c r="E74" i="58"/>
  <c r="E75" i="58"/>
  <c r="Q34" i="7"/>
  <c r="C88" i="65"/>
  <c r="L71" i="24"/>
  <c r="C71" i="24"/>
  <c r="F71" i="24"/>
  <c r="K71" i="24"/>
  <c r="G71" i="24"/>
  <c r="E71" i="24"/>
  <c r="E42" i="78"/>
  <c r="E69" i="30"/>
  <c r="E75" i="81"/>
  <c r="G75" i="81" s="1"/>
  <c r="E78" i="81"/>
  <c r="E79" i="81"/>
  <c r="G79" i="81" s="1"/>
  <c r="C68" i="32"/>
  <c r="E68" i="32" s="1"/>
  <c r="F68" i="32" s="1"/>
  <c r="D68" i="36"/>
  <c r="E68" i="36" s="1"/>
  <c r="D101" i="7"/>
  <c r="P84" i="29"/>
  <c r="N6" i="7"/>
  <c r="C83" i="30"/>
  <c r="U62" i="32"/>
  <c r="M63" i="32"/>
  <c r="C74" i="32" s="1"/>
  <c r="D74" i="32" s="1"/>
  <c r="D71" i="36"/>
  <c r="E71" i="36" s="1"/>
  <c r="W61" i="2"/>
  <c r="W62" i="2" s="1"/>
  <c r="Z14" i="2"/>
  <c r="Z57" i="2"/>
  <c r="M62" i="2"/>
  <c r="D70" i="2" s="1"/>
  <c r="E70" i="2" s="1"/>
  <c r="E18" i="7"/>
  <c r="I15" i="54"/>
  <c r="C71" i="85"/>
  <c r="C75" i="85" s="1"/>
  <c r="D75" i="85" s="1"/>
  <c r="AA39" i="4"/>
  <c r="G71" i="4"/>
  <c r="P71" i="4"/>
  <c r="E77" i="68"/>
  <c r="E75" i="68"/>
  <c r="G75" i="68" s="1"/>
  <c r="Y23" i="69"/>
  <c r="Y27" i="69"/>
  <c r="C76" i="71"/>
  <c r="D76" i="71" s="1"/>
  <c r="F71" i="80"/>
  <c r="C76" i="80" s="1"/>
  <c r="D76" i="80" s="1"/>
  <c r="C70" i="48"/>
  <c r="C71" i="48" s="1"/>
  <c r="V69" i="48"/>
  <c r="V70" i="48" s="1"/>
  <c r="V71" i="48" s="1"/>
  <c r="C78" i="48" s="1"/>
  <c r="D78" i="48" s="1"/>
  <c r="Q43" i="79"/>
  <c r="C50" i="79" s="1"/>
  <c r="D50" i="79" s="1"/>
  <c r="G50" i="79" s="1"/>
  <c r="W37" i="61"/>
  <c r="P71" i="61"/>
  <c r="D61" i="61"/>
  <c r="G61" i="61"/>
  <c r="F61" i="61"/>
  <c r="C61" i="61"/>
  <c r="O71" i="61"/>
  <c r="N61" i="61"/>
  <c r="C54" i="64"/>
  <c r="D54" i="64" s="1"/>
  <c r="C77" i="9"/>
  <c r="D77" i="9" s="1"/>
  <c r="C79" i="10"/>
  <c r="D79" i="10" s="1"/>
  <c r="E75" i="76"/>
  <c r="E74" i="76"/>
  <c r="E76" i="76"/>
  <c r="E73" i="76"/>
  <c r="X69" i="8"/>
  <c r="X70" i="8" s="1"/>
  <c r="X71" i="8" s="1"/>
  <c r="C79" i="8" s="1"/>
  <c r="D79" i="8" s="1"/>
  <c r="G79" i="8" s="1"/>
  <c r="C70" i="8"/>
  <c r="C71" i="8" s="1"/>
  <c r="C75" i="8" s="1"/>
  <c r="D75" i="8" s="1"/>
  <c r="T69" i="8"/>
  <c r="T70" i="8" s="1"/>
  <c r="T71" i="8" s="1"/>
  <c r="C78" i="8" s="1"/>
  <c r="D78" i="8" s="1"/>
  <c r="N86" i="28"/>
  <c r="M86" i="28"/>
  <c r="L86" i="28"/>
  <c r="L98" i="28"/>
  <c r="E86" i="28"/>
  <c r="M98" i="28"/>
  <c r="J86" i="28"/>
  <c r="N98" i="28"/>
  <c r="G86" i="28"/>
  <c r="F86" i="28"/>
  <c r="H86" i="28"/>
  <c r="C86" i="28"/>
  <c r="I86" i="28"/>
  <c r="D86" i="28"/>
  <c r="L11" i="7"/>
  <c r="S47" i="7" s="1"/>
  <c r="D73" i="52"/>
  <c r="F68" i="34"/>
  <c r="G68" i="34" s="1"/>
  <c r="E17" i="7"/>
  <c r="D74" i="53"/>
  <c r="E112" i="7"/>
  <c r="P74" i="53"/>
  <c r="AB104" i="7"/>
  <c r="C90" i="62"/>
  <c r="E70" i="24"/>
  <c r="C70" i="24"/>
  <c r="J20" i="54"/>
  <c r="J21" i="54" s="1"/>
  <c r="D65" i="7" s="1"/>
  <c r="E51" i="82"/>
  <c r="C53" i="62"/>
  <c r="D53" i="62" s="1"/>
  <c r="G53" i="62" s="1"/>
  <c r="F69" i="35"/>
  <c r="H69" i="35" s="1"/>
  <c r="F70" i="35"/>
  <c r="E14" i="7"/>
  <c r="D86" i="35"/>
  <c r="D70" i="35"/>
  <c r="E70" i="35" s="1"/>
  <c r="D73" i="35"/>
  <c r="E73" i="35" s="1"/>
  <c r="Z20" i="2"/>
  <c r="Z43" i="2"/>
  <c r="Z44" i="2"/>
  <c r="U51" i="2"/>
  <c r="Z51" i="2" s="1"/>
  <c r="C78" i="85"/>
  <c r="D78" i="85" s="1"/>
  <c r="R71" i="85"/>
  <c r="C76" i="85" s="1"/>
  <c r="D76" i="85" s="1"/>
  <c r="AA42" i="4"/>
  <c r="C75" i="4"/>
  <c r="D75" i="4" s="1"/>
  <c r="K71" i="4"/>
  <c r="V71" i="4"/>
  <c r="C78" i="4" s="1"/>
  <c r="D78" i="4" s="1"/>
  <c r="C89" i="68"/>
  <c r="AB68" i="69"/>
  <c r="AB69" i="69" s="1"/>
  <c r="O71" i="80"/>
  <c r="C77" i="80" s="1"/>
  <c r="D77" i="80" s="1"/>
  <c r="S71" i="80"/>
  <c r="E76" i="48"/>
  <c r="E75" i="48"/>
  <c r="E78" i="48"/>
  <c r="C51" i="82"/>
  <c r="D51" i="82" s="1"/>
  <c r="W38" i="78"/>
  <c r="C45" i="78" s="1"/>
  <c r="D45" i="78" s="1"/>
  <c r="F41" i="7"/>
  <c r="C56" i="78"/>
  <c r="AC70" i="10"/>
  <c r="AC68" i="10"/>
  <c r="S101" i="7"/>
  <c r="C114" i="8"/>
  <c r="E78" i="8"/>
  <c r="E77" i="8"/>
  <c r="E75" i="8"/>
  <c r="E76" i="8"/>
  <c r="G76" i="8" s="1"/>
  <c r="E76" i="57"/>
  <c r="E77" i="57"/>
  <c r="E74" i="57"/>
  <c r="E75" i="57"/>
  <c r="J108" i="88"/>
  <c r="E97" i="88"/>
  <c r="C97" i="88"/>
  <c r="H108" i="88"/>
  <c r="G97" i="88"/>
  <c r="N97" i="88"/>
  <c r="I108" i="88"/>
  <c r="D97" i="88"/>
  <c r="F97" i="88"/>
  <c r="C67" i="32"/>
  <c r="E67" i="32" s="1"/>
  <c r="F67" i="32" s="1"/>
  <c r="O83" i="30"/>
  <c r="C110" i="85"/>
  <c r="Y53" i="69"/>
  <c r="R20" i="7"/>
  <c r="C91" i="81"/>
  <c r="C89" i="48"/>
  <c r="D71" i="48"/>
  <c r="S105" i="7"/>
  <c r="C110" i="48"/>
  <c r="F71" i="21"/>
  <c r="C75" i="21" s="1"/>
  <c r="D75" i="21" s="1"/>
  <c r="AD70" i="21"/>
  <c r="AD71" i="21" s="1"/>
  <c r="I71" i="22"/>
  <c r="C38" i="78"/>
  <c r="F38" i="78"/>
  <c r="E55" i="62"/>
  <c r="U47" i="62"/>
  <c r="C54" i="62" s="1"/>
  <c r="D54" i="62" s="1"/>
  <c r="G54" i="62" s="1"/>
  <c r="C78" i="63"/>
  <c r="D78" i="63" s="1"/>
  <c r="G78" i="63" s="1"/>
  <c r="AB71" i="63"/>
  <c r="C76" i="63" s="1"/>
  <c r="D76" i="63" s="1"/>
  <c r="G76" i="63" s="1"/>
  <c r="AC105" i="7"/>
  <c r="C114" i="63"/>
  <c r="C42" i="84"/>
  <c r="D42" i="84" s="1"/>
  <c r="M35" i="84"/>
  <c r="C41" i="84" s="1"/>
  <c r="D41" i="84" s="1"/>
  <c r="V49" i="64"/>
  <c r="C57" i="64" s="1"/>
  <c r="D57" i="64" s="1"/>
  <c r="AD70" i="80"/>
  <c r="AD71" i="80" s="1"/>
  <c r="Z12" i="70"/>
  <c r="Q71" i="70"/>
  <c r="C77" i="70" s="1"/>
  <c r="D77" i="70" s="1"/>
  <c r="F77" i="70" s="1"/>
  <c r="C76" i="74"/>
  <c r="D76" i="74" s="1"/>
  <c r="C74" i="74"/>
  <c r="D74" i="74" s="1"/>
  <c r="C76" i="10"/>
  <c r="D76" i="10" s="1"/>
  <c r="P71" i="10"/>
  <c r="C78" i="10" s="1"/>
  <c r="D78" i="10" s="1"/>
  <c r="X45" i="82"/>
  <c r="R12" i="7"/>
  <c r="C89" i="56"/>
  <c r="M107" i="7"/>
  <c r="L126" i="7" s="1"/>
  <c r="C110" i="56"/>
  <c r="C77" i="59"/>
  <c r="D77" i="59" s="1"/>
  <c r="C75" i="59"/>
  <c r="D75" i="59" s="1"/>
  <c r="C76" i="59"/>
  <c r="D76" i="59" s="1"/>
  <c r="F35" i="7"/>
  <c r="C89" i="59"/>
  <c r="W71" i="20"/>
  <c r="C75" i="5"/>
  <c r="D75" i="5" s="1"/>
  <c r="D69" i="29"/>
  <c r="E69" i="29" s="1"/>
  <c r="C94" i="89"/>
  <c r="G94" i="89"/>
  <c r="I94" i="89"/>
  <c r="E94" i="89"/>
  <c r="D78" i="89"/>
  <c r="D94" i="89"/>
  <c r="H105" i="89"/>
  <c r="J105" i="89"/>
  <c r="I105" i="89"/>
  <c r="E77" i="71"/>
  <c r="G77" i="71" s="1"/>
  <c r="E78" i="71"/>
  <c r="G78" i="71" s="1"/>
  <c r="P71" i="81"/>
  <c r="C77" i="81" s="1"/>
  <c r="D77" i="81" s="1"/>
  <c r="G77" i="81" s="1"/>
  <c r="C52" i="82"/>
  <c r="D52" i="82" s="1"/>
  <c r="C76" i="21"/>
  <c r="D76" i="21" s="1"/>
  <c r="R71" i="21"/>
  <c r="AF41" i="23"/>
  <c r="AF42" i="23" s="1"/>
  <c r="L42" i="23"/>
  <c r="C48" i="23" s="1"/>
  <c r="D48" i="23" s="1"/>
  <c r="S38" i="78"/>
  <c r="C44" i="78" s="1"/>
  <c r="D44" i="78" s="1"/>
  <c r="AE42" i="79"/>
  <c r="AE43" i="79" s="1"/>
  <c r="K43" i="79"/>
  <c r="AD36" i="61"/>
  <c r="AD37" i="61" s="1"/>
  <c r="C51" i="62"/>
  <c r="D51" i="62" s="1"/>
  <c r="G51" i="62" s="1"/>
  <c r="E77" i="74"/>
  <c r="G77" i="74" s="1"/>
  <c r="E75" i="74"/>
  <c r="G75" i="74" s="1"/>
  <c r="E74" i="74"/>
  <c r="G74" i="74" s="1"/>
  <c r="E76" i="74"/>
  <c r="C78" i="9"/>
  <c r="D78" i="9" s="1"/>
  <c r="K71" i="9"/>
  <c r="C76" i="9" s="1"/>
  <c r="D76" i="9" s="1"/>
  <c r="C71" i="10"/>
  <c r="C75" i="10" s="1"/>
  <c r="D75" i="10" s="1"/>
  <c r="C75" i="76"/>
  <c r="D75" i="76" s="1"/>
  <c r="C73" i="76"/>
  <c r="D73" i="76" s="1"/>
  <c r="C76" i="76"/>
  <c r="D76" i="76" s="1"/>
  <c r="C74" i="76"/>
  <c r="D74" i="76" s="1"/>
  <c r="C75" i="65"/>
  <c r="D75" i="65" s="1"/>
  <c r="C73" i="65"/>
  <c r="D73" i="65" s="1"/>
  <c r="E77" i="56"/>
  <c r="G77" i="56" s="1"/>
  <c r="E74" i="56"/>
  <c r="E76" i="56"/>
  <c r="E75" i="56"/>
  <c r="G75" i="56" s="1"/>
  <c r="C76" i="56"/>
  <c r="D76" i="56" s="1"/>
  <c r="C74" i="56"/>
  <c r="D74" i="56" s="1"/>
  <c r="C78" i="20"/>
  <c r="D78" i="20" s="1"/>
  <c r="D84" i="29"/>
  <c r="W71" i="71"/>
  <c r="C78" i="71" s="1"/>
  <c r="D78" i="71" s="1"/>
  <c r="W71" i="80"/>
  <c r="Q71" i="48"/>
  <c r="C77" i="48" s="1"/>
  <c r="D77" i="48" s="1"/>
  <c r="G77" i="48" s="1"/>
  <c r="D45" i="82"/>
  <c r="C50" i="82" s="1"/>
  <c r="D50" i="82" s="1"/>
  <c r="V71" i="21"/>
  <c r="C79" i="21" s="1"/>
  <c r="D79" i="21" s="1"/>
  <c r="U111" i="7"/>
  <c r="C114" i="21"/>
  <c r="C42" i="23"/>
  <c r="C46" i="23" s="1"/>
  <c r="D46" i="23" s="1"/>
  <c r="G42" i="23"/>
  <c r="C49" i="23"/>
  <c r="D49" i="23" s="1"/>
  <c r="X42" i="23"/>
  <c r="C50" i="23" s="1"/>
  <c r="D50" i="23" s="1"/>
  <c r="F67" i="79"/>
  <c r="D67" i="79"/>
  <c r="E67" i="79"/>
  <c r="N67" i="79"/>
  <c r="O77" i="79"/>
  <c r="P77" i="79"/>
  <c r="C67" i="79"/>
  <c r="C36" i="61"/>
  <c r="C37" i="61" s="1"/>
  <c r="V35" i="61"/>
  <c r="V36" i="61" s="1"/>
  <c r="V37" i="61" s="1"/>
  <c r="Q47" i="62"/>
  <c r="C55" i="62" s="1"/>
  <c r="D55" i="62" s="1"/>
  <c r="C77" i="63"/>
  <c r="D77" i="63" s="1"/>
  <c r="G77" i="63" s="1"/>
  <c r="Q71" i="63"/>
  <c r="C79" i="63" s="1"/>
  <c r="D79" i="63" s="1"/>
  <c r="G79" i="63" s="1"/>
  <c r="R49" i="64"/>
  <c r="M49" i="64"/>
  <c r="C55" i="64" s="1"/>
  <c r="D55" i="64" s="1"/>
  <c r="H71" i="70"/>
  <c r="C75" i="70" s="1"/>
  <c r="D75" i="70" s="1"/>
  <c r="F75" i="70" s="1"/>
  <c r="C76" i="58"/>
  <c r="D76" i="58" s="1"/>
  <c r="C74" i="58"/>
  <c r="D74" i="58" s="1"/>
  <c r="C77" i="10"/>
  <c r="D77" i="10" s="1"/>
  <c r="E74" i="65"/>
  <c r="E76" i="65"/>
  <c r="C74" i="83"/>
  <c r="D74" i="83" s="1"/>
  <c r="C77" i="83"/>
  <c r="D77" i="83" s="1"/>
  <c r="F77" i="83" s="1"/>
  <c r="C76" i="83"/>
  <c r="D76" i="83" s="1"/>
  <c r="C75" i="83"/>
  <c r="D75" i="83" s="1"/>
  <c r="S35" i="7"/>
  <c r="C89" i="83"/>
  <c r="AA109" i="7"/>
  <c r="C110" i="83"/>
  <c r="C76" i="57"/>
  <c r="D76" i="57" s="1"/>
  <c r="C74" i="57"/>
  <c r="D74" i="57" s="1"/>
  <c r="C75" i="56"/>
  <c r="D75" i="56" s="1"/>
  <c r="C75" i="20"/>
  <c r="D75" i="20" s="1"/>
  <c r="J71" i="20"/>
  <c r="C75" i="60"/>
  <c r="D75" i="60" s="1"/>
  <c r="G75" i="60" s="1"/>
  <c r="E10" i="7"/>
  <c r="D74" i="51"/>
  <c r="H107" i="89"/>
  <c r="D96" i="89"/>
  <c r="N96" i="89"/>
  <c r="M96" i="89"/>
  <c r="F96" i="89"/>
  <c r="K96" i="89"/>
  <c r="C96" i="89"/>
  <c r="J107" i="89"/>
  <c r="G96" i="89"/>
  <c r="I107" i="89"/>
  <c r="C55" i="61"/>
  <c r="C67" i="62"/>
  <c r="C110" i="74"/>
  <c r="C109" i="65"/>
  <c r="C110" i="57"/>
  <c r="C73" i="77"/>
  <c r="D73" i="77" s="1"/>
  <c r="C88" i="77"/>
  <c r="AD70" i="20"/>
  <c r="AD71" i="20" s="1"/>
  <c r="O71" i="20"/>
  <c r="Q9" i="7"/>
  <c r="C87" i="5"/>
  <c r="U70" i="5"/>
  <c r="C74" i="5"/>
  <c r="D74" i="5" s="1"/>
  <c r="O62" i="30"/>
  <c r="C69" i="30" s="1"/>
  <c r="D69" i="30" s="1"/>
  <c r="C70" i="30"/>
  <c r="D70" i="30" s="1"/>
  <c r="C67" i="30"/>
  <c r="D67" i="30" s="1"/>
  <c r="D8" i="7"/>
  <c r="C81" i="86"/>
  <c r="C75" i="88"/>
  <c r="D75" i="88" s="1"/>
  <c r="C76" i="88"/>
  <c r="D76" i="88" s="1"/>
  <c r="C74" i="88"/>
  <c r="E76" i="7"/>
  <c r="C72" i="82"/>
  <c r="L71" i="20"/>
  <c r="AB71" i="20"/>
  <c r="C77" i="60"/>
  <c r="D77" i="60" s="1"/>
  <c r="C68" i="30"/>
  <c r="D68" i="30" s="1"/>
  <c r="C77" i="87"/>
  <c r="D77" i="87" s="1"/>
  <c r="C75" i="87"/>
  <c r="D75" i="87" s="1"/>
  <c r="C74" i="87"/>
  <c r="D74" i="87" s="1"/>
  <c r="C76" i="87"/>
  <c r="D76" i="87" s="1"/>
  <c r="E76" i="67"/>
  <c r="E77" i="67"/>
  <c r="F77" i="67" s="1"/>
  <c r="E74" i="67"/>
  <c r="F74" i="67" s="1"/>
  <c r="E75" i="67"/>
  <c r="C76" i="67"/>
  <c r="D76" i="67" s="1"/>
  <c r="C75" i="67"/>
  <c r="D75" i="67" s="1"/>
  <c r="T37" i="7"/>
  <c r="T84" i="7"/>
  <c r="AA37" i="7"/>
  <c r="T47" i="7" s="1"/>
  <c r="AA84" i="7"/>
  <c r="E66" i="28"/>
  <c r="E67" i="28"/>
  <c r="G67" i="28" s="1"/>
  <c r="E69" i="28"/>
  <c r="G69" i="28" s="1"/>
  <c r="V37" i="7"/>
  <c r="O47" i="7" s="1"/>
  <c r="V84" i="7"/>
  <c r="E75" i="91"/>
  <c r="E77" i="91"/>
  <c r="E78" i="91"/>
  <c r="G78" i="91" s="1"/>
  <c r="C62" i="82"/>
  <c r="AB70" i="22"/>
  <c r="AB71" i="22" s="1"/>
  <c r="C82" i="79"/>
  <c r="C76" i="61"/>
  <c r="C77" i="84"/>
  <c r="C114" i="9"/>
  <c r="C88" i="76"/>
  <c r="C114" i="10"/>
  <c r="C27" i="7"/>
  <c r="C91" i="8"/>
  <c r="C76" i="75"/>
  <c r="D76" i="75" s="1"/>
  <c r="C74" i="75"/>
  <c r="D74" i="75" s="1"/>
  <c r="E69" i="59"/>
  <c r="E70" i="59" s="1"/>
  <c r="S71" i="20"/>
  <c r="X71" i="60"/>
  <c r="R28" i="7"/>
  <c r="C91" i="60"/>
  <c r="AB48" i="64"/>
  <c r="AB49" i="64" s="1"/>
  <c r="D70" i="29"/>
  <c r="E70" i="29" s="1"/>
  <c r="AA60" i="29"/>
  <c r="AA61" i="29" s="1"/>
  <c r="X62" i="29"/>
  <c r="D72" i="29" s="1"/>
  <c r="E72" i="29" s="1"/>
  <c r="Q47" i="7"/>
  <c r="F74" i="87"/>
  <c r="E77" i="87"/>
  <c r="E76" i="87"/>
  <c r="F76" i="87" s="1"/>
  <c r="E75" i="87"/>
  <c r="F75" i="87" s="1"/>
  <c r="C75" i="89"/>
  <c r="D75" i="89" s="1"/>
  <c r="C77" i="89"/>
  <c r="D77" i="89" s="1"/>
  <c r="T38" i="7"/>
  <c r="C89" i="89"/>
  <c r="AB112" i="7"/>
  <c r="C110" i="89"/>
  <c r="E65" i="28"/>
  <c r="D61" i="28"/>
  <c r="H61" i="28"/>
  <c r="C36" i="7"/>
  <c r="C91" i="20"/>
  <c r="F62" i="29"/>
  <c r="D68" i="29" s="1"/>
  <c r="E68" i="29" s="1"/>
  <c r="T62" i="29"/>
  <c r="D71" i="29" s="1"/>
  <c r="E71" i="29" s="1"/>
  <c r="J61" i="86"/>
  <c r="C65" i="86" s="1"/>
  <c r="D65" i="86" s="1"/>
  <c r="F65" i="86" s="1"/>
  <c r="C110" i="87"/>
  <c r="C89" i="87"/>
  <c r="C110" i="88"/>
  <c r="Q37" i="7"/>
  <c r="Q84" i="7"/>
  <c r="AB84" i="7"/>
  <c r="AB37" i="7"/>
  <c r="E61" i="28"/>
  <c r="M61" i="28"/>
  <c r="C109" i="6"/>
  <c r="Y70" i="6"/>
  <c r="Y71" i="6" s="1"/>
  <c r="P82" i="36"/>
  <c r="H71" i="92"/>
  <c r="Q36" i="7"/>
  <c r="U37" i="7"/>
  <c r="N47" i="7" s="1"/>
  <c r="AD71" i="60"/>
  <c r="C79" i="60" s="1"/>
  <c r="D79" i="60" s="1"/>
  <c r="R47" i="7"/>
  <c r="C33" i="7"/>
  <c r="C89" i="88"/>
  <c r="R37" i="7"/>
  <c r="R84" i="7"/>
  <c r="C16" i="7"/>
  <c r="C80" i="28"/>
  <c r="C111" i="7"/>
  <c r="C102" i="28"/>
  <c r="C77" i="6"/>
  <c r="D77" i="6" s="1"/>
  <c r="E76" i="90"/>
  <c r="E77" i="90"/>
  <c r="E78" i="90"/>
  <c r="E75" i="90"/>
  <c r="AC70" i="92"/>
  <c r="AC71" i="92" s="1"/>
  <c r="L105" i="7"/>
  <c r="X61" i="86"/>
  <c r="C69" i="86" s="1"/>
  <c r="D69" i="86" s="1"/>
  <c r="F69" i="86" s="1"/>
  <c r="C89" i="67"/>
  <c r="I61" i="28"/>
  <c r="C78" i="6"/>
  <c r="D78" i="6" s="1"/>
  <c r="C75" i="6"/>
  <c r="D75" i="6" s="1"/>
  <c r="V20" i="6"/>
  <c r="C71" i="90"/>
  <c r="C71" i="91"/>
  <c r="K71" i="92"/>
  <c r="D71" i="92"/>
  <c r="C76" i="92" s="1"/>
  <c r="D76" i="92" s="1"/>
  <c r="C70" i="22"/>
  <c r="C71" i="22" s="1"/>
  <c r="T69" i="22"/>
  <c r="T70" i="22" s="1"/>
  <c r="T71" i="22" s="1"/>
  <c r="V69" i="22"/>
  <c r="V70" i="22" s="1"/>
  <c r="V71" i="22" s="1"/>
  <c r="AD69" i="5"/>
  <c r="AD70" i="5" s="1"/>
  <c r="S37" i="7"/>
  <c r="S84" i="7"/>
  <c r="J62" i="34"/>
  <c r="T71" i="6"/>
  <c r="V48" i="6"/>
  <c r="V23" i="6"/>
  <c r="D82" i="36"/>
  <c r="S6" i="7"/>
  <c r="C89" i="90"/>
  <c r="K101" i="7"/>
  <c r="C110" i="90"/>
  <c r="Q14" i="7"/>
  <c r="C89" i="91"/>
  <c r="O71" i="92"/>
  <c r="R27" i="7"/>
  <c r="C91" i="92"/>
  <c r="C79" i="92"/>
  <c r="D79" i="92" s="1"/>
  <c r="T71" i="92"/>
  <c r="P71" i="22"/>
  <c r="H98" i="6"/>
  <c r="V57" i="7" s="1"/>
  <c r="Q10" i="7"/>
  <c r="C89" i="6"/>
  <c r="V51" i="6"/>
  <c r="V47" i="6"/>
  <c r="V44" i="6"/>
  <c r="V37" i="6"/>
  <c r="Q33" i="7"/>
  <c r="C69" i="64"/>
  <c r="L109" i="7"/>
  <c r="C110" i="91"/>
  <c r="AA101" i="7"/>
  <c r="C114" i="92"/>
  <c r="M71" i="92"/>
  <c r="C77" i="92" s="1"/>
  <c r="D77" i="92" s="1"/>
  <c r="G71" i="92"/>
  <c r="C75" i="92" s="1"/>
  <c r="D75" i="92" s="1"/>
  <c r="C77" i="41"/>
  <c r="D77" i="41" s="1"/>
  <c r="E76" i="41"/>
  <c r="E75" i="41"/>
  <c r="G75" i="41" s="1"/>
  <c r="E77" i="41"/>
  <c r="E78" i="41"/>
  <c r="W84" i="7"/>
  <c r="W37" i="7"/>
  <c r="P47" i="7" s="1"/>
  <c r="C78" i="41"/>
  <c r="D78" i="41" s="1"/>
  <c r="S71" i="22"/>
  <c r="U71" i="22"/>
  <c r="G70" i="5"/>
  <c r="C76" i="5" s="1"/>
  <c r="D76" i="5" s="1"/>
  <c r="Q71" i="22"/>
  <c r="D71" i="22"/>
  <c r="W70" i="5"/>
  <c r="C77" i="5" s="1"/>
  <c r="D77" i="5" s="1"/>
  <c r="Q11" i="7"/>
  <c r="C89" i="41"/>
  <c r="C110" i="41"/>
  <c r="K106" i="7"/>
  <c r="W71" i="22"/>
  <c r="C77" i="22" s="1"/>
  <c r="D77" i="22" s="1"/>
  <c r="Y69" i="22"/>
  <c r="Y70" i="22" s="1"/>
  <c r="Y71" i="22" s="1"/>
  <c r="F70" i="22"/>
  <c r="F71" i="22" s="1"/>
  <c r="O70" i="5"/>
  <c r="C76" i="41"/>
  <c r="D76" i="41" s="1"/>
  <c r="C75" i="41"/>
  <c r="D75" i="41" s="1"/>
  <c r="G64" i="61" l="1"/>
  <c r="O74" i="61"/>
  <c r="P74" i="61"/>
  <c r="E64" i="61"/>
  <c r="D64" i="61"/>
  <c r="N64" i="61"/>
  <c r="F64" i="61"/>
  <c r="C64" i="61"/>
  <c r="K72" i="24"/>
  <c r="D72" i="24"/>
  <c r="I72" i="24"/>
  <c r="E72" i="24"/>
  <c r="P83" i="24"/>
  <c r="F72" i="24"/>
  <c r="N83" i="24"/>
  <c r="O83" i="24"/>
  <c r="G72" i="24"/>
  <c r="C72" i="24"/>
  <c r="N72" i="24"/>
  <c r="C97" i="63"/>
  <c r="P108" i="63"/>
  <c r="N97" i="63"/>
  <c r="D97" i="63"/>
  <c r="O108" i="63"/>
  <c r="E97" i="63"/>
  <c r="N108" i="63"/>
  <c r="G97" i="63"/>
  <c r="C74" i="62"/>
  <c r="G74" i="62"/>
  <c r="F74" i="62"/>
  <c r="N74" i="62"/>
  <c r="D74" i="62"/>
  <c r="P85" i="62"/>
  <c r="O85" i="62"/>
  <c r="L74" i="62"/>
  <c r="I74" i="62"/>
  <c r="E74" i="62"/>
  <c r="K74" i="62"/>
  <c r="Q85" i="62"/>
  <c r="J125" i="7"/>
  <c r="K47" i="7"/>
  <c r="L47" i="7"/>
  <c r="M47" i="7"/>
  <c r="G77" i="8"/>
  <c r="F76" i="76"/>
  <c r="C76" i="4"/>
  <c r="D76" i="4" s="1"/>
  <c r="G66" i="30"/>
  <c r="F76" i="83"/>
  <c r="C77" i="21"/>
  <c r="D77" i="21" s="1"/>
  <c r="E41" i="84"/>
  <c r="G41" i="84" s="1"/>
  <c r="E42" i="84"/>
  <c r="G42" i="84" s="1"/>
  <c r="E40" i="84"/>
  <c r="G40" i="84" s="1"/>
  <c r="E43" i="84"/>
  <c r="G43" i="84" s="1"/>
  <c r="E39" i="84"/>
  <c r="G39" i="84" s="1"/>
  <c r="F68" i="86"/>
  <c r="G69" i="30"/>
  <c r="G68" i="30"/>
  <c r="G75" i="9"/>
  <c r="G44" i="78"/>
  <c r="E73" i="65"/>
  <c r="F73" i="65" s="1"/>
  <c r="E75" i="65"/>
  <c r="C77" i="58"/>
  <c r="D77" i="58" s="1"/>
  <c r="G77" i="58" s="1"/>
  <c r="C75" i="58"/>
  <c r="D75" i="58" s="1"/>
  <c r="G75" i="58" s="1"/>
  <c r="F72" i="35"/>
  <c r="H72" i="35" s="1"/>
  <c r="F68" i="35"/>
  <c r="H68" i="35" s="1"/>
  <c r="F71" i="35"/>
  <c r="H71" i="35" s="1"/>
  <c r="F73" i="35"/>
  <c r="H73" i="35" s="1"/>
  <c r="C76" i="32"/>
  <c r="D76" i="32" s="1"/>
  <c r="F66" i="86"/>
  <c r="C66" i="28"/>
  <c r="D66" i="28" s="1"/>
  <c r="C77" i="20"/>
  <c r="D77" i="20" s="1"/>
  <c r="F75" i="65"/>
  <c r="G77" i="68"/>
  <c r="G43" i="78"/>
  <c r="F98" i="70"/>
  <c r="K98" i="70"/>
  <c r="E96" i="89"/>
  <c r="I96" i="89"/>
  <c r="C77" i="57"/>
  <c r="D77" i="57" s="1"/>
  <c r="G77" i="57" s="1"/>
  <c r="C75" i="57"/>
  <c r="D75" i="57" s="1"/>
  <c r="G75" i="57" s="1"/>
  <c r="C49" i="82"/>
  <c r="D49" i="82" s="1"/>
  <c r="G49" i="82" s="1"/>
  <c r="E76" i="71"/>
  <c r="G76" i="71" s="1"/>
  <c r="E75" i="71"/>
  <c r="G75" i="71" s="1"/>
  <c r="C50" i="24"/>
  <c r="D50" i="24" s="1"/>
  <c r="G50" i="24" s="1"/>
  <c r="D67" i="2"/>
  <c r="E67" i="2" s="1"/>
  <c r="F70" i="36"/>
  <c r="H70" i="36" s="1"/>
  <c r="F69" i="36"/>
  <c r="H69" i="36" s="1"/>
  <c r="F71" i="36"/>
  <c r="H71" i="36" s="1"/>
  <c r="L70" i="24"/>
  <c r="N81" i="24"/>
  <c r="F70" i="24"/>
  <c r="F74" i="24" s="1"/>
  <c r="F86" i="7" s="1"/>
  <c r="J47" i="7"/>
  <c r="G78" i="41"/>
  <c r="G78" i="90"/>
  <c r="C65" i="28"/>
  <c r="D65" i="28" s="1"/>
  <c r="F76" i="65"/>
  <c r="G74" i="57"/>
  <c r="G75" i="8"/>
  <c r="G78" i="81"/>
  <c r="F75" i="83"/>
  <c r="M68" i="34"/>
  <c r="C76" i="65"/>
  <c r="D76" i="65" s="1"/>
  <c r="C74" i="65"/>
  <c r="D74" i="65" s="1"/>
  <c r="F74" i="65" s="1"/>
  <c r="F36" i="61"/>
  <c r="F37" i="61" s="1"/>
  <c r="C42" i="61" s="1"/>
  <c r="D42" i="61" s="1"/>
  <c r="G42" i="61" s="1"/>
  <c r="Y35" i="61"/>
  <c r="Y36" i="61" s="1"/>
  <c r="Y37" i="61" s="1"/>
  <c r="H35" i="61"/>
  <c r="E76" i="68"/>
  <c r="G76" i="68" s="1"/>
  <c r="E78" i="68"/>
  <c r="G78" i="68" s="1"/>
  <c r="C47" i="23"/>
  <c r="D47" i="23" s="1"/>
  <c r="C78" i="81"/>
  <c r="D78" i="81" s="1"/>
  <c r="N82" i="24"/>
  <c r="O82" i="24"/>
  <c r="D71" i="24"/>
  <c r="P82" i="24"/>
  <c r="N71" i="24"/>
  <c r="N74" i="24" s="1"/>
  <c r="N86" i="7" s="1"/>
  <c r="I71" i="24"/>
  <c r="F67" i="86"/>
  <c r="F70" i="86"/>
  <c r="E79" i="53"/>
  <c r="E80" i="53" s="1"/>
  <c r="D64" i="7" s="1"/>
  <c r="H67" i="53"/>
  <c r="G79" i="53"/>
  <c r="G80" i="53" s="1"/>
  <c r="F64" i="7" s="1"/>
  <c r="M79" i="53"/>
  <c r="M80" i="53" s="1"/>
  <c r="L64" i="7" s="1"/>
  <c r="K79" i="53"/>
  <c r="K80" i="53" s="1"/>
  <c r="J64" i="7" s="1"/>
  <c r="H79" i="53"/>
  <c r="H80" i="53" s="1"/>
  <c r="G64" i="7" s="1"/>
  <c r="Q79" i="53"/>
  <c r="Q80" i="53" s="1"/>
  <c r="G112" i="7" s="1"/>
  <c r="D79" i="53"/>
  <c r="D80" i="53" s="1"/>
  <c r="F79" i="53"/>
  <c r="F80" i="53" s="1"/>
  <c r="E64" i="7" s="1"/>
  <c r="N79" i="53"/>
  <c r="N80" i="53" s="1"/>
  <c r="M64" i="7" s="1"/>
  <c r="P79" i="53"/>
  <c r="P80" i="53" s="1"/>
  <c r="L79" i="53"/>
  <c r="L80" i="53" s="1"/>
  <c r="K64" i="7" s="1"/>
  <c r="I79" i="53"/>
  <c r="I80" i="53" s="1"/>
  <c r="H64" i="7" s="1"/>
  <c r="O79" i="53"/>
  <c r="O80" i="53" s="1"/>
  <c r="N64" i="7" s="1"/>
  <c r="J79" i="53"/>
  <c r="J80" i="53" s="1"/>
  <c r="I64" i="7" s="1"/>
  <c r="R79" i="53"/>
  <c r="R80" i="53" s="1"/>
  <c r="H112" i="7" s="1"/>
  <c r="F130" i="7"/>
  <c r="V124" i="7"/>
  <c r="G130" i="7"/>
  <c r="W124" i="7"/>
  <c r="E99" i="81"/>
  <c r="N99" i="81"/>
  <c r="H99" i="81"/>
  <c r="O110" i="81"/>
  <c r="G99" i="81"/>
  <c r="P110" i="81"/>
  <c r="D99" i="81"/>
  <c r="C99" i="81"/>
  <c r="F99" i="81"/>
  <c r="N110" i="81"/>
  <c r="K130" i="7"/>
  <c r="AA124" i="7"/>
  <c r="E130" i="7"/>
  <c r="U124" i="7"/>
  <c r="I130" i="7"/>
  <c r="Y124" i="7"/>
  <c r="O130" i="7"/>
  <c r="AE124" i="7"/>
  <c r="D97" i="60"/>
  <c r="C97" i="60"/>
  <c r="F97" i="60"/>
  <c r="N108" i="60"/>
  <c r="H97" i="60"/>
  <c r="P108" i="60"/>
  <c r="O108" i="60"/>
  <c r="N97" i="60"/>
  <c r="E97" i="60"/>
  <c r="N97" i="48"/>
  <c r="E97" i="48"/>
  <c r="D97" i="48"/>
  <c r="F97" i="48"/>
  <c r="H97" i="48"/>
  <c r="N107" i="48"/>
  <c r="P107" i="48"/>
  <c r="O107" i="48"/>
  <c r="C97" i="48"/>
  <c r="G97" i="48"/>
  <c r="S130" i="7"/>
  <c r="AI124" i="7"/>
  <c r="M107" i="70"/>
  <c r="N107" i="70"/>
  <c r="D97" i="70"/>
  <c r="E97" i="70"/>
  <c r="I97" i="70"/>
  <c r="I99" i="70" s="1"/>
  <c r="W64" i="7" s="1"/>
  <c r="G97" i="70"/>
  <c r="F97" i="70"/>
  <c r="O107" i="70"/>
  <c r="N97" i="70"/>
  <c r="C97" i="70"/>
  <c r="K97" i="70"/>
  <c r="P109" i="63"/>
  <c r="G98" i="63"/>
  <c r="E98" i="63"/>
  <c r="N109" i="63"/>
  <c r="C98" i="63"/>
  <c r="O109" i="63"/>
  <c r="F98" i="63"/>
  <c r="D98" i="63"/>
  <c r="G80" i="63"/>
  <c r="N98" i="63"/>
  <c r="K98" i="63"/>
  <c r="N130" i="7"/>
  <c r="AD124" i="7"/>
  <c r="N98" i="81"/>
  <c r="C98" i="81"/>
  <c r="O109" i="81"/>
  <c r="P109" i="81"/>
  <c r="P113" i="81" s="1"/>
  <c r="P115" i="7" s="1"/>
  <c r="G98" i="81"/>
  <c r="F98" i="81"/>
  <c r="H98" i="81"/>
  <c r="D98" i="81"/>
  <c r="E98" i="81"/>
  <c r="N109" i="81"/>
  <c r="J130" i="7"/>
  <c r="Z124" i="7"/>
  <c r="N105" i="70"/>
  <c r="M105" i="70"/>
  <c r="C95" i="70"/>
  <c r="F79" i="70"/>
  <c r="H130" i="7"/>
  <c r="X124" i="7"/>
  <c r="I106" i="65"/>
  <c r="K95" i="65"/>
  <c r="F95" i="65"/>
  <c r="L95" i="65"/>
  <c r="G95" i="65"/>
  <c r="J106" i="65"/>
  <c r="D95" i="65"/>
  <c r="C95" i="65"/>
  <c r="M95" i="65"/>
  <c r="H106" i="65"/>
  <c r="N95" i="65"/>
  <c r="E95" i="65"/>
  <c r="E75" i="62"/>
  <c r="O86" i="62"/>
  <c r="L75" i="62"/>
  <c r="G75" i="62"/>
  <c r="K75" i="62"/>
  <c r="D75" i="62"/>
  <c r="N75" i="62"/>
  <c r="F75" i="62"/>
  <c r="Q86" i="62"/>
  <c r="I75" i="62"/>
  <c r="C75" i="62"/>
  <c r="P86" i="62"/>
  <c r="E77" i="5"/>
  <c r="F77" i="5" s="1"/>
  <c r="E74" i="5"/>
  <c r="F74" i="5" s="1"/>
  <c r="E76" i="5"/>
  <c r="F76" i="5" s="1"/>
  <c r="E75" i="5"/>
  <c r="F75" i="5" s="1"/>
  <c r="E95" i="87"/>
  <c r="I95" i="87"/>
  <c r="F95" i="87"/>
  <c r="K95" i="87"/>
  <c r="C95" i="87"/>
  <c r="J95" i="87"/>
  <c r="H95" i="87"/>
  <c r="N95" i="87"/>
  <c r="I106" i="87"/>
  <c r="G95" i="87"/>
  <c r="H106" i="87"/>
  <c r="L95" i="87"/>
  <c r="M95" i="87"/>
  <c r="D95" i="87"/>
  <c r="J106" i="87"/>
  <c r="L108" i="91"/>
  <c r="E98" i="91"/>
  <c r="C98" i="91"/>
  <c r="N98" i="91"/>
  <c r="M108" i="91"/>
  <c r="D98" i="91"/>
  <c r="N108" i="91"/>
  <c r="F98" i="91"/>
  <c r="G98" i="91"/>
  <c r="G97" i="67"/>
  <c r="L97" i="67"/>
  <c r="D97" i="67"/>
  <c r="H97" i="67"/>
  <c r="N97" i="67"/>
  <c r="E97" i="67"/>
  <c r="H108" i="67"/>
  <c r="I97" i="67"/>
  <c r="K97" i="67"/>
  <c r="C97" i="67"/>
  <c r="M97" i="67"/>
  <c r="J108" i="67"/>
  <c r="F97" i="67"/>
  <c r="I108" i="67"/>
  <c r="J106" i="88"/>
  <c r="E95" i="88"/>
  <c r="N95" i="88"/>
  <c r="I106" i="88"/>
  <c r="H95" i="88"/>
  <c r="H106" i="88"/>
  <c r="F95" i="88"/>
  <c r="G95" i="88"/>
  <c r="C95" i="88"/>
  <c r="D95" i="88"/>
  <c r="C62" i="61"/>
  <c r="C65" i="61" s="1"/>
  <c r="G62" i="61"/>
  <c r="F62" i="61"/>
  <c r="O72" i="61"/>
  <c r="O75" i="61" s="1"/>
  <c r="Q72" i="61"/>
  <c r="Q75" i="61" s="1"/>
  <c r="AF103" i="7" s="1"/>
  <c r="H62" i="61"/>
  <c r="H65" i="61" s="1"/>
  <c r="W76" i="7" s="1"/>
  <c r="D62" i="61"/>
  <c r="G45" i="61"/>
  <c r="P72" i="61"/>
  <c r="E62" i="61"/>
  <c r="E65" i="61" s="1"/>
  <c r="S76" i="7" s="1"/>
  <c r="N62" i="61"/>
  <c r="N68" i="79"/>
  <c r="F68" i="79"/>
  <c r="Q78" i="79"/>
  <c r="H68" i="79"/>
  <c r="C68" i="79"/>
  <c r="G68" i="79"/>
  <c r="P78" i="79"/>
  <c r="O78" i="79"/>
  <c r="D68" i="79"/>
  <c r="E68" i="79"/>
  <c r="H108" i="56"/>
  <c r="J97" i="56"/>
  <c r="C97" i="56"/>
  <c r="I97" i="56"/>
  <c r="F97" i="56"/>
  <c r="K97" i="56"/>
  <c r="G97" i="56"/>
  <c r="I108" i="56"/>
  <c r="E97" i="56"/>
  <c r="L97" i="56"/>
  <c r="N97" i="56"/>
  <c r="D97" i="56"/>
  <c r="M97" i="56"/>
  <c r="C76" i="62"/>
  <c r="I76" i="62"/>
  <c r="K76" i="62"/>
  <c r="O87" i="62"/>
  <c r="E76" i="62"/>
  <c r="F76" i="62"/>
  <c r="P87" i="62"/>
  <c r="Q87" i="62"/>
  <c r="N76" i="62"/>
  <c r="G76" i="62"/>
  <c r="D76" i="62"/>
  <c r="L108" i="8"/>
  <c r="G97" i="8"/>
  <c r="N97" i="8"/>
  <c r="E97" i="8"/>
  <c r="J97" i="8"/>
  <c r="I97" i="8"/>
  <c r="M108" i="8"/>
  <c r="D97" i="8"/>
  <c r="H97" i="8"/>
  <c r="L97" i="8"/>
  <c r="F97" i="8"/>
  <c r="M97" i="8"/>
  <c r="K97" i="8"/>
  <c r="C97" i="8"/>
  <c r="N108" i="8"/>
  <c r="G92" i="35"/>
  <c r="O92" i="35"/>
  <c r="H92" i="35"/>
  <c r="Q92" i="35"/>
  <c r="D92" i="35"/>
  <c r="E92" i="35"/>
  <c r="P92" i="35"/>
  <c r="F92" i="35"/>
  <c r="R92" i="35"/>
  <c r="J92" i="35"/>
  <c r="I92" i="35"/>
  <c r="G63" i="84"/>
  <c r="F63" i="84"/>
  <c r="C63" i="84"/>
  <c r="E63" i="84"/>
  <c r="P74" i="84"/>
  <c r="N74" i="84"/>
  <c r="D63" i="84"/>
  <c r="O74" i="84"/>
  <c r="E95" i="35"/>
  <c r="I95" i="35"/>
  <c r="P95" i="35"/>
  <c r="J95" i="35"/>
  <c r="R95" i="35"/>
  <c r="K95" i="35"/>
  <c r="F95" i="35"/>
  <c r="O95" i="35"/>
  <c r="H95" i="35"/>
  <c r="Q95" i="35"/>
  <c r="D95" i="35"/>
  <c r="G95" i="35"/>
  <c r="H96" i="68"/>
  <c r="D96" i="68"/>
  <c r="C96" i="68"/>
  <c r="E96" i="68"/>
  <c r="F96" i="68"/>
  <c r="N96" i="68"/>
  <c r="O106" i="68"/>
  <c r="N91" i="30"/>
  <c r="P91" i="30"/>
  <c r="C91" i="30"/>
  <c r="O91" i="30"/>
  <c r="D91" i="30"/>
  <c r="P88" i="30"/>
  <c r="C88" i="30"/>
  <c r="O88" i="30"/>
  <c r="D88" i="30"/>
  <c r="N88" i="30"/>
  <c r="L95" i="77"/>
  <c r="M95" i="77"/>
  <c r="I95" i="77"/>
  <c r="N95" i="77"/>
  <c r="H106" i="77"/>
  <c r="G95" i="77"/>
  <c r="F95" i="77"/>
  <c r="C95" i="77"/>
  <c r="K95" i="77"/>
  <c r="E95" i="77"/>
  <c r="I106" i="77"/>
  <c r="D95" i="77"/>
  <c r="G74" i="75"/>
  <c r="O112" i="9"/>
  <c r="C101" i="9"/>
  <c r="G101" i="9"/>
  <c r="N112" i="9"/>
  <c r="P112" i="9"/>
  <c r="N101" i="9"/>
  <c r="D101" i="9"/>
  <c r="E101" i="9"/>
  <c r="F101" i="9"/>
  <c r="O73" i="84"/>
  <c r="P73" i="84"/>
  <c r="E62" i="84"/>
  <c r="D62" i="84"/>
  <c r="C62" i="84"/>
  <c r="G62" i="84"/>
  <c r="F62" i="84"/>
  <c r="N73" i="84"/>
  <c r="H90" i="36"/>
  <c r="O90" i="36"/>
  <c r="G90" i="36"/>
  <c r="M90" i="36"/>
  <c r="L90" i="36"/>
  <c r="F90" i="36"/>
  <c r="N90" i="36"/>
  <c r="N91" i="36" s="1"/>
  <c r="M62" i="7" s="1"/>
  <c r="Q90" i="36"/>
  <c r="E90" i="36"/>
  <c r="R90" i="36"/>
  <c r="D90" i="36"/>
  <c r="P90" i="36"/>
  <c r="G77" i="4"/>
  <c r="C58" i="7"/>
  <c r="D80" i="52"/>
  <c r="C78" i="60"/>
  <c r="D78" i="60" s="1"/>
  <c r="G78" i="60" s="1"/>
  <c r="G65" i="28"/>
  <c r="J107" i="65"/>
  <c r="L96" i="65"/>
  <c r="K96" i="65"/>
  <c r="M96" i="65"/>
  <c r="G96" i="65"/>
  <c r="F96" i="65"/>
  <c r="D96" i="65"/>
  <c r="C96" i="65"/>
  <c r="N96" i="65"/>
  <c r="H107" i="65"/>
  <c r="E96" i="65"/>
  <c r="I107" i="65"/>
  <c r="E47" i="23"/>
  <c r="G47" i="23" s="1"/>
  <c r="E46" i="23"/>
  <c r="G46" i="23" s="1"/>
  <c r="E48" i="23"/>
  <c r="G48" i="23" s="1"/>
  <c r="E50" i="23"/>
  <c r="G50" i="23" s="1"/>
  <c r="E49" i="23"/>
  <c r="G49" i="23" s="1"/>
  <c r="G55" i="62"/>
  <c r="L125" i="7"/>
  <c r="G78" i="48"/>
  <c r="F74" i="76"/>
  <c r="F65" i="61"/>
  <c r="T76" i="7" s="1"/>
  <c r="G67" i="32"/>
  <c r="H67" i="32" s="1"/>
  <c r="K89" i="32" s="1"/>
  <c r="G68" i="32"/>
  <c r="H68" i="32" s="1"/>
  <c r="K90" i="32" s="1"/>
  <c r="E74" i="32"/>
  <c r="G74" i="32" s="1"/>
  <c r="G66" i="32"/>
  <c r="H66" i="32" s="1"/>
  <c r="K88" i="32" s="1"/>
  <c r="E77" i="32"/>
  <c r="G77" i="32" s="1"/>
  <c r="E75" i="32"/>
  <c r="G75" i="32" s="1"/>
  <c r="E76" i="32"/>
  <c r="G76" i="32" s="1"/>
  <c r="G65" i="32"/>
  <c r="K126" i="7"/>
  <c r="K125" i="7"/>
  <c r="G74" i="58"/>
  <c r="S90" i="34"/>
  <c r="H90" i="34"/>
  <c r="G90" i="34"/>
  <c r="T90" i="34"/>
  <c r="J90" i="34"/>
  <c r="I90" i="34"/>
  <c r="Q90" i="34"/>
  <c r="R90" i="34"/>
  <c r="F90" i="34"/>
  <c r="G78" i="4"/>
  <c r="C76" i="22"/>
  <c r="D76" i="22" s="1"/>
  <c r="C98" i="41"/>
  <c r="N98" i="41"/>
  <c r="D98" i="41"/>
  <c r="O108" i="41"/>
  <c r="H98" i="41"/>
  <c r="E98" i="41"/>
  <c r="N108" i="41"/>
  <c r="C76" i="91"/>
  <c r="D76" i="91" s="1"/>
  <c r="G76" i="91" s="1"/>
  <c r="C77" i="91"/>
  <c r="D77" i="91" s="1"/>
  <c r="G77" i="91" s="1"/>
  <c r="C75" i="91"/>
  <c r="D75" i="91" s="1"/>
  <c r="E77" i="6"/>
  <c r="G77" i="6" s="1"/>
  <c r="E78" i="6"/>
  <c r="G78" i="6" s="1"/>
  <c r="E75" i="6"/>
  <c r="G75" i="6" s="1"/>
  <c r="E76" i="6"/>
  <c r="G76" i="6" s="1"/>
  <c r="D97" i="89"/>
  <c r="N97" i="89"/>
  <c r="C97" i="89"/>
  <c r="F97" i="89"/>
  <c r="E97" i="89"/>
  <c r="H108" i="89"/>
  <c r="I97" i="89"/>
  <c r="I108" i="89"/>
  <c r="J108" i="89"/>
  <c r="G97" i="89"/>
  <c r="F77" i="87"/>
  <c r="F70" i="29"/>
  <c r="G70" i="29" s="1"/>
  <c r="F72" i="29"/>
  <c r="G72" i="29" s="1"/>
  <c r="F71" i="29"/>
  <c r="G71" i="29" s="1"/>
  <c r="F68" i="29"/>
  <c r="G68" i="29" s="1"/>
  <c r="F69" i="29"/>
  <c r="G69" i="29" s="1"/>
  <c r="E54" i="64"/>
  <c r="G54" i="64" s="1"/>
  <c r="E57" i="64"/>
  <c r="G57" i="64" s="1"/>
  <c r="E53" i="64"/>
  <c r="G53" i="64" s="1"/>
  <c r="E55" i="64"/>
  <c r="G55" i="64" s="1"/>
  <c r="E56" i="64"/>
  <c r="G56" i="64" s="1"/>
  <c r="E78" i="22"/>
  <c r="E77" i="22"/>
  <c r="G77" i="22" s="1"/>
  <c r="E79" i="22"/>
  <c r="E76" i="22"/>
  <c r="G76" i="22" s="1"/>
  <c r="E75" i="22"/>
  <c r="G75" i="91"/>
  <c r="J85" i="28"/>
  <c r="I85" i="28"/>
  <c r="H85" i="28"/>
  <c r="F85" i="28"/>
  <c r="M97" i="28"/>
  <c r="K85" i="28"/>
  <c r="N97" i="28"/>
  <c r="L85" i="28"/>
  <c r="G85" i="28"/>
  <c r="M85" i="28"/>
  <c r="C85" i="28"/>
  <c r="N85" i="28"/>
  <c r="D85" i="28"/>
  <c r="L97" i="28"/>
  <c r="F75" i="67"/>
  <c r="D78" i="88"/>
  <c r="D74" i="88"/>
  <c r="C76" i="20"/>
  <c r="D76" i="20" s="1"/>
  <c r="J126" i="7"/>
  <c r="G76" i="56"/>
  <c r="G97" i="74"/>
  <c r="N97" i="74"/>
  <c r="H108" i="74"/>
  <c r="C97" i="74"/>
  <c r="I97" i="74"/>
  <c r="H97" i="74"/>
  <c r="J108" i="74"/>
  <c r="F97" i="74"/>
  <c r="I108" i="74"/>
  <c r="E97" i="74"/>
  <c r="D97" i="74"/>
  <c r="E98" i="71"/>
  <c r="C98" i="71"/>
  <c r="N98" i="71"/>
  <c r="N108" i="71"/>
  <c r="O108" i="71"/>
  <c r="G98" i="71"/>
  <c r="F98" i="71"/>
  <c r="D98" i="71"/>
  <c r="E79" i="21"/>
  <c r="G79" i="21" s="1"/>
  <c r="E75" i="21"/>
  <c r="G75" i="21" s="1"/>
  <c r="E76" i="21"/>
  <c r="G76" i="21" s="1"/>
  <c r="E77" i="21"/>
  <c r="G77" i="21" s="1"/>
  <c r="E78" i="21"/>
  <c r="G78" i="21" s="1"/>
  <c r="G76" i="57"/>
  <c r="G78" i="8"/>
  <c r="AC71" i="10"/>
  <c r="E76" i="69"/>
  <c r="F76" i="69" s="1"/>
  <c r="E78" i="69"/>
  <c r="F78" i="69" s="1"/>
  <c r="E75" i="69"/>
  <c r="F75" i="69" s="1"/>
  <c r="E77" i="69"/>
  <c r="F77" i="69" s="1"/>
  <c r="E89" i="36"/>
  <c r="O89" i="36"/>
  <c r="G89" i="36"/>
  <c r="H89" i="36"/>
  <c r="F89" i="36"/>
  <c r="P89" i="36"/>
  <c r="R89" i="36"/>
  <c r="D89" i="36"/>
  <c r="Q89" i="36"/>
  <c r="K101" i="8"/>
  <c r="H101" i="8"/>
  <c r="M101" i="8"/>
  <c r="C101" i="8"/>
  <c r="N112" i="8"/>
  <c r="E101" i="8"/>
  <c r="G101" i="8"/>
  <c r="I101" i="8"/>
  <c r="D101" i="8"/>
  <c r="M112" i="8"/>
  <c r="N101" i="8"/>
  <c r="L112" i="8"/>
  <c r="F75" i="76"/>
  <c r="N65" i="61"/>
  <c r="G65" i="61"/>
  <c r="U76" i="7" s="1"/>
  <c r="E70" i="79"/>
  <c r="C70" i="79"/>
  <c r="G70" i="79"/>
  <c r="D70" i="79"/>
  <c r="O80" i="79"/>
  <c r="F70" i="79"/>
  <c r="P80" i="79"/>
  <c r="N70" i="79"/>
  <c r="F71" i="2"/>
  <c r="H71" i="2" s="1"/>
  <c r="F69" i="2"/>
  <c r="H69" i="2" s="1"/>
  <c r="F67" i="2"/>
  <c r="H67" i="2" s="1"/>
  <c r="F68" i="2"/>
  <c r="H68" i="2" s="1"/>
  <c r="F70" i="2"/>
  <c r="H70" i="2" s="1"/>
  <c r="D100" i="81"/>
  <c r="N111" i="81"/>
  <c r="C100" i="81"/>
  <c r="O111" i="81"/>
  <c r="E100" i="81"/>
  <c r="G100" i="81"/>
  <c r="N100" i="81"/>
  <c r="F100" i="81"/>
  <c r="H88" i="36"/>
  <c r="L88" i="36"/>
  <c r="L91" i="36" s="1"/>
  <c r="K62" i="7" s="1"/>
  <c r="G88" i="36"/>
  <c r="M88" i="36"/>
  <c r="F88" i="36"/>
  <c r="E88" i="36"/>
  <c r="O88" i="36"/>
  <c r="Q88" i="36"/>
  <c r="P88" i="36"/>
  <c r="R88" i="36"/>
  <c r="D88" i="36"/>
  <c r="G76" i="58"/>
  <c r="G70" i="30"/>
  <c r="C95" i="68"/>
  <c r="D95" i="68"/>
  <c r="N95" i="68"/>
  <c r="O105" i="68"/>
  <c r="F95" i="68"/>
  <c r="G74" i="24"/>
  <c r="G86" i="7" s="1"/>
  <c r="G94" i="77"/>
  <c r="F94" i="77"/>
  <c r="L94" i="77"/>
  <c r="I105" i="77"/>
  <c r="E94" i="77"/>
  <c r="N94" i="77"/>
  <c r="D94" i="77"/>
  <c r="H105" i="77"/>
  <c r="K94" i="77"/>
  <c r="M94" i="77"/>
  <c r="C94" i="77"/>
  <c r="K95" i="75"/>
  <c r="J96" i="75"/>
  <c r="I106" i="75"/>
  <c r="D95" i="75"/>
  <c r="C95" i="75"/>
  <c r="H95" i="75"/>
  <c r="E95" i="75"/>
  <c r="G95" i="75"/>
  <c r="J106" i="75"/>
  <c r="N95" i="75"/>
  <c r="M95" i="75"/>
  <c r="H106" i="75"/>
  <c r="I95" i="75"/>
  <c r="F95" i="75"/>
  <c r="L95" i="75"/>
  <c r="G77" i="9"/>
  <c r="G97" i="9"/>
  <c r="O108" i="9"/>
  <c r="C97" i="9"/>
  <c r="D97" i="9"/>
  <c r="P108" i="9"/>
  <c r="N108" i="9"/>
  <c r="F113" i="7"/>
  <c r="U22" i="54"/>
  <c r="Q73" i="78"/>
  <c r="O73" i="78"/>
  <c r="L63" i="78"/>
  <c r="D63" i="78"/>
  <c r="E63" i="78"/>
  <c r="P73" i="78"/>
  <c r="J63" i="78"/>
  <c r="M63" i="78"/>
  <c r="G63" i="78"/>
  <c r="K63" i="78"/>
  <c r="F63" i="78"/>
  <c r="C63" i="78"/>
  <c r="N63" i="78"/>
  <c r="I63" i="78"/>
  <c r="C65" i="7"/>
  <c r="I22" i="54"/>
  <c r="H91" i="34"/>
  <c r="G91" i="34"/>
  <c r="S91" i="34"/>
  <c r="I91" i="34"/>
  <c r="T91" i="34"/>
  <c r="J91" i="34"/>
  <c r="F91" i="34"/>
  <c r="R91" i="34"/>
  <c r="Q91" i="34"/>
  <c r="J79" i="51"/>
  <c r="J80" i="51" s="1"/>
  <c r="I57" i="7" s="1"/>
  <c r="D79" i="51"/>
  <c r="D80" i="51" s="1"/>
  <c r="M79" i="51"/>
  <c r="M80" i="51" s="1"/>
  <c r="L57" i="7" s="1"/>
  <c r="K79" i="51"/>
  <c r="K80" i="51" s="1"/>
  <c r="J57" i="7" s="1"/>
  <c r="H79" i="51"/>
  <c r="H80" i="51" s="1"/>
  <c r="G57" i="7" s="1"/>
  <c r="I79" i="51"/>
  <c r="I80" i="51" s="1"/>
  <c r="H57" i="7" s="1"/>
  <c r="G64" i="51"/>
  <c r="F79" i="51"/>
  <c r="F80" i="51" s="1"/>
  <c r="E57" i="7" s="1"/>
  <c r="N79" i="51"/>
  <c r="N80" i="51" s="1"/>
  <c r="M57" i="7" s="1"/>
  <c r="E79" i="51"/>
  <c r="E80" i="51" s="1"/>
  <c r="D57" i="7" s="1"/>
  <c r="G79" i="51"/>
  <c r="G80" i="51" s="1"/>
  <c r="F57" i="7" s="1"/>
  <c r="O79" i="51"/>
  <c r="O80" i="51" s="1"/>
  <c r="N57" i="7" s="1"/>
  <c r="L79" i="51"/>
  <c r="L80" i="51" s="1"/>
  <c r="K57" i="7" s="1"/>
  <c r="G75" i="4"/>
  <c r="O105" i="41"/>
  <c r="H95" i="41"/>
  <c r="C95" i="41"/>
  <c r="N95" i="41"/>
  <c r="E95" i="41"/>
  <c r="D95" i="41"/>
  <c r="N105" i="41"/>
  <c r="L130" i="7"/>
  <c r="AB124" i="7"/>
  <c r="C99" i="63"/>
  <c r="P110" i="63"/>
  <c r="D99" i="63"/>
  <c r="N110" i="63"/>
  <c r="E99" i="63"/>
  <c r="F99" i="63"/>
  <c r="O110" i="63"/>
  <c r="E94" i="74"/>
  <c r="D94" i="74"/>
  <c r="F94" i="74"/>
  <c r="G78" i="74"/>
  <c r="H105" i="74"/>
  <c r="J105" i="74"/>
  <c r="I105" i="74"/>
  <c r="G94" i="74"/>
  <c r="C94" i="74"/>
  <c r="N94" i="74"/>
  <c r="I94" i="74"/>
  <c r="H94" i="74"/>
  <c r="N94" i="57"/>
  <c r="I105" i="57"/>
  <c r="J105" i="57"/>
  <c r="G78" i="57"/>
  <c r="H94" i="57"/>
  <c r="H105" i="57"/>
  <c r="D94" i="57"/>
  <c r="G94" i="57"/>
  <c r="I94" i="57"/>
  <c r="C94" i="57"/>
  <c r="E94" i="57"/>
  <c r="F94" i="57"/>
  <c r="M96" i="76"/>
  <c r="J107" i="76"/>
  <c r="N96" i="76"/>
  <c r="D96" i="76"/>
  <c r="G96" i="76"/>
  <c r="F96" i="76"/>
  <c r="L96" i="76"/>
  <c r="C96" i="76"/>
  <c r="H107" i="76"/>
  <c r="I107" i="76"/>
  <c r="I96" i="76"/>
  <c r="K96" i="76"/>
  <c r="P75" i="61"/>
  <c r="AE103" i="7" s="1"/>
  <c r="E91" i="35"/>
  <c r="I91" i="35"/>
  <c r="Q91" i="35"/>
  <c r="G91" i="35"/>
  <c r="P91" i="35"/>
  <c r="H91" i="35"/>
  <c r="D91" i="35"/>
  <c r="J91" i="35"/>
  <c r="F91" i="35"/>
  <c r="R91" i="35"/>
  <c r="O91" i="35"/>
  <c r="G77" i="60"/>
  <c r="K95" i="83"/>
  <c r="M95" i="83"/>
  <c r="D95" i="83"/>
  <c r="I106" i="83"/>
  <c r="G95" i="83"/>
  <c r="I95" i="83"/>
  <c r="N95" i="83"/>
  <c r="C95" i="83"/>
  <c r="L95" i="83"/>
  <c r="L98" i="83" s="1"/>
  <c r="Z82" i="7" s="1"/>
  <c r="F95" i="83"/>
  <c r="H106" i="83"/>
  <c r="J106" i="83"/>
  <c r="E95" i="83"/>
  <c r="F95" i="71"/>
  <c r="N95" i="71"/>
  <c r="C95" i="71"/>
  <c r="G95" i="71"/>
  <c r="N105" i="71"/>
  <c r="O105" i="71"/>
  <c r="D95" i="71"/>
  <c r="E95" i="71"/>
  <c r="G52" i="82"/>
  <c r="L96" i="86"/>
  <c r="L86" i="86"/>
  <c r="N96" i="86"/>
  <c r="J86" i="86"/>
  <c r="F86" i="86"/>
  <c r="M86" i="86"/>
  <c r="H86" i="86"/>
  <c r="C86" i="86"/>
  <c r="E86" i="86"/>
  <c r="I86" i="86"/>
  <c r="D86" i="86"/>
  <c r="M96" i="86"/>
  <c r="N86" i="86"/>
  <c r="G86" i="86"/>
  <c r="M67" i="34"/>
  <c r="G76" i="41"/>
  <c r="M90" i="86"/>
  <c r="N100" i="86"/>
  <c r="I90" i="86"/>
  <c r="L100" i="86"/>
  <c r="F90" i="86"/>
  <c r="G90" i="86"/>
  <c r="N90" i="86"/>
  <c r="H90" i="86"/>
  <c r="E90" i="86"/>
  <c r="D90" i="86"/>
  <c r="J90" i="86"/>
  <c r="L90" i="86"/>
  <c r="M100" i="86"/>
  <c r="C90" i="86"/>
  <c r="D96" i="87"/>
  <c r="H96" i="87"/>
  <c r="L96" i="87"/>
  <c r="E96" i="87"/>
  <c r="J96" i="87"/>
  <c r="I96" i="87"/>
  <c r="N96" i="87"/>
  <c r="J107" i="87"/>
  <c r="G96" i="87"/>
  <c r="I107" i="87"/>
  <c r="K96" i="87"/>
  <c r="M96" i="87"/>
  <c r="F96" i="87"/>
  <c r="H107" i="87"/>
  <c r="C96" i="87"/>
  <c r="L87" i="28"/>
  <c r="K87" i="28"/>
  <c r="E87" i="28"/>
  <c r="D87" i="28"/>
  <c r="H87" i="28"/>
  <c r="N87" i="28"/>
  <c r="I87" i="28"/>
  <c r="C87" i="28"/>
  <c r="J87" i="28"/>
  <c r="L99" i="28"/>
  <c r="N99" i="28"/>
  <c r="M87" i="28"/>
  <c r="M99" i="28"/>
  <c r="F87" i="28"/>
  <c r="F76" i="67"/>
  <c r="H106" i="56"/>
  <c r="E95" i="56"/>
  <c r="J106" i="56"/>
  <c r="F95" i="56"/>
  <c r="K95" i="56"/>
  <c r="I95" i="56"/>
  <c r="L95" i="56"/>
  <c r="C95" i="56"/>
  <c r="G95" i="56"/>
  <c r="M95" i="56"/>
  <c r="I106" i="56"/>
  <c r="N95" i="56"/>
  <c r="J95" i="56"/>
  <c r="D95" i="56"/>
  <c r="C95" i="74"/>
  <c r="J106" i="74"/>
  <c r="F95" i="74"/>
  <c r="I95" i="74"/>
  <c r="G95" i="74"/>
  <c r="E95" i="74"/>
  <c r="N95" i="74"/>
  <c r="D95" i="74"/>
  <c r="H106" i="74"/>
  <c r="H95" i="74"/>
  <c r="I106" i="74"/>
  <c r="G99" i="8"/>
  <c r="E99" i="8"/>
  <c r="M99" i="8"/>
  <c r="C99" i="8"/>
  <c r="M110" i="8"/>
  <c r="I99" i="8"/>
  <c r="K99" i="8"/>
  <c r="J99" i="8"/>
  <c r="L99" i="8"/>
  <c r="N99" i="8"/>
  <c r="N110" i="8"/>
  <c r="F99" i="8"/>
  <c r="L110" i="8"/>
  <c r="D99" i="8"/>
  <c r="H99" i="8"/>
  <c r="E100" i="63"/>
  <c r="F100" i="63"/>
  <c r="G100" i="63"/>
  <c r="G102" i="63" s="1"/>
  <c r="U78" i="7" s="1"/>
  <c r="D100" i="63"/>
  <c r="P111" i="63"/>
  <c r="O111" i="63"/>
  <c r="N111" i="63"/>
  <c r="C100" i="63"/>
  <c r="C65" i="32"/>
  <c r="E65" i="32" s="1"/>
  <c r="F65" i="32" s="1"/>
  <c r="C75" i="48"/>
  <c r="D75" i="48" s="1"/>
  <c r="G75" i="48" s="1"/>
  <c r="D101" i="81"/>
  <c r="G101" i="81"/>
  <c r="N112" i="81"/>
  <c r="E101" i="81"/>
  <c r="O112" i="81"/>
  <c r="C101" i="81"/>
  <c r="F101" i="81"/>
  <c r="N101" i="81"/>
  <c r="H108" i="83"/>
  <c r="I108" i="83"/>
  <c r="J108" i="83"/>
  <c r="I97" i="83"/>
  <c r="N97" i="83"/>
  <c r="G97" i="83"/>
  <c r="E97" i="83"/>
  <c r="F97" i="83"/>
  <c r="C97" i="83"/>
  <c r="D97" i="83"/>
  <c r="O90" i="30"/>
  <c r="D90" i="30"/>
  <c r="N90" i="30"/>
  <c r="C90" i="30"/>
  <c r="P90" i="30"/>
  <c r="G79" i="60"/>
  <c r="J96" i="77"/>
  <c r="J97" i="77" s="1"/>
  <c r="J91" i="7" s="1"/>
  <c r="G96" i="77"/>
  <c r="E96" i="77"/>
  <c r="I107" i="77"/>
  <c r="F96" i="77"/>
  <c r="J107" i="77"/>
  <c r="J108" i="77" s="1"/>
  <c r="X118" i="7" s="1"/>
  <c r="C96" i="77"/>
  <c r="H107" i="77"/>
  <c r="N96" i="77"/>
  <c r="M96" i="77"/>
  <c r="K96" i="77"/>
  <c r="D96" i="77"/>
  <c r="L96" i="77"/>
  <c r="I96" i="77"/>
  <c r="G76" i="75"/>
  <c r="N96" i="83"/>
  <c r="I107" i="83"/>
  <c r="H107" i="83"/>
  <c r="K96" i="83"/>
  <c r="F96" i="83"/>
  <c r="C96" i="83"/>
  <c r="G96" i="83"/>
  <c r="J107" i="83"/>
  <c r="M96" i="83"/>
  <c r="I96" i="83"/>
  <c r="D96" i="83"/>
  <c r="E96" i="83"/>
  <c r="G76" i="9"/>
  <c r="F96" i="70"/>
  <c r="F99" i="70" s="1"/>
  <c r="T64" i="7" s="1"/>
  <c r="N96" i="70"/>
  <c r="N106" i="70"/>
  <c r="M106" i="70"/>
  <c r="E96" i="70"/>
  <c r="E99" i="70" s="1"/>
  <c r="S64" i="7" s="1"/>
  <c r="K96" i="70"/>
  <c r="K99" i="70" s="1"/>
  <c r="Y64" i="7" s="1"/>
  <c r="O106" i="70"/>
  <c r="O109" i="70" s="1"/>
  <c r="P112" i="7" s="1"/>
  <c r="G96" i="70"/>
  <c r="G99" i="70" s="1"/>
  <c r="U64" i="7" s="1"/>
  <c r="D96" i="70"/>
  <c r="D99" i="70" s="1"/>
  <c r="R64" i="7" s="1"/>
  <c r="C96" i="70"/>
  <c r="G64" i="78"/>
  <c r="Q74" i="78"/>
  <c r="P74" i="78"/>
  <c r="E64" i="78"/>
  <c r="M64" i="78"/>
  <c r="D64" i="78"/>
  <c r="J64" i="78"/>
  <c r="N64" i="78"/>
  <c r="F64" i="78"/>
  <c r="C64" i="78"/>
  <c r="L64" i="78"/>
  <c r="O74" i="78"/>
  <c r="I64" i="78"/>
  <c r="K64" i="78"/>
  <c r="K101" i="63"/>
  <c r="O112" i="63"/>
  <c r="E101" i="63"/>
  <c r="C101" i="63"/>
  <c r="P112" i="63"/>
  <c r="N112" i="63"/>
  <c r="F101" i="63"/>
  <c r="D101" i="63"/>
  <c r="C79" i="22"/>
  <c r="D79" i="22" s="1"/>
  <c r="G77" i="41"/>
  <c r="C78" i="22"/>
  <c r="D78" i="22" s="1"/>
  <c r="C75" i="22"/>
  <c r="D75" i="22" s="1"/>
  <c r="C76" i="90"/>
  <c r="D76" i="90" s="1"/>
  <c r="G76" i="90" s="1"/>
  <c r="C77" i="90"/>
  <c r="D77" i="90" s="1"/>
  <c r="G77" i="90" s="1"/>
  <c r="C75" i="90"/>
  <c r="D75" i="90" s="1"/>
  <c r="G75" i="90" s="1"/>
  <c r="E77" i="92"/>
  <c r="G77" i="92" s="1"/>
  <c r="E75" i="92"/>
  <c r="G75" i="92" s="1"/>
  <c r="E76" i="92"/>
  <c r="G76" i="92" s="1"/>
  <c r="E78" i="92"/>
  <c r="G78" i="92" s="1"/>
  <c r="E79" i="92"/>
  <c r="G79" i="92" s="1"/>
  <c r="M108" i="90"/>
  <c r="F98" i="90"/>
  <c r="E98" i="90"/>
  <c r="N108" i="90"/>
  <c r="D98" i="90"/>
  <c r="N98" i="90"/>
  <c r="L108" i="90"/>
  <c r="G98" i="90"/>
  <c r="C98" i="90"/>
  <c r="M130" i="7"/>
  <c r="AC124" i="7"/>
  <c r="L95" i="89"/>
  <c r="L98" i="89" s="1"/>
  <c r="Z85" i="7" s="1"/>
  <c r="G95" i="89"/>
  <c r="G98" i="89" s="1"/>
  <c r="U85" i="7" s="1"/>
  <c r="H106" i="89"/>
  <c r="H109" i="89" s="1"/>
  <c r="J106" i="89"/>
  <c r="N95" i="89"/>
  <c r="D95" i="89"/>
  <c r="D98" i="89" s="1"/>
  <c r="R85" i="7" s="1"/>
  <c r="M95" i="89"/>
  <c r="M98" i="89" s="1"/>
  <c r="AA85" i="7" s="1"/>
  <c r="I95" i="89"/>
  <c r="I98" i="89" s="1"/>
  <c r="W85" i="7" s="1"/>
  <c r="E95" i="89"/>
  <c r="E98" i="89" s="1"/>
  <c r="S85" i="7" s="1"/>
  <c r="K95" i="89"/>
  <c r="K98" i="89" s="1"/>
  <c r="Y85" i="7" s="1"/>
  <c r="I106" i="89"/>
  <c r="I109" i="89" s="1"/>
  <c r="AE112" i="7" s="1"/>
  <c r="C95" i="89"/>
  <c r="F95" i="89"/>
  <c r="F98" i="89" s="1"/>
  <c r="T85" i="7" s="1"/>
  <c r="D94" i="87"/>
  <c r="H94" i="87"/>
  <c r="L94" i="87"/>
  <c r="F94" i="87"/>
  <c r="K94" i="87"/>
  <c r="G94" i="87"/>
  <c r="N94" i="87"/>
  <c r="E94" i="87"/>
  <c r="M94" i="87"/>
  <c r="I105" i="87"/>
  <c r="C94" i="87"/>
  <c r="H105" i="87"/>
  <c r="I94" i="87"/>
  <c r="J105" i="87"/>
  <c r="J94" i="87"/>
  <c r="F78" i="87"/>
  <c r="E77" i="59"/>
  <c r="G77" i="59" s="1"/>
  <c r="E75" i="59"/>
  <c r="G75" i="59" s="1"/>
  <c r="E76" i="59"/>
  <c r="G76" i="59" s="1"/>
  <c r="E74" i="59"/>
  <c r="G74" i="59" s="1"/>
  <c r="G66" i="28"/>
  <c r="I94" i="67"/>
  <c r="E94" i="67"/>
  <c r="F94" i="67"/>
  <c r="L94" i="67"/>
  <c r="J105" i="67"/>
  <c r="H105" i="67"/>
  <c r="N94" i="67"/>
  <c r="C94" i="67"/>
  <c r="G94" i="67"/>
  <c r="F78" i="67"/>
  <c r="H94" i="67"/>
  <c r="D94" i="67"/>
  <c r="I105" i="67"/>
  <c r="K94" i="67"/>
  <c r="G96" i="88"/>
  <c r="H96" i="88"/>
  <c r="I107" i="88"/>
  <c r="F96" i="88"/>
  <c r="J107" i="88"/>
  <c r="N96" i="88"/>
  <c r="C96" i="88"/>
  <c r="D96" i="88"/>
  <c r="E96" i="88"/>
  <c r="H107" i="88"/>
  <c r="E78" i="20"/>
  <c r="G78" i="20" s="1"/>
  <c r="E76" i="20"/>
  <c r="E79" i="20"/>
  <c r="G79" i="20" s="1"/>
  <c r="E75" i="20"/>
  <c r="G75" i="20" s="1"/>
  <c r="E77" i="20"/>
  <c r="G77" i="20" s="1"/>
  <c r="G74" i="56"/>
  <c r="G76" i="74"/>
  <c r="L73" i="62"/>
  <c r="K73" i="62"/>
  <c r="D73" i="62"/>
  <c r="I73" i="62"/>
  <c r="E73" i="62"/>
  <c r="O84" i="62"/>
  <c r="P84" i="62"/>
  <c r="Q84" i="62"/>
  <c r="G56" i="62"/>
  <c r="C73" i="62"/>
  <c r="G97" i="71"/>
  <c r="F97" i="71"/>
  <c r="O107" i="71"/>
  <c r="E97" i="71"/>
  <c r="P107" i="71"/>
  <c r="D97" i="71"/>
  <c r="N107" i="71"/>
  <c r="H97" i="71"/>
  <c r="N97" i="71"/>
  <c r="C97" i="71"/>
  <c r="C98" i="89"/>
  <c r="E76" i="80"/>
  <c r="G76" i="80" s="1"/>
  <c r="E79" i="80"/>
  <c r="G79" i="80" s="1"/>
  <c r="E75" i="80"/>
  <c r="G75" i="80" s="1"/>
  <c r="E78" i="80"/>
  <c r="G78" i="80" s="1"/>
  <c r="E77" i="80"/>
  <c r="G77" i="80" s="1"/>
  <c r="C42" i="78"/>
  <c r="D42" i="78" s="1"/>
  <c r="G42" i="78" s="1"/>
  <c r="C76" i="48"/>
  <c r="D76" i="48" s="1"/>
  <c r="G98" i="8"/>
  <c r="C98" i="8"/>
  <c r="M109" i="8"/>
  <c r="I98" i="8"/>
  <c r="N98" i="8"/>
  <c r="F98" i="8"/>
  <c r="H98" i="8"/>
  <c r="D98" i="8"/>
  <c r="E98" i="8"/>
  <c r="N109" i="8"/>
  <c r="M98" i="8"/>
  <c r="L109" i="8"/>
  <c r="K98" i="8"/>
  <c r="G76" i="48"/>
  <c r="H70" i="35"/>
  <c r="H74" i="35" s="1"/>
  <c r="G51" i="82"/>
  <c r="F73" i="76"/>
  <c r="D65" i="61"/>
  <c r="R76" i="7" s="1"/>
  <c r="D94" i="68"/>
  <c r="G79" i="68"/>
  <c r="N94" i="68"/>
  <c r="F94" i="68"/>
  <c r="C94" i="68"/>
  <c r="O104" i="68"/>
  <c r="U47" i="7"/>
  <c r="E97" i="81"/>
  <c r="E102" i="81" s="1"/>
  <c r="S67" i="7" s="1"/>
  <c r="N97" i="81"/>
  <c r="G97" i="81"/>
  <c r="D97" i="81"/>
  <c r="C97" i="81"/>
  <c r="C102" i="81" s="1"/>
  <c r="G80" i="81"/>
  <c r="F97" i="81"/>
  <c r="N108" i="81"/>
  <c r="N113" i="81" s="1"/>
  <c r="O108" i="81"/>
  <c r="O113" i="81" s="1"/>
  <c r="O115" i="7" s="1"/>
  <c r="G67" i="30"/>
  <c r="G71" i="30" s="1"/>
  <c r="G76" i="60"/>
  <c r="G80" i="60" s="1"/>
  <c r="O113" i="60" s="1"/>
  <c r="AE102" i="7" s="1"/>
  <c r="F73" i="77"/>
  <c r="K97" i="75"/>
  <c r="I108" i="75"/>
  <c r="I97" i="75"/>
  <c r="M97" i="75"/>
  <c r="F97" i="75"/>
  <c r="D97" i="75"/>
  <c r="J108" i="75"/>
  <c r="H108" i="75"/>
  <c r="N97" i="75"/>
  <c r="G97" i="75"/>
  <c r="E97" i="75"/>
  <c r="L97" i="75"/>
  <c r="C97" i="75"/>
  <c r="H97" i="75"/>
  <c r="F74" i="83"/>
  <c r="G78" i="9"/>
  <c r="AA42" i="79"/>
  <c r="P43" i="79"/>
  <c r="E76" i="85"/>
  <c r="G76" i="85" s="1"/>
  <c r="E75" i="85"/>
  <c r="G75" i="85" s="1"/>
  <c r="E78" i="85"/>
  <c r="G78" i="85" s="1"/>
  <c r="E77" i="85"/>
  <c r="G77" i="85" s="1"/>
  <c r="H68" i="36"/>
  <c r="G45" i="78"/>
  <c r="G50" i="82"/>
  <c r="D102" i="63"/>
  <c r="R78" i="7" s="1"/>
  <c r="N102" i="63"/>
  <c r="AB78" i="7" s="1"/>
  <c r="S92" i="34"/>
  <c r="H92" i="34"/>
  <c r="T92" i="34"/>
  <c r="I92" i="34"/>
  <c r="J92" i="34"/>
  <c r="G92" i="34"/>
  <c r="R92" i="34"/>
  <c r="Q92" i="34"/>
  <c r="F92" i="34"/>
  <c r="G76" i="4"/>
  <c r="F106" i="7"/>
  <c r="P80" i="52"/>
  <c r="D95" i="57" l="1"/>
  <c r="C95" i="57"/>
  <c r="E95" i="57"/>
  <c r="F95" i="57"/>
  <c r="I95" i="57"/>
  <c r="H95" i="57"/>
  <c r="J106" i="57"/>
  <c r="J109" i="57" s="1"/>
  <c r="P108" i="7" s="1"/>
  <c r="I106" i="57"/>
  <c r="H106" i="57"/>
  <c r="G95" i="57"/>
  <c r="N95" i="57"/>
  <c r="D93" i="65"/>
  <c r="D97" i="65" s="1"/>
  <c r="R81" i="7" s="1"/>
  <c r="C93" i="65"/>
  <c r="G93" i="65"/>
  <c r="N93" i="65"/>
  <c r="N97" i="65" s="1"/>
  <c r="AB81" i="7" s="1"/>
  <c r="L93" i="65"/>
  <c r="L97" i="65" s="1"/>
  <c r="Z81" i="7" s="1"/>
  <c r="F77" i="65"/>
  <c r="H104" i="65"/>
  <c r="K93" i="65"/>
  <c r="K97" i="65" s="1"/>
  <c r="Y81" i="7" s="1"/>
  <c r="J104" i="65"/>
  <c r="J108" i="65" s="1"/>
  <c r="AF108" i="7" s="1"/>
  <c r="M93" i="65"/>
  <c r="H61" i="84"/>
  <c r="O72" i="84"/>
  <c r="K61" i="84"/>
  <c r="K65" i="84" s="1"/>
  <c r="Y79" i="7" s="1"/>
  <c r="N72" i="84"/>
  <c r="P72" i="84"/>
  <c r="G61" i="84"/>
  <c r="N61" i="84"/>
  <c r="D61" i="84"/>
  <c r="E61" i="84"/>
  <c r="F61" i="84"/>
  <c r="C61" i="84"/>
  <c r="G44" i="84"/>
  <c r="D94" i="65"/>
  <c r="K94" i="65"/>
  <c r="G94" i="65"/>
  <c r="G97" i="65" s="1"/>
  <c r="U81" i="7" s="1"/>
  <c r="L94" i="65"/>
  <c r="I105" i="65"/>
  <c r="I108" i="65" s="1"/>
  <c r="AE108" i="7" s="1"/>
  <c r="J95" i="65"/>
  <c r="J97" i="65" s="1"/>
  <c r="X81" i="7" s="1"/>
  <c r="N94" i="65"/>
  <c r="C94" i="65"/>
  <c r="H105" i="65"/>
  <c r="M94" i="65"/>
  <c r="F94" i="65"/>
  <c r="J105" i="65"/>
  <c r="E94" i="65"/>
  <c r="C97" i="57"/>
  <c r="N97" i="57"/>
  <c r="J108" i="57"/>
  <c r="I108" i="57"/>
  <c r="E97" i="57"/>
  <c r="G97" i="57"/>
  <c r="I97" i="57"/>
  <c r="D97" i="57"/>
  <c r="H108" i="57"/>
  <c r="H97" i="57"/>
  <c r="F97" i="57"/>
  <c r="J96" i="35"/>
  <c r="G96" i="35"/>
  <c r="E96" i="35"/>
  <c r="Q96" i="35"/>
  <c r="P96" i="35"/>
  <c r="O96" i="35"/>
  <c r="I96" i="35"/>
  <c r="I97" i="35" s="1"/>
  <c r="H61" i="7" s="1"/>
  <c r="H96" i="35"/>
  <c r="K96" i="35"/>
  <c r="F96" i="35"/>
  <c r="R96" i="35"/>
  <c r="D96" i="35"/>
  <c r="I95" i="58"/>
  <c r="D95" i="58"/>
  <c r="I106" i="58"/>
  <c r="C95" i="58"/>
  <c r="M95" i="58"/>
  <c r="H106" i="58"/>
  <c r="H95" i="58"/>
  <c r="F95" i="58"/>
  <c r="J106" i="58"/>
  <c r="E95" i="58"/>
  <c r="K95" i="58"/>
  <c r="N95" i="58"/>
  <c r="G95" i="58"/>
  <c r="N106" i="71"/>
  <c r="N109" i="71" s="1"/>
  <c r="N113" i="7" s="1"/>
  <c r="H96" i="71"/>
  <c r="H99" i="71" s="1"/>
  <c r="V65" i="7" s="1"/>
  <c r="E96" i="71"/>
  <c r="P106" i="71"/>
  <c r="G96" i="71"/>
  <c r="G99" i="71" s="1"/>
  <c r="U65" i="7" s="1"/>
  <c r="F96" i="71"/>
  <c r="F99" i="71" s="1"/>
  <c r="T65" i="7" s="1"/>
  <c r="N96" i="71"/>
  <c r="O106" i="71"/>
  <c r="G79" i="71"/>
  <c r="D96" i="71"/>
  <c r="D99" i="71" s="1"/>
  <c r="R65" i="7" s="1"/>
  <c r="C96" i="71"/>
  <c r="E97" i="58"/>
  <c r="K97" i="58"/>
  <c r="M97" i="58"/>
  <c r="I97" i="58"/>
  <c r="J97" i="58"/>
  <c r="C97" i="58"/>
  <c r="H97" i="58"/>
  <c r="J108" i="58"/>
  <c r="N97" i="58"/>
  <c r="L97" i="58"/>
  <c r="I108" i="58"/>
  <c r="D97" i="58"/>
  <c r="G97" i="58"/>
  <c r="H108" i="58"/>
  <c r="D67" i="82"/>
  <c r="G67" i="82"/>
  <c r="E67" i="82"/>
  <c r="O76" i="82"/>
  <c r="C67" i="82"/>
  <c r="N67" i="82"/>
  <c r="F67" i="82"/>
  <c r="Q76" i="82"/>
  <c r="H67" i="82"/>
  <c r="P76" i="82"/>
  <c r="C91" i="86"/>
  <c r="C55" i="7" s="1"/>
  <c r="J91" i="86"/>
  <c r="J55" i="7" s="1"/>
  <c r="N99" i="71"/>
  <c r="AB65" i="7" s="1"/>
  <c r="I97" i="77"/>
  <c r="I91" i="7" s="1"/>
  <c r="P76" i="84"/>
  <c r="AF106" i="7" s="1"/>
  <c r="N109" i="70"/>
  <c r="O112" i="7" s="1"/>
  <c r="K102" i="63"/>
  <c r="Y78" i="7" s="1"/>
  <c r="E102" i="63"/>
  <c r="S78" i="7" s="1"/>
  <c r="I88" i="86"/>
  <c r="F88" i="86"/>
  <c r="E88" i="86"/>
  <c r="G88" i="86"/>
  <c r="N98" i="86"/>
  <c r="M98" i="86"/>
  <c r="N88" i="86"/>
  <c r="J88" i="86"/>
  <c r="L88" i="86"/>
  <c r="L98" i="86"/>
  <c r="C88" i="86"/>
  <c r="M88" i="86"/>
  <c r="D88" i="86"/>
  <c r="H88" i="86"/>
  <c r="E60" i="84"/>
  <c r="N71" i="84"/>
  <c r="G60" i="84"/>
  <c r="G65" i="84" s="1"/>
  <c r="U79" i="7" s="1"/>
  <c r="C60" i="84"/>
  <c r="C65" i="84" s="1"/>
  <c r="O71" i="84"/>
  <c r="D60" i="84"/>
  <c r="N60" i="84"/>
  <c r="O113" i="63"/>
  <c r="AE105" i="7" s="1"/>
  <c r="N97" i="68"/>
  <c r="C97" i="68"/>
  <c r="E97" i="68"/>
  <c r="E98" i="68" s="1"/>
  <c r="F97" i="68"/>
  <c r="D97" i="68"/>
  <c r="O107" i="68"/>
  <c r="H97" i="68"/>
  <c r="H98" i="68" s="1"/>
  <c r="V62" i="7" s="1"/>
  <c r="E69" i="24"/>
  <c r="E74" i="24" s="1"/>
  <c r="E86" i="7" s="1"/>
  <c r="O80" i="24"/>
  <c r="O85" i="24" s="1"/>
  <c r="W113" i="7" s="1"/>
  <c r="I69" i="24"/>
  <c r="I74" i="24" s="1"/>
  <c r="I86" i="7" s="1"/>
  <c r="P80" i="24"/>
  <c r="P85" i="24" s="1"/>
  <c r="X113" i="7" s="1"/>
  <c r="N80" i="24"/>
  <c r="N85" i="24" s="1"/>
  <c r="K69" i="24"/>
  <c r="K74" i="24" s="1"/>
  <c r="K86" i="7" s="1"/>
  <c r="D69" i="24"/>
  <c r="D74" i="24" s="1"/>
  <c r="D86" i="7" s="1"/>
  <c r="G55" i="24"/>
  <c r="L69" i="24"/>
  <c r="L74" i="24" s="1"/>
  <c r="L86" i="7" s="1"/>
  <c r="C69" i="24"/>
  <c r="C74" i="24" s="1"/>
  <c r="E64" i="84"/>
  <c r="N64" i="84"/>
  <c r="C64" i="84"/>
  <c r="K64" i="84"/>
  <c r="D64" i="84"/>
  <c r="D65" i="84" s="1"/>
  <c r="R79" i="7" s="1"/>
  <c r="H64" i="84"/>
  <c r="H65" i="84" s="1"/>
  <c r="V79" i="7" s="1"/>
  <c r="M64" i="84"/>
  <c r="M65" i="84" s="1"/>
  <c r="AA79" i="7" s="1"/>
  <c r="P75" i="84"/>
  <c r="O75" i="84"/>
  <c r="F64" i="84"/>
  <c r="N75" i="84"/>
  <c r="N76" i="84" s="1"/>
  <c r="G64" i="84"/>
  <c r="N113" i="63"/>
  <c r="N114" i="63" s="1"/>
  <c r="P113" i="63"/>
  <c r="AF105" i="7" s="1"/>
  <c r="G75" i="22"/>
  <c r="D97" i="22" s="1"/>
  <c r="G78" i="22"/>
  <c r="G70" i="28"/>
  <c r="O94" i="35"/>
  <c r="F94" i="35"/>
  <c r="F97" i="35" s="1"/>
  <c r="E61" i="7" s="1"/>
  <c r="P94" i="35"/>
  <c r="D94" i="35"/>
  <c r="Q94" i="35"/>
  <c r="J94" i="35"/>
  <c r="J97" i="35" s="1"/>
  <c r="I61" i="7" s="1"/>
  <c r="I94" i="35"/>
  <c r="H94" i="35"/>
  <c r="G94" i="35"/>
  <c r="R94" i="35"/>
  <c r="E94" i="35"/>
  <c r="C98" i="68"/>
  <c r="D98" i="68"/>
  <c r="R62" i="7" s="1"/>
  <c r="C102" i="63"/>
  <c r="C103" i="63" s="1"/>
  <c r="J109" i="89"/>
  <c r="AF112" i="7" s="1"/>
  <c r="K97" i="35"/>
  <c r="J61" i="7" s="1"/>
  <c r="F65" i="84"/>
  <c r="T79" i="7" s="1"/>
  <c r="H36" i="61"/>
  <c r="H37" i="61" s="1"/>
  <c r="J35" i="61"/>
  <c r="J87" i="86"/>
  <c r="H87" i="86"/>
  <c r="H91" i="86" s="1"/>
  <c r="H55" i="7" s="1"/>
  <c r="M87" i="86"/>
  <c r="G87" i="86"/>
  <c r="N97" i="86"/>
  <c r="N101" i="86" s="1"/>
  <c r="H103" i="7" s="1"/>
  <c r="F87" i="86"/>
  <c r="F91" i="86" s="1"/>
  <c r="F55" i="7" s="1"/>
  <c r="C87" i="86"/>
  <c r="K87" i="86"/>
  <c r="N87" i="86"/>
  <c r="I87" i="86"/>
  <c r="I91" i="86" s="1"/>
  <c r="I55" i="7" s="1"/>
  <c r="D87" i="86"/>
  <c r="M97" i="86"/>
  <c r="M101" i="86" s="1"/>
  <c r="G103" i="7" s="1"/>
  <c r="L87" i="86"/>
  <c r="L97" i="86"/>
  <c r="L101" i="86" s="1"/>
  <c r="G89" i="86"/>
  <c r="N99" i="86"/>
  <c r="J89" i="86"/>
  <c r="F89" i="86"/>
  <c r="N89" i="86"/>
  <c r="M99" i="86"/>
  <c r="L89" i="86"/>
  <c r="D89" i="86"/>
  <c r="D91" i="86" s="1"/>
  <c r="D55" i="7" s="1"/>
  <c r="C89" i="86"/>
  <c r="M89" i="86"/>
  <c r="H89" i="86"/>
  <c r="K89" i="86"/>
  <c r="I89" i="86"/>
  <c r="E89" i="86"/>
  <c r="L99" i="86"/>
  <c r="L107" i="90"/>
  <c r="F97" i="90"/>
  <c r="M107" i="90"/>
  <c r="D97" i="90"/>
  <c r="G97" i="90"/>
  <c r="E97" i="90"/>
  <c r="N107" i="90"/>
  <c r="C97" i="90"/>
  <c r="N97" i="90"/>
  <c r="C95" i="48"/>
  <c r="G79" i="48"/>
  <c r="N105" i="48"/>
  <c r="F95" i="48"/>
  <c r="G95" i="48"/>
  <c r="N95" i="48"/>
  <c r="E95" i="48"/>
  <c r="E99" i="48" s="1"/>
  <c r="E78" i="7" s="1"/>
  <c r="O105" i="48"/>
  <c r="D95" i="48"/>
  <c r="L106" i="90"/>
  <c r="N106" i="90"/>
  <c r="G96" i="90"/>
  <c r="D96" i="90"/>
  <c r="M106" i="90"/>
  <c r="E96" i="90"/>
  <c r="F96" i="90"/>
  <c r="C96" i="90"/>
  <c r="N96" i="90"/>
  <c r="Q76" i="7"/>
  <c r="C66" i="61"/>
  <c r="E97" i="91"/>
  <c r="N107" i="91"/>
  <c r="F97" i="91"/>
  <c r="N97" i="91"/>
  <c r="D97" i="91"/>
  <c r="M107" i="91"/>
  <c r="C97" i="91"/>
  <c r="G97" i="91"/>
  <c r="L107" i="91"/>
  <c r="AD103" i="7"/>
  <c r="O76" i="61"/>
  <c r="AD112" i="7"/>
  <c r="H110" i="89"/>
  <c r="O92" i="2"/>
  <c r="E92" i="2"/>
  <c r="R91" i="2"/>
  <c r="Q91" i="2"/>
  <c r="D92" i="2"/>
  <c r="P91" i="2"/>
  <c r="H92" i="2"/>
  <c r="F92" i="2"/>
  <c r="G92" i="2"/>
  <c r="L62" i="78"/>
  <c r="C62" i="78"/>
  <c r="K62" i="78"/>
  <c r="P72" i="78"/>
  <c r="Q72" i="78"/>
  <c r="J62" i="78"/>
  <c r="I62" i="78"/>
  <c r="D62" i="78"/>
  <c r="E62" i="78"/>
  <c r="G46" i="78"/>
  <c r="F62" i="78"/>
  <c r="M62" i="78"/>
  <c r="O72" i="78"/>
  <c r="N105" i="90"/>
  <c r="N109" i="90" s="1"/>
  <c r="P101" i="7" s="1"/>
  <c r="G95" i="90"/>
  <c r="G79" i="90"/>
  <c r="L105" i="90"/>
  <c r="E95" i="90"/>
  <c r="E99" i="90" s="1"/>
  <c r="S53" i="7" s="1"/>
  <c r="N95" i="90"/>
  <c r="F95" i="90"/>
  <c r="M105" i="90"/>
  <c r="D95" i="90"/>
  <c r="C95" i="90"/>
  <c r="C99" i="90" s="1"/>
  <c r="AD105" i="7"/>
  <c r="O77" i="82"/>
  <c r="G68" i="82"/>
  <c r="J68" i="82"/>
  <c r="N68" i="82"/>
  <c r="E68" i="82"/>
  <c r="P77" i="82"/>
  <c r="H68" i="82"/>
  <c r="F68" i="82"/>
  <c r="C68" i="82"/>
  <c r="Q77" i="82"/>
  <c r="Q80" i="82" s="1"/>
  <c r="X103" i="7" s="1"/>
  <c r="D68" i="82"/>
  <c r="AA43" i="79"/>
  <c r="C49" i="79"/>
  <c r="D49" i="79" s="1"/>
  <c r="G49" i="79" s="1"/>
  <c r="I78" i="62"/>
  <c r="W77" i="7" s="1"/>
  <c r="D99" i="20"/>
  <c r="F99" i="20"/>
  <c r="C99" i="20"/>
  <c r="N99" i="20"/>
  <c r="P110" i="20"/>
  <c r="G99" i="20"/>
  <c r="E99" i="20"/>
  <c r="H99" i="20"/>
  <c r="Q110" i="20"/>
  <c r="O110" i="20"/>
  <c r="J106" i="59"/>
  <c r="N95" i="59"/>
  <c r="E95" i="59"/>
  <c r="D95" i="59"/>
  <c r="I106" i="59"/>
  <c r="M95" i="59"/>
  <c r="H95" i="59"/>
  <c r="J96" i="59"/>
  <c r="I95" i="59"/>
  <c r="C95" i="59"/>
  <c r="H106" i="59"/>
  <c r="G95" i="59"/>
  <c r="L95" i="59"/>
  <c r="K95" i="59"/>
  <c r="F95" i="59"/>
  <c r="D98" i="92"/>
  <c r="F98" i="92"/>
  <c r="I98" i="92"/>
  <c r="O109" i="92"/>
  <c r="N98" i="92"/>
  <c r="N109" i="92"/>
  <c r="P109" i="92"/>
  <c r="H98" i="92"/>
  <c r="C98" i="92"/>
  <c r="E98" i="92"/>
  <c r="D97" i="41"/>
  <c r="N107" i="41"/>
  <c r="E97" i="41"/>
  <c r="N97" i="41"/>
  <c r="O107" i="41"/>
  <c r="C97" i="41"/>
  <c r="H97" i="41"/>
  <c r="C101" i="60"/>
  <c r="D101" i="60"/>
  <c r="F101" i="60"/>
  <c r="O112" i="60"/>
  <c r="E101" i="60"/>
  <c r="N112" i="60"/>
  <c r="P112" i="60"/>
  <c r="H101" i="60"/>
  <c r="N101" i="60"/>
  <c r="N98" i="83"/>
  <c r="AB82" i="7" s="1"/>
  <c r="J87" i="51"/>
  <c r="G105" i="7" s="1"/>
  <c r="K87" i="51"/>
  <c r="H105" i="7" s="1"/>
  <c r="I87" i="51"/>
  <c r="F105" i="7" s="1"/>
  <c r="G53" i="82"/>
  <c r="J100" i="69"/>
  <c r="K100" i="69"/>
  <c r="G100" i="69"/>
  <c r="N110" i="69"/>
  <c r="L100" i="69"/>
  <c r="E100" i="69"/>
  <c r="C100" i="69"/>
  <c r="P110" i="69"/>
  <c r="H100" i="69"/>
  <c r="I100" i="69"/>
  <c r="D100" i="69"/>
  <c r="O110" i="69"/>
  <c r="N100" i="69"/>
  <c r="O109" i="21"/>
  <c r="M98" i="21"/>
  <c r="M102" i="21" s="1"/>
  <c r="M84" i="7" s="1"/>
  <c r="I98" i="21"/>
  <c r="I102" i="21" s="1"/>
  <c r="I84" i="7" s="1"/>
  <c r="K98" i="21"/>
  <c r="K102" i="21" s="1"/>
  <c r="K84" i="7" s="1"/>
  <c r="C98" i="21"/>
  <c r="P109" i="21"/>
  <c r="D98" i="21"/>
  <c r="N98" i="21"/>
  <c r="G98" i="21"/>
  <c r="E98" i="21"/>
  <c r="F98" i="21"/>
  <c r="F102" i="21" s="1"/>
  <c r="F84" i="7" s="1"/>
  <c r="C96" i="56"/>
  <c r="E96" i="56"/>
  <c r="I96" i="56"/>
  <c r="H107" i="56"/>
  <c r="K96" i="56"/>
  <c r="M96" i="56"/>
  <c r="N96" i="56"/>
  <c r="J96" i="56"/>
  <c r="I107" i="56"/>
  <c r="L96" i="56"/>
  <c r="F96" i="56"/>
  <c r="G96" i="56"/>
  <c r="D96" i="56"/>
  <c r="F100" i="22"/>
  <c r="N100" i="22"/>
  <c r="G100" i="22"/>
  <c r="P111" i="22"/>
  <c r="C100" i="22"/>
  <c r="O111" i="22"/>
  <c r="D100" i="22"/>
  <c r="E100" i="22"/>
  <c r="N79" i="64"/>
  <c r="C79" i="64"/>
  <c r="I79" i="64"/>
  <c r="O90" i="64"/>
  <c r="P90" i="64"/>
  <c r="Q90" i="64"/>
  <c r="E79" i="64"/>
  <c r="J79" i="64"/>
  <c r="F79" i="64"/>
  <c r="H79" i="64"/>
  <c r="M79" i="64"/>
  <c r="D79" i="64"/>
  <c r="K79" i="64"/>
  <c r="G79" i="64"/>
  <c r="L79" i="64"/>
  <c r="O80" i="23"/>
  <c r="G69" i="23"/>
  <c r="I69" i="23"/>
  <c r="F69" i="23"/>
  <c r="Q80" i="23"/>
  <c r="E69" i="23"/>
  <c r="P80" i="23"/>
  <c r="D69" i="23"/>
  <c r="C69" i="23"/>
  <c r="N69" i="23"/>
  <c r="N100" i="28"/>
  <c r="M88" i="28"/>
  <c r="L100" i="28"/>
  <c r="D88" i="28"/>
  <c r="H88" i="28"/>
  <c r="J88" i="28"/>
  <c r="N88" i="28"/>
  <c r="M100" i="28"/>
  <c r="L88" i="28"/>
  <c r="E88" i="28"/>
  <c r="I88" i="28"/>
  <c r="C88" i="28"/>
  <c r="F88" i="28"/>
  <c r="D95" i="5"/>
  <c r="H95" i="5"/>
  <c r="J95" i="5"/>
  <c r="F95" i="5"/>
  <c r="N95" i="5"/>
  <c r="L105" i="5"/>
  <c r="G95" i="5"/>
  <c r="C95" i="5"/>
  <c r="E95" i="5"/>
  <c r="M105" i="5"/>
  <c r="O104" i="4"/>
  <c r="H94" i="4"/>
  <c r="E94" i="4"/>
  <c r="C94" i="4"/>
  <c r="N94" i="4"/>
  <c r="N104" i="4"/>
  <c r="G94" i="4"/>
  <c r="P104" i="4"/>
  <c r="D94" i="4"/>
  <c r="F94" i="4"/>
  <c r="N115" i="7"/>
  <c r="N114" i="81"/>
  <c r="D102" i="81"/>
  <c r="R67" i="7" s="1"/>
  <c r="F98" i="68"/>
  <c r="T62" i="7" s="1"/>
  <c r="E93" i="35"/>
  <c r="I93" i="35"/>
  <c r="Q93" i="35"/>
  <c r="Q97" i="35" s="1"/>
  <c r="G109" i="7" s="1"/>
  <c r="H93" i="35"/>
  <c r="H97" i="35" s="1"/>
  <c r="G61" i="7" s="1"/>
  <c r="R93" i="35"/>
  <c r="J93" i="35"/>
  <c r="O93" i="35"/>
  <c r="O97" i="35" s="1"/>
  <c r="N61" i="7" s="1"/>
  <c r="G93" i="35"/>
  <c r="G97" i="35" s="1"/>
  <c r="F61" i="7" s="1"/>
  <c r="D93" i="35"/>
  <c r="F93" i="35"/>
  <c r="P93" i="35"/>
  <c r="F98" i="80"/>
  <c r="C98" i="80"/>
  <c r="E98" i="80"/>
  <c r="P109" i="80"/>
  <c r="H98" i="80"/>
  <c r="N98" i="80"/>
  <c r="N109" i="80"/>
  <c r="G98" i="80"/>
  <c r="O109" i="80"/>
  <c r="D98" i="80"/>
  <c r="F97" i="20"/>
  <c r="E97" i="20"/>
  <c r="G97" i="20"/>
  <c r="N97" i="20"/>
  <c r="D97" i="20"/>
  <c r="C97" i="20"/>
  <c r="P108" i="20"/>
  <c r="O108" i="20"/>
  <c r="H84" i="28"/>
  <c r="H89" i="28" s="1"/>
  <c r="H63" i="7" s="1"/>
  <c r="G84" i="28"/>
  <c r="G89" i="28" s="1"/>
  <c r="G63" i="7" s="1"/>
  <c r="F84" i="28"/>
  <c r="M96" i="28"/>
  <c r="M101" i="28" s="1"/>
  <c r="G111" i="7" s="1"/>
  <c r="J84" i="28"/>
  <c r="N96" i="28"/>
  <c r="N101" i="28" s="1"/>
  <c r="H111" i="7" s="1"/>
  <c r="L84" i="28"/>
  <c r="N84" i="28"/>
  <c r="N89" i="28" s="1"/>
  <c r="N63" i="7" s="1"/>
  <c r="M84" i="28"/>
  <c r="C84" i="28"/>
  <c r="C89" i="28" s="1"/>
  <c r="I84" i="28"/>
  <c r="I89" i="28" s="1"/>
  <c r="I63" i="7" s="1"/>
  <c r="D84" i="28"/>
  <c r="D89" i="28" s="1"/>
  <c r="D63" i="7" s="1"/>
  <c r="L96" i="28"/>
  <c r="L101" i="28" s="1"/>
  <c r="E84" i="28"/>
  <c r="E89" i="28" s="1"/>
  <c r="E63" i="7" s="1"/>
  <c r="K96" i="75"/>
  <c r="N96" i="75"/>
  <c r="M96" i="75"/>
  <c r="H96" i="75"/>
  <c r="C96" i="75"/>
  <c r="D96" i="75"/>
  <c r="H107" i="75"/>
  <c r="E96" i="75"/>
  <c r="J97" i="75"/>
  <c r="F96" i="75"/>
  <c r="J107" i="75"/>
  <c r="I107" i="75"/>
  <c r="L96" i="75"/>
  <c r="G96" i="75"/>
  <c r="I96" i="75"/>
  <c r="H89" i="34"/>
  <c r="H93" i="34" s="1"/>
  <c r="E59" i="7" s="1"/>
  <c r="T89" i="34"/>
  <c r="T93" i="34" s="1"/>
  <c r="H107" i="7" s="1"/>
  <c r="J89" i="34"/>
  <c r="J93" i="34" s="1"/>
  <c r="I89" i="34"/>
  <c r="I93" i="34" s="1"/>
  <c r="F59" i="7" s="1"/>
  <c r="G89" i="34"/>
  <c r="G93" i="34" s="1"/>
  <c r="D59" i="7" s="1"/>
  <c r="S89" i="34"/>
  <c r="S93" i="34" s="1"/>
  <c r="G107" i="7" s="1"/>
  <c r="F89" i="34"/>
  <c r="F93" i="34" s="1"/>
  <c r="Q89" i="34"/>
  <c r="Q93" i="34" s="1"/>
  <c r="N59" i="7" s="1"/>
  <c r="M71" i="34"/>
  <c r="R89" i="34"/>
  <c r="R93" i="34" s="1"/>
  <c r="F98" i="83"/>
  <c r="T82" i="7" s="1"/>
  <c r="M98" i="83"/>
  <c r="AA82" i="7" s="1"/>
  <c r="D97" i="35"/>
  <c r="C57" i="7"/>
  <c r="D81" i="51"/>
  <c r="N113" i="9"/>
  <c r="H93" i="2"/>
  <c r="D93" i="2"/>
  <c r="F93" i="2"/>
  <c r="R92" i="2"/>
  <c r="Q92" i="2"/>
  <c r="E93" i="2"/>
  <c r="P92" i="2"/>
  <c r="O93" i="2"/>
  <c r="G93" i="2"/>
  <c r="O108" i="21"/>
  <c r="G97" i="21"/>
  <c r="E97" i="21"/>
  <c r="E102" i="21" s="1"/>
  <c r="E84" i="7" s="1"/>
  <c r="G80" i="21"/>
  <c r="N97" i="21"/>
  <c r="N102" i="21" s="1"/>
  <c r="N84" i="7" s="1"/>
  <c r="P108" i="21"/>
  <c r="C97" i="21"/>
  <c r="D97" i="21"/>
  <c r="N78" i="64"/>
  <c r="P89" i="64"/>
  <c r="C78" i="64"/>
  <c r="L78" i="64"/>
  <c r="F78" i="64"/>
  <c r="M78" i="64"/>
  <c r="D78" i="64"/>
  <c r="H78" i="64"/>
  <c r="E78" i="64"/>
  <c r="Q89" i="64"/>
  <c r="G78" i="64"/>
  <c r="I78" i="64"/>
  <c r="J78" i="64"/>
  <c r="O89" i="64"/>
  <c r="N76" i="64"/>
  <c r="F76" i="64"/>
  <c r="E76" i="64"/>
  <c r="I76" i="64"/>
  <c r="L76" i="64"/>
  <c r="P87" i="64"/>
  <c r="K76" i="64"/>
  <c r="K80" i="64" s="1"/>
  <c r="Y80" i="7" s="1"/>
  <c r="Q87" i="64"/>
  <c r="M76" i="64"/>
  <c r="O87" i="64"/>
  <c r="J76" i="64"/>
  <c r="H76" i="64"/>
  <c r="C76" i="64"/>
  <c r="G76" i="64"/>
  <c r="D76" i="64"/>
  <c r="L106" i="91"/>
  <c r="N96" i="91"/>
  <c r="G96" i="91"/>
  <c r="C96" i="91"/>
  <c r="N106" i="91"/>
  <c r="F96" i="91"/>
  <c r="M106" i="91"/>
  <c r="D96" i="91"/>
  <c r="E96" i="91"/>
  <c r="P90" i="32"/>
  <c r="D90" i="32"/>
  <c r="N90" i="32"/>
  <c r="F90" i="32"/>
  <c r="O90" i="32"/>
  <c r="B90" i="32"/>
  <c r="G90" i="32"/>
  <c r="M90" i="32"/>
  <c r="H108" i="65"/>
  <c r="K134" i="7"/>
  <c r="K142" i="7"/>
  <c r="M152" i="7" s="1"/>
  <c r="M164" i="7"/>
  <c r="G134" i="7"/>
  <c r="G142" i="7"/>
  <c r="I152" i="7" s="1"/>
  <c r="I164" i="7"/>
  <c r="F112" i="7"/>
  <c r="P81" i="53"/>
  <c r="K65" i="78"/>
  <c r="N65" i="78"/>
  <c r="J65" i="78"/>
  <c r="I65" i="78"/>
  <c r="M65" i="78"/>
  <c r="O75" i="78"/>
  <c r="G65" i="78"/>
  <c r="G66" i="78" s="1"/>
  <c r="G88" i="7" s="1"/>
  <c r="Q75" i="78"/>
  <c r="F65" i="78"/>
  <c r="L65" i="78"/>
  <c r="P75" i="78"/>
  <c r="E65" i="78"/>
  <c r="C65" i="78"/>
  <c r="D65" i="78"/>
  <c r="G95" i="85"/>
  <c r="D95" i="85"/>
  <c r="M105" i="85"/>
  <c r="N95" i="85"/>
  <c r="E95" i="85"/>
  <c r="L105" i="85"/>
  <c r="F95" i="85"/>
  <c r="C95" i="85"/>
  <c r="G79" i="85"/>
  <c r="P111" i="9"/>
  <c r="C100" i="9"/>
  <c r="N111" i="9"/>
  <c r="E100" i="9"/>
  <c r="O111" i="9"/>
  <c r="G100" i="9"/>
  <c r="F100" i="9"/>
  <c r="D100" i="9"/>
  <c r="N100" i="9"/>
  <c r="L93" i="77"/>
  <c r="L97" i="77" s="1"/>
  <c r="L91" i="7" s="1"/>
  <c r="E93" i="77"/>
  <c r="E97" i="77" s="1"/>
  <c r="E91" i="7" s="1"/>
  <c r="I104" i="77"/>
  <c r="I108" i="77" s="1"/>
  <c r="W118" i="7" s="1"/>
  <c r="D93" i="77"/>
  <c r="D97" i="77" s="1"/>
  <c r="D91" i="7" s="1"/>
  <c r="C93" i="77"/>
  <c r="C97" i="77" s="1"/>
  <c r="H104" i="77"/>
  <c r="H108" i="77" s="1"/>
  <c r="F93" i="77"/>
  <c r="F97" i="77" s="1"/>
  <c r="F91" i="7" s="1"/>
  <c r="N93" i="77"/>
  <c r="N97" i="77" s="1"/>
  <c r="N91" i="7" s="1"/>
  <c r="M93" i="77"/>
  <c r="M97" i="77" s="1"/>
  <c r="M91" i="7" s="1"/>
  <c r="K93" i="77"/>
  <c r="K97" i="77" s="1"/>
  <c r="K91" i="7" s="1"/>
  <c r="G93" i="77"/>
  <c r="G97" i="77" s="1"/>
  <c r="G91" i="7" s="1"/>
  <c r="F77" i="77"/>
  <c r="F102" i="81"/>
  <c r="T67" i="7" s="1"/>
  <c r="G102" i="81"/>
  <c r="U67" i="7" s="1"/>
  <c r="N98" i="68"/>
  <c r="AB62" i="7" s="1"/>
  <c r="H96" i="48"/>
  <c r="H99" i="48" s="1"/>
  <c r="H78" i="7" s="1"/>
  <c r="P106" i="48"/>
  <c r="P109" i="48" s="1"/>
  <c r="X105" i="7" s="1"/>
  <c r="E96" i="48"/>
  <c r="O106" i="48"/>
  <c r="F96" i="48"/>
  <c r="C96" i="48"/>
  <c r="N106" i="48"/>
  <c r="N96" i="48"/>
  <c r="D96" i="48"/>
  <c r="G96" i="48"/>
  <c r="N111" i="80"/>
  <c r="G100" i="80"/>
  <c r="N100" i="80"/>
  <c r="D100" i="80"/>
  <c r="F100" i="80"/>
  <c r="E100" i="80"/>
  <c r="C100" i="80"/>
  <c r="O111" i="80"/>
  <c r="Q85" i="7"/>
  <c r="C78" i="62"/>
  <c r="C101" i="20"/>
  <c r="O112" i="20"/>
  <c r="P112" i="20"/>
  <c r="Q112" i="20"/>
  <c r="D101" i="20"/>
  <c r="G101" i="20"/>
  <c r="F101" i="20"/>
  <c r="E101" i="20"/>
  <c r="L94" i="59"/>
  <c r="N94" i="59"/>
  <c r="E94" i="59"/>
  <c r="D94" i="59"/>
  <c r="C94" i="59"/>
  <c r="J105" i="59"/>
  <c r="G78" i="59"/>
  <c r="M94" i="59"/>
  <c r="J95" i="59"/>
  <c r="H94" i="59"/>
  <c r="K94" i="59"/>
  <c r="F94" i="59"/>
  <c r="J94" i="59"/>
  <c r="H105" i="59"/>
  <c r="I94" i="59"/>
  <c r="G94" i="59"/>
  <c r="I105" i="59"/>
  <c r="N98" i="89"/>
  <c r="AB85" i="7" s="1"/>
  <c r="O112" i="92"/>
  <c r="D101" i="92"/>
  <c r="E101" i="92"/>
  <c r="K101" i="92"/>
  <c r="N112" i="92"/>
  <c r="J101" i="92"/>
  <c r="C101" i="92"/>
  <c r="L101" i="92"/>
  <c r="P112" i="92"/>
  <c r="F101" i="92"/>
  <c r="M101" i="92"/>
  <c r="I101" i="92"/>
  <c r="H101" i="92"/>
  <c r="N101" i="92"/>
  <c r="N110" i="92"/>
  <c r="P110" i="92"/>
  <c r="H99" i="92"/>
  <c r="I99" i="92"/>
  <c r="M99" i="92"/>
  <c r="C99" i="92"/>
  <c r="K99" i="92"/>
  <c r="N99" i="92"/>
  <c r="D99" i="92"/>
  <c r="E99" i="92"/>
  <c r="J99" i="92"/>
  <c r="L99" i="92"/>
  <c r="F99" i="92"/>
  <c r="O110" i="92"/>
  <c r="N99" i="70"/>
  <c r="AB64" i="7" s="1"/>
  <c r="G91" i="86"/>
  <c r="G55" i="7" s="1"/>
  <c r="M91" i="86"/>
  <c r="M55" i="7" s="1"/>
  <c r="L91" i="86"/>
  <c r="L55" i="7" s="1"/>
  <c r="K98" i="83"/>
  <c r="Y82" i="7" s="1"/>
  <c r="R97" i="35"/>
  <c r="H109" i="7" s="1"/>
  <c r="G98" i="74"/>
  <c r="U68" i="7" s="1"/>
  <c r="D96" i="58"/>
  <c r="H96" i="58"/>
  <c r="L96" i="58"/>
  <c r="E96" i="58"/>
  <c r="J96" i="58"/>
  <c r="G96" i="58"/>
  <c r="N96" i="58"/>
  <c r="I96" i="58"/>
  <c r="K96" i="58"/>
  <c r="F96" i="58"/>
  <c r="I107" i="58"/>
  <c r="M96" i="58"/>
  <c r="J107" i="58"/>
  <c r="H107" i="58"/>
  <c r="C96" i="58"/>
  <c r="M91" i="36"/>
  <c r="L62" i="7" s="1"/>
  <c r="R89" i="2"/>
  <c r="D90" i="2"/>
  <c r="G90" i="2"/>
  <c r="E90" i="2"/>
  <c r="H90" i="2"/>
  <c r="Q89" i="2"/>
  <c r="F90" i="2"/>
  <c r="P89" i="2"/>
  <c r="O90" i="2"/>
  <c r="C99" i="69"/>
  <c r="O109" i="69"/>
  <c r="K99" i="69"/>
  <c r="E99" i="69"/>
  <c r="N99" i="69"/>
  <c r="N109" i="69"/>
  <c r="L99" i="69"/>
  <c r="G99" i="69"/>
  <c r="J99" i="69"/>
  <c r="D99" i="69"/>
  <c r="I99" i="69"/>
  <c r="H99" i="69"/>
  <c r="P109" i="69"/>
  <c r="P111" i="21"/>
  <c r="C100" i="21"/>
  <c r="F100" i="21"/>
  <c r="G100" i="21"/>
  <c r="O111" i="21"/>
  <c r="D100" i="21"/>
  <c r="E100" i="21"/>
  <c r="Q111" i="21"/>
  <c r="Q113" i="21" s="1"/>
  <c r="X111" i="7" s="1"/>
  <c r="C101" i="21"/>
  <c r="F101" i="21"/>
  <c r="I101" i="21"/>
  <c r="D101" i="21"/>
  <c r="K101" i="21"/>
  <c r="Q112" i="21"/>
  <c r="E101" i="21"/>
  <c r="N101" i="21"/>
  <c r="M101" i="21"/>
  <c r="O112" i="21"/>
  <c r="G101" i="21"/>
  <c r="P112" i="21"/>
  <c r="E97" i="65"/>
  <c r="S81" i="7" s="1"/>
  <c r="F97" i="65"/>
  <c r="T81" i="7" s="1"/>
  <c r="H105" i="88"/>
  <c r="H109" i="88" s="1"/>
  <c r="F94" i="88"/>
  <c r="F98" i="88" s="1"/>
  <c r="F80" i="7" s="1"/>
  <c r="N94" i="88"/>
  <c r="N98" i="88" s="1"/>
  <c r="N80" i="7" s="1"/>
  <c r="C94" i="88"/>
  <c r="C98" i="88" s="1"/>
  <c r="D94" i="88"/>
  <c r="D98" i="88" s="1"/>
  <c r="D80" i="7" s="1"/>
  <c r="E94" i="88"/>
  <c r="E98" i="88" s="1"/>
  <c r="E80" i="7" s="1"/>
  <c r="I105" i="88"/>
  <c r="I109" i="88" s="1"/>
  <c r="W107" i="7" s="1"/>
  <c r="G94" i="88"/>
  <c r="G98" i="88" s="1"/>
  <c r="G80" i="7" s="1"/>
  <c r="J105" i="88"/>
  <c r="J109" i="88" s="1"/>
  <c r="X107" i="7" s="1"/>
  <c r="G79" i="22"/>
  <c r="N77" i="64"/>
  <c r="C77" i="64"/>
  <c r="F77" i="64"/>
  <c r="L77" i="64"/>
  <c r="Q88" i="64"/>
  <c r="I77" i="64"/>
  <c r="D77" i="64"/>
  <c r="M77" i="64"/>
  <c r="O88" i="64"/>
  <c r="J77" i="64"/>
  <c r="P88" i="64"/>
  <c r="E77" i="64"/>
  <c r="H77" i="64"/>
  <c r="F90" i="29"/>
  <c r="H90" i="29"/>
  <c r="E90" i="29"/>
  <c r="G90" i="29"/>
  <c r="O90" i="29"/>
  <c r="P90" i="29"/>
  <c r="Q90" i="29"/>
  <c r="R90" i="29"/>
  <c r="D90" i="29"/>
  <c r="F91" i="29"/>
  <c r="G91" i="29"/>
  <c r="H91" i="29"/>
  <c r="E91" i="29"/>
  <c r="P91" i="29"/>
  <c r="Q91" i="29"/>
  <c r="R91" i="29"/>
  <c r="O91" i="29"/>
  <c r="D91" i="29"/>
  <c r="D95" i="6"/>
  <c r="C95" i="6"/>
  <c r="P106" i="6"/>
  <c r="P108" i="6" s="1"/>
  <c r="P105" i="7" s="1"/>
  <c r="N95" i="6"/>
  <c r="E95" i="6"/>
  <c r="F95" i="6"/>
  <c r="G95" i="6"/>
  <c r="N106" i="4"/>
  <c r="D96" i="4"/>
  <c r="F96" i="4"/>
  <c r="E96" i="4"/>
  <c r="G96" i="4"/>
  <c r="C96" i="4"/>
  <c r="N96" i="4"/>
  <c r="O106" i="4"/>
  <c r="D94" i="58"/>
  <c r="H94" i="58"/>
  <c r="L94" i="58"/>
  <c r="L98" i="58" s="1"/>
  <c r="L81" i="7" s="1"/>
  <c r="I94" i="58"/>
  <c r="I98" i="58" s="1"/>
  <c r="I81" i="7" s="1"/>
  <c r="N94" i="58"/>
  <c r="F94" i="58"/>
  <c r="F98" i="58" s="1"/>
  <c r="F81" i="7" s="1"/>
  <c r="M94" i="58"/>
  <c r="G94" i="58"/>
  <c r="J94" i="58"/>
  <c r="J98" i="58" s="1"/>
  <c r="J81" i="7" s="1"/>
  <c r="C94" i="58"/>
  <c r="E94" i="58"/>
  <c r="K94" i="58"/>
  <c r="K98" i="58" s="1"/>
  <c r="K81" i="7" s="1"/>
  <c r="I105" i="58"/>
  <c r="G78" i="58"/>
  <c r="J105" i="58"/>
  <c r="J109" i="58" s="1"/>
  <c r="X108" i="7" s="1"/>
  <c r="H105" i="58"/>
  <c r="H65" i="32"/>
  <c r="H69" i="32" s="1"/>
  <c r="L77" i="62"/>
  <c r="F77" i="62"/>
  <c r="F78" i="62" s="1"/>
  <c r="T77" i="7" s="1"/>
  <c r="D77" i="62"/>
  <c r="D78" i="62" s="1"/>
  <c r="R77" i="7" s="1"/>
  <c r="C77" i="62"/>
  <c r="K77" i="62"/>
  <c r="K78" i="62" s="1"/>
  <c r="Y77" i="7" s="1"/>
  <c r="G77" i="62"/>
  <c r="G78" i="62" s="1"/>
  <c r="U77" i="7" s="1"/>
  <c r="O88" i="62"/>
  <c r="O89" i="62" s="1"/>
  <c r="E77" i="62"/>
  <c r="Q88" i="62"/>
  <c r="P88" i="62"/>
  <c r="P89" i="62" s="1"/>
  <c r="AE104" i="7" s="1"/>
  <c r="N77" i="62"/>
  <c r="N78" i="62" s="1"/>
  <c r="AB77" i="7" s="1"/>
  <c r="I77" i="62"/>
  <c r="P81" i="23"/>
  <c r="G70" i="23"/>
  <c r="F70" i="23"/>
  <c r="I70" i="23"/>
  <c r="E70" i="23"/>
  <c r="N70" i="23"/>
  <c r="Q81" i="23"/>
  <c r="O81" i="23"/>
  <c r="C70" i="23"/>
  <c r="D70" i="23"/>
  <c r="L94" i="75"/>
  <c r="L98" i="75" s="1"/>
  <c r="Z69" i="7" s="1"/>
  <c r="I94" i="75"/>
  <c r="G94" i="75"/>
  <c r="G98" i="75" s="1"/>
  <c r="U69" i="7" s="1"/>
  <c r="C94" i="75"/>
  <c r="C98" i="75" s="1"/>
  <c r="J94" i="75"/>
  <c r="F94" i="75"/>
  <c r="F98" i="75" s="1"/>
  <c r="T69" i="7" s="1"/>
  <c r="G78" i="75"/>
  <c r="D94" i="75"/>
  <c r="D98" i="75" s="1"/>
  <c r="R69" i="7" s="1"/>
  <c r="M94" i="75"/>
  <c r="E94" i="75"/>
  <c r="H105" i="75"/>
  <c r="N94" i="75"/>
  <c r="N98" i="75" s="1"/>
  <c r="AB69" i="7" s="1"/>
  <c r="J105" i="75"/>
  <c r="I105" i="75"/>
  <c r="K94" i="75"/>
  <c r="K98" i="75" s="1"/>
  <c r="Y69" i="7" s="1"/>
  <c r="J95" i="75"/>
  <c r="H94" i="75"/>
  <c r="H98" i="75" s="1"/>
  <c r="V69" i="7" s="1"/>
  <c r="F102" i="8"/>
  <c r="F74" i="7" s="1"/>
  <c r="H98" i="88"/>
  <c r="H80" i="7" s="1"/>
  <c r="G94" i="5"/>
  <c r="E94" i="5"/>
  <c r="L104" i="5"/>
  <c r="N104" i="5"/>
  <c r="C94" i="5"/>
  <c r="J94" i="5"/>
  <c r="N94" i="5"/>
  <c r="M104" i="5"/>
  <c r="H94" i="5"/>
  <c r="F94" i="5"/>
  <c r="D94" i="5"/>
  <c r="P109" i="71"/>
  <c r="P113" i="7" s="1"/>
  <c r="C99" i="70"/>
  <c r="J142" i="7"/>
  <c r="L152" i="7" s="1"/>
  <c r="J134" i="7"/>
  <c r="L164" i="7"/>
  <c r="H102" i="81"/>
  <c r="V67" i="7" s="1"/>
  <c r="C97" i="85"/>
  <c r="D97" i="85"/>
  <c r="E97" i="85"/>
  <c r="G97" i="85"/>
  <c r="L107" i="85"/>
  <c r="N107" i="85"/>
  <c r="H97" i="85"/>
  <c r="M107" i="85"/>
  <c r="N97" i="85"/>
  <c r="F97" i="85"/>
  <c r="O89" i="30"/>
  <c r="D89" i="30"/>
  <c r="N89" i="30"/>
  <c r="N93" i="30" s="1"/>
  <c r="N53" i="7" s="1"/>
  <c r="P89" i="30"/>
  <c r="P93" i="30" s="1"/>
  <c r="G102" i="7" s="1"/>
  <c r="C89" i="30"/>
  <c r="Q67" i="7"/>
  <c r="Q62" i="7"/>
  <c r="Q78" i="82"/>
  <c r="J69" i="82"/>
  <c r="P78" i="82"/>
  <c r="G69" i="82"/>
  <c r="F69" i="82"/>
  <c r="D69" i="82"/>
  <c r="E69" i="82"/>
  <c r="O78" i="82"/>
  <c r="H69" i="82"/>
  <c r="N69" i="82"/>
  <c r="C69" i="82"/>
  <c r="E101" i="80"/>
  <c r="G101" i="80"/>
  <c r="C101" i="80"/>
  <c r="N101" i="80"/>
  <c r="O112" i="80"/>
  <c r="F101" i="80"/>
  <c r="N112" i="80"/>
  <c r="D101" i="80"/>
  <c r="Q89" i="62"/>
  <c r="AF104" i="7" s="1"/>
  <c r="H107" i="74"/>
  <c r="E96" i="74"/>
  <c r="E98" i="74" s="1"/>
  <c r="S68" i="7" s="1"/>
  <c r="I107" i="74"/>
  <c r="N96" i="74"/>
  <c r="N98" i="74" s="1"/>
  <c r="AB68" i="7" s="1"/>
  <c r="J107" i="74"/>
  <c r="J109" i="74" s="1"/>
  <c r="P116" i="7" s="1"/>
  <c r="G96" i="74"/>
  <c r="F96" i="74"/>
  <c r="H96" i="74"/>
  <c r="H98" i="74" s="1"/>
  <c r="V68" i="7" s="1"/>
  <c r="I96" i="74"/>
  <c r="D96" i="74"/>
  <c r="C96" i="74"/>
  <c r="C98" i="74" s="1"/>
  <c r="C100" i="20"/>
  <c r="D100" i="20"/>
  <c r="E100" i="20"/>
  <c r="G100" i="20"/>
  <c r="P111" i="20"/>
  <c r="F100" i="20"/>
  <c r="N100" i="20"/>
  <c r="O111" i="20"/>
  <c r="G98" i="67"/>
  <c r="M142" i="7"/>
  <c r="O152" i="7" s="1"/>
  <c r="M134" i="7"/>
  <c r="O164" i="7"/>
  <c r="P109" i="9"/>
  <c r="P113" i="9" s="1"/>
  <c r="X104" i="7" s="1"/>
  <c r="G98" i="9"/>
  <c r="N98" i="9"/>
  <c r="D98" i="9"/>
  <c r="D102" i="9" s="1"/>
  <c r="D77" i="7" s="1"/>
  <c r="O109" i="9"/>
  <c r="E98" i="9"/>
  <c r="N109" i="9"/>
  <c r="F98" i="9"/>
  <c r="H98" i="9"/>
  <c r="H102" i="9" s="1"/>
  <c r="H77" i="7" s="1"/>
  <c r="C98" i="9"/>
  <c r="N106" i="41"/>
  <c r="E96" i="41"/>
  <c r="E99" i="41" s="1"/>
  <c r="S58" i="7" s="1"/>
  <c r="O106" i="41"/>
  <c r="H96" i="41"/>
  <c r="D96" i="41"/>
  <c r="C96" i="41"/>
  <c r="C99" i="41" s="1"/>
  <c r="N96" i="41"/>
  <c r="N99" i="41" s="1"/>
  <c r="AB58" i="7" s="1"/>
  <c r="J70" i="82"/>
  <c r="F70" i="82"/>
  <c r="E70" i="82"/>
  <c r="O79" i="82"/>
  <c r="Q79" i="82"/>
  <c r="D70" i="82"/>
  <c r="P79" i="82"/>
  <c r="G70" i="82"/>
  <c r="C70" i="82"/>
  <c r="H70" i="82"/>
  <c r="N70" i="82"/>
  <c r="D98" i="74"/>
  <c r="R68" i="7" s="1"/>
  <c r="G79" i="41"/>
  <c r="N99" i="9"/>
  <c r="N110" i="9"/>
  <c r="C99" i="9"/>
  <c r="G99" i="9"/>
  <c r="D99" i="9"/>
  <c r="O110" i="9"/>
  <c r="F99" i="9"/>
  <c r="P110" i="9"/>
  <c r="E99" i="9"/>
  <c r="Q90" i="2"/>
  <c r="P90" i="2"/>
  <c r="O91" i="2"/>
  <c r="D91" i="2"/>
  <c r="H91" i="2"/>
  <c r="F91" i="2"/>
  <c r="G91" i="2"/>
  <c r="R90" i="2"/>
  <c r="E91" i="2"/>
  <c r="H106" i="76"/>
  <c r="E95" i="76"/>
  <c r="E97" i="76" s="1"/>
  <c r="E90" i="7" s="1"/>
  <c r="M95" i="76"/>
  <c r="I106" i="76"/>
  <c r="N95" i="76"/>
  <c r="J106" i="76"/>
  <c r="J108" i="76" s="1"/>
  <c r="X117" i="7" s="1"/>
  <c r="K95" i="76"/>
  <c r="G95" i="76"/>
  <c r="F95" i="76"/>
  <c r="L95" i="76"/>
  <c r="D95" i="76"/>
  <c r="C95" i="76"/>
  <c r="I95" i="76"/>
  <c r="I97" i="76" s="1"/>
  <c r="I90" i="7" s="1"/>
  <c r="M111" i="8"/>
  <c r="M113" i="8" s="1"/>
  <c r="W101" i="7" s="1"/>
  <c r="J100" i="8"/>
  <c r="J102" i="8" s="1"/>
  <c r="J74" i="7" s="1"/>
  <c r="D100" i="8"/>
  <c r="C100" i="8"/>
  <c r="C102" i="8" s="1"/>
  <c r="E100" i="8"/>
  <c r="E102" i="8" s="1"/>
  <c r="E74" i="7" s="1"/>
  <c r="N111" i="8"/>
  <c r="N113" i="8" s="1"/>
  <c r="X101" i="7" s="1"/>
  <c r="L111" i="8"/>
  <c r="L113" i="8" s="1"/>
  <c r="I100" i="8"/>
  <c r="I102" i="8" s="1"/>
  <c r="I74" i="7" s="1"/>
  <c r="G100" i="8"/>
  <c r="G102" i="8" s="1"/>
  <c r="G74" i="7" s="1"/>
  <c r="N100" i="8"/>
  <c r="N102" i="8" s="1"/>
  <c r="N74" i="7" s="1"/>
  <c r="H100" i="8"/>
  <c r="H102" i="8" s="1"/>
  <c r="H74" i="7" s="1"/>
  <c r="K100" i="8"/>
  <c r="L100" i="8"/>
  <c r="M100" i="8"/>
  <c r="M102" i="8" s="1"/>
  <c r="M74" i="7" s="1"/>
  <c r="H95" i="67"/>
  <c r="M95" i="67"/>
  <c r="F95" i="67"/>
  <c r="F98" i="67" s="1"/>
  <c r="L95" i="67"/>
  <c r="E95" i="67"/>
  <c r="H106" i="67"/>
  <c r="J106" i="67"/>
  <c r="I95" i="67"/>
  <c r="K95" i="67"/>
  <c r="C95" i="67"/>
  <c r="N95" i="67"/>
  <c r="N98" i="67" s="1"/>
  <c r="D95" i="67"/>
  <c r="G95" i="67"/>
  <c r="I106" i="67"/>
  <c r="I109" i="67" s="1"/>
  <c r="G97" i="22"/>
  <c r="E97" i="22"/>
  <c r="G80" i="22"/>
  <c r="F92" i="29"/>
  <c r="E92" i="29"/>
  <c r="H92" i="29"/>
  <c r="G92" i="29"/>
  <c r="O92" i="29"/>
  <c r="P92" i="29"/>
  <c r="D92" i="29"/>
  <c r="Q92" i="29"/>
  <c r="R92" i="29"/>
  <c r="E97" i="6"/>
  <c r="D97" i="6"/>
  <c r="F97" i="6"/>
  <c r="G97" i="6"/>
  <c r="L97" i="6"/>
  <c r="C97" i="6"/>
  <c r="N97" i="6"/>
  <c r="D88" i="32"/>
  <c r="F88" i="32"/>
  <c r="G88" i="32"/>
  <c r="B88" i="32"/>
  <c r="M88" i="32"/>
  <c r="O88" i="32"/>
  <c r="N88" i="32"/>
  <c r="P88" i="32"/>
  <c r="O108" i="48"/>
  <c r="E98" i="48"/>
  <c r="G98" i="48"/>
  <c r="D98" i="48"/>
  <c r="N108" i="48"/>
  <c r="N98" i="48"/>
  <c r="C98" i="48"/>
  <c r="F98" i="48"/>
  <c r="N71" i="23"/>
  <c r="F71" i="23"/>
  <c r="E71" i="23"/>
  <c r="D71" i="23"/>
  <c r="O82" i="23"/>
  <c r="G71" i="23"/>
  <c r="I71" i="23"/>
  <c r="P82" i="23"/>
  <c r="Q82" i="23"/>
  <c r="C71" i="23"/>
  <c r="N95" i="4"/>
  <c r="C95" i="4"/>
  <c r="D95" i="4"/>
  <c r="F95" i="4"/>
  <c r="H95" i="4"/>
  <c r="G95" i="4"/>
  <c r="P105" i="4"/>
  <c r="O105" i="4"/>
  <c r="E95" i="4"/>
  <c r="N105" i="4"/>
  <c r="G80" i="8"/>
  <c r="H134" i="7"/>
  <c r="H142" i="7"/>
  <c r="J152" i="7" s="1"/>
  <c r="J164" i="7"/>
  <c r="F102" i="63"/>
  <c r="T78" i="7" s="1"/>
  <c r="C64" i="7"/>
  <c r="D81" i="53"/>
  <c r="M108" i="85"/>
  <c r="L108" i="85"/>
  <c r="C98" i="85"/>
  <c r="N98" i="85"/>
  <c r="D98" i="85"/>
  <c r="F98" i="85"/>
  <c r="G98" i="85"/>
  <c r="E98" i="85"/>
  <c r="P130" i="7"/>
  <c r="AF124" i="7"/>
  <c r="C99" i="80"/>
  <c r="P110" i="80"/>
  <c r="E99" i="80"/>
  <c r="D99" i="80"/>
  <c r="H99" i="80"/>
  <c r="F99" i="80"/>
  <c r="N110" i="80"/>
  <c r="N99" i="80"/>
  <c r="O110" i="80"/>
  <c r="G99" i="80"/>
  <c r="L94" i="56"/>
  <c r="L98" i="56" s="1"/>
  <c r="Z59" i="7" s="1"/>
  <c r="G94" i="56"/>
  <c r="F94" i="56"/>
  <c r="F98" i="56" s="1"/>
  <c r="T59" i="7" s="1"/>
  <c r="G78" i="56"/>
  <c r="J94" i="56"/>
  <c r="C94" i="56"/>
  <c r="C98" i="56" s="1"/>
  <c r="I105" i="56"/>
  <c r="I109" i="56" s="1"/>
  <c r="O107" i="7" s="1"/>
  <c r="H105" i="56"/>
  <c r="J105" i="56"/>
  <c r="J109" i="56" s="1"/>
  <c r="P107" i="7" s="1"/>
  <c r="I94" i="56"/>
  <c r="I98" i="56" s="1"/>
  <c r="W59" i="7" s="1"/>
  <c r="D94" i="56"/>
  <c r="D98" i="56" s="1"/>
  <c r="R59" i="7" s="1"/>
  <c r="N94" i="56"/>
  <c r="K94" i="56"/>
  <c r="K98" i="56" s="1"/>
  <c r="Y59" i="7" s="1"/>
  <c r="E94" i="56"/>
  <c r="E98" i="56" s="1"/>
  <c r="S59" i="7" s="1"/>
  <c r="L97" i="59"/>
  <c r="N97" i="59"/>
  <c r="I97" i="59"/>
  <c r="H97" i="59"/>
  <c r="H108" i="59"/>
  <c r="K97" i="59"/>
  <c r="E97" i="59"/>
  <c r="M97" i="59"/>
  <c r="D97" i="59"/>
  <c r="I108" i="59"/>
  <c r="F97" i="59"/>
  <c r="J108" i="59"/>
  <c r="G97" i="59"/>
  <c r="C97" i="59"/>
  <c r="O108" i="92"/>
  <c r="G80" i="92"/>
  <c r="P108" i="92"/>
  <c r="C97" i="92"/>
  <c r="H97" i="92"/>
  <c r="I97" i="92"/>
  <c r="N97" i="92"/>
  <c r="E97" i="92"/>
  <c r="F97" i="92"/>
  <c r="D97" i="92"/>
  <c r="D102" i="92" s="1"/>
  <c r="R74" i="7" s="1"/>
  <c r="N108" i="92"/>
  <c r="M98" i="56"/>
  <c r="AA59" i="7" s="1"/>
  <c r="E99" i="71"/>
  <c r="S65" i="7" s="1"/>
  <c r="H109" i="74"/>
  <c r="N109" i="41"/>
  <c r="N93" i="4"/>
  <c r="N103" i="4"/>
  <c r="C93" i="4"/>
  <c r="G93" i="4"/>
  <c r="G97" i="4" s="1"/>
  <c r="U55" i="7" s="1"/>
  <c r="O103" i="4"/>
  <c r="F93" i="4"/>
  <c r="D93" i="4"/>
  <c r="G79" i="4"/>
  <c r="E93" i="4"/>
  <c r="C86" i="7"/>
  <c r="O113" i="9"/>
  <c r="W104" i="7" s="1"/>
  <c r="C92" i="30"/>
  <c r="O92" i="30"/>
  <c r="P92" i="30"/>
  <c r="D92" i="30"/>
  <c r="D93" i="30" s="1"/>
  <c r="D53" i="7" s="1"/>
  <c r="N92" i="30"/>
  <c r="G98" i="69"/>
  <c r="K98" i="69"/>
  <c r="D98" i="69"/>
  <c r="N108" i="69"/>
  <c r="E98" i="69"/>
  <c r="O108" i="69"/>
  <c r="H98" i="69"/>
  <c r="C98" i="69"/>
  <c r="I98" i="69"/>
  <c r="N98" i="69"/>
  <c r="J98" i="69"/>
  <c r="P108" i="69"/>
  <c r="L98" i="69"/>
  <c r="I107" i="57"/>
  <c r="D96" i="57"/>
  <c r="D98" i="57" s="1"/>
  <c r="R60" i="7" s="1"/>
  <c r="F96" i="57"/>
  <c r="C96" i="57"/>
  <c r="G96" i="57"/>
  <c r="I96" i="57"/>
  <c r="I98" i="57" s="1"/>
  <c r="W60" i="7" s="1"/>
  <c r="J107" i="57"/>
  <c r="H107" i="57"/>
  <c r="N96" i="57"/>
  <c r="E96" i="57"/>
  <c r="E98" i="57" s="1"/>
  <c r="S60" i="7" s="1"/>
  <c r="H96" i="57"/>
  <c r="H98" i="57" s="1"/>
  <c r="V60" i="7" s="1"/>
  <c r="Q130" i="7"/>
  <c r="AG124" i="7"/>
  <c r="K89" i="28"/>
  <c r="K63" i="7" s="1"/>
  <c r="E98" i="22"/>
  <c r="Q109" i="22"/>
  <c r="D98" i="22"/>
  <c r="F98" i="22"/>
  <c r="G98" i="22"/>
  <c r="N98" i="22"/>
  <c r="P109" i="22"/>
  <c r="H98" i="22"/>
  <c r="H102" i="22" s="1"/>
  <c r="H85" i="7" s="1"/>
  <c r="O109" i="22"/>
  <c r="C98" i="22"/>
  <c r="F93" i="29"/>
  <c r="G93" i="29"/>
  <c r="E93" i="29"/>
  <c r="H93" i="29"/>
  <c r="O93" i="29"/>
  <c r="D93" i="29"/>
  <c r="P93" i="29"/>
  <c r="Q93" i="29"/>
  <c r="R93" i="29"/>
  <c r="N107" i="6"/>
  <c r="C96" i="6"/>
  <c r="E96" i="6"/>
  <c r="K96" i="6"/>
  <c r="K98" i="6" s="1"/>
  <c r="Y57" i="7" s="1"/>
  <c r="O107" i="6"/>
  <c r="D96" i="6"/>
  <c r="G96" i="6"/>
  <c r="L96" i="6"/>
  <c r="L98" i="6" s="1"/>
  <c r="Z57" i="7" s="1"/>
  <c r="F96" i="6"/>
  <c r="N96" i="6"/>
  <c r="R130" i="7"/>
  <c r="AH124" i="7"/>
  <c r="N72" i="23"/>
  <c r="P83" i="23"/>
  <c r="E72" i="23"/>
  <c r="Q83" i="23"/>
  <c r="I72" i="23"/>
  <c r="F72" i="23"/>
  <c r="G72" i="23"/>
  <c r="D72" i="23"/>
  <c r="O83" i="23"/>
  <c r="C72" i="23"/>
  <c r="E100" i="60"/>
  <c r="F100" i="60"/>
  <c r="P111" i="60"/>
  <c r="D100" i="60"/>
  <c r="O111" i="60"/>
  <c r="C100" i="60"/>
  <c r="N100" i="60"/>
  <c r="N111" i="60"/>
  <c r="D102" i="8"/>
  <c r="D74" i="7" s="1"/>
  <c r="D93" i="5"/>
  <c r="F93" i="5"/>
  <c r="N93" i="5"/>
  <c r="M103" i="5"/>
  <c r="J93" i="5"/>
  <c r="N103" i="5"/>
  <c r="N106" i="5" s="1"/>
  <c r="P104" i="7" s="1"/>
  <c r="L103" i="5"/>
  <c r="E93" i="5"/>
  <c r="G93" i="5"/>
  <c r="H93" i="5"/>
  <c r="C93" i="5"/>
  <c r="I142" i="7"/>
  <c r="K152" i="7" s="1"/>
  <c r="I134" i="7"/>
  <c r="K164" i="7"/>
  <c r="E87" i="36"/>
  <c r="E91" i="36" s="1"/>
  <c r="D62" i="7" s="1"/>
  <c r="O87" i="36"/>
  <c r="O91" i="36" s="1"/>
  <c r="N62" i="7" s="1"/>
  <c r="H87" i="36"/>
  <c r="H91" i="36" s="1"/>
  <c r="G62" i="7" s="1"/>
  <c r="D87" i="36"/>
  <c r="D91" i="36" s="1"/>
  <c r="F87" i="36"/>
  <c r="F91" i="36" s="1"/>
  <c r="E62" i="7" s="1"/>
  <c r="G87" i="36"/>
  <c r="G91" i="36" s="1"/>
  <c r="F62" i="7" s="1"/>
  <c r="R87" i="36"/>
  <c r="R91" i="36" s="1"/>
  <c r="H110" i="7" s="1"/>
  <c r="Q87" i="36"/>
  <c r="Q91" i="36" s="1"/>
  <c r="G110" i="7" s="1"/>
  <c r="P87" i="36"/>
  <c r="P91" i="36" s="1"/>
  <c r="H72" i="36"/>
  <c r="L106" i="85"/>
  <c r="D96" i="85"/>
  <c r="H96" i="85"/>
  <c r="H99" i="85" s="1"/>
  <c r="V54" i="7" s="1"/>
  <c r="F96" i="85"/>
  <c r="C96" i="85"/>
  <c r="G96" i="85"/>
  <c r="N106" i="85"/>
  <c r="E96" i="85"/>
  <c r="M106" i="85"/>
  <c r="N96" i="85"/>
  <c r="C94" i="83"/>
  <c r="C98" i="83" s="1"/>
  <c r="D94" i="83"/>
  <c r="D98" i="83" s="1"/>
  <c r="R82" i="7" s="1"/>
  <c r="I105" i="83"/>
  <c r="I109" i="83" s="1"/>
  <c r="AE109" i="7" s="1"/>
  <c r="J105" i="83"/>
  <c r="J109" i="83" s="1"/>
  <c r="AF109" i="7" s="1"/>
  <c r="I94" i="83"/>
  <c r="I98" i="83" s="1"/>
  <c r="W82" i="7" s="1"/>
  <c r="E94" i="83"/>
  <c r="E98" i="83" s="1"/>
  <c r="S82" i="7" s="1"/>
  <c r="G94" i="83"/>
  <c r="G98" i="83" s="1"/>
  <c r="U82" i="7" s="1"/>
  <c r="F78" i="83"/>
  <c r="H105" i="83"/>
  <c r="H109" i="83" s="1"/>
  <c r="E98" i="60"/>
  <c r="E102" i="60" s="1"/>
  <c r="S75" i="7" s="1"/>
  <c r="C98" i="60"/>
  <c r="C102" i="60" s="1"/>
  <c r="P109" i="60"/>
  <c r="O109" i="60"/>
  <c r="D98" i="60"/>
  <c r="N98" i="60"/>
  <c r="N102" i="60" s="1"/>
  <c r="AB75" i="7" s="1"/>
  <c r="H98" i="60"/>
  <c r="N109" i="60"/>
  <c r="F98" i="60"/>
  <c r="N102" i="81"/>
  <c r="AB67" i="7" s="1"/>
  <c r="O108" i="68"/>
  <c r="K93" i="76"/>
  <c r="I104" i="76"/>
  <c r="C93" i="76"/>
  <c r="M93" i="76"/>
  <c r="D93" i="76"/>
  <c r="N93" i="76"/>
  <c r="H104" i="76"/>
  <c r="F77" i="76"/>
  <c r="G93" i="76"/>
  <c r="L93" i="76"/>
  <c r="O108" i="80"/>
  <c r="N108" i="80"/>
  <c r="N113" i="80" s="1"/>
  <c r="N97" i="80"/>
  <c r="C97" i="80"/>
  <c r="D97" i="80"/>
  <c r="F97" i="80"/>
  <c r="G97" i="80"/>
  <c r="E97" i="80"/>
  <c r="G80" i="80"/>
  <c r="E78" i="62"/>
  <c r="S77" i="7" s="1"/>
  <c r="L78" i="62"/>
  <c r="Z77" i="7" s="1"/>
  <c r="G76" i="20"/>
  <c r="G80" i="20" s="1"/>
  <c r="H109" i="67"/>
  <c r="M96" i="59"/>
  <c r="J97" i="59"/>
  <c r="E96" i="59"/>
  <c r="G96" i="59"/>
  <c r="I107" i="59"/>
  <c r="F96" i="59"/>
  <c r="D96" i="59"/>
  <c r="K96" i="59"/>
  <c r="L96" i="59"/>
  <c r="I96" i="59"/>
  <c r="N96" i="59"/>
  <c r="J107" i="59"/>
  <c r="C96" i="59"/>
  <c r="H107" i="59"/>
  <c r="H96" i="59"/>
  <c r="C100" i="92"/>
  <c r="E100" i="92"/>
  <c r="H100" i="92"/>
  <c r="N100" i="92"/>
  <c r="F100" i="92"/>
  <c r="J100" i="92"/>
  <c r="D100" i="92"/>
  <c r="L100" i="92"/>
  <c r="N111" i="92"/>
  <c r="I100" i="92"/>
  <c r="O111" i="92"/>
  <c r="P111" i="92"/>
  <c r="K100" i="92"/>
  <c r="M100" i="92"/>
  <c r="K96" i="67"/>
  <c r="K98" i="67" s="1"/>
  <c r="C96" i="67"/>
  <c r="I96" i="67"/>
  <c r="H96" i="67"/>
  <c r="F96" i="67"/>
  <c r="E96" i="67"/>
  <c r="E98" i="67" s="1"/>
  <c r="J107" i="67"/>
  <c r="L96" i="67"/>
  <c r="H107" i="67"/>
  <c r="M96" i="67"/>
  <c r="N96" i="67"/>
  <c r="D96" i="67"/>
  <c r="I107" i="67"/>
  <c r="G96" i="67"/>
  <c r="N91" i="86"/>
  <c r="N55" i="7" s="1"/>
  <c r="E91" i="86"/>
  <c r="E55" i="7" s="1"/>
  <c r="O109" i="71"/>
  <c r="O113" i="7" s="1"/>
  <c r="C99" i="71"/>
  <c r="D99" i="60"/>
  <c r="N99" i="60"/>
  <c r="P110" i="60"/>
  <c r="H99" i="60"/>
  <c r="F99" i="60"/>
  <c r="N110" i="60"/>
  <c r="C99" i="60"/>
  <c r="O110" i="60"/>
  <c r="E99" i="60"/>
  <c r="P97" i="35"/>
  <c r="E97" i="35"/>
  <c r="D61" i="7" s="1"/>
  <c r="I98" i="74"/>
  <c r="W68" i="7" s="1"/>
  <c r="I109" i="74"/>
  <c r="O116" i="7" s="1"/>
  <c r="F98" i="74"/>
  <c r="T68" i="7" s="1"/>
  <c r="L134" i="7"/>
  <c r="L142" i="7"/>
  <c r="N152" i="7" s="1"/>
  <c r="N164" i="7"/>
  <c r="H99" i="41"/>
  <c r="V58" i="7" s="1"/>
  <c r="N66" i="78"/>
  <c r="N88" i="7" s="1"/>
  <c r="G80" i="9"/>
  <c r="H72" i="2"/>
  <c r="E89" i="2"/>
  <c r="O89" i="2"/>
  <c r="D89" i="2"/>
  <c r="G89" i="2"/>
  <c r="G94" i="2" s="1"/>
  <c r="F60" i="7" s="1"/>
  <c r="D97" i="69"/>
  <c r="K97" i="69"/>
  <c r="L97" i="69"/>
  <c r="F79" i="69"/>
  <c r="J97" i="69"/>
  <c r="N107" i="69"/>
  <c r="G97" i="69"/>
  <c r="G101" i="69" s="1"/>
  <c r="U63" i="7" s="1"/>
  <c r="N97" i="69"/>
  <c r="N101" i="69" s="1"/>
  <c r="AB63" i="7" s="1"/>
  <c r="E97" i="69"/>
  <c r="E101" i="69" s="1"/>
  <c r="S63" i="7" s="1"/>
  <c r="H97" i="69"/>
  <c r="I97" i="69"/>
  <c r="P107" i="69"/>
  <c r="P111" i="69" s="1"/>
  <c r="P111" i="7" s="1"/>
  <c r="O107" i="69"/>
  <c r="C97" i="69"/>
  <c r="E79" i="10"/>
  <c r="F79" i="10" s="1"/>
  <c r="E76" i="10"/>
  <c r="F76" i="10" s="1"/>
  <c r="E75" i="10"/>
  <c r="F75" i="10" s="1"/>
  <c r="E77" i="10"/>
  <c r="F77" i="10" s="1"/>
  <c r="E78" i="10"/>
  <c r="F78" i="10" s="1"/>
  <c r="C99" i="21"/>
  <c r="P110" i="21"/>
  <c r="F99" i="21"/>
  <c r="O110" i="21"/>
  <c r="G99" i="21"/>
  <c r="E99" i="21"/>
  <c r="M105" i="91"/>
  <c r="N95" i="91"/>
  <c r="G79" i="91"/>
  <c r="N105" i="91"/>
  <c r="E95" i="91"/>
  <c r="C95" i="91"/>
  <c r="C99" i="91" s="1"/>
  <c r="D95" i="91"/>
  <c r="D99" i="91" s="1"/>
  <c r="R61" i="7" s="1"/>
  <c r="F95" i="91"/>
  <c r="L105" i="91"/>
  <c r="G95" i="91"/>
  <c r="E99" i="22"/>
  <c r="H99" i="22"/>
  <c r="F99" i="22"/>
  <c r="N99" i="22"/>
  <c r="Q110" i="22"/>
  <c r="O110" i="22"/>
  <c r="P110" i="22"/>
  <c r="C99" i="22"/>
  <c r="D99" i="22"/>
  <c r="G99" i="22"/>
  <c r="G58" i="64"/>
  <c r="M75" i="64"/>
  <c r="I75" i="64"/>
  <c r="I80" i="64" s="1"/>
  <c r="W80" i="7" s="1"/>
  <c r="P86" i="64"/>
  <c r="H75" i="64"/>
  <c r="G75" i="64"/>
  <c r="D75" i="64"/>
  <c r="D80" i="64" s="1"/>
  <c r="R80" i="7" s="1"/>
  <c r="N75" i="64"/>
  <c r="O86" i="64"/>
  <c r="E75" i="64"/>
  <c r="L75" i="64"/>
  <c r="L80" i="64" s="1"/>
  <c r="Z80" i="7" s="1"/>
  <c r="F75" i="64"/>
  <c r="F80" i="64" s="1"/>
  <c r="T80" i="7" s="1"/>
  <c r="C75" i="64"/>
  <c r="J75" i="64"/>
  <c r="F89" i="29"/>
  <c r="F94" i="29" s="1"/>
  <c r="E54" i="7" s="1"/>
  <c r="G89" i="29"/>
  <c r="H89" i="29"/>
  <c r="E89" i="29"/>
  <c r="D89" i="29"/>
  <c r="D94" i="29" s="1"/>
  <c r="O89" i="29"/>
  <c r="G73" i="29"/>
  <c r="R89" i="29"/>
  <c r="P89" i="29"/>
  <c r="P94" i="29" s="1"/>
  <c r="Q89" i="29"/>
  <c r="E97" i="87"/>
  <c r="E98" i="87" s="1"/>
  <c r="S83" i="7" s="1"/>
  <c r="I97" i="87"/>
  <c r="I98" i="87" s="1"/>
  <c r="W83" i="7" s="1"/>
  <c r="M97" i="87"/>
  <c r="M98" i="87" s="1"/>
  <c r="AA83" i="7" s="1"/>
  <c r="D97" i="87"/>
  <c r="D98" i="87" s="1"/>
  <c r="R83" i="7" s="1"/>
  <c r="J97" i="87"/>
  <c r="J98" i="87" s="1"/>
  <c r="C97" i="87"/>
  <c r="C98" i="87" s="1"/>
  <c r="H97" i="87"/>
  <c r="H98" i="87" s="1"/>
  <c r="N97" i="87"/>
  <c r="N98" i="87" s="1"/>
  <c r="AB83" i="7" s="1"/>
  <c r="H108" i="87"/>
  <c r="H109" i="87" s="1"/>
  <c r="G97" i="87"/>
  <c r="G98" i="87" s="1"/>
  <c r="U83" i="7" s="1"/>
  <c r="K97" i="87"/>
  <c r="K98" i="87" s="1"/>
  <c r="Y83" i="7" s="1"/>
  <c r="I108" i="87"/>
  <c r="I109" i="87" s="1"/>
  <c r="AE110" i="7" s="1"/>
  <c r="L97" i="87"/>
  <c r="L98" i="87" s="1"/>
  <c r="Z83" i="7" s="1"/>
  <c r="J108" i="87"/>
  <c r="J109" i="87" s="1"/>
  <c r="AF110" i="7" s="1"/>
  <c r="F97" i="87"/>
  <c r="F98" i="87" s="1"/>
  <c r="T83" i="7" s="1"/>
  <c r="E94" i="6"/>
  <c r="E98" i="6" s="1"/>
  <c r="S57" i="7" s="1"/>
  <c r="F94" i="6"/>
  <c r="C94" i="6"/>
  <c r="N105" i="6"/>
  <c r="N108" i="6" s="1"/>
  <c r="G94" i="6"/>
  <c r="O105" i="6"/>
  <c r="D94" i="6"/>
  <c r="D98" i="6" s="1"/>
  <c r="R57" i="7" s="1"/>
  <c r="G79" i="6"/>
  <c r="N94" i="6"/>
  <c r="G89" i="32"/>
  <c r="O89" i="32"/>
  <c r="D89" i="32"/>
  <c r="F89" i="32"/>
  <c r="M89" i="32"/>
  <c r="N89" i="32"/>
  <c r="B89" i="32"/>
  <c r="P89" i="32"/>
  <c r="P87" i="32"/>
  <c r="B87" i="32"/>
  <c r="D87" i="32"/>
  <c r="D91" i="32" s="1"/>
  <c r="E56" i="7" s="1"/>
  <c r="G78" i="32"/>
  <c r="F87" i="32"/>
  <c r="K87" i="32"/>
  <c r="K91" i="32" s="1"/>
  <c r="L56" i="7" s="1"/>
  <c r="M87" i="32"/>
  <c r="M91" i="32" s="1"/>
  <c r="N56" i="7" s="1"/>
  <c r="G87" i="32"/>
  <c r="O87" i="32"/>
  <c r="N87" i="32"/>
  <c r="N91" i="32" s="1"/>
  <c r="F104" i="7" s="1"/>
  <c r="C94" i="76"/>
  <c r="M94" i="76"/>
  <c r="L94" i="76"/>
  <c r="H105" i="76"/>
  <c r="J95" i="76"/>
  <c r="J97" i="76" s="1"/>
  <c r="J90" i="7" s="1"/>
  <c r="I105" i="76"/>
  <c r="K94" i="76"/>
  <c r="N94" i="76"/>
  <c r="D94" i="76"/>
  <c r="F94" i="76"/>
  <c r="G94" i="76"/>
  <c r="P79" i="23"/>
  <c r="O79" i="23"/>
  <c r="O84" i="23" s="1"/>
  <c r="Q79" i="23"/>
  <c r="G68" i="23"/>
  <c r="E68" i="23"/>
  <c r="E73" i="23" s="1"/>
  <c r="E87" i="7" s="1"/>
  <c r="F68" i="23"/>
  <c r="F73" i="23" s="1"/>
  <c r="F87" i="7" s="1"/>
  <c r="I68" i="23"/>
  <c r="G51" i="23"/>
  <c r="I73" i="23" s="1"/>
  <c r="I87" i="7" s="1"/>
  <c r="N68" i="23"/>
  <c r="C68" i="23"/>
  <c r="C73" i="23" s="1"/>
  <c r="D68" i="23"/>
  <c r="K102" i="8"/>
  <c r="K74" i="7" s="1"/>
  <c r="L102" i="8"/>
  <c r="L74" i="7" s="1"/>
  <c r="E92" i="5"/>
  <c r="H92" i="5"/>
  <c r="J92" i="5"/>
  <c r="F92" i="5"/>
  <c r="C92" i="5"/>
  <c r="N92" i="5"/>
  <c r="N96" i="5" s="1"/>
  <c r="AB56" i="7" s="1"/>
  <c r="M102" i="5"/>
  <c r="D92" i="5"/>
  <c r="L102" i="5"/>
  <c r="G92" i="5"/>
  <c r="F78" i="5"/>
  <c r="M109" i="70"/>
  <c r="N142" i="7"/>
  <c r="P152" i="7" s="1"/>
  <c r="N134" i="7"/>
  <c r="P164" i="7"/>
  <c r="S134" i="7"/>
  <c r="S142" i="7"/>
  <c r="U152" i="7" s="1"/>
  <c r="U164" i="7"/>
  <c r="C97" i="65"/>
  <c r="F102" i="60"/>
  <c r="T75" i="7" s="1"/>
  <c r="O134" i="7"/>
  <c r="O142" i="7"/>
  <c r="Q152" i="7" s="1"/>
  <c r="Q164" i="7"/>
  <c r="E134" i="7"/>
  <c r="E142" i="7"/>
  <c r="G152" i="7" s="1"/>
  <c r="G164" i="7"/>
  <c r="F142" i="7"/>
  <c r="H152" i="7" s="1"/>
  <c r="F134" i="7"/>
  <c r="H164" i="7"/>
  <c r="Q79" i="7" l="1"/>
  <c r="S62" i="7"/>
  <c r="C99" i="68"/>
  <c r="AD106" i="7"/>
  <c r="O109" i="41"/>
  <c r="O106" i="7" s="1"/>
  <c r="J80" i="64"/>
  <c r="X80" i="7" s="1"/>
  <c r="N98" i="57"/>
  <c r="AB60" i="7" s="1"/>
  <c r="I109" i="57"/>
  <c r="O108" i="7" s="1"/>
  <c r="H102" i="92"/>
  <c r="V74" i="7" s="1"/>
  <c r="P108" i="22"/>
  <c r="P113" i="22" s="1"/>
  <c r="W112" i="7" s="1"/>
  <c r="M98" i="58"/>
  <c r="M81" i="7" s="1"/>
  <c r="F94" i="2"/>
  <c r="E60" i="7" s="1"/>
  <c r="N99" i="90"/>
  <c r="AB53" i="7" s="1"/>
  <c r="D96" i="5"/>
  <c r="R56" i="7" s="1"/>
  <c r="F96" i="5"/>
  <c r="T56" i="7" s="1"/>
  <c r="L109" i="91"/>
  <c r="E99" i="91"/>
  <c r="S61" i="7" s="1"/>
  <c r="C101" i="69"/>
  <c r="C98" i="67"/>
  <c r="G102" i="80"/>
  <c r="U66" i="7" s="1"/>
  <c r="N102" i="80"/>
  <c r="AB66" i="7" s="1"/>
  <c r="G97" i="76"/>
  <c r="G90" i="7" s="1"/>
  <c r="K97" i="76"/>
  <c r="K90" i="7" s="1"/>
  <c r="N113" i="60"/>
  <c r="N109" i="85"/>
  <c r="P102" i="7" s="1"/>
  <c r="H109" i="57"/>
  <c r="N108" i="7" s="1"/>
  <c r="C98" i="57"/>
  <c r="N97" i="22"/>
  <c r="O108" i="22"/>
  <c r="H98" i="67"/>
  <c r="D99" i="41"/>
  <c r="R58" i="7" s="1"/>
  <c r="H98" i="58"/>
  <c r="H81" i="7" s="1"/>
  <c r="M102" i="92"/>
  <c r="AA74" i="7" s="1"/>
  <c r="Q78" i="7"/>
  <c r="K91" i="86"/>
  <c r="K55" i="7" s="1"/>
  <c r="L35" i="61"/>
  <c r="L36" i="61" s="1"/>
  <c r="L37" i="61" s="1"/>
  <c r="J36" i="61"/>
  <c r="J37" i="61" s="1"/>
  <c r="I102" i="92"/>
  <c r="W74" i="7" s="1"/>
  <c r="O80" i="82"/>
  <c r="N86" i="24"/>
  <c r="V113" i="7"/>
  <c r="P84" i="23"/>
  <c r="W114" i="7" s="1"/>
  <c r="E94" i="29"/>
  <c r="D54" i="7" s="1"/>
  <c r="G99" i="91"/>
  <c r="U61" i="7" s="1"/>
  <c r="I101" i="69"/>
  <c r="W63" i="7" s="1"/>
  <c r="L101" i="69"/>
  <c r="Z63" i="7" s="1"/>
  <c r="J109" i="67"/>
  <c r="D102" i="60"/>
  <c r="R75" i="7" s="1"/>
  <c r="G98" i="57"/>
  <c r="U60" i="7" s="1"/>
  <c r="C75" i="24"/>
  <c r="O113" i="92"/>
  <c r="AE101" i="7" s="1"/>
  <c r="G98" i="56"/>
  <c r="U59" i="7" s="1"/>
  <c r="C97" i="22"/>
  <c r="F102" i="9"/>
  <c r="F77" i="7" s="1"/>
  <c r="E98" i="58"/>
  <c r="E81" i="7" s="1"/>
  <c r="P113" i="80"/>
  <c r="P114" i="7" s="1"/>
  <c r="P80" i="82"/>
  <c r="W103" i="7" s="1"/>
  <c r="G99" i="90"/>
  <c r="U53" i="7" s="1"/>
  <c r="I66" i="78"/>
  <c r="I88" i="7" s="1"/>
  <c r="N65" i="84"/>
  <c r="AB79" i="7" s="1"/>
  <c r="J96" i="5"/>
  <c r="X56" i="7" s="1"/>
  <c r="F97" i="76"/>
  <c r="F90" i="7" s="1"/>
  <c r="G91" i="32"/>
  <c r="H56" i="7" s="1"/>
  <c r="N98" i="6"/>
  <c r="AB57" i="7" s="1"/>
  <c r="Q94" i="29"/>
  <c r="G101" i="7" s="1"/>
  <c r="P91" i="64"/>
  <c r="AE107" i="7" s="1"/>
  <c r="E94" i="2"/>
  <c r="D60" i="7" s="1"/>
  <c r="F102" i="80"/>
  <c r="T66" i="7" s="1"/>
  <c r="H102" i="60"/>
  <c r="V75" i="7" s="1"/>
  <c r="P113" i="60"/>
  <c r="AF102" i="7" s="1"/>
  <c r="F98" i="57"/>
  <c r="T60" i="7" s="1"/>
  <c r="E97" i="4"/>
  <c r="S55" i="7" s="1"/>
  <c r="O107" i="4"/>
  <c r="O103" i="7" s="1"/>
  <c r="N97" i="4"/>
  <c r="AB55" i="7" s="1"/>
  <c r="N98" i="56"/>
  <c r="AB59" i="7" s="1"/>
  <c r="F97" i="22"/>
  <c r="F102" i="22" s="1"/>
  <c r="F85" i="7" s="1"/>
  <c r="D98" i="67"/>
  <c r="I98" i="67"/>
  <c r="L98" i="67"/>
  <c r="G102" i="9"/>
  <c r="G77" i="7" s="1"/>
  <c r="C93" i="30"/>
  <c r="O93" i="30"/>
  <c r="F102" i="7" s="1"/>
  <c r="I109" i="75"/>
  <c r="O117" i="7" s="1"/>
  <c r="E98" i="75"/>
  <c r="S69" i="7" s="1"/>
  <c r="D98" i="58"/>
  <c r="D81" i="7" s="1"/>
  <c r="M98" i="59"/>
  <c r="M82" i="7" s="1"/>
  <c r="T94" i="7" s="1"/>
  <c r="O131" i="7" s="1"/>
  <c r="D98" i="59"/>
  <c r="D82" i="7" s="1"/>
  <c r="C102" i="9"/>
  <c r="F99" i="85"/>
  <c r="T54" i="7" s="1"/>
  <c r="M109" i="85"/>
  <c r="O102" i="7" s="1"/>
  <c r="L109" i="90"/>
  <c r="O76" i="84"/>
  <c r="AE106" i="7" s="1"/>
  <c r="E65" i="84"/>
  <c r="S79" i="7" s="1"/>
  <c r="M97" i="65"/>
  <c r="AA81" i="7" s="1"/>
  <c r="C74" i="7"/>
  <c r="C103" i="8"/>
  <c r="Q68" i="7"/>
  <c r="C99" i="74"/>
  <c r="AD110" i="7"/>
  <c r="H110" i="87"/>
  <c r="AD102" i="7"/>
  <c r="N114" i="60"/>
  <c r="Q60" i="7"/>
  <c r="C99" i="57"/>
  <c r="V101" i="7"/>
  <c r="L114" i="8"/>
  <c r="Q83" i="7"/>
  <c r="C99" i="87"/>
  <c r="Q58" i="7"/>
  <c r="C100" i="41"/>
  <c r="C53" i="7"/>
  <c r="C94" i="30"/>
  <c r="C77" i="7"/>
  <c r="Q75" i="7"/>
  <c r="V103" i="7"/>
  <c r="O81" i="82"/>
  <c r="V114" i="7"/>
  <c r="N105" i="7"/>
  <c r="Q82" i="7"/>
  <c r="C99" i="83"/>
  <c r="Q59" i="7"/>
  <c r="Q64" i="7"/>
  <c r="C100" i="70"/>
  <c r="G98" i="59"/>
  <c r="G82" i="7" s="1"/>
  <c r="C91" i="7"/>
  <c r="C98" i="77"/>
  <c r="V104" i="7"/>
  <c r="N114" i="9"/>
  <c r="C63" i="7"/>
  <c r="Q53" i="7"/>
  <c r="N109" i="48"/>
  <c r="M106" i="5"/>
  <c r="O104" i="7" s="1"/>
  <c r="B91" i="32"/>
  <c r="C56" i="7" s="1"/>
  <c r="C98" i="6"/>
  <c r="E80" i="64"/>
  <c r="S80" i="7" s="1"/>
  <c r="G80" i="64"/>
  <c r="U80" i="7" s="1"/>
  <c r="M80" i="64"/>
  <c r="AA80" i="7" s="1"/>
  <c r="Q61" i="7"/>
  <c r="N99" i="91"/>
  <c r="AB61" i="7" s="1"/>
  <c r="D100" i="10"/>
  <c r="N100" i="10"/>
  <c r="E100" i="10"/>
  <c r="F100" i="10"/>
  <c r="N111" i="10"/>
  <c r="C100" i="10"/>
  <c r="G100" i="10"/>
  <c r="O111" i="10"/>
  <c r="P111" i="10"/>
  <c r="E101" i="10"/>
  <c r="F101" i="10"/>
  <c r="D101" i="10"/>
  <c r="O112" i="10"/>
  <c r="G101" i="10"/>
  <c r="C101" i="10"/>
  <c r="P112" i="10"/>
  <c r="N112" i="10"/>
  <c r="N101" i="10"/>
  <c r="D94" i="2"/>
  <c r="F103" i="7"/>
  <c r="L102" i="86"/>
  <c r="H110" i="67"/>
  <c r="N114" i="7"/>
  <c r="N114" i="80"/>
  <c r="M97" i="76"/>
  <c r="M90" i="7" s="1"/>
  <c r="N110" i="7"/>
  <c r="O109" i="68"/>
  <c r="C62" i="7"/>
  <c r="D92" i="36"/>
  <c r="N106" i="7"/>
  <c r="N110" i="41"/>
  <c r="F102" i="92"/>
  <c r="T74" i="7" s="1"/>
  <c r="J98" i="56"/>
  <c r="X59" i="7" s="1"/>
  <c r="E102" i="22"/>
  <c r="E85" i="7" s="1"/>
  <c r="G102" i="22"/>
  <c r="G85" i="7" s="1"/>
  <c r="N110" i="71"/>
  <c r="N102" i="9"/>
  <c r="N77" i="7" s="1"/>
  <c r="H109" i="75"/>
  <c r="C98" i="58"/>
  <c r="O112" i="22"/>
  <c r="P112" i="22"/>
  <c r="C101" i="22"/>
  <c r="Q94" i="2"/>
  <c r="G108" i="7" s="1"/>
  <c r="L102" i="92"/>
  <c r="Z74" i="7" s="1"/>
  <c r="I98" i="59"/>
  <c r="I82" i="7" s="1"/>
  <c r="K98" i="59"/>
  <c r="K82" i="7" s="1"/>
  <c r="E98" i="59"/>
  <c r="E82" i="7" s="1"/>
  <c r="Q77" i="7"/>
  <c r="C79" i="62"/>
  <c r="L109" i="85"/>
  <c r="D99" i="85"/>
  <c r="R54" i="7" s="1"/>
  <c r="Q91" i="64"/>
  <c r="AF107" i="7" s="1"/>
  <c r="P113" i="21"/>
  <c r="W111" i="7" s="1"/>
  <c r="G102" i="21"/>
  <c r="G84" i="7" s="1"/>
  <c r="C59" i="7"/>
  <c r="F94" i="34"/>
  <c r="F111" i="7"/>
  <c r="L102" i="28"/>
  <c r="M89" i="28"/>
  <c r="M63" i="7" s="1"/>
  <c r="J89" i="28"/>
  <c r="J63" i="7" s="1"/>
  <c r="P107" i="4"/>
  <c r="P103" i="7" s="1"/>
  <c r="G69" i="79"/>
  <c r="G71" i="79" s="1"/>
  <c r="G89" i="7" s="1"/>
  <c r="E69" i="79"/>
  <c r="E71" i="79" s="1"/>
  <c r="E89" i="7" s="1"/>
  <c r="P79" i="79"/>
  <c r="P81" i="79" s="1"/>
  <c r="Q79" i="79"/>
  <c r="Q81" i="79" s="1"/>
  <c r="H69" i="79"/>
  <c r="H71" i="79" s="1"/>
  <c r="H89" i="7" s="1"/>
  <c r="O79" i="79"/>
  <c r="O81" i="79" s="1"/>
  <c r="D69" i="79"/>
  <c r="D71" i="79" s="1"/>
  <c r="D89" i="7" s="1"/>
  <c r="F69" i="79"/>
  <c r="F71" i="79" s="1"/>
  <c r="F89" i="7" s="1"/>
  <c r="C69" i="79"/>
  <c r="C71" i="79" s="1"/>
  <c r="N69" i="79"/>
  <c r="N71" i="79" s="1"/>
  <c r="N89" i="7" s="1"/>
  <c r="G51" i="79"/>
  <c r="D99" i="90"/>
  <c r="R53" i="7" s="1"/>
  <c r="J66" i="78"/>
  <c r="J88" i="7" s="1"/>
  <c r="C66" i="78"/>
  <c r="N99" i="48"/>
  <c r="N78" i="7" s="1"/>
  <c r="C54" i="7"/>
  <c r="Q93" i="2"/>
  <c r="P93" i="2"/>
  <c r="R93" i="2"/>
  <c r="R94" i="2" s="1"/>
  <c r="H108" i="7" s="1"/>
  <c r="F109" i="7"/>
  <c r="P98" i="35"/>
  <c r="D97" i="76"/>
  <c r="D90" i="7" s="1"/>
  <c r="D102" i="22"/>
  <c r="D85" i="7" s="1"/>
  <c r="F98" i="59"/>
  <c r="F82" i="7" s="1"/>
  <c r="AD104" i="7"/>
  <c r="O90" i="62"/>
  <c r="K66" i="78"/>
  <c r="K88" i="7" s="1"/>
  <c r="R94" i="7" s="1"/>
  <c r="M131" i="7" s="1"/>
  <c r="N112" i="7"/>
  <c r="M110" i="70"/>
  <c r="Q81" i="7"/>
  <c r="C98" i="65"/>
  <c r="G96" i="5"/>
  <c r="U56" i="7" s="1"/>
  <c r="H96" i="5"/>
  <c r="V56" i="7" s="1"/>
  <c r="G73" i="23"/>
  <c r="G87" i="7" s="1"/>
  <c r="O91" i="32"/>
  <c r="G104" i="7" s="1"/>
  <c r="F91" i="32"/>
  <c r="G56" i="7" s="1"/>
  <c r="P91" i="32"/>
  <c r="H104" i="7" s="1"/>
  <c r="O108" i="6"/>
  <c r="O105" i="7" s="1"/>
  <c r="F98" i="6"/>
  <c r="T57" i="7" s="1"/>
  <c r="H94" i="29"/>
  <c r="G54" i="7" s="1"/>
  <c r="C80" i="64"/>
  <c r="O91" i="64"/>
  <c r="H80" i="64"/>
  <c r="V80" i="7" s="1"/>
  <c r="N109" i="7"/>
  <c r="M109" i="91"/>
  <c r="O109" i="7" s="1"/>
  <c r="C99" i="10"/>
  <c r="G99" i="10"/>
  <c r="O110" i="10"/>
  <c r="P110" i="10"/>
  <c r="F99" i="10"/>
  <c r="N99" i="10"/>
  <c r="N110" i="10"/>
  <c r="E99" i="10"/>
  <c r="D99" i="10"/>
  <c r="Q63" i="7"/>
  <c r="H101" i="69"/>
  <c r="V63" i="7" s="1"/>
  <c r="N111" i="69"/>
  <c r="K101" i="69"/>
  <c r="Y63" i="7" s="1"/>
  <c r="O94" i="2"/>
  <c r="N60" i="7" s="1"/>
  <c r="D102" i="80"/>
  <c r="R66" i="7" s="1"/>
  <c r="O113" i="80"/>
  <c r="O114" i="7" s="1"/>
  <c r="H108" i="76"/>
  <c r="C97" i="76"/>
  <c r="R142" i="7"/>
  <c r="T152" i="7" s="1"/>
  <c r="R134" i="7"/>
  <c r="T164" i="7"/>
  <c r="Q113" i="22"/>
  <c r="X112" i="7" s="1"/>
  <c r="Q142" i="7"/>
  <c r="S152" i="7" s="1"/>
  <c r="Q134" i="7"/>
  <c r="S164" i="7"/>
  <c r="D97" i="4"/>
  <c r="R55" i="7" s="1"/>
  <c r="C97" i="4"/>
  <c r="N116" i="7"/>
  <c r="H110" i="74"/>
  <c r="E102" i="92"/>
  <c r="S74" i="7" s="1"/>
  <c r="C102" i="92"/>
  <c r="H109" i="56"/>
  <c r="P134" i="7"/>
  <c r="P142" i="7"/>
  <c r="R152" i="7" s="1"/>
  <c r="R164" i="7"/>
  <c r="C102" i="22"/>
  <c r="M98" i="67"/>
  <c r="C99" i="67" s="1"/>
  <c r="E102" i="9"/>
  <c r="E77" i="7" s="1"/>
  <c r="C103" i="81"/>
  <c r="I98" i="75"/>
  <c r="W69" i="7" s="1"/>
  <c r="P94" i="7" s="1"/>
  <c r="K131" i="7" s="1"/>
  <c r="I109" i="58"/>
  <c r="W108" i="7" s="1"/>
  <c r="N98" i="58"/>
  <c r="N81" i="7" s="1"/>
  <c r="V107" i="7"/>
  <c r="H110" i="88"/>
  <c r="H94" i="2"/>
  <c r="G60" i="7" s="1"/>
  <c r="J102" i="92"/>
  <c r="X74" i="7" s="1"/>
  <c r="K102" i="92"/>
  <c r="Y74" i="7" s="1"/>
  <c r="H109" i="59"/>
  <c r="H98" i="59"/>
  <c r="H82" i="7" s="1"/>
  <c r="J109" i="59"/>
  <c r="X109" i="7" s="1"/>
  <c r="N98" i="59"/>
  <c r="N82" i="7" s="1"/>
  <c r="C99" i="89"/>
  <c r="E99" i="85"/>
  <c r="S54" i="7" s="1"/>
  <c r="G99" i="85"/>
  <c r="U54" i="7" s="1"/>
  <c r="AD108" i="7"/>
  <c r="H109" i="65"/>
  <c r="O113" i="21"/>
  <c r="F107" i="7"/>
  <c r="R94" i="34"/>
  <c r="M109" i="90"/>
  <c r="O101" i="7" s="1"/>
  <c r="N101" i="7"/>
  <c r="O76" i="78"/>
  <c r="E66" i="78"/>
  <c r="E88" i="7" s="1"/>
  <c r="Q76" i="78"/>
  <c r="L66" i="78"/>
  <c r="L88" i="7" s="1"/>
  <c r="D99" i="48"/>
  <c r="D78" i="7" s="1"/>
  <c r="G99" i="48"/>
  <c r="G78" i="7" s="1"/>
  <c r="C99" i="48"/>
  <c r="C87" i="7"/>
  <c r="F101" i="7"/>
  <c r="N109" i="10"/>
  <c r="E98" i="10"/>
  <c r="D98" i="10"/>
  <c r="G98" i="10"/>
  <c r="H98" i="10"/>
  <c r="H102" i="10" s="1"/>
  <c r="H79" i="7" s="1"/>
  <c r="C98" i="10"/>
  <c r="C102" i="10" s="1"/>
  <c r="P109" i="10"/>
  <c r="F98" i="10"/>
  <c r="O109" i="10"/>
  <c r="N98" i="10"/>
  <c r="N102" i="10" s="1"/>
  <c r="N79" i="7" s="1"/>
  <c r="AD109" i="7"/>
  <c r="H110" i="83"/>
  <c r="F110" i="7"/>
  <c r="P92" i="36"/>
  <c r="Q69" i="7"/>
  <c r="C102" i="21"/>
  <c r="F66" i="78"/>
  <c r="F88" i="7" s="1"/>
  <c r="N73" i="23"/>
  <c r="N87" i="7" s="1"/>
  <c r="R94" i="29"/>
  <c r="H101" i="7" s="1"/>
  <c r="L106" i="5"/>
  <c r="C96" i="5"/>
  <c r="E96" i="5"/>
  <c r="S56" i="7" s="1"/>
  <c r="D73" i="23"/>
  <c r="D87" i="7" s="1"/>
  <c r="Q84" i="23"/>
  <c r="X114" i="7" s="1"/>
  <c r="G98" i="6"/>
  <c r="U57" i="7" s="1"/>
  <c r="O94" i="29"/>
  <c r="N54" i="7" s="1"/>
  <c r="G94" i="29"/>
  <c r="F54" i="7" s="1"/>
  <c r="N80" i="64"/>
  <c r="AB80" i="7" s="1"/>
  <c r="F99" i="91"/>
  <c r="T61" i="7" s="1"/>
  <c r="N109" i="91"/>
  <c r="P109" i="7" s="1"/>
  <c r="N108" i="10"/>
  <c r="D97" i="10"/>
  <c r="O108" i="10"/>
  <c r="G97" i="10"/>
  <c r="G102" i="10" s="1"/>
  <c r="G79" i="7" s="1"/>
  <c r="P108" i="10"/>
  <c r="O111" i="69"/>
  <c r="O111" i="7" s="1"/>
  <c r="J101" i="69"/>
  <c r="X63" i="7" s="1"/>
  <c r="D101" i="69"/>
  <c r="R63" i="7" s="1"/>
  <c r="Q65" i="7"/>
  <c r="C100" i="71"/>
  <c r="N98" i="20"/>
  <c r="N102" i="20" s="1"/>
  <c r="N83" i="7" s="1"/>
  <c r="Q109" i="20"/>
  <c r="Q113" i="20" s="1"/>
  <c r="X110" i="7" s="1"/>
  <c r="G98" i="20"/>
  <c r="G102" i="20" s="1"/>
  <c r="G83" i="7" s="1"/>
  <c r="O109" i="20"/>
  <c r="O113" i="20" s="1"/>
  <c r="E98" i="20"/>
  <c r="F98" i="20"/>
  <c r="F102" i="20" s="1"/>
  <c r="F83" i="7" s="1"/>
  <c r="D98" i="20"/>
  <c r="D102" i="20" s="1"/>
  <c r="D83" i="7" s="1"/>
  <c r="H98" i="20"/>
  <c r="H102" i="20" s="1"/>
  <c r="H83" i="7" s="1"/>
  <c r="C98" i="20"/>
  <c r="P109" i="20"/>
  <c r="P113" i="20" s="1"/>
  <c r="W110" i="7" s="1"/>
  <c r="E102" i="80"/>
  <c r="S66" i="7" s="1"/>
  <c r="C102" i="80"/>
  <c r="L97" i="76"/>
  <c r="L90" i="7" s="1"/>
  <c r="N97" i="76"/>
  <c r="N90" i="7" s="1"/>
  <c r="I108" i="76"/>
  <c r="W117" i="7" s="1"/>
  <c r="F97" i="4"/>
  <c r="T55" i="7" s="1"/>
  <c r="N107" i="4"/>
  <c r="N113" i="92"/>
  <c r="N102" i="92"/>
  <c r="AB74" i="7" s="1"/>
  <c r="P113" i="92"/>
  <c r="AF101" i="7" s="1"/>
  <c r="N102" i="22"/>
  <c r="N85" i="7" s="1"/>
  <c r="O113" i="22"/>
  <c r="J109" i="75"/>
  <c r="P117" i="7" s="1"/>
  <c r="M98" i="75"/>
  <c r="AA69" i="7" s="1"/>
  <c r="J98" i="75"/>
  <c r="X69" i="7" s="1"/>
  <c r="H109" i="58"/>
  <c r="G98" i="58"/>
  <c r="G81" i="7" s="1"/>
  <c r="C80" i="7"/>
  <c r="C99" i="88"/>
  <c r="P94" i="2"/>
  <c r="I109" i="59"/>
  <c r="W109" i="7" s="1"/>
  <c r="J98" i="59"/>
  <c r="J82" i="7" s="1"/>
  <c r="C98" i="59"/>
  <c r="L98" i="59"/>
  <c r="L82" i="7" s="1"/>
  <c r="V118" i="7"/>
  <c r="H109" i="77"/>
  <c r="C99" i="85"/>
  <c r="N99" i="85"/>
  <c r="AB54" i="7" s="1"/>
  <c r="D102" i="21"/>
  <c r="D84" i="7" s="1"/>
  <c r="C61" i="7"/>
  <c r="D98" i="35"/>
  <c r="L89" i="28"/>
  <c r="L63" i="7" s="1"/>
  <c r="F89" i="28"/>
  <c r="F63" i="7" s="1"/>
  <c r="C102" i="20"/>
  <c r="E102" i="20"/>
  <c r="E83" i="7" s="1"/>
  <c r="H102" i="80"/>
  <c r="V66" i="7" s="1"/>
  <c r="H97" i="4"/>
  <c r="V55" i="7" s="1"/>
  <c r="F99" i="90"/>
  <c r="T53" i="7" s="1"/>
  <c r="M66" i="78"/>
  <c r="M88" i="7" s="1"/>
  <c r="D66" i="78"/>
  <c r="D88" i="7" s="1"/>
  <c r="P76" i="78"/>
  <c r="O109" i="48"/>
  <c r="W105" i="7" s="1"/>
  <c r="F99" i="48"/>
  <c r="F78" i="7" s="1"/>
  <c r="U94" i="7" l="1"/>
  <c r="P131" i="7" s="1"/>
  <c r="P95" i="29"/>
  <c r="O94" i="30"/>
  <c r="H110" i="57"/>
  <c r="C66" i="84"/>
  <c r="S94" i="7"/>
  <c r="N131" i="7" s="1"/>
  <c r="P113" i="10"/>
  <c r="X106" i="7" s="1"/>
  <c r="N113" i="10"/>
  <c r="V106" i="7" s="1"/>
  <c r="O94" i="7"/>
  <c r="J131" i="7" s="1"/>
  <c r="C103" i="60"/>
  <c r="N77" i="84"/>
  <c r="P136" i="7"/>
  <c r="P139" i="7" s="1"/>
  <c r="P135" i="7"/>
  <c r="P132" i="7"/>
  <c r="K135" i="7"/>
  <c r="K136" i="7"/>
  <c r="K139" i="7" s="1"/>
  <c r="K132" i="7"/>
  <c r="M135" i="7"/>
  <c r="M136" i="7"/>
  <c r="M139" i="7" s="1"/>
  <c r="M132" i="7"/>
  <c r="V110" i="7"/>
  <c r="O114" i="20"/>
  <c r="N135" i="7"/>
  <c r="N136" i="7"/>
  <c r="N139" i="7" s="1"/>
  <c r="N132" i="7"/>
  <c r="J135" i="7"/>
  <c r="J136" i="7"/>
  <c r="J139" i="7" s="1"/>
  <c r="J132" i="7"/>
  <c r="O135" i="7"/>
  <c r="O136" i="7"/>
  <c r="O139" i="7" s="1"/>
  <c r="O132" i="7"/>
  <c r="C85" i="7"/>
  <c r="C103" i="22"/>
  <c r="Q54" i="7"/>
  <c r="C100" i="85"/>
  <c r="C82" i="7"/>
  <c r="C99" i="59"/>
  <c r="F108" i="7"/>
  <c r="P95" i="2"/>
  <c r="V108" i="7"/>
  <c r="H110" i="58"/>
  <c r="V112" i="7"/>
  <c r="O114" i="22"/>
  <c r="N114" i="92"/>
  <c r="AD101" i="7"/>
  <c r="N104" i="7"/>
  <c r="L107" i="5"/>
  <c r="C79" i="7"/>
  <c r="E102" i="10"/>
  <c r="E79" i="7" s="1"/>
  <c r="L94" i="7" s="1"/>
  <c r="G131" i="7" s="1"/>
  <c r="C74" i="23"/>
  <c r="O77" i="78"/>
  <c r="V111" i="7"/>
  <c r="O114" i="21"/>
  <c r="C90" i="7"/>
  <c r="C98" i="76"/>
  <c r="C102" i="69"/>
  <c r="L110" i="91"/>
  <c r="Q80" i="7"/>
  <c r="C81" i="64"/>
  <c r="W115" i="7"/>
  <c r="W116" i="7"/>
  <c r="N102" i="7"/>
  <c r="L110" i="85"/>
  <c r="N117" i="7"/>
  <c r="H110" i="75"/>
  <c r="C60" i="7"/>
  <c r="D95" i="2"/>
  <c r="C100" i="91"/>
  <c r="V105" i="7"/>
  <c r="N110" i="48"/>
  <c r="C90" i="28"/>
  <c r="C99" i="56"/>
  <c r="N109" i="6"/>
  <c r="Q55" i="7"/>
  <c r="C98" i="4"/>
  <c r="AD107" i="7"/>
  <c r="O92" i="64"/>
  <c r="C83" i="7"/>
  <c r="C103" i="20"/>
  <c r="N103" i="7"/>
  <c r="N108" i="4"/>
  <c r="O113" i="10"/>
  <c r="W106" i="7" s="1"/>
  <c r="N126" i="7" s="1"/>
  <c r="R131" i="7" s="1"/>
  <c r="C84" i="7"/>
  <c r="C103" i="21"/>
  <c r="V109" i="7"/>
  <c r="H110" i="59"/>
  <c r="V117" i="7"/>
  <c r="H109" i="76"/>
  <c r="N94" i="7"/>
  <c r="I131" i="7" s="1"/>
  <c r="C88" i="7"/>
  <c r="C67" i="78"/>
  <c r="V115" i="7"/>
  <c r="V116" i="7"/>
  <c r="O82" i="79"/>
  <c r="Q57" i="7"/>
  <c r="C99" i="6"/>
  <c r="C100" i="90"/>
  <c r="Q56" i="7"/>
  <c r="C97" i="5"/>
  <c r="C103" i="92"/>
  <c r="Q74" i="7"/>
  <c r="X115" i="7"/>
  <c r="X116" i="7"/>
  <c r="C81" i="7"/>
  <c r="C99" i="58"/>
  <c r="Q66" i="7"/>
  <c r="C103" i="80"/>
  <c r="D102" i="10"/>
  <c r="D79" i="7" s="1"/>
  <c r="K94" i="7" s="1"/>
  <c r="F131" i="7" s="1"/>
  <c r="C99" i="75"/>
  <c r="F102" i="10"/>
  <c r="F79" i="7" s="1"/>
  <c r="M94" i="7" s="1"/>
  <c r="H131" i="7" s="1"/>
  <c r="C78" i="7"/>
  <c r="C100" i="48"/>
  <c r="L110" i="90"/>
  <c r="N107" i="7"/>
  <c r="H110" i="56"/>
  <c r="N111" i="7"/>
  <c r="N112" i="69"/>
  <c r="D95" i="29"/>
  <c r="C89" i="7"/>
  <c r="C72" i="79"/>
  <c r="Q94" i="7"/>
  <c r="L131" i="7" s="1"/>
  <c r="O85" i="23"/>
  <c r="C103" i="9"/>
  <c r="M126" i="7" l="1"/>
  <c r="Q131" i="7" s="1"/>
  <c r="O126" i="7"/>
  <c r="S131" i="7" s="1"/>
  <c r="S135" i="7" s="1"/>
  <c r="N114" i="10"/>
  <c r="J94" i="7"/>
  <c r="E131" i="7" s="1"/>
  <c r="E132" i="7" s="1"/>
  <c r="N125" i="7"/>
  <c r="H135" i="7"/>
  <c r="H136" i="7"/>
  <c r="H139" i="7" s="1"/>
  <c r="H132" i="7"/>
  <c r="S136" i="7"/>
  <c r="S139" i="7" s="1"/>
  <c r="S132" i="7"/>
  <c r="R135" i="7"/>
  <c r="R136" i="7"/>
  <c r="R139" i="7" s="1"/>
  <c r="R132" i="7"/>
  <c r="E136" i="7"/>
  <c r="E139" i="7" s="1"/>
  <c r="Q135" i="7"/>
  <c r="Q136" i="7"/>
  <c r="Q139" i="7" s="1"/>
  <c r="Q132" i="7"/>
  <c r="L136" i="7"/>
  <c r="L139" i="7" s="1"/>
  <c r="L135" i="7"/>
  <c r="L132" i="7"/>
  <c r="F135" i="7"/>
  <c r="F136" i="7"/>
  <c r="F139" i="7" s="1"/>
  <c r="F132" i="7"/>
  <c r="O125" i="7"/>
  <c r="M125" i="7"/>
  <c r="Q165" i="7"/>
  <c r="O143" i="7"/>
  <c r="Q153" i="7" s="1"/>
  <c r="AE125" i="7"/>
  <c r="O140" i="7"/>
  <c r="O141" i="7" s="1"/>
  <c r="O146" i="7" s="1"/>
  <c r="J143" i="7"/>
  <c r="L153" i="7" s="1"/>
  <c r="L165" i="7"/>
  <c r="Z125" i="7"/>
  <c r="J140" i="7"/>
  <c r="J141" i="7" s="1"/>
  <c r="J146" i="7" s="1"/>
  <c r="AD125" i="7"/>
  <c r="P165" i="7"/>
  <c r="N143" i="7"/>
  <c r="P153" i="7" s="1"/>
  <c r="N140" i="7"/>
  <c r="N141" i="7" s="1"/>
  <c r="N146" i="7" s="1"/>
  <c r="G135" i="7"/>
  <c r="G136" i="7"/>
  <c r="G139" i="7" s="1"/>
  <c r="G132" i="7"/>
  <c r="I135" i="7"/>
  <c r="I136" i="7"/>
  <c r="I139" i="7" s="1"/>
  <c r="I132" i="7"/>
  <c r="C103" i="10"/>
  <c r="M143" i="7"/>
  <c r="O153" i="7" s="1"/>
  <c r="AC125" i="7"/>
  <c r="O165" i="7"/>
  <c r="M140" i="7"/>
  <c r="M141" i="7" s="1"/>
  <c r="M146" i="7" s="1"/>
  <c r="AA125" i="7"/>
  <c r="K143" i="7"/>
  <c r="M153" i="7" s="1"/>
  <c r="M165" i="7"/>
  <c r="K140" i="7"/>
  <c r="K141" i="7" s="1"/>
  <c r="K146" i="7" s="1"/>
  <c r="R165" i="7"/>
  <c r="AF125" i="7"/>
  <c r="P143" i="7"/>
  <c r="R153" i="7" s="1"/>
  <c r="P140" i="7"/>
  <c r="P141" i="7" s="1"/>
  <c r="P146" i="7" s="1"/>
  <c r="E135" i="7" l="1"/>
  <c r="H165" i="7"/>
  <c r="F143" i="7"/>
  <c r="H153" i="7" s="1"/>
  <c r="V125" i="7"/>
  <c r="F140" i="7"/>
  <c r="F141" i="7" s="1"/>
  <c r="F146" i="7" s="1"/>
  <c r="E143" i="7"/>
  <c r="G153" i="7" s="1"/>
  <c r="G165" i="7"/>
  <c r="U125" i="7"/>
  <c r="E140" i="7"/>
  <c r="E141" i="7" s="1"/>
  <c r="E146" i="7" s="1"/>
  <c r="AB125" i="7"/>
  <c r="N165" i="7"/>
  <c r="L143" i="7"/>
  <c r="N153" i="7" s="1"/>
  <c r="L140" i="7"/>
  <c r="L141" i="7" s="1"/>
  <c r="L146" i="7" s="1"/>
  <c r="S165" i="7"/>
  <c r="Q143" i="7"/>
  <c r="S153" i="7" s="1"/>
  <c r="AG125" i="7"/>
  <c r="Q140" i="7"/>
  <c r="Q141" i="7" s="1"/>
  <c r="Q146" i="7" s="1"/>
  <c r="X125" i="7"/>
  <c r="H143" i="7"/>
  <c r="J153" i="7" s="1"/>
  <c r="J165" i="7"/>
  <c r="H140" i="7"/>
  <c r="H141" i="7" s="1"/>
  <c r="H146" i="7" s="1"/>
  <c r="I143" i="7"/>
  <c r="K153" i="7" s="1"/>
  <c r="Y125" i="7"/>
  <c r="K165" i="7"/>
  <c r="I140" i="7"/>
  <c r="I141" i="7" s="1"/>
  <c r="I146" i="7" s="1"/>
  <c r="T165" i="7"/>
  <c r="R143" i="7"/>
  <c r="T153" i="7" s="1"/>
  <c r="AH125" i="7"/>
  <c r="R140" i="7"/>
  <c r="R141" i="7" s="1"/>
  <c r="R146" i="7" s="1"/>
  <c r="I165" i="7"/>
  <c r="W125" i="7"/>
  <c r="G143" i="7"/>
  <c r="I153" i="7" s="1"/>
  <c r="G140" i="7"/>
  <c r="G141" i="7" s="1"/>
  <c r="G146" i="7" s="1"/>
  <c r="AI125" i="7"/>
  <c r="S143" i="7"/>
  <c r="U153" i="7" s="1"/>
  <c r="U165" i="7"/>
  <c r="S140" i="7"/>
  <c r="S141" i="7" s="1"/>
  <c r="S146" i="7" s="1"/>
</calcChain>
</file>

<file path=xl/sharedStrings.xml><?xml version="1.0" encoding="utf-8"?>
<sst xmlns="http://schemas.openxmlformats.org/spreadsheetml/2006/main" count="11616" uniqueCount="421">
  <si>
    <t>Subject:</t>
  </si>
  <si>
    <t>Faculty:</t>
  </si>
  <si>
    <t>Year and Semester:</t>
  </si>
  <si>
    <t>I Mid</t>
  </si>
  <si>
    <t>II MID</t>
  </si>
  <si>
    <t>Register Number</t>
  </si>
  <si>
    <t>Question No.1</t>
  </si>
  <si>
    <t>Question No 2</t>
  </si>
  <si>
    <t>Question No 3</t>
  </si>
  <si>
    <t>Question No 4</t>
  </si>
  <si>
    <t>Average</t>
  </si>
  <si>
    <t>University Grade</t>
  </si>
  <si>
    <t>Marks Obtained</t>
  </si>
  <si>
    <t>a</t>
  </si>
  <si>
    <t>b</t>
  </si>
  <si>
    <t>c</t>
  </si>
  <si>
    <t>d</t>
  </si>
  <si>
    <t>e</t>
  </si>
  <si>
    <t>Sl.No.</t>
  </si>
  <si>
    <t>Matching CO</t>
  </si>
  <si>
    <t>CO 1</t>
  </si>
  <si>
    <t>CO 2</t>
  </si>
  <si>
    <t>CO1</t>
  </si>
  <si>
    <t>CO 3</t>
  </si>
  <si>
    <t>CO 5</t>
  </si>
  <si>
    <t>CO 4</t>
  </si>
  <si>
    <t>Maximum Marks</t>
  </si>
  <si>
    <t>A</t>
  </si>
  <si>
    <t>P</t>
  </si>
  <si>
    <t>F</t>
  </si>
  <si>
    <t>A+</t>
  </si>
  <si>
    <t>C</t>
  </si>
  <si>
    <t>B+</t>
  </si>
  <si>
    <t>B</t>
  </si>
  <si>
    <t>Benchmark %ge</t>
  </si>
  <si>
    <t>number of students scoring more than 50% of marks</t>
  </si>
  <si>
    <t>%ge of students scoring more than the specified mark</t>
  </si>
  <si>
    <t>CO Attainment</t>
  </si>
  <si>
    <t>Internal</t>
  </si>
  <si>
    <t>University</t>
  </si>
  <si>
    <t>CO2</t>
  </si>
  <si>
    <t>CO3</t>
  </si>
  <si>
    <t>CO4</t>
  </si>
  <si>
    <t>CO5</t>
  </si>
  <si>
    <t>CO Average attainment for the subject</t>
  </si>
  <si>
    <t>CO - PO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</si>
  <si>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</si>
  <si>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</si>
  <si>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</si>
  <si>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</si>
  <si>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</si>
  <si>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</si>
  <si>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</si>
  <si>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</si>
  <si>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</si>
  <si>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</si>
  <si>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</si>
  <si>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</si>
  <si>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Overall Average</t>
  </si>
  <si>
    <t>CO - PSO</t>
  </si>
  <si>
    <t xml:space="preserve">PSO 1 </t>
  </si>
  <si>
    <t>PSO 2</t>
  </si>
  <si>
    <t>PSO 3</t>
  </si>
  <si>
    <t>AY:</t>
  </si>
  <si>
    <t>Batch:</t>
  </si>
  <si>
    <t>Branch:</t>
  </si>
  <si>
    <t>ECE</t>
  </si>
  <si>
    <t>CO6</t>
  </si>
  <si>
    <t>PO 1</t>
  </si>
  <si>
    <t>PO 2</t>
  </si>
  <si>
    <t>PO 3</t>
  </si>
  <si>
    <t>PO 4</t>
  </si>
  <si>
    <t>PO 5</t>
  </si>
  <si>
    <t>PO 6</t>
  </si>
  <si>
    <t>PO 7</t>
  </si>
  <si>
    <t>PO 8</t>
  </si>
  <si>
    <t>PO 9</t>
  </si>
  <si>
    <t>PO 10</t>
  </si>
  <si>
    <t>PO 11</t>
  </si>
  <si>
    <t>PO 12</t>
  </si>
  <si>
    <t>avg</t>
  </si>
  <si>
    <t>A MAHESH BABU</t>
  </si>
  <si>
    <t>O</t>
  </si>
  <si>
    <t>N SOWMYA</t>
  </si>
  <si>
    <t xml:space="preserve"> </t>
  </si>
  <si>
    <t>PSO3</t>
  </si>
  <si>
    <t>COURSE</t>
  </si>
  <si>
    <t>PSO1</t>
  </si>
  <si>
    <t>PSO2</t>
  </si>
  <si>
    <t>AVERAGE OF ALL COURSES</t>
  </si>
  <si>
    <t>CO-PO MAPPINGS AVERAGE OF ALL COURSES</t>
  </si>
  <si>
    <t>CO-PO ATTAINMENTS AVERAGE OF ALL COURSES</t>
  </si>
  <si>
    <t>CO-PSO MAPPINGS &amp; ATTAINMENTS AVERAGE OF ALL COURSES</t>
  </si>
  <si>
    <t>MAPPINGS</t>
  </si>
  <si>
    <t>ATTAINMENT</t>
  </si>
  <si>
    <t>SUMMARY OF PO-PSO MAPPINGS AND ATTAINMENTS</t>
  </si>
  <si>
    <t>FIRST YEAR COURSES</t>
  </si>
  <si>
    <t>SECOND YEAR COURSES</t>
  </si>
  <si>
    <t>THIRD YEAR COURSES</t>
  </si>
  <si>
    <t>FOURTH YEAR COURSES</t>
  </si>
  <si>
    <t>CS</t>
  </si>
  <si>
    <t>CPNM</t>
  </si>
  <si>
    <t>BEE</t>
  </si>
  <si>
    <t>M 1</t>
  </si>
  <si>
    <t>M 2</t>
  </si>
  <si>
    <t>CHE</t>
  </si>
  <si>
    <t>PHY</t>
  </si>
  <si>
    <t>M 3-1.2</t>
  </si>
  <si>
    <t>EMFTL</t>
  </si>
  <si>
    <t>AEC</t>
  </si>
  <si>
    <t>PDC</t>
  </si>
  <si>
    <t>PTRP</t>
  </si>
  <si>
    <t>SS</t>
  </si>
  <si>
    <t>ES</t>
  </si>
  <si>
    <t>NTA</t>
  </si>
  <si>
    <t>EM</t>
  </si>
  <si>
    <t>EDC</t>
  </si>
  <si>
    <t>STLD</t>
  </si>
  <si>
    <t>DS</t>
  </si>
  <si>
    <t>RE</t>
  </si>
  <si>
    <t>FOC</t>
  </si>
  <si>
    <t>MWE</t>
  </si>
  <si>
    <t>MWELAB</t>
  </si>
  <si>
    <t>PROJECT-4.2</t>
  </si>
  <si>
    <t>LICA-3.1</t>
  </si>
  <si>
    <t>AWP</t>
  </si>
  <si>
    <t>DSP</t>
  </si>
  <si>
    <t>CNE</t>
  </si>
  <si>
    <t>MPMC</t>
  </si>
  <si>
    <t>CMC</t>
  </si>
  <si>
    <t>DSPLAB</t>
  </si>
  <si>
    <t>MAPPING AVERAGE OF ALL COURSES</t>
  </si>
  <si>
    <t>ATTAINMENTS AVERAGE OF ALL COURSES</t>
  </si>
  <si>
    <t>II Yr I Semester</t>
  </si>
  <si>
    <t>CO - PO MAPPING :</t>
  </si>
  <si>
    <t>P02</t>
  </si>
  <si>
    <t>P06</t>
  </si>
  <si>
    <t>CO - PSO MAPPING :</t>
  </si>
  <si>
    <t>EG</t>
  </si>
  <si>
    <t>II Yr II Semester</t>
  </si>
  <si>
    <t>ENG-1.1</t>
  </si>
  <si>
    <t>CHART FOR PO-PSO MAPPINGS AND ATTAINMENTS</t>
  </si>
  <si>
    <t>80% of Attainment / Direct</t>
  </si>
  <si>
    <t>20% for Indirect / Survey</t>
  </si>
  <si>
    <t>Achieved  for (80%+20%=100%)</t>
  </si>
  <si>
    <t xml:space="preserve"> Gap% = (Target - Achieved/Target)*100</t>
  </si>
  <si>
    <t>Mid-1 total</t>
  </si>
  <si>
    <t>Mid-2 total</t>
  </si>
  <si>
    <t>CO-PO Attainment :</t>
  </si>
  <si>
    <t>CO - PSO Attainment :</t>
  </si>
  <si>
    <t>2019-2020</t>
  </si>
  <si>
    <t>Assignment-1</t>
  </si>
  <si>
    <t>Assignment-2</t>
  </si>
  <si>
    <t>Assignment-3</t>
  </si>
  <si>
    <t>AB</t>
  </si>
  <si>
    <t>2020-2021</t>
  </si>
  <si>
    <t>CH MANOHAR KUMAR</t>
  </si>
  <si>
    <t>I Yr I Semester</t>
  </si>
  <si>
    <t>CO 1,2</t>
  </si>
  <si>
    <t>CO - PO &amp; PSO MAPPING :</t>
  </si>
  <si>
    <t>total avg</t>
  </si>
  <si>
    <t>CO-PO &amp; PSO ATTAINMENT:</t>
  </si>
  <si>
    <t>Signature of Faculty</t>
  </si>
  <si>
    <t>Signature of HOD</t>
  </si>
  <si>
    <t>I Yr II Semester</t>
  </si>
  <si>
    <t xml:space="preserve">Mid Marks </t>
  </si>
  <si>
    <t>All CO'S</t>
  </si>
  <si>
    <t>SUBJECT-ENG</t>
  </si>
  <si>
    <t>Avg.</t>
  </si>
  <si>
    <t>Total Avg.</t>
  </si>
  <si>
    <t>Mathematics - I</t>
  </si>
  <si>
    <t>Question
 No 2</t>
  </si>
  <si>
    <t>Question
 No 3</t>
  </si>
  <si>
    <t>Question
 No 4</t>
  </si>
  <si>
    <t>SUBJECT-M-I</t>
  </si>
  <si>
    <t>Mathematics - II</t>
  </si>
  <si>
    <t>SUBJECT-M-II</t>
  </si>
  <si>
    <t>Physics</t>
  </si>
  <si>
    <t>Dr.D. Santhosh Kumar</t>
  </si>
  <si>
    <t>MID I</t>
  </si>
  <si>
    <t>MID II</t>
  </si>
  <si>
    <t>Q2</t>
  </si>
  <si>
    <t>Q3</t>
  </si>
  <si>
    <t>Q4</t>
  </si>
  <si>
    <t xml:space="preserve">MAP </t>
  </si>
  <si>
    <t>ATT</t>
  </si>
  <si>
    <t>Count</t>
  </si>
  <si>
    <t>SUM</t>
  </si>
  <si>
    <t>COUNT</t>
  </si>
  <si>
    <t>AVG</t>
  </si>
  <si>
    <t>INTER</t>
  </si>
  <si>
    <t>EXTER</t>
  </si>
  <si>
    <t>Physics Lab</t>
  </si>
  <si>
    <t>Dr.D. S K/ N V S K</t>
  </si>
  <si>
    <t>Workshop</t>
  </si>
  <si>
    <t>NSP</t>
  </si>
  <si>
    <t>MATHEMATICS-III</t>
  </si>
  <si>
    <t>Dr. K. V. S. Sarma</t>
  </si>
  <si>
    <t>SUBJECT-M-III</t>
  </si>
  <si>
    <t>Chemistry</t>
  </si>
  <si>
    <t>Mr.G.V.GAURAV</t>
  </si>
  <si>
    <t>SUBJECT-CHEMISTRY</t>
  </si>
  <si>
    <t>CO-PO&amp; PSO ATTAINMENT:</t>
  </si>
  <si>
    <t>ASSIGNMENT</t>
  </si>
  <si>
    <t>CO ATTAINMENT</t>
  </si>
  <si>
    <t>CO1-CO4</t>
  </si>
  <si>
    <t>CO - PO &amp; PSO MAPPING</t>
  </si>
  <si>
    <t>CO - PO &amp; PSO ATTAINMENT</t>
  </si>
  <si>
    <t>Total Mid 1</t>
  </si>
  <si>
    <t>Total Mid 2</t>
  </si>
  <si>
    <t>Grade Point</t>
  </si>
  <si>
    <t>Marks percentage</t>
  </si>
  <si>
    <t>SUBJECT-BEE</t>
  </si>
  <si>
    <t>Chem. Lab</t>
  </si>
  <si>
    <t>Mr.G. V. Gaurav</t>
  </si>
  <si>
    <t>I Yr  II Semester</t>
  </si>
  <si>
    <t>CPNM Lab</t>
  </si>
  <si>
    <t>KVR / VJV</t>
  </si>
  <si>
    <t>EMI</t>
  </si>
  <si>
    <t>GPS</t>
  </si>
  <si>
    <t>Attained</t>
  </si>
  <si>
    <t>TARGET</t>
  </si>
  <si>
    <t>Attained(100%)</t>
  </si>
  <si>
    <t xml:space="preserve">MAPPING </t>
  </si>
  <si>
    <t xml:space="preserve">ATTAINMENT </t>
  </si>
  <si>
    <t xml:space="preserve"> ACHIEVED</t>
  </si>
  <si>
    <t>2019-2023(A) R-19</t>
  </si>
  <si>
    <t>Question 2</t>
  </si>
  <si>
    <t>Electrical Machines</t>
  </si>
  <si>
    <t>M. Sri Suresh</t>
  </si>
  <si>
    <t>2020-21</t>
  </si>
  <si>
    <t>S. Venkatesh</t>
  </si>
  <si>
    <t>2019-2023</t>
  </si>
  <si>
    <t>Assignment</t>
  </si>
  <si>
    <t>Electromagnetic field theory and transmission lines</t>
  </si>
  <si>
    <t>Dr. P .A. Nageswara Rao</t>
  </si>
  <si>
    <t>Question No 5</t>
  </si>
  <si>
    <t>Total</t>
  </si>
  <si>
    <t>CO3,4</t>
  </si>
  <si>
    <t>SUBJECT-EMFTL</t>
  </si>
  <si>
    <t>Course Code</t>
  </si>
  <si>
    <t>Course Name</t>
  </si>
  <si>
    <t>CO Number</t>
  </si>
  <si>
    <t>Course Outcome</t>
  </si>
  <si>
    <t>ELECTROMAGNETIC FIELD THEORY &amp; TRANSMISSION LINES</t>
  </si>
  <si>
    <t>Describe static electric fields and their behavior in different media, associated laws. (L2)</t>
  </si>
  <si>
    <t xml:space="preserve">Define various antenna parameters and mechanism of radiation. </t>
  </si>
  <si>
    <t>Describe magnetic fields, their behavior in different media, associated laws. (L2)</t>
  </si>
  <si>
    <t xml:space="preserve">Analyze and synthesize radiation patterns of antenna arrays. </t>
  </si>
  <si>
    <t>Apply integral and point form of Maxwell`s equations for solving the problems of electromagnetic field theory. (L3)</t>
  </si>
  <si>
    <t xml:space="preserve">Design HF, VHF, UHF antennas and microwave antennas for given specifications. </t>
  </si>
  <si>
    <t>Explain the concept of Electromagnetic wave and its characteristics in different Propagation media. (L2)</t>
  </si>
  <si>
    <t>Illustrate techniques to measure antenna parameters like Gain, Radiation pattern &amp; VSWR.</t>
  </si>
  <si>
    <t>COVID Reduction</t>
  </si>
  <si>
    <t>Evaluate the basic transmission line parameters and transmission line systems using Smith Chart. (L5)</t>
  </si>
  <si>
    <t>Familiar with concepts of radio wave propagation.</t>
  </si>
  <si>
    <t>Analog Electronic Circuits</t>
  </si>
  <si>
    <t>RAM NISHANTH V</t>
  </si>
  <si>
    <t xml:space="preserve">Question No 2 </t>
  </si>
  <si>
    <t>mid 1</t>
  </si>
  <si>
    <t>mid 2</t>
  </si>
  <si>
    <t>CO - PO MAPPING</t>
  </si>
  <si>
    <t>CO-PO Attainment</t>
  </si>
  <si>
    <t>CO - PSO MAPPING</t>
  </si>
  <si>
    <t>CO - PSO Attainment</t>
  </si>
  <si>
    <t>Course Outcomes</t>
  </si>
  <si>
    <t>A Mahesh Babu</t>
  </si>
  <si>
    <t>Environmental Studies</t>
  </si>
  <si>
    <t>Dr.G.Lakshmi Narayana</t>
  </si>
  <si>
    <t>CO</t>
  </si>
  <si>
    <t>UHV-II</t>
  </si>
  <si>
    <t>2021-2022</t>
  </si>
  <si>
    <t>III Yr I Semester</t>
  </si>
  <si>
    <t>.</t>
  </si>
  <si>
    <t>CO1,CO2</t>
  </si>
  <si>
    <t>CO3,CO4</t>
  </si>
  <si>
    <t>Analog and Digital Communications</t>
  </si>
  <si>
    <t>1. Analyze generation of amplitude modulated signals and their demodulation.</t>
  </si>
  <si>
    <t>2. Analyze generation of angle modulated signals and their demodulation.</t>
  </si>
  <si>
    <t>3. Understand transmission and reception of amplitude and angle modulated signals.</t>
  </si>
  <si>
    <t>4. Analyze process of analog to digital conversion and pulse analog &amp; digital modulation techniques</t>
  </si>
  <si>
    <t xml:space="preserve">5. Analyze generation of digital modulated signals and their demodulation, and understand principles of spread spectrum systems </t>
  </si>
  <si>
    <t xml:space="preserve">CO2 </t>
  </si>
  <si>
    <t>Dr N Swathi</t>
  </si>
  <si>
    <t>Avg</t>
  </si>
  <si>
    <t>Total avg</t>
  </si>
  <si>
    <t>SUBJECT-CNE</t>
  </si>
  <si>
    <t>Dr S krishna Veni</t>
  </si>
  <si>
    <t>III Yr II Semester</t>
  </si>
  <si>
    <t>Mid-1 Total</t>
  </si>
  <si>
    <t>Mid-2 Total</t>
  </si>
  <si>
    <t>s</t>
  </si>
  <si>
    <t>CO1,2,3</t>
  </si>
  <si>
    <t>CO4,5</t>
  </si>
  <si>
    <t>Dr.Ch Manohar Kumar</t>
  </si>
  <si>
    <t>Dr.V.Adinarayana</t>
  </si>
  <si>
    <t>Satellite Communication</t>
  </si>
  <si>
    <t>SUBJECT-SATCOM</t>
  </si>
  <si>
    <t>Radar Engineering</t>
  </si>
  <si>
    <t>2022-2023</t>
  </si>
  <si>
    <t>Dr.P.A.Nageswara Rao</t>
  </si>
  <si>
    <t>IV Yr I Semester</t>
  </si>
  <si>
    <t>Mid-1</t>
  </si>
  <si>
    <t>MID-II</t>
  </si>
  <si>
    <t>Assignment-4 &amp; 5</t>
  </si>
  <si>
    <t>`</t>
  </si>
  <si>
    <t>CO4,CO5</t>
  </si>
  <si>
    <t>Fiber Optic Communications</t>
  </si>
  <si>
    <t>Dr V.Adinarayana</t>
  </si>
  <si>
    <t>IVth Yr I Semester</t>
  </si>
  <si>
    <t>IOT</t>
  </si>
  <si>
    <t>Dr Ch Manohar Kumar</t>
  </si>
  <si>
    <t>Assignment-4</t>
  </si>
  <si>
    <t>Embedded systems</t>
  </si>
  <si>
    <t>A.aruna</t>
  </si>
  <si>
    <t>Assignment-5</t>
  </si>
  <si>
    <t>Dr N swathi</t>
  </si>
  <si>
    <t>DIC LAB</t>
  </si>
  <si>
    <t>Mr. S Venkatesh/ Mrs. N Sowmya</t>
  </si>
  <si>
    <t>2019-23</t>
  </si>
  <si>
    <t>II Year II Sem</t>
  </si>
  <si>
    <t>Registration Number</t>
  </si>
  <si>
    <t>Internal Marks</t>
  </si>
  <si>
    <t>CO-PO ATTAINMENT:</t>
  </si>
  <si>
    <t>CO - PSO ATTAINMENT :</t>
  </si>
  <si>
    <t>Dr S Krishna Veni</t>
  </si>
  <si>
    <t>CO1, 2</t>
  </si>
  <si>
    <t>CO3,CO4,CO5</t>
  </si>
  <si>
    <t>LICA LAB</t>
  </si>
  <si>
    <t>2021-22</t>
  </si>
  <si>
    <t>Mrs.G.Sowjanya Lakshmi / Dr.S.Krishnaveni</t>
  </si>
  <si>
    <t>III Year I Sem</t>
  </si>
  <si>
    <t>DSP LAB</t>
  </si>
  <si>
    <t xml:space="preserve">Mr A.Mahesh Babu </t>
  </si>
  <si>
    <t>III Year II Sem</t>
  </si>
  <si>
    <t>MWE LAB</t>
  </si>
  <si>
    <t>IV Year I Sem</t>
  </si>
  <si>
    <t>2022-23</t>
  </si>
  <si>
    <t>SKILL besed LAB</t>
  </si>
  <si>
    <t>Mr. RAM NISHANTH V / Dr Ch Manohar Kumar/S Venkatesh</t>
  </si>
  <si>
    <t>VLSI DESIGN</t>
  </si>
  <si>
    <t>G.Sowjanya Lakshmi</t>
  </si>
  <si>
    <t>LICA</t>
  </si>
  <si>
    <t>Mr. S Venkatesh/ A.Mahesh Babu</t>
  </si>
  <si>
    <t>EDC LAB</t>
  </si>
  <si>
    <t>Mr. Sri Suresh</t>
  </si>
  <si>
    <t>II Year I Sem</t>
  </si>
  <si>
    <t>AEC LAB</t>
  </si>
  <si>
    <t>UHV</t>
  </si>
  <si>
    <t>AC&amp;DC</t>
  </si>
  <si>
    <t>VLSI-3.2</t>
  </si>
  <si>
    <t>ITC</t>
  </si>
  <si>
    <t>SC</t>
  </si>
  <si>
    <t>MPMC LAB</t>
  </si>
  <si>
    <t>EMB.SYS</t>
  </si>
  <si>
    <t>IOP LAB</t>
  </si>
  <si>
    <t>ACDC LAB</t>
  </si>
  <si>
    <t>LIC LAB</t>
  </si>
  <si>
    <t>NTM LAB</t>
  </si>
  <si>
    <t>PHY LAB</t>
  </si>
  <si>
    <t>WS LAB</t>
  </si>
  <si>
    <t>CPNM LAB</t>
  </si>
  <si>
    <t>CHE LAB</t>
  </si>
  <si>
    <t>Dr. S. RAJESH</t>
  </si>
  <si>
    <t>2019-120</t>
  </si>
  <si>
    <t>Dr. K.V.S.SARMA</t>
  </si>
  <si>
    <t>2019-20</t>
  </si>
  <si>
    <t>Acd Year:</t>
  </si>
  <si>
    <t>1st Yr I Semester</t>
  </si>
  <si>
    <t>Mid I/II:</t>
  </si>
  <si>
    <t>TOTAL
 MARKS
SCOURED</t>
  </si>
  <si>
    <t>ENGLISH</t>
  </si>
  <si>
    <t>Dr.B.MARY FLORENCE</t>
  </si>
  <si>
    <t>1st Yr II Semester</t>
  </si>
  <si>
    <t>SUBJECT</t>
  </si>
  <si>
    <t>ENG</t>
  </si>
  <si>
    <t>CHG</t>
  </si>
  <si>
    <t>Mrs.KVR</t>
  </si>
  <si>
    <t>CNE(PE-1)</t>
  </si>
  <si>
    <t>MOOCs-1</t>
  </si>
  <si>
    <t>Internship</t>
  </si>
  <si>
    <t>PROJECT</t>
  </si>
  <si>
    <t>MOOCs-2</t>
  </si>
  <si>
    <t>SKILL LAB</t>
  </si>
  <si>
    <t>CO1: Problem Identification &amp; Literature Survey</t>
  </si>
  <si>
    <t>Identify and define a real-world engineering problem through comprehensive literature review using journals, IEEE papers, and technical resources.</t>
  </si>
  <si>
    <t>CO2: System Design &amp; Modeling</t>
  </si>
  <si>
    <t>Design and develop a suitable solution/model using appropriate engineering principles, mathematical analysis, and simulation tools (MATLAB/Python/Simulink, etc.).</t>
  </si>
  <si>
    <t>CO3: Implementation, Testing &amp; Analysis</t>
  </si>
  <si>
    <t>Implement the proposed system (hardware/software), perform testing, and analyze the results to validate performance metrics.</t>
  </si>
  <si>
    <t>CO4: Communication &amp; Project Management</t>
  </si>
  <si>
    <t>Prepare technical reports, present project outcomes effectively, and demonstrate teamwork, project planning, and lifelong learning skills.</t>
  </si>
  <si>
    <t>Target(85% of Mapping)</t>
  </si>
  <si>
    <t>CO1: Industrial Exposure &amp; Problem Analysis</t>
  </si>
  <si>
    <t>Understand industry environment, processes, and analyze practical engineering problems.</t>
  </si>
  <si>
    <t>CO2: Application of Engineering Knowledge</t>
  </si>
  <si>
    <t>Apply core ECE concepts and technical skills to solve real-world engineering tasks.</t>
  </si>
  <si>
    <t>CO3: Use of Modern Tools &amp; Implementation</t>
  </si>
  <si>
    <t>Use modern tools, software, and equipment to implement and test engineering solutions.</t>
  </si>
  <si>
    <t>CO4: Professional Skills &amp; Communication</t>
  </si>
  <si>
    <t>Demonstrate teamwork, communication, ethics, report writing, and lifelong learning ability</t>
  </si>
  <si>
    <t>INTERNSHIP</t>
  </si>
  <si>
    <t>M-IV</t>
  </si>
  <si>
    <t>K V S Sarma</t>
  </si>
  <si>
    <t xml:space="preserve">MID1 </t>
  </si>
  <si>
    <t>MID 2</t>
  </si>
  <si>
    <t>CO3,4,5</t>
  </si>
  <si>
    <t>1,2</t>
  </si>
  <si>
    <t>3,4</t>
  </si>
  <si>
    <t>1,2,3,4</t>
  </si>
  <si>
    <t>M-V</t>
  </si>
  <si>
    <t>100% Indirect attainment</t>
  </si>
  <si>
    <t>PO/PSO</t>
  </si>
  <si>
    <t>PEM</t>
  </si>
  <si>
    <t xml:space="preserve">Dr.M Seshagiri </t>
  </si>
  <si>
    <t>c04</t>
  </si>
  <si>
    <t>co3</t>
  </si>
  <si>
    <t>co5</t>
  </si>
  <si>
    <t>CO1,2,3,4,5</t>
  </si>
  <si>
    <t>G Preeti</t>
  </si>
  <si>
    <t>Actual Gap without 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</si>
</sst>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;[Red]0.00"/>
    <numFmt numFmtId="166" formatCode="0.0000"/>
    <numFmt numFmtId="167" formatCode="0;[Red]0"/>
  </numFmts>
  <fonts count="14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</font>
    <font>
      <sz val="12"/>
      <color rgb="FFFF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Cambria"/>
      <family val="1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sz val="14"/>
      <color rgb="FF000000"/>
      <name val="Verdana"/>
      <family val="2"/>
    </font>
    <font>
      <sz val="14"/>
      <color rgb="FFFF0000"/>
      <name val="Verdana"/>
      <family val="2"/>
    </font>
    <font>
      <b/>
      <sz val="14"/>
      <color rgb="FF000000"/>
      <name val="Verdana"/>
      <family val="2"/>
    </font>
    <font>
      <b/>
      <sz val="14"/>
      <name val="Verdana"/>
      <family val="2"/>
    </font>
    <font>
      <b/>
      <sz val="11"/>
      <color theme="1"/>
      <name val="Cambria"/>
      <family val="1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rgb="FF000000"/>
      <name val="Verdana"/>
      <family val="2"/>
    </font>
    <font>
      <sz val="11"/>
      <color rgb="FFFF0000"/>
      <name val="Verdana"/>
      <family val="2"/>
    </font>
    <font>
      <b/>
      <sz val="11"/>
      <color rgb="FF000000"/>
      <name val="Verdana"/>
      <family val="2"/>
    </font>
    <font>
      <b/>
      <sz val="12"/>
      <color rgb="FFFF0000"/>
      <name val="Times New Roman"/>
      <family val="1"/>
    </font>
    <font>
      <sz val="14"/>
      <color rgb="FF9C0006"/>
      <name val="Verdana"/>
      <family val="2"/>
    </font>
    <font>
      <sz val="18"/>
      <color rgb="FFFF0000"/>
      <name val="Times New Roman"/>
      <family val="1"/>
    </font>
    <font>
      <sz val="14"/>
      <color rgb="FF3F3F3F"/>
      <name val="Verdana"/>
      <family val="2"/>
    </font>
    <font>
      <sz val="14"/>
      <color rgb="FF9C0006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1"/>
      <name val="Times New Roman"/>
      <family val="1"/>
    </font>
    <font>
      <sz val="14"/>
      <color rgb="FF00B05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0"/>
      <color rgb="FFFF0000"/>
      <name val="Times New Roman"/>
      <family val="1"/>
    </font>
    <font>
      <sz val="14"/>
      <color rgb="FF92D050"/>
      <name val="Times New Roman"/>
      <family val="1"/>
    </font>
    <font>
      <sz val="11"/>
      <color rgb="FF000000"/>
      <name val="Calibri"/>
      <family val="2"/>
      <scheme val="minor"/>
    </font>
    <font>
      <sz val="13"/>
      <color rgb="FFFF0000"/>
      <name val="Times New Roman"/>
      <family val="1"/>
    </font>
    <font>
      <sz val="13"/>
      <color rgb="FF92D050"/>
      <name val="Times New Roman"/>
      <family val="1"/>
    </font>
    <font>
      <b/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color theme="1"/>
      <name val="Calibri"/>
      <family val="2"/>
      <scheme val="minor"/>
    </font>
    <font>
      <sz val="14"/>
      <name val="Times New Roman"/>
      <family val="1"/>
    </font>
    <font>
      <sz val="16"/>
      <color theme="1"/>
      <name val="Times New Roman"/>
      <family val="1"/>
    </font>
    <font>
      <sz val="12"/>
      <color theme="5"/>
      <name val="Times New Roman"/>
      <family val="1"/>
    </font>
    <font>
      <sz val="15"/>
      <color rgb="FF000000"/>
      <name val="Times New Roman"/>
      <family val="1"/>
    </font>
    <font>
      <sz val="15"/>
      <name val="Times New Roman"/>
      <family val="1"/>
    </font>
    <font>
      <b/>
      <sz val="13"/>
      <color rgb="FF00206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sz val="15"/>
      <color theme="1"/>
      <name val="Verdana"/>
      <family val="2"/>
    </font>
    <font>
      <b/>
      <sz val="15"/>
      <color theme="1"/>
      <name val="Verdana"/>
      <family val="2"/>
    </font>
    <font>
      <sz val="15"/>
      <color rgb="FF000000"/>
      <name val="Verdana"/>
      <family val="2"/>
    </font>
    <font>
      <b/>
      <sz val="15"/>
      <color rgb="FF000000"/>
      <name val="Verdana"/>
      <family val="2"/>
    </font>
    <font>
      <b/>
      <sz val="15"/>
      <name val="Verdana"/>
      <family val="2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name val="Times New Roman"/>
      <family val="1"/>
    </font>
    <font>
      <sz val="20"/>
      <color rgb="FF000000"/>
      <name val="Times New Roman"/>
      <family val="1"/>
    </font>
    <font>
      <sz val="20"/>
      <color rgb="FFFF0000"/>
      <name val="Times New Roman"/>
      <family val="1"/>
    </font>
    <font>
      <b/>
      <sz val="20"/>
      <color rgb="FF000000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Cambria"/>
      <family val="1"/>
    </font>
    <font>
      <sz val="16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20"/>
      <color rgb="FF00B050"/>
      <name val="Times New Roman"/>
      <family val="1"/>
    </font>
    <font>
      <b/>
      <sz val="14"/>
      <color rgb="FF002060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indexed="8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sz val="20"/>
      <color indexed="8"/>
      <name val="Times New Roman"/>
      <family val="1"/>
    </font>
    <font>
      <sz val="20"/>
      <name val="Calibri"/>
      <family val="2"/>
      <scheme val="minor"/>
    </font>
    <font>
      <sz val="16"/>
      <name val="Times New Roman"/>
      <family val="1"/>
    </font>
    <font>
      <sz val="16"/>
      <color rgb="FFFF0000"/>
      <name val="Times New Roman"/>
      <family val="1"/>
    </font>
    <font>
      <sz val="15"/>
      <color rgb="FFFF0000"/>
      <name val="Times New Roman"/>
      <family val="1"/>
    </font>
    <font>
      <b/>
      <sz val="15"/>
      <color rgb="FF000000"/>
      <name val="Times New Roman"/>
      <family val="1"/>
    </font>
    <font>
      <sz val="15"/>
      <color rgb="FF00B050"/>
      <name val="Times New Roman"/>
      <family val="1"/>
    </font>
    <font>
      <sz val="15"/>
      <color rgb="FF92D050"/>
      <name val="Times New Roman"/>
      <family val="1"/>
    </font>
    <font>
      <sz val="15"/>
      <color rgb="FF000000"/>
      <name val="Calibri"/>
      <family val="2"/>
      <scheme val="minor"/>
    </font>
    <font>
      <sz val="15"/>
      <color indexed="8"/>
      <name val="Times New Roman"/>
      <family val="1"/>
    </font>
    <font>
      <b/>
      <sz val="15"/>
      <color theme="1"/>
      <name val="Calibri"/>
      <family val="2"/>
      <scheme val="minor"/>
    </font>
    <font>
      <sz val="16"/>
      <color indexed="8"/>
      <name val="Times New Roman"/>
      <family val="1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2D050"/>
      <name val="Times New Roman"/>
      <family val="1"/>
    </font>
    <font>
      <b/>
      <sz val="11"/>
      <color rgb="FF000000"/>
      <name val="Times New Roman"/>
      <family val="1"/>
    </font>
    <font>
      <b/>
      <sz val="20"/>
      <name val="Times New Roman"/>
      <family val="1"/>
    </font>
    <font>
      <b/>
      <sz val="18"/>
      <color rgb="FFFF0000"/>
      <name val="Times New Roman"/>
      <family val="1"/>
    </font>
    <font>
      <sz val="11"/>
      <color rgb="FF000000"/>
      <name val="Calibri"/>
      <family val="2"/>
    </font>
    <font>
      <b/>
      <sz val="18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rgb="FFFF0000"/>
      </patternFill>
    </fill>
  </fills>
  <borders count="1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2">
    <xf numFmtId="0" fontId="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9" fillId="0" borderId="0"/>
    <xf numFmtId="0" fontId="20" fillId="0" borderId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6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20" borderId="0" applyNumberFormat="0" applyBorder="0" applyAlignment="0" applyProtection="0"/>
    <xf numFmtId="0" fontId="23" fillId="4" borderId="0" applyNumberFormat="0" applyBorder="0" applyAlignment="0" applyProtection="0"/>
    <xf numFmtId="0" fontId="24" fillId="21" borderId="21" applyNumberFormat="0" applyAlignment="0" applyProtection="0"/>
    <xf numFmtId="0" fontId="25" fillId="22" borderId="22" applyNumberFormat="0" applyAlignment="0" applyProtection="0"/>
    <xf numFmtId="0" fontId="26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30" fillId="0" borderId="25" applyNumberFormat="0" applyFill="0" applyAlignment="0" applyProtection="0"/>
    <xf numFmtId="0" fontId="30" fillId="0" borderId="0" applyNumberFormat="0" applyFill="0" applyBorder="0" applyAlignment="0" applyProtection="0"/>
    <xf numFmtId="0" fontId="31" fillId="8" borderId="21" applyNumberFormat="0" applyAlignment="0" applyProtection="0"/>
    <xf numFmtId="0" fontId="32" fillId="0" borderId="26" applyNumberFormat="0" applyFill="0" applyAlignment="0" applyProtection="0"/>
    <xf numFmtId="0" fontId="33" fillId="23" borderId="0" applyNumberFormat="0" applyBorder="0" applyAlignment="0" applyProtection="0"/>
    <xf numFmtId="0" fontId="21" fillId="24" borderId="27" applyNumberFormat="0" applyFont="0" applyAlignment="0" applyProtection="0"/>
    <xf numFmtId="0" fontId="34" fillId="21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18" fillId="0" borderId="0"/>
    <xf numFmtId="0" fontId="62" fillId="0" borderId="0"/>
    <xf numFmtId="0" fontId="24" fillId="21" borderId="75" applyNumberFormat="0" applyAlignment="0" applyProtection="0"/>
    <xf numFmtId="0" fontId="31" fillId="8" borderId="75" applyNumberFormat="0" applyAlignment="0" applyProtection="0"/>
    <xf numFmtId="0" fontId="21" fillId="24" borderId="76" applyNumberFormat="0" applyFont="0" applyAlignment="0" applyProtection="0"/>
    <xf numFmtId="0" fontId="34" fillId="21" borderId="77" applyNumberFormat="0" applyAlignment="0" applyProtection="0"/>
    <xf numFmtId="0" fontId="36" fillId="0" borderId="78" applyNumberFormat="0" applyFill="0" applyAlignment="0" applyProtection="0"/>
    <xf numFmtId="0" fontId="21" fillId="24" borderId="79" applyNumberFormat="0" applyFont="0" applyAlignment="0" applyProtection="0"/>
    <xf numFmtId="0" fontId="34" fillId="21" borderId="80" applyNumberFormat="0" applyAlignment="0" applyProtection="0"/>
    <xf numFmtId="0" fontId="36" fillId="0" borderId="81" applyNumberFormat="0" applyFill="0" applyAlignment="0" applyProtection="0"/>
    <xf numFmtId="0" fontId="62" fillId="0" borderId="0"/>
    <xf numFmtId="0" fontId="10" fillId="0" borderId="0"/>
    <xf numFmtId="0" fontId="18" fillId="0" borderId="0"/>
    <xf numFmtId="0" fontId="24" fillId="21" borderId="82" applyNumberFormat="0" applyAlignment="0" applyProtection="0"/>
    <xf numFmtId="0" fontId="31" fillId="8" borderId="82" applyNumberFormat="0" applyAlignment="0" applyProtection="0"/>
    <xf numFmtId="0" fontId="21" fillId="24" borderId="83" applyNumberFormat="0" applyFont="0" applyAlignment="0" applyProtection="0"/>
    <xf numFmtId="0" fontId="34" fillId="21" borderId="84" applyNumberFormat="0" applyAlignment="0" applyProtection="0"/>
    <xf numFmtId="0" fontId="36" fillId="0" borderId="85" applyNumberFormat="0" applyFill="0" applyAlignment="0" applyProtection="0"/>
    <xf numFmtId="0" fontId="24" fillId="21" borderId="82" applyNumberFormat="0" applyAlignment="0" applyProtection="0"/>
    <xf numFmtId="0" fontId="31" fillId="8" borderId="82" applyNumberFormat="0" applyAlignment="0" applyProtection="0"/>
    <xf numFmtId="0" fontId="21" fillId="24" borderId="83" applyNumberFormat="0" applyFont="0" applyAlignment="0" applyProtection="0"/>
    <xf numFmtId="0" fontId="34" fillId="21" borderId="84" applyNumberFormat="0" applyAlignment="0" applyProtection="0"/>
    <xf numFmtId="0" fontId="36" fillId="0" borderId="85" applyNumberFormat="0" applyFill="0" applyAlignment="0" applyProtection="0"/>
  </cellStyleXfs>
  <cellXfs count="3916">
    <xf numFmtId="0" fontId="0" fillId="0" borderId="0" xfId="0"/>
    <xf numFmtId="0" fontId="0" fillId="0" borderId="2" xfId="0" applyBorder="1"/>
    <xf numFmtId="0" fontId="5" fillId="0" borderId="0" xfId="0" applyFont="1"/>
    <xf numFmtId="49" fontId="6" fillId="2" borderId="2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6" fillId="2" borderId="5" xfId="0" applyFont="1" applyFill="1" applyBorder="1" applyAlignment="1">
      <alignment horizontal="right"/>
    </xf>
    <xf numFmtId="1" fontId="8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5" fillId="2" borderId="2" xfId="0" applyFont="1" applyFill="1" applyBorder="1"/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6" fillId="0" borderId="0" xfId="0" applyFont="1" applyAlignment="1">
      <alignment vertical="center"/>
    </xf>
    <xf numFmtId="2" fontId="8" fillId="0" borderId="12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2" xfId="0" applyFont="1" applyBorder="1"/>
    <xf numFmtId="1" fontId="5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/>
    <xf numFmtId="0" fontId="2" fillId="0" borderId="0" xfId="0" applyFont="1"/>
    <xf numFmtId="0" fontId="15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/>
    <xf numFmtId="0" fontId="17" fillId="0" borderId="0" xfId="0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2" fontId="2" fillId="0" borderId="2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5" fillId="0" borderId="31" xfId="0" applyFont="1" applyBorder="1"/>
    <xf numFmtId="0" fontId="5" fillId="0" borderId="35" xfId="0" applyFont="1" applyBorder="1"/>
    <xf numFmtId="0" fontId="6" fillId="0" borderId="12" xfId="0" applyFont="1" applyBorder="1"/>
    <xf numFmtId="0" fontId="8" fillId="0" borderId="5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Alignment="1">
      <alignment wrapText="1"/>
    </xf>
    <xf numFmtId="0" fontId="41" fillId="0" borderId="2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6" fillId="0" borderId="0" xfId="0" applyFont="1" applyBorder="1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7" fillId="0" borderId="10" xfId="0" applyFont="1" applyBorder="1" applyAlignment="1">
      <alignment horizontal="center" wrapText="1"/>
    </xf>
    <xf numFmtId="0" fontId="6" fillId="0" borderId="39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1" fontId="8" fillId="0" borderId="39" xfId="0" applyNumberFormat="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1" fontId="8" fillId="0" borderId="55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1" fontId="8" fillId="0" borderId="4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6" fillId="2" borderId="5" xfId="0" applyFont="1" applyFill="1" applyBorder="1"/>
    <xf numFmtId="0" fontId="5" fillId="0" borderId="39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/>
    </xf>
    <xf numFmtId="0" fontId="4" fillId="0" borderId="39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42" xfId="0" applyFont="1" applyBorder="1" applyAlignment="1">
      <alignment horizontal="center" vertical="center"/>
    </xf>
    <xf numFmtId="1" fontId="12" fillId="0" borderId="3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44" fillId="0" borderId="1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left"/>
    </xf>
    <xf numFmtId="0" fontId="6" fillId="0" borderId="2" xfId="0" applyFont="1" applyBorder="1" applyAlignment="1"/>
    <xf numFmtId="0" fontId="45" fillId="2" borderId="2" xfId="0" applyFont="1" applyFill="1" applyBorder="1"/>
    <xf numFmtId="0" fontId="45" fillId="2" borderId="2" xfId="0" applyFont="1" applyFill="1" applyBorder="1" applyAlignment="1">
      <alignment horizontal="right"/>
    </xf>
    <xf numFmtId="0" fontId="45" fillId="0" borderId="0" xfId="0" applyFont="1"/>
    <xf numFmtId="0" fontId="45" fillId="0" borderId="0" xfId="0" applyFont="1" applyAlignment="1">
      <alignment horizontal="center"/>
    </xf>
    <xf numFmtId="0" fontId="45" fillId="0" borderId="2" xfId="0" applyFont="1" applyBorder="1"/>
    <xf numFmtId="0" fontId="45" fillId="0" borderId="2" xfId="0" applyFont="1" applyBorder="1" applyAlignment="1">
      <alignment horizontal="center"/>
    </xf>
    <xf numFmtId="0" fontId="45" fillId="0" borderId="2" xfId="0" applyFont="1" applyBorder="1" applyAlignment="1">
      <alignment horizontal="center" vertical="center"/>
    </xf>
    <xf numFmtId="1" fontId="45" fillId="0" borderId="2" xfId="0" applyNumberFormat="1" applyFont="1" applyBorder="1" applyAlignment="1">
      <alignment horizontal="center"/>
    </xf>
    <xf numFmtId="0" fontId="47" fillId="0" borderId="2" xfId="0" applyFont="1" applyBorder="1" applyAlignment="1">
      <alignment horizontal="center" vertical="center" wrapText="1"/>
    </xf>
    <xf numFmtId="0" fontId="48" fillId="0" borderId="0" xfId="0" applyFont="1"/>
    <xf numFmtId="0" fontId="46" fillId="0" borderId="0" xfId="0" applyFont="1" applyAlignment="1"/>
    <xf numFmtId="0" fontId="47" fillId="0" borderId="0" xfId="0" applyFont="1"/>
    <xf numFmtId="0" fontId="49" fillId="0" borderId="15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2" fontId="49" fillId="0" borderId="15" xfId="0" applyNumberFormat="1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2" fontId="46" fillId="0" borderId="2" xfId="0" applyNumberFormat="1" applyFont="1" applyBorder="1" applyAlignment="1">
      <alignment horizontal="center"/>
    </xf>
    <xf numFmtId="0" fontId="45" fillId="0" borderId="0" xfId="0" applyFont="1" applyAlignment="1">
      <alignment horizontal="center" vertical="center"/>
    </xf>
    <xf numFmtId="1" fontId="45" fillId="0" borderId="0" xfId="0" applyNumberFormat="1" applyFont="1" applyFill="1" applyBorder="1"/>
    <xf numFmtId="0" fontId="0" fillId="0" borderId="0" xfId="0" applyBorder="1"/>
    <xf numFmtId="0" fontId="51" fillId="0" borderId="1" xfId="0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0" fillId="0" borderId="0" xfId="0" applyFont="1"/>
    <xf numFmtId="0" fontId="52" fillId="2" borderId="2" xfId="0" applyFont="1" applyFill="1" applyBorder="1" applyAlignment="1">
      <alignment horizontal="right"/>
    </xf>
    <xf numFmtId="0" fontId="52" fillId="0" borderId="0" xfId="0" applyFont="1"/>
    <xf numFmtId="0" fontId="52" fillId="0" borderId="0" xfId="0" applyFont="1" applyAlignment="1">
      <alignment horizontal="center"/>
    </xf>
    <xf numFmtId="0" fontId="52" fillId="0" borderId="2" xfId="0" applyFont="1" applyBorder="1"/>
    <xf numFmtId="0" fontId="52" fillId="0" borderId="2" xfId="0" applyFont="1" applyBorder="1" applyAlignment="1">
      <alignment horizontal="center"/>
    </xf>
    <xf numFmtId="0" fontId="52" fillId="0" borderId="2" xfId="0" applyFont="1" applyBorder="1" applyAlignment="1">
      <alignment horizontal="left" vertical="center"/>
    </xf>
    <xf numFmtId="0" fontId="52" fillId="0" borderId="2" xfId="0" applyFont="1" applyBorder="1" applyAlignment="1">
      <alignment horizontal="center" vertical="center"/>
    </xf>
    <xf numFmtId="1" fontId="52" fillId="0" borderId="2" xfId="0" applyNumberFormat="1" applyFont="1" applyBorder="1" applyAlignment="1">
      <alignment horizontal="center"/>
    </xf>
    <xf numFmtId="0" fontId="54" fillId="0" borderId="2" xfId="0" applyFont="1" applyBorder="1" applyAlignment="1">
      <alignment horizontal="center" vertical="center" wrapText="1"/>
    </xf>
    <xf numFmtId="0" fontId="55" fillId="0" borderId="0" xfId="0" applyFont="1"/>
    <xf numFmtId="0" fontId="54" fillId="0" borderId="0" xfId="0" applyFont="1"/>
    <xf numFmtId="0" fontId="56" fillId="0" borderId="15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4" fillId="0" borderId="18" xfId="0" applyFont="1" applyBorder="1" applyAlignment="1">
      <alignment horizontal="center"/>
    </xf>
    <xf numFmtId="0" fontId="54" fillId="0" borderId="15" xfId="0" applyFont="1" applyBorder="1" applyAlignment="1">
      <alignment horizontal="center"/>
    </xf>
    <xf numFmtId="2" fontId="56" fillId="0" borderId="2" xfId="0" applyNumberFormat="1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Font="1" applyBorder="1"/>
    <xf numFmtId="49" fontId="6" fillId="2" borderId="7" xfId="0" applyNumberFormat="1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6" fillId="0" borderId="0" xfId="0" applyFont="1" applyBorder="1" applyAlignment="1"/>
    <xf numFmtId="49" fontId="6" fillId="2" borderId="10" xfId="0" applyNumberFormat="1" applyFont="1" applyFill="1" applyBorder="1" applyAlignment="1">
      <alignment horizontal="left"/>
    </xf>
    <xf numFmtId="0" fontId="6" fillId="0" borderId="0" xfId="0" applyFont="1" applyBorder="1"/>
    <xf numFmtId="0" fontId="57" fillId="0" borderId="0" xfId="0" applyFont="1" applyBorder="1" applyAlignment="1"/>
    <xf numFmtId="0" fontId="5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15" fillId="0" borderId="2" xfId="0" applyFont="1" applyBorder="1"/>
    <xf numFmtId="2" fontId="15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2" fontId="7" fillId="0" borderId="12" xfId="0" applyNumberFormat="1" applyFont="1" applyBorder="1" applyAlignment="1">
      <alignment horizontal="center"/>
    </xf>
    <xf numFmtId="2" fontId="40" fillId="0" borderId="2" xfId="0" applyNumberFormat="1" applyFont="1" applyBorder="1" applyAlignment="1">
      <alignment horizontal="center"/>
    </xf>
    <xf numFmtId="0" fontId="1" fillId="0" borderId="14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1" fontId="1" fillId="0" borderId="0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5" fillId="2" borderId="2" xfId="0" applyFont="1" applyFill="1" applyBorder="1" applyAlignment="1">
      <alignment horizontal="center"/>
    </xf>
    <xf numFmtId="0" fontId="46" fillId="2" borderId="2" xfId="0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0" fontId="46" fillId="0" borderId="2" xfId="0" applyFont="1" applyBorder="1" applyAlignment="1">
      <alignment horizontal="center"/>
    </xf>
    <xf numFmtId="1" fontId="45" fillId="0" borderId="2" xfId="0" applyNumberFormat="1" applyFont="1" applyBorder="1" applyAlignment="1">
      <alignment horizontal="center" vertical="center"/>
    </xf>
    <xf numFmtId="0" fontId="49" fillId="0" borderId="15" xfId="0" applyFont="1" applyBorder="1" applyAlignment="1">
      <alignment horizontal="center"/>
    </xf>
    <xf numFmtId="0" fontId="47" fillId="0" borderId="2" xfId="0" applyFont="1" applyBorder="1" applyAlignment="1">
      <alignment horizontal="center" wrapText="1"/>
    </xf>
    <xf numFmtId="0" fontId="45" fillId="0" borderId="0" xfId="0" applyFont="1" applyBorder="1" applyAlignment="1">
      <alignment horizontal="center"/>
    </xf>
    <xf numFmtId="1" fontId="45" fillId="0" borderId="0" xfId="0" applyNumberFormat="1" applyFont="1" applyFill="1" applyBorder="1" applyAlignment="1">
      <alignment horizontal="center"/>
    </xf>
    <xf numFmtId="164" fontId="45" fillId="0" borderId="0" xfId="0" applyNumberFormat="1" applyFont="1" applyFill="1" applyBorder="1" applyAlignment="1">
      <alignment horizontal="center"/>
    </xf>
    <xf numFmtId="2" fontId="45" fillId="0" borderId="0" xfId="0" applyNumberFormat="1" applyFont="1" applyAlignment="1">
      <alignment horizontal="center"/>
    </xf>
    <xf numFmtId="0" fontId="52" fillId="2" borderId="2" xfId="0" applyFont="1" applyFill="1" applyBorder="1" applyAlignment="1">
      <alignment horizontal="center"/>
    </xf>
    <xf numFmtId="0" fontId="52" fillId="2" borderId="0" xfId="0" applyFont="1" applyFill="1"/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horizontal="center" vertical="center" wrapText="1"/>
    </xf>
    <xf numFmtId="1" fontId="52" fillId="0" borderId="2" xfId="0" applyNumberFormat="1" applyFont="1" applyBorder="1" applyAlignment="1">
      <alignment horizontal="center" vertical="center"/>
    </xf>
    <xf numFmtId="0" fontId="52" fillId="2" borderId="0" xfId="0" applyFont="1" applyFill="1" applyAlignment="1">
      <alignment horizontal="center"/>
    </xf>
    <xf numFmtId="1" fontId="52" fillId="0" borderId="0" xfId="0" applyNumberFormat="1" applyFont="1" applyFill="1" applyBorder="1" applyAlignment="1">
      <alignment horizontal="center"/>
    </xf>
    <xf numFmtId="164" fontId="52" fillId="0" borderId="0" xfId="0" applyNumberFormat="1" applyFont="1" applyFill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5" fillId="0" borderId="0" xfId="0" applyFont="1" applyBorder="1" applyAlignment="1"/>
    <xf numFmtId="0" fontId="46" fillId="2" borderId="5" xfId="0" applyFont="1" applyFill="1" applyBorder="1" applyAlignment="1">
      <alignment horizontal="center"/>
    </xf>
    <xf numFmtId="0" fontId="46" fillId="2" borderId="5" xfId="0" applyFont="1" applyFill="1" applyBorder="1" applyAlignment="1">
      <alignment horizontal="right"/>
    </xf>
    <xf numFmtId="0" fontId="46" fillId="0" borderId="5" xfId="0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2" fontId="46" fillId="0" borderId="12" xfId="0" applyNumberFormat="1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52" fillId="0" borderId="0" xfId="0" applyFont="1" applyBorder="1" applyAlignment="1"/>
    <xf numFmtId="0" fontId="53" fillId="2" borderId="5" xfId="0" applyFont="1" applyFill="1" applyBorder="1" applyAlignment="1">
      <alignment horizontal="center"/>
    </xf>
    <xf numFmtId="0" fontId="53" fillId="2" borderId="5" xfId="0" applyFont="1" applyFill="1" applyBorder="1" applyAlignment="1">
      <alignment horizontal="right"/>
    </xf>
    <xf numFmtId="0" fontId="52" fillId="0" borderId="0" xfId="0" applyFont="1" applyBorder="1" applyAlignment="1">
      <alignment vertical="center"/>
    </xf>
    <xf numFmtId="0" fontId="53" fillId="0" borderId="5" xfId="0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2" fontId="53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6" fillId="0" borderId="2" xfId="0" applyFont="1" applyBorder="1"/>
    <xf numFmtId="0" fontId="0" fillId="0" borderId="0" xfId="0" applyFont="1" applyAlignment="1">
      <alignment horizontal="center"/>
    </xf>
    <xf numFmtId="1" fontId="53" fillId="0" borderId="2" xfId="0" applyNumberFormat="1" applyFont="1" applyBorder="1" applyAlignment="1">
      <alignment horizontal="center"/>
    </xf>
    <xf numFmtId="1" fontId="53" fillId="0" borderId="2" xfId="0" applyNumberFormat="1" applyFont="1" applyBorder="1"/>
    <xf numFmtId="0" fontId="52" fillId="26" borderId="2" xfId="0" applyFont="1" applyFill="1" applyBorder="1" applyAlignment="1">
      <alignment horizontal="center" vertical="center"/>
    </xf>
    <xf numFmtId="2" fontId="53" fillId="0" borderId="2" xfId="0" applyNumberFormat="1" applyFont="1" applyFill="1" applyBorder="1"/>
    <xf numFmtId="2" fontId="52" fillId="0" borderId="2" xfId="0" applyNumberFormat="1" applyFont="1" applyBorder="1"/>
    <xf numFmtId="2" fontId="53" fillId="0" borderId="2" xfId="0" applyNumberFormat="1" applyFont="1" applyBorder="1"/>
    <xf numFmtId="1" fontId="52" fillId="0" borderId="2" xfId="0" applyNumberFormat="1" applyFont="1" applyFill="1" applyBorder="1"/>
    <xf numFmtId="0" fontId="53" fillId="0" borderId="2" xfId="0" applyFont="1" applyBorder="1"/>
    <xf numFmtId="0" fontId="55" fillId="0" borderId="2" xfId="0" applyFont="1" applyBorder="1"/>
    <xf numFmtId="0" fontId="49" fillId="0" borderId="15" xfId="0" applyFont="1" applyBorder="1" applyAlignment="1">
      <alignment vertical="center" wrapText="1"/>
    </xf>
    <xf numFmtId="0" fontId="4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6" fillId="0" borderId="15" xfId="0" applyFont="1" applyBorder="1" applyAlignment="1">
      <alignment vertical="center" wrapText="1"/>
    </xf>
    <xf numFmtId="0" fontId="52" fillId="0" borderId="10" xfId="0" applyFont="1" applyBorder="1" applyAlignment="1">
      <alignment horizontal="center" vertical="center" wrapText="1"/>
    </xf>
    <xf numFmtId="0" fontId="52" fillId="0" borderId="15" xfId="0" applyFont="1" applyBorder="1" applyAlignment="1">
      <alignment horizontal="center" wrapText="1"/>
    </xf>
    <xf numFmtId="0" fontId="56" fillId="0" borderId="46" xfId="0" applyFont="1" applyFill="1" applyBorder="1" applyAlignment="1">
      <alignment horizontal="center"/>
    </xf>
    <xf numFmtId="0" fontId="52" fillId="2" borderId="2" xfId="0" applyFont="1" applyFill="1" applyBorder="1" applyAlignment="1">
      <alignment horizontal="center" vertical="center"/>
    </xf>
    <xf numFmtId="0" fontId="52" fillId="0" borderId="19" xfId="0" applyFont="1" applyBorder="1" applyAlignment="1">
      <alignment horizontal="center" wrapText="1"/>
    </xf>
    <xf numFmtId="1" fontId="52" fillId="0" borderId="12" xfId="0" applyNumberFormat="1" applyFont="1" applyBorder="1" applyAlignment="1">
      <alignment horizontal="center" vertical="center"/>
    </xf>
    <xf numFmtId="0" fontId="0" fillId="2" borderId="0" xfId="0" applyFont="1" applyFill="1"/>
    <xf numFmtId="0" fontId="5" fillId="2" borderId="2" xfId="0" applyFont="1" applyFill="1" applyBorder="1" applyAlignment="1">
      <alignment horizontal="right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2" fontId="59" fillId="0" borderId="0" xfId="0" applyNumberFormat="1" applyFont="1"/>
    <xf numFmtId="0" fontId="5" fillId="0" borderId="9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39" fillId="0" borderId="2" xfId="0" applyFont="1" applyFill="1" applyBorder="1" applyAlignment="1">
      <alignment horizontal="center"/>
    </xf>
    <xf numFmtId="0" fontId="0" fillId="0" borderId="0" xfId="0" applyFill="1"/>
    <xf numFmtId="0" fontId="45" fillId="0" borderId="0" xfId="0" applyFont="1" applyFill="1" applyAlignment="1">
      <alignment vertical="center"/>
    </xf>
    <xf numFmtId="0" fontId="4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5" fillId="0" borderId="2" xfId="0" applyFont="1" applyFill="1" applyBorder="1" applyAlignment="1">
      <alignment horizontal="center"/>
    </xf>
    <xf numFmtId="0" fontId="45" fillId="0" borderId="2" xfId="0" applyFont="1" applyFill="1" applyBorder="1" applyAlignment="1">
      <alignment horizontal="center" vertical="center" wrapText="1"/>
    </xf>
    <xf numFmtId="0" fontId="45" fillId="0" borderId="0" xfId="0" applyFont="1" applyFill="1"/>
    <xf numFmtId="0" fontId="45" fillId="0" borderId="0" xfId="0" applyFont="1" applyFill="1" applyAlignment="1">
      <alignment horizontal="center"/>
    </xf>
    <xf numFmtId="0" fontId="45" fillId="0" borderId="2" xfId="0" applyFont="1" applyFill="1" applyBorder="1" applyAlignment="1">
      <alignment horizontal="center" vertical="center"/>
    </xf>
    <xf numFmtId="0" fontId="45" fillId="0" borderId="0" xfId="0" applyFont="1" applyFill="1" applyBorder="1"/>
    <xf numFmtId="0" fontId="46" fillId="0" borderId="0" xfId="0" applyFont="1" applyFill="1" applyBorder="1"/>
    <xf numFmtId="1" fontId="45" fillId="0" borderId="2" xfId="0" applyNumberFormat="1" applyFont="1" applyFill="1" applyBorder="1" applyAlignment="1">
      <alignment horizontal="center"/>
    </xf>
    <xf numFmtId="0" fontId="45" fillId="0" borderId="12" xfId="0" applyFont="1" applyFill="1" applyBorder="1"/>
    <xf numFmtId="0" fontId="45" fillId="0" borderId="2" xfId="0" applyFont="1" applyFill="1" applyBorder="1"/>
    <xf numFmtId="12" fontId="45" fillId="0" borderId="2" xfId="0" applyNumberFormat="1" applyFont="1" applyFill="1" applyBorder="1" applyAlignment="1">
      <alignment horizontal="center"/>
    </xf>
    <xf numFmtId="0" fontId="46" fillId="0" borderId="0" xfId="0" applyFont="1" applyFill="1" applyAlignment="1"/>
    <xf numFmtId="0" fontId="46" fillId="0" borderId="2" xfId="0" applyFont="1" applyFill="1" applyBorder="1" applyAlignment="1">
      <alignment horizontal="center"/>
    </xf>
    <xf numFmtId="2" fontId="60" fillId="0" borderId="2" xfId="0" applyNumberFormat="1" applyFont="1" applyFill="1" applyBorder="1" applyAlignment="1">
      <alignment horizontal="center" vertical="center" wrapText="1"/>
    </xf>
    <xf numFmtId="2" fontId="46" fillId="0" borderId="2" xfId="0" applyNumberFormat="1" applyFont="1" applyFill="1" applyBorder="1" applyAlignment="1">
      <alignment horizontal="center"/>
    </xf>
    <xf numFmtId="0" fontId="45" fillId="0" borderId="0" xfId="0" applyFont="1" applyFill="1" applyAlignment="1">
      <alignment horizontal="center" wrapText="1"/>
    </xf>
    <xf numFmtId="0" fontId="4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49" fontId="46" fillId="2" borderId="2" xfId="0" applyNumberFormat="1" applyFont="1" applyFill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46" fillId="0" borderId="10" xfId="0" applyFont="1" applyBorder="1" applyAlignment="1">
      <alignment horizontal="center" vertical="center"/>
    </xf>
    <xf numFmtId="1" fontId="49" fillId="0" borderId="2" xfId="0" applyNumberFormat="1" applyFont="1" applyBorder="1" applyAlignment="1">
      <alignment horizontal="center" vertical="center"/>
    </xf>
    <xf numFmtId="1" fontId="46" fillId="0" borderId="2" xfId="0" applyNumberFormat="1" applyFont="1" applyBorder="1" applyAlignment="1">
      <alignment horizontal="center" vertical="center"/>
    </xf>
    <xf numFmtId="1" fontId="45" fillId="0" borderId="0" xfId="0" applyNumberFormat="1" applyFont="1" applyAlignment="1">
      <alignment horizontal="center"/>
    </xf>
    <xf numFmtId="0" fontId="45" fillId="0" borderId="10" xfId="0" applyFont="1" applyBorder="1" applyAlignment="1">
      <alignment horizontal="center" vertical="center"/>
    </xf>
    <xf numFmtId="1" fontId="47" fillId="0" borderId="2" xfId="0" applyNumberFormat="1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1" fontId="45" fillId="0" borderId="0" xfId="0" applyNumberFormat="1" applyFont="1" applyAlignment="1">
      <alignment horizontal="center" vertical="center"/>
    </xf>
    <xf numFmtId="0" fontId="45" fillId="0" borderId="11" xfId="0" applyFont="1" applyBorder="1" applyAlignment="1">
      <alignment horizontal="center"/>
    </xf>
    <xf numFmtId="0" fontId="45" fillId="0" borderId="0" xfId="0" applyNumberFormat="1" applyFont="1" applyAlignment="1">
      <alignment horizontal="center"/>
    </xf>
    <xf numFmtId="1" fontId="47" fillId="0" borderId="0" xfId="0" applyNumberFormat="1" applyFont="1" applyBorder="1" applyAlignment="1">
      <alignment horizontal="center" vertical="center"/>
    </xf>
    <xf numFmtId="0" fontId="58" fillId="0" borderId="0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61" fillId="0" borderId="0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left" vertical="center"/>
    </xf>
    <xf numFmtId="0" fontId="6" fillId="0" borderId="13" xfId="0" applyFont="1" applyBorder="1" applyAlignment="1">
      <alignment vertical="center" wrapText="1"/>
    </xf>
    <xf numFmtId="1" fontId="4" fillId="0" borderId="2" xfId="1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12" fillId="0" borderId="5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0" fillId="0" borderId="0" xfId="0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45" fillId="0" borderId="0" xfId="0" applyFont="1"/>
    <xf numFmtId="0" fontId="7" fillId="0" borderId="1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70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69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5" fillId="2" borderId="0" xfId="0" applyFont="1" applyFill="1" applyBorder="1"/>
    <xf numFmtId="0" fontId="8" fillId="0" borderId="0" xfId="0" applyFont="1" applyAlignment="1"/>
    <xf numFmtId="1" fontId="5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70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/>
    </xf>
    <xf numFmtId="0" fontId="5" fillId="0" borderId="0" xfId="0" applyFont="1" applyBorder="1" applyAlignment="1"/>
    <xf numFmtId="1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2" xfId="0" applyFont="1" applyBorder="1" applyAlignment="1"/>
    <xf numFmtId="49" fontId="6" fillId="2" borderId="2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7" fillId="0" borderId="11" xfId="0" applyFont="1" applyBorder="1" applyAlignment="1"/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48" xfId="0" applyFont="1" applyBorder="1" applyAlignment="1">
      <alignment vertical="center" wrapText="1"/>
    </xf>
    <xf numFmtId="0" fontId="41" fillId="25" borderId="2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4" fillId="0" borderId="43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/>
    </xf>
    <xf numFmtId="0" fontId="6" fillId="0" borderId="5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right"/>
    </xf>
    <xf numFmtId="49" fontId="6" fillId="2" borderId="67" xfId="0" applyNumberFormat="1" applyFont="1" applyFill="1" applyBorder="1" applyAlignment="1">
      <alignment horizontal="right"/>
    </xf>
    <xf numFmtId="0" fontId="5" fillId="2" borderId="68" xfId="0" applyFont="1" applyFill="1" applyBorder="1"/>
    <xf numFmtId="0" fontId="6" fillId="2" borderId="68" xfId="0" applyFont="1" applyFill="1" applyBorder="1" applyAlignment="1">
      <alignment horizontal="right"/>
    </xf>
    <xf numFmtId="0" fontId="6" fillId="0" borderId="67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7" fillId="0" borderId="67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41" fillId="25" borderId="67" xfId="0" applyFont="1" applyFill="1" applyBorder="1" applyAlignment="1">
      <alignment horizontal="center" vertical="center" wrapText="1"/>
    </xf>
    <xf numFmtId="0" fontId="5" fillId="0" borderId="67" xfId="0" applyFont="1" applyBorder="1" applyAlignment="1">
      <alignment horizontal="center"/>
    </xf>
    <xf numFmtId="0" fontId="8" fillId="0" borderId="67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 wrapText="1"/>
    </xf>
    <xf numFmtId="1" fontId="8" fillId="0" borderId="67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1" fontId="5" fillId="0" borderId="65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/>
    </xf>
    <xf numFmtId="1" fontId="5" fillId="0" borderId="67" xfId="0" applyNumberFormat="1" applyFont="1" applyFill="1" applyBorder="1" applyAlignment="1">
      <alignment horizontal="center" vertical="center"/>
    </xf>
    <xf numFmtId="1" fontId="5" fillId="0" borderId="67" xfId="0" applyNumberFormat="1" applyFont="1" applyFill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67" xfId="0" applyFont="1" applyBorder="1"/>
    <xf numFmtId="0" fontId="6" fillId="0" borderId="67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5" fillId="0" borderId="67" xfId="0" applyFont="1" applyBorder="1" applyAlignment="1"/>
    <xf numFmtId="0" fontId="8" fillId="0" borderId="67" xfId="0" applyFont="1" applyBorder="1" applyAlignment="1">
      <alignment horizontal="center"/>
    </xf>
    <xf numFmtId="0" fontId="8" fillId="0" borderId="68" xfId="0" applyFont="1" applyBorder="1" applyAlignment="1">
      <alignment horizontal="center"/>
    </xf>
    <xf numFmtId="0" fontId="8" fillId="0" borderId="68" xfId="0" applyFont="1" applyBorder="1" applyAlignment="1">
      <alignment horizontal="center" wrapText="1"/>
    </xf>
    <xf numFmtId="0" fontId="8" fillId="0" borderId="64" xfId="0" applyFont="1" applyBorder="1" applyAlignment="1">
      <alignment horizontal="center"/>
    </xf>
    <xf numFmtId="0" fontId="41" fillId="0" borderId="67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/>
    </xf>
    <xf numFmtId="0" fontId="8" fillId="0" borderId="67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wrapText="1"/>
    </xf>
    <xf numFmtId="0" fontId="8" fillId="0" borderId="64" xfId="0" applyFont="1" applyBorder="1" applyAlignment="1">
      <alignment horizontal="center" wrapText="1"/>
    </xf>
    <xf numFmtId="0" fontId="7" fillId="0" borderId="64" xfId="0" applyFont="1" applyBorder="1" applyAlignment="1">
      <alignment horizontal="center"/>
    </xf>
    <xf numFmtId="0" fontId="7" fillId="0" borderId="64" xfId="0" applyFont="1" applyBorder="1" applyAlignment="1">
      <alignment horizontal="center" wrapText="1"/>
    </xf>
    <xf numFmtId="0" fontId="7" fillId="0" borderId="67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5" fillId="0" borderId="1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66" fillId="2" borderId="67" xfId="0" applyFont="1" applyFill="1" applyBorder="1" applyAlignment="1">
      <alignment horizontal="right"/>
    </xf>
    <xf numFmtId="0" fontId="67" fillId="0" borderId="0" xfId="0" applyFont="1" applyBorder="1" applyAlignment="1"/>
    <xf numFmtId="49" fontId="66" fillId="2" borderId="67" xfId="0" applyNumberFormat="1" applyFont="1" applyFill="1" applyBorder="1" applyAlignment="1">
      <alignment horizontal="right"/>
    </xf>
    <xf numFmtId="0" fontId="66" fillId="0" borderId="31" xfId="0" applyFont="1" applyBorder="1" applyAlignment="1">
      <alignment horizontal="center"/>
    </xf>
    <xf numFmtId="0" fontId="66" fillId="0" borderId="50" xfId="0" applyFont="1" applyBorder="1" applyAlignment="1">
      <alignment horizontal="center" vertical="center" wrapText="1"/>
    </xf>
    <xf numFmtId="0" fontId="66" fillId="0" borderId="39" xfId="0" applyFont="1" applyBorder="1" applyAlignment="1">
      <alignment horizontal="center" vertical="center"/>
    </xf>
    <xf numFmtId="0" fontId="66" fillId="0" borderId="67" xfId="0" applyFont="1" applyBorder="1" applyAlignment="1">
      <alignment horizontal="center" vertical="center"/>
    </xf>
    <xf numFmtId="0" fontId="66" fillId="0" borderId="51" xfId="0" applyFont="1" applyBorder="1" applyAlignment="1">
      <alignment horizontal="center" vertical="center"/>
    </xf>
    <xf numFmtId="0" fontId="66" fillId="0" borderId="67" xfId="0" applyFont="1" applyBorder="1" applyAlignment="1">
      <alignment horizontal="center" vertical="center" wrapText="1"/>
    </xf>
    <xf numFmtId="0" fontId="66" fillId="0" borderId="54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0" fontId="68" fillId="25" borderId="67" xfId="0" applyFont="1" applyFill="1" applyBorder="1" applyAlignment="1">
      <alignment horizontal="center" vertical="center" wrapText="1"/>
    </xf>
    <xf numFmtId="0" fontId="67" fillId="0" borderId="67" xfId="0" applyFont="1" applyBorder="1" applyAlignment="1">
      <alignment horizontal="center"/>
    </xf>
    <xf numFmtId="0" fontId="67" fillId="0" borderId="51" xfId="0" applyFont="1" applyBorder="1" applyAlignment="1">
      <alignment horizontal="center"/>
    </xf>
    <xf numFmtId="0" fontId="67" fillId="0" borderId="67" xfId="0" applyFont="1" applyBorder="1" applyAlignment="1">
      <alignment horizontal="center" vertical="center"/>
    </xf>
    <xf numFmtId="1" fontId="67" fillId="0" borderId="39" xfId="0" applyNumberFormat="1" applyFont="1" applyBorder="1" applyAlignment="1">
      <alignment horizontal="center" vertical="center"/>
    </xf>
    <xf numFmtId="1" fontId="67" fillId="0" borderId="67" xfId="0" applyNumberFormat="1" applyFont="1" applyBorder="1" applyAlignment="1">
      <alignment horizontal="center" vertical="center"/>
    </xf>
    <xf numFmtId="0" fontId="67" fillId="0" borderId="51" xfId="0" applyFont="1" applyBorder="1" applyAlignment="1">
      <alignment horizontal="center" vertical="center"/>
    </xf>
    <xf numFmtId="0" fontId="67" fillId="0" borderId="39" xfId="0" applyFont="1" applyBorder="1" applyAlignment="1">
      <alignment horizontal="center" vertical="center"/>
    </xf>
    <xf numFmtId="0" fontId="67" fillId="0" borderId="51" xfId="0" applyFont="1" applyBorder="1" applyAlignment="1">
      <alignment horizontal="center" vertical="center" wrapText="1"/>
    </xf>
    <xf numFmtId="0" fontId="67" fillId="0" borderId="0" xfId="0" applyFont="1"/>
    <xf numFmtId="0" fontId="67" fillId="0" borderId="0" xfId="0" applyFont="1" applyAlignment="1">
      <alignment horizontal="center" vertical="center"/>
    </xf>
    <xf numFmtId="0" fontId="66" fillId="0" borderId="67" xfId="0" applyFont="1" applyBorder="1" applyAlignment="1">
      <alignment horizontal="left" vertical="center" wrapText="1"/>
    </xf>
    <xf numFmtId="1" fontId="67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26" borderId="64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5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/>
    </xf>
    <xf numFmtId="0" fontId="6" fillId="0" borderId="70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7" fillId="0" borderId="64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wrapText="1"/>
    </xf>
    <xf numFmtId="0" fontId="6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94" xfId="0" applyFont="1" applyFill="1" applyBorder="1"/>
    <xf numFmtId="0" fontId="6" fillId="2" borderId="94" xfId="0" applyFont="1" applyFill="1" applyBorder="1" applyAlignment="1">
      <alignment horizontal="right"/>
    </xf>
    <xf numFmtId="0" fontId="5" fillId="0" borderId="38" xfId="0" applyFont="1" applyBorder="1"/>
    <xf numFmtId="0" fontId="6" fillId="0" borderId="88" xfId="0" applyFont="1" applyBorder="1" applyAlignment="1">
      <alignment horizontal="center"/>
    </xf>
    <xf numFmtId="0" fontId="7" fillId="0" borderId="99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87" xfId="0" applyNumberFormat="1" applyFont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1" fontId="8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70" fillId="0" borderId="15" xfId="0" applyFont="1" applyBorder="1" applyAlignment="1">
      <alignment horizontal="center" vertical="center" wrapText="1"/>
    </xf>
    <xf numFmtId="1" fontId="8" fillId="0" borderId="100" xfId="0" applyNumberFormat="1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49" fontId="5" fillId="2" borderId="87" xfId="0" applyNumberFormat="1" applyFont="1" applyFill="1" applyBorder="1" applyAlignment="1">
      <alignment horizontal="left"/>
    </xf>
    <xf numFmtId="0" fontId="8" fillId="0" borderId="0" xfId="0" applyFont="1" applyBorder="1"/>
    <xf numFmtId="49" fontId="5" fillId="2" borderId="103" xfId="0" applyNumberFormat="1" applyFont="1" applyFill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" fontId="0" fillId="0" borderId="67" xfId="0" applyNumberFormat="1" applyBorder="1" applyAlignment="1">
      <alignment horizontal="center" vertical="center"/>
    </xf>
    <xf numFmtId="0" fontId="71" fillId="0" borderId="6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1" fontId="4" fillId="29" borderId="15" xfId="0" applyNumberFormat="1" applyFont="1" applyFill="1" applyBorder="1" applyAlignment="1">
      <alignment horizontal="center" vertical="center"/>
    </xf>
    <xf numFmtId="1" fontId="0" fillId="29" borderId="67" xfId="0" applyNumberFormat="1" applyFill="1" applyBorder="1" applyAlignment="1">
      <alignment horizontal="center" vertical="center"/>
    </xf>
    <xf numFmtId="0" fontId="0" fillId="29" borderId="67" xfId="0" applyFill="1" applyBorder="1" applyAlignment="1">
      <alignment horizontal="center" vertical="center"/>
    </xf>
    <xf numFmtId="0" fontId="71" fillId="29" borderId="67" xfId="0" applyFont="1" applyFill="1" applyBorder="1" applyAlignment="1">
      <alignment horizontal="center" vertical="center"/>
    </xf>
    <xf numFmtId="1" fontId="0" fillId="0" borderId="71" xfId="0" applyNumberFormat="1" applyFill="1" applyBorder="1" applyAlignment="1">
      <alignment horizontal="center" vertical="center"/>
    </xf>
    <xf numFmtId="164" fontId="0" fillId="0" borderId="94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71" fillId="0" borderId="94" xfId="0" applyFont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164" fontId="0" fillId="0" borderId="71" xfId="0" applyNumberFormat="1" applyFill="1" applyBorder="1" applyAlignment="1">
      <alignment horizontal="center" vertical="center"/>
    </xf>
    <xf numFmtId="1" fontId="4" fillId="30" borderId="15" xfId="0" applyNumberFormat="1" applyFont="1" applyFill="1" applyBorder="1" applyAlignment="1">
      <alignment horizontal="center" vertical="center"/>
    </xf>
    <xf numFmtId="164" fontId="0" fillId="30" borderId="67" xfId="0" applyNumberFormat="1" applyFill="1" applyBorder="1" applyAlignment="1">
      <alignment horizontal="center" vertical="center"/>
    </xf>
    <xf numFmtId="1" fontId="0" fillId="30" borderId="67" xfId="0" applyNumberFormat="1" applyFill="1" applyBorder="1" applyAlignment="1">
      <alignment horizontal="center" vertical="center"/>
    </xf>
    <xf numFmtId="164" fontId="0" fillId="2" borderId="67" xfId="0" applyNumberForma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67" xfId="0" applyFont="1" applyBorder="1" applyAlignment="1">
      <alignment horizontal="center" vertical="center" wrapText="1"/>
    </xf>
    <xf numFmtId="1" fontId="8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9" fillId="0" borderId="0" xfId="0" applyFont="1"/>
    <xf numFmtId="0" fontId="15" fillId="0" borderId="19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8" fillId="0" borderId="88" xfId="0" applyFont="1" applyBorder="1" applyAlignment="1">
      <alignment horizontal="center"/>
    </xf>
    <xf numFmtId="0" fontId="5" fillId="0" borderId="88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0" borderId="94" xfId="0" applyFont="1" applyBorder="1" applyAlignment="1">
      <alignment horizontal="center"/>
    </xf>
    <xf numFmtId="0" fontId="2" fillId="0" borderId="67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99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/>
    </xf>
    <xf numFmtId="0" fontId="8" fillId="0" borderId="94" xfId="0" applyFont="1" applyBorder="1" applyAlignment="1">
      <alignment horizontal="center" wrapText="1"/>
    </xf>
    <xf numFmtId="0" fontId="8" fillId="0" borderId="88" xfId="0" applyFont="1" applyBorder="1" applyAlignment="1">
      <alignment horizontal="center" wrapText="1"/>
    </xf>
    <xf numFmtId="0" fontId="7" fillId="0" borderId="88" xfId="0" applyFont="1" applyBorder="1" applyAlignment="1">
      <alignment horizontal="center" wrapText="1"/>
    </xf>
    <xf numFmtId="0" fontId="7" fillId="0" borderId="88" xfId="0" applyFont="1" applyBorder="1" applyAlignment="1">
      <alignment horizontal="center" vertical="center" wrapText="1"/>
    </xf>
    <xf numFmtId="0" fontId="67" fillId="2" borderId="0" xfId="0" applyFont="1" applyFill="1" applyBorder="1"/>
    <xf numFmtId="0" fontId="67" fillId="0" borderId="0" xfId="0" applyFont="1" applyAlignment="1">
      <alignment wrapText="1"/>
    </xf>
    <xf numFmtId="0" fontId="67" fillId="2" borderId="94" xfId="0" applyFont="1" applyFill="1" applyBorder="1"/>
    <xf numFmtId="0" fontId="66" fillId="2" borderId="94" xfId="0" applyFont="1" applyFill="1" applyBorder="1" applyAlignment="1">
      <alignment horizontal="right"/>
    </xf>
    <xf numFmtId="0" fontId="67" fillId="0" borderId="31" xfId="0" applyFont="1" applyBorder="1"/>
    <xf numFmtId="0" fontId="67" fillId="0" borderId="35" xfId="0" applyFont="1" applyBorder="1"/>
    <xf numFmtId="0" fontId="66" fillId="0" borderId="8" xfId="0" applyFont="1" applyBorder="1" applyAlignment="1">
      <alignment horizontal="center" vertical="center" wrapText="1"/>
    </xf>
    <xf numFmtId="0" fontId="66" fillId="0" borderId="88" xfId="0" applyFont="1" applyBorder="1" applyAlignment="1">
      <alignment horizontal="center" vertical="center"/>
    </xf>
    <xf numFmtId="0" fontId="66" fillId="0" borderId="105" xfId="0" applyFont="1" applyBorder="1" applyAlignment="1">
      <alignment horizontal="center" vertical="center"/>
    </xf>
    <xf numFmtId="0" fontId="66" fillId="0" borderId="87" xfId="0" applyFont="1" applyBorder="1" applyAlignment="1">
      <alignment horizontal="center" vertical="center"/>
    </xf>
    <xf numFmtId="0" fontId="66" fillId="0" borderId="88" xfId="0" applyFont="1" applyBorder="1" applyAlignment="1">
      <alignment horizontal="center"/>
    </xf>
    <xf numFmtId="0" fontId="66" fillId="0" borderId="51" xfId="0" applyFont="1" applyBorder="1" applyAlignment="1">
      <alignment horizontal="center" vertical="center" wrapText="1"/>
    </xf>
    <xf numFmtId="0" fontId="66" fillId="0" borderId="99" xfId="0" applyFont="1" applyBorder="1" applyAlignment="1">
      <alignment horizontal="center" vertical="center"/>
    </xf>
    <xf numFmtId="1" fontId="67" fillId="0" borderId="88" xfId="0" applyNumberFormat="1" applyFont="1" applyBorder="1" applyAlignment="1">
      <alignment horizontal="center"/>
    </xf>
    <xf numFmtId="0" fontId="72" fillId="0" borderId="39" xfId="0" applyFont="1" applyBorder="1" applyAlignment="1">
      <alignment horizontal="center" vertical="center"/>
    </xf>
    <xf numFmtId="0" fontId="67" fillId="0" borderId="39" xfId="0" applyFont="1" applyBorder="1" applyAlignment="1">
      <alignment horizontal="center"/>
    </xf>
    <xf numFmtId="0" fontId="67" fillId="0" borderId="87" xfId="0" applyFont="1" applyBorder="1" applyAlignment="1">
      <alignment horizontal="center"/>
    </xf>
    <xf numFmtId="0" fontId="67" fillId="0" borderId="51" xfId="0" applyFont="1" applyBorder="1"/>
    <xf numFmtId="0" fontId="67" fillId="0" borderId="0" xfId="0" applyFont="1" applyBorder="1"/>
    <xf numFmtId="1" fontId="67" fillId="0" borderId="54" xfId="0" applyNumberFormat="1" applyFont="1" applyBorder="1" applyAlignment="1">
      <alignment horizontal="center" vertical="center"/>
    </xf>
    <xf numFmtId="1" fontId="67" fillId="0" borderId="88" xfId="0" applyNumberFormat="1" applyFont="1" applyBorder="1" applyAlignment="1">
      <alignment horizontal="center" vertical="center"/>
    </xf>
    <xf numFmtId="0" fontId="67" fillId="0" borderId="67" xfId="0" applyFont="1" applyBorder="1" applyAlignment="1">
      <alignment horizontal="center" vertical="center" wrapText="1"/>
    </xf>
    <xf numFmtId="1" fontId="67" fillId="0" borderId="87" xfId="0" applyNumberFormat="1" applyFont="1" applyBorder="1" applyAlignment="1">
      <alignment horizontal="center" vertical="center"/>
    </xf>
    <xf numFmtId="0" fontId="67" fillId="0" borderId="87" xfId="0" applyFont="1" applyBorder="1" applyAlignment="1">
      <alignment horizontal="center" vertical="center"/>
    </xf>
    <xf numFmtId="167" fontId="67" fillId="0" borderId="67" xfId="0" applyNumberFormat="1" applyFont="1" applyBorder="1" applyAlignment="1">
      <alignment horizontal="center" vertical="center"/>
    </xf>
    <xf numFmtId="0" fontId="68" fillId="0" borderId="15" xfId="0" applyFont="1" applyBorder="1" applyAlignment="1">
      <alignment horizontal="center" vertical="center" wrapText="1"/>
    </xf>
    <xf numFmtId="0" fontId="66" fillId="0" borderId="94" xfId="0" applyFont="1" applyBorder="1" applyAlignment="1">
      <alignment horizontal="center" vertical="center"/>
    </xf>
    <xf numFmtId="1" fontId="67" fillId="0" borderId="101" xfId="0" applyNumberFormat="1" applyFont="1" applyBorder="1" applyAlignment="1">
      <alignment horizontal="center"/>
    </xf>
    <xf numFmtId="0" fontId="67" fillId="0" borderId="100" xfId="0" applyFont="1" applyBorder="1" applyAlignment="1">
      <alignment horizontal="center" vertical="center"/>
    </xf>
    <xf numFmtId="0" fontId="67" fillId="0" borderId="94" xfId="0" applyFont="1" applyBorder="1" applyAlignment="1">
      <alignment horizontal="center" vertical="center"/>
    </xf>
    <xf numFmtId="0" fontId="67" fillId="0" borderId="106" xfId="0" applyFont="1" applyBorder="1" applyAlignment="1">
      <alignment horizontal="center" vertical="center"/>
    </xf>
    <xf numFmtId="0" fontId="67" fillId="0" borderId="103" xfId="0" applyFont="1" applyBorder="1" applyAlignment="1">
      <alignment horizontal="center" vertical="center"/>
    </xf>
    <xf numFmtId="1" fontId="67" fillId="0" borderId="100" xfId="0" applyNumberFormat="1" applyFont="1" applyBorder="1" applyAlignment="1">
      <alignment horizontal="center" vertical="center"/>
    </xf>
    <xf numFmtId="1" fontId="67" fillId="0" borderId="94" xfId="0" applyNumberFormat="1" applyFont="1" applyBorder="1" applyAlignment="1">
      <alignment horizontal="center" vertical="center"/>
    </xf>
    <xf numFmtId="1" fontId="67" fillId="0" borderId="101" xfId="0" applyNumberFormat="1" applyFont="1" applyBorder="1" applyAlignment="1">
      <alignment horizontal="center" vertical="center"/>
    </xf>
    <xf numFmtId="0" fontId="73" fillId="0" borderId="15" xfId="0" applyFont="1" applyBorder="1" applyAlignment="1">
      <alignment horizontal="center" vertical="center" wrapText="1"/>
    </xf>
    <xf numFmtId="1" fontId="67" fillId="0" borderId="67" xfId="0" applyNumberFormat="1" applyFont="1" applyBorder="1" applyAlignment="1">
      <alignment horizontal="center"/>
    </xf>
    <xf numFmtId="0" fontId="72" fillId="0" borderId="67" xfId="0" applyFont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1" fontId="67" fillId="0" borderId="69" xfId="0" applyNumberFormat="1" applyFont="1" applyBorder="1" applyAlignment="1">
      <alignment horizontal="center"/>
    </xf>
    <xf numFmtId="1" fontId="67" fillId="0" borderId="97" xfId="0" applyNumberFormat="1" applyFont="1" applyBorder="1" applyAlignment="1">
      <alignment horizontal="center" vertical="center"/>
    </xf>
    <xf numFmtId="1" fontId="67" fillId="0" borderId="70" xfId="0" applyNumberFormat="1" applyFont="1" applyBorder="1" applyAlignment="1">
      <alignment horizontal="center" vertical="center"/>
    </xf>
    <xf numFmtId="1" fontId="67" fillId="0" borderId="98" xfId="0" applyNumberFormat="1" applyFont="1" applyBorder="1" applyAlignment="1">
      <alignment horizontal="center" vertical="center"/>
    </xf>
    <xf numFmtId="0" fontId="67" fillId="0" borderId="70" xfId="0" applyFont="1" applyBorder="1" applyAlignment="1">
      <alignment horizontal="center" vertical="center"/>
    </xf>
    <xf numFmtId="0" fontId="67" fillId="0" borderId="8" xfId="0" applyFont="1" applyBorder="1" applyAlignment="1">
      <alignment horizontal="center" vertical="center"/>
    </xf>
    <xf numFmtId="0" fontId="67" fillId="0" borderId="98" xfId="0" applyFont="1" applyBorder="1" applyAlignment="1">
      <alignment horizontal="center" vertical="center"/>
    </xf>
    <xf numFmtId="0" fontId="67" fillId="0" borderId="97" xfId="0" applyFont="1" applyBorder="1" applyAlignment="1">
      <alignment horizontal="center" vertical="center"/>
    </xf>
    <xf numFmtId="1" fontId="67" fillId="0" borderId="69" xfId="0" applyNumberFormat="1" applyFont="1" applyBorder="1" applyAlignment="1">
      <alignment horizontal="center" vertical="center"/>
    </xf>
    <xf numFmtId="1" fontId="67" fillId="0" borderId="51" xfId="0" applyNumberFormat="1" applyFont="1" applyBorder="1" applyAlignment="1">
      <alignment horizontal="center" vertical="center"/>
    </xf>
    <xf numFmtId="0" fontId="67" fillId="0" borderId="88" xfId="0" applyFont="1" applyBorder="1" applyAlignment="1">
      <alignment horizontal="center" vertical="center"/>
    </xf>
    <xf numFmtId="0" fontId="67" fillId="0" borderId="67" xfId="0" applyFont="1" applyBorder="1"/>
    <xf numFmtId="1" fontId="67" fillId="0" borderId="99" xfId="0" applyNumberFormat="1" applyFont="1" applyBorder="1" applyAlignment="1">
      <alignment horizontal="center" vertical="center"/>
    </xf>
    <xf numFmtId="0" fontId="67" fillId="2" borderId="15" xfId="0" applyFont="1" applyFill="1" applyBorder="1" applyAlignment="1">
      <alignment horizontal="center" vertical="center" wrapText="1"/>
    </xf>
    <xf numFmtId="0" fontId="67" fillId="0" borderId="101" xfId="0" applyFont="1" applyBorder="1" applyAlignment="1">
      <alignment horizontal="center" vertical="center"/>
    </xf>
    <xf numFmtId="0" fontId="68" fillId="0" borderId="19" xfId="0" applyFont="1" applyBorder="1" applyAlignment="1">
      <alignment horizontal="center" vertical="center" wrapText="1"/>
    </xf>
    <xf numFmtId="1" fontId="67" fillId="0" borderId="43" xfId="0" applyNumberFormat="1" applyFont="1" applyBorder="1" applyAlignment="1">
      <alignment horizontal="center" vertical="center"/>
    </xf>
    <xf numFmtId="0" fontId="67" fillId="0" borderId="44" xfId="0" applyFont="1" applyBorder="1" applyAlignment="1">
      <alignment horizontal="center" vertical="center"/>
    </xf>
    <xf numFmtId="0" fontId="67" fillId="0" borderId="57" xfId="0" applyFont="1" applyBorder="1" applyAlignment="1">
      <alignment horizontal="center" vertical="center"/>
    </xf>
    <xf numFmtId="0" fontId="67" fillId="0" borderId="43" xfId="0" applyFont="1" applyBorder="1" applyAlignment="1">
      <alignment horizontal="center" vertical="center"/>
    </xf>
    <xf numFmtId="0" fontId="67" fillId="0" borderId="95" xfId="0" applyFont="1" applyBorder="1" applyAlignment="1">
      <alignment horizontal="center" vertical="center"/>
    </xf>
    <xf numFmtId="0" fontId="67" fillId="0" borderId="40" xfId="0" applyFont="1" applyBorder="1" applyAlignment="1">
      <alignment horizontal="center" vertical="center"/>
    </xf>
    <xf numFmtId="0" fontId="67" fillId="0" borderId="44" xfId="0" applyFont="1" applyBorder="1" applyAlignment="1">
      <alignment horizontal="center" vertical="center" wrapText="1"/>
    </xf>
    <xf numFmtId="0" fontId="68" fillId="0" borderId="67" xfId="0" applyFont="1" applyBorder="1" applyAlignment="1">
      <alignment horizontal="center" vertical="center" wrapText="1"/>
    </xf>
    <xf numFmtId="0" fontId="66" fillId="0" borderId="0" xfId="0" applyFont="1" applyAlignment="1">
      <alignment horizontal="right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67" fillId="0" borderId="0" xfId="0" applyFont="1" applyAlignment="1"/>
    <xf numFmtId="0" fontId="67" fillId="0" borderId="94" xfId="0" applyFont="1" applyBorder="1" applyAlignment="1">
      <alignment horizontal="center"/>
    </xf>
    <xf numFmtId="0" fontId="67" fillId="0" borderId="94" xfId="0" applyFont="1" applyBorder="1" applyAlignment="1">
      <alignment horizontal="center" wrapText="1"/>
    </xf>
    <xf numFmtId="0" fontId="67" fillId="0" borderId="88" xfId="0" applyFont="1" applyBorder="1" applyAlignment="1">
      <alignment horizontal="center"/>
    </xf>
    <xf numFmtId="0" fontId="68" fillId="0" borderId="67" xfId="0" applyFont="1" applyBorder="1" applyAlignment="1">
      <alignment horizontal="center" vertical="center"/>
    </xf>
    <xf numFmtId="0" fontId="66" fillId="0" borderId="94" xfId="0" applyFont="1" applyBorder="1" applyAlignment="1">
      <alignment horizontal="center"/>
    </xf>
    <xf numFmtId="0" fontId="67" fillId="0" borderId="71" xfId="0" applyFont="1" applyBorder="1" applyAlignment="1">
      <alignment horizontal="center" vertical="center"/>
    </xf>
    <xf numFmtId="0" fontId="66" fillId="0" borderId="0" xfId="0" applyFont="1" applyBorder="1" applyAlignment="1">
      <alignment vertical="center"/>
    </xf>
    <xf numFmtId="0" fontId="68" fillId="0" borderId="0" xfId="0" applyFont="1" applyFill="1" applyBorder="1" applyAlignment="1">
      <alignment horizontal="center" vertical="center" wrapText="1"/>
    </xf>
    <xf numFmtId="0" fontId="67" fillId="0" borderId="71" xfId="0" applyFont="1" applyBorder="1" applyAlignment="1">
      <alignment horizontal="center"/>
    </xf>
    <xf numFmtId="0" fontId="66" fillId="0" borderId="0" xfId="0" applyFont="1" applyBorder="1" applyAlignment="1"/>
    <xf numFmtId="0" fontId="67" fillId="0" borderId="0" xfId="0" applyFont="1" applyAlignment="1">
      <alignment horizontal="center" wrapText="1"/>
    </xf>
    <xf numFmtId="0" fontId="67" fillId="0" borderId="67" xfId="0" applyFont="1" applyBorder="1" applyAlignment="1">
      <alignment horizontal="center" wrapText="1"/>
    </xf>
    <xf numFmtId="0" fontId="67" fillId="0" borderId="69" xfId="0" applyFont="1" applyBorder="1" applyAlignment="1">
      <alignment horizontal="center"/>
    </xf>
    <xf numFmtId="0" fontId="67" fillId="0" borderId="69" xfId="0" applyFont="1" applyBorder="1" applyAlignment="1">
      <alignment horizontal="center" wrapText="1"/>
    </xf>
    <xf numFmtId="0" fontId="67" fillId="0" borderId="88" xfId="0" applyFont="1" applyBorder="1" applyAlignment="1">
      <alignment horizontal="center" wrapText="1"/>
    </xf>
    <xf numFmtId="0" fontId="68" fillId="0" borderId="70" xfId="0" applyFont="1" applyBorder="1" applyAlignment="1">
      <alignment horizontal="center" vertical="center" wrapText="1"/>
    </xf>
    <xf numFmtId="0" fontId="66" fillId="0" borderId="88" xfId="0" applyFont="1" applyBorder="1" applyAlignment="1">
      <alignment horizontal="center" wrapText="1"/>
    </xf>
    <xf numFmtId="0" fontId="66" fillId="0" borderId="88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1" fontId="5" fillId="0" borderId="88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87" xfId="0" applyFont="1" applyBorder="1" applyAlignment="1">
      <alignment horizontal="center"/>
    </xf>
    <xf numFmtId="1" fontId="8" fillId="0" borderId="51" xfId="0" applyNumberFormat="1" applyFont="1" applyBorder="1" applyAlignment="1">
      <alignment horizontal="center" vertical="center"/>
    </xf>
    <xf numFmtId="0" fontId="42" fillId="0" borderId="67" xfId="0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/>
    </xf>
    <xf numFmtId="0" fontId="8" fillId="0" borderId="106" xfId="0" applyFont="1" applyBorder="1" applyAlignment="1">
      <alignment horizontal="center" vertical="center"/>
    </xf>
    <xf numFmtId="1" fontId="8" fillId="0" borderId="94" xfId="0" applyNumberFormat="1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/>
    </xf>
    <xf numFmtId="0" fontId="17" fillId="0" borderId="67" xfId="0" applyFont="1" applyBorder="1" applyAlignment="1">
      <alignment horizontal="center" vertical="center"/>
    </xf>
    <xf numFmtId="1" fontId="5" fillId="0" borderId="69" xfId="0" applyNumberFormat="1" applyFont="1" applyBorder="1" applyAlignment="1">
      <alignment horizontal="center"/>
    </xf>
    <xf numFmtId="1" fontId="8" fillId="0" borderId="97" xfId="0" applyNumberFormat="1" applyFont="1" applyBorder="1" applyAlignment="1">
      <alignment horizontal="center" vertical="center"/>
    </xf>
    <xf numFmtId="1" fontId="8" fillId="0" borderId="70" xfId="0" applyNumberFormat="1" applyFont="1" applyBorder="1" applyAlignment="1">
      <alignment horizontal="center" vertical="center"/>
    </xf>
    <xf numFmtId="1" fontId="8" fillId="0" borderId="9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42" fillId="0" borderId="70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/>
    </xf>
    <xf numFmtId="0" fontId="6" fillId="0" borderId="47" xfId="0" applyFont="1" applyBorder="1" applyAlignment="1">
      <alignment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1" fontId="8" fillId="0" borderId="101" xfId="0" applyNumberFormat="1" applyFont="1" applyBorder="1" applyAlignment="1">
      <alignment horizontal="center" vertical="center"/>
    </xf>
    <xf numFmtId="1" fontId="8" fillId="0" borderId="69" xfId="0" applyNumberFormat="1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6" fillId="2" borderId="67" xfId="0" applyFont="1" applyFill="1" applyBorder="1" applyAlignment="1">
      <alignment horizontal="right"/>
    </xf>
    <xf numFmtId="0" fontId="8" fillId="0" borderId="0" xfId="0" applyFont="1"/>
    <xf numFmtId="49" fontId="6" fillId="2" borderId="67" xfId="0" applyNumberFormat="1" applyFont="1" applyFill="1" applyBorder="1" applyAlignment="1">
      <alignment horizontal="right"/>
    </xf>
    <xf numFmtId="0" fontId="8" fillId="0" borderId="70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1" fontId="8" fillId="0" borderId="6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67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8" fillId="0" borderId="0" xfId="0" applyFont="1" applyAlignment="1"/>
    <xf numFmtId="0" fontId="5" fillId="0" borderId="6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/>
    <xf numFmtId="0" fontId="8" fillId="0" borderId="71" xfId="0" applyFont="1" applyBorder="1" applyAlignment="1">
      <alignment horizontal="center"/>
    </xf>
    <xf numFmtId="0" fontId="67" fillId="2" borderId="0" xfId="0" applyFont="1" applyFill="1"/>
    <xf numFmtId="0" fontId="75" fillId="0" borderId="67" xfId="0" applyFont="1" applyBorder="1" applyAlignment="1">
      <alignment horizontal="center" vertical="center"/>
    </xf>
    <xf numFmtId="0" fontId="8" fillId="0" borderId="67" xfId="0" applyFont="1" applyBorder="1" applyAlignment="1">
      <alignment vertical="center"/>
    </xf>
    <xf numFmtId="0" fontId="0" fillId="0" borderId="67" xfId="0" applyBorder="1" applyAlignment="1">
      <alignment horizontal="center"/>
    </xf>
    <xf numFmtId="0" fontId="8" fillId="0" borderId="86" xfId="0" applyFont="1" applyBorder="1" applyAlignment="1">
      <alignment horizontal="center" vertical="center"/>
    </xf>
    <xf numFmtId="0" fontId="63" fillId="0" borderId="67" xfId="0" applyFont="1" applyBorder="1" applyAlignment="1">
      <alignment horizontal="center"/>
    </xf>
    <xf numFmtId="0" fontId="0" fillId="0" borderId="67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/>
    </xf>
    <xf numFmtId="0" fontId="15" fillId="0" borderId="6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2" fontId="2" fillId="0" borderId="67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8" fillId="0" borderId="43" xfId="0" applyFont="1" applyBorder="1" applyAlignment="1">
      <alignment vertical="center"/>
    </xf>
    <xf numFmtId="0" fontId="5" fillId="0" borderId="5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5" fillId="2" borderId="67" xfId="0" applyFont="1" applyFill="1" applyBorder="1" applyAlignment="1">
      <alignment horizontal="center" vertical="center"/>
    </xf>
    <xf numFmtId="0" fontId="5" fillId="0" borderId="67" xfId="0" applyFont="1" applyBorder="1" applyAlignment="1"/>
    <xf numFmtId="0" fontId="74" fillId="0" borderId="0" xfId="0" applyFont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67" fillId="0" borderId="39" xfId="0" applyFont="1" applyBorder="1"/>
    <xf numFmtId="0" fontId="5" fillId="2" borderId="118" xfId="0" applyFont="1" applyFill="1" applyBorder="1"/>
    <xf numFmtId="0" fontId="6" fillId="2" borderId="118" xfId="0" applyFont="1" applyFill="1" applyBorder="1" applyAlignment="1">
      <alignment horizontal="right"/>
    </xf>
    <xf numFmtId="0" fontId="7" fillId="0" borderId="64" xfId="0" applyFont="1" applyBorder="1" applyAlignment="1">
      <alignment vertical="center"/>
    </xf>
    <xf numFmtId="0" fontId="5" fillId="0" borderId="65" xfId="0" applyFont="1" applyBorder="1" applyAlignment="1">
      <alignment horizontal="center"/>
    </xf>
    <xf numFmtId="0" fontId="8" fillId="0" borderId="118" xfId="0" applyFont="1" applyBorder="1" applyAlignment="1">
      <alignment horizontal="center"/>
    </xf>
    <xf numFmtId="0" fontId="8" fillId="0" borderId="118" xfId="0" applyFont="1" applyBorder="1" applyAlignment="1">
      <alignment horizontal="center" wrapText="1"/>
    </xf>
    <xf numFmtId="0" fontId="7" fillId="0" borderId="118" xfId="0" applyFont="1" applyBorder="1" applyAlignment="1">
      <alignment horizontal="center"/>
    </xf>
    <xf numFmtId="1" fontId="5" fillId="0" borderId="64" xfId="0" applyNumberFormat="1" applyFont="1" applyBorder="1" applyAlignment="1">
      <alignment horizontal="center"/>
    </xf>
    <xf numFmtId="0" fontId="6" fillId="0" borderId="118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" fontId="8" fillId="0" borderId="121" xfId="0" applyNumberFormat="1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5" fillId="0" borderId="126" xfId="0" applyFont="1" applyBorder="1" applyAlignment="1">
      <alignment horizontal="center" vertical="center"/>
    </xf>
    <xf numFmtId="0" fontId="42" fillId="0" borderId="118" xfId="0" applyFont="1" applyBorder="1" applyAlignment="1">
      <alignment horizontal="center" vertical="center"/>
    </xf>
    <xf numFmtId="0" fontId="77" fillId="0" borderId="15" xfId="0" applyFont="1" applyBorder="1" applyAlignment="1">
      <alignment horizontal="center" vertical="center" wrapText="1"/>
    </xf>
    <xf numFmtId="1" fontId="8" fillId="0" borderId="122" xfId="0" applyNumberFormat="1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8" fillId="0" borderId="0" xfId="0" applyFont="1"/>
    <xf numFmtId="0" fontId="8" fillId="0" borderId="67" xfId="0" applyFont="1" applyBorder="1" applyAlignment="1">
      <alignment horizontal="center"/>
    </xf>
    <xf numFmtId="0" fontId="8" fillId="0" borderId="64" xfId="0" applyFont="1" applyBorder="1" applyAlignment="1">
      <alignment horizontal="center"/>
    </xf>
    <xf numFmtId="0" fontId="8" fillId="0" borderId="67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6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/>
    </xf>
    <xf numFmtId="0" fontId="6" fillId="2" borderId="67" xfId="0" applyFont="1" applyFill="1" applyBorder="1" applyAlignment="1">
      <alignment horizontal="right"/>
    </xf>
    <xf numFmtId="49" fontId="6" fillId="2" borderId="67" xfId="0" applyNumberFormat="1" applyFont="1" applyFill="1" applyBorder="1" applyAlignment="1">
      <alignment horizontal="right"/>
    </xf>
    <xf numFmtId="0" fontId="9" fillId="0" borderId="7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67" xfId="0" applyFont="1" applyBorder="1" applyAlignment="1">
      <alignment horizontal="center" wrapText="1"/>
    </xf>
    <xf numFmtId="0" fontId="8" fillId="0" borderId="69" xfId="0" applyFont="1" applyBorder="1" applyAlignment="1">
      <alignment horizontal="center" wrapText="1"/>
    </xf>
    <xf numFmtId="0" fontId="8" fillId="0" borderId="64" xfId="0" applyFont="1" applyBorder="1" applyAlignment="1">
      <alignment horizontal="center" wrapText="1"/>
    </xf>
    <xf numFmtId="0" fontId="7" fillId="0" borderId="64" xfId="0" applyFont="1" applyBorder="1" applyAlignment="1">
      <alignment horizontal="center" wrapText="1"/>
    </xf>
    <xf numFmtId="1" fontId="8" fillId="0" borderId="67" xfId="0" applyNumberFormat="1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1" fontId="8" fillId="0" borderId="39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center"/>
    </xf>
    <xf numFmtId="0" fontId="6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/>
    </xf>
    <xf numFmtId="0" fontId="8" fillId="0" borderId="65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1" fontId="8" fillId="0" borderId="51" xfId="0" applyNumberFormat="1" applyFont="1" applyBorder="1" applyAlignment="1">
      <alignment horizontal="center" vertical="center"/>
    </xf>
    <xf numFmtId="1" fontId="8" fillId="0" borderId="97" xfId="0" applyNumberFormat="1" applyFont="1" applyBorder="1" applyAlignment="1">
      <alignment horizontal="center" vertical="center"/>
    </xf>
    <xf numFmtId="1" fontId="8" fillId="0" borderId="70" xfId="0" applyNumberFormat="1" applyFont="1" applyBorder="1" applyAlignment="1">
      <alignment horizontal="center" vertical="center"/>
    </xf>
    <xf numFmtId="1" fontId="8" fillId="0" borderId="98" xfId="0" applyNumberFormat="1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/>
    </xf>
    <xf numFmtId="0" fontId="8" fillId="0" borderId="6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1" fontId="8" fillId="0" borderId="64" xfId="0" applyNumberFormat="1" applyFont="1" applyBorder="1" applyAlignment="1">
      <alignment horizontal="center" vertical="center"/>
    </xf>
    <xf numFmtId="1" fontId="8" fillId="0" borderId="6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41" fillId="0" borderId="70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6" fillId="0" borderId="10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/>
    </xf>
    <xf numFmtId="0" fontId="6" fillId="0" borderId="69" xfId="0" applyFont="1" applyBorder="1" applyAlignment="1">
      <alignment horizontal="center"/>
    </xf>
    <xf numFmtId="0" fontId="38" fillId="2" borderId="67" xfId="0" applyFont="1" applyFill="1" applyBorder="1" applyAlignment="1">
      <alignment horizontal="right"/>
    </xf>
    <xf numFmtId="49" fontId="38" fillId="2" borderId="67" xfId="0" applyNumberFormat="1" applyFont="1" applyFill="1" applyBorder="1" applyAlignment="1">
      <alignment horizontal="right"/>
    </xf>
    <xf numFmtId="0" fontId="78" fillId="2" borderId="118" xfId="0" applyFont="1" applyFill="1" applyBorder="1"/>
    <xf numFmtId="0" fontId="38" fillId="2" borderId="118" xfId="0" applyFont="1" applyFill="1" applyBorder="1" applyAlignment="1">
      <alignment horizontal="right"/>
    </xf>
    <xf numFmtId="1" fontId="67" fillId="0" borderId="8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7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5" fillId="2" borderId="6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7" xfId="0" applyFont="1" applyBorder="1" applyAlignment="1"/>
    <xf numFmtId="1" fontId="5" fillId="0" borderId="0" xfId="0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/>
    </xf>
    <xf numFmtId="0" fontId="6" fillId="0" borderId="69" xfId="0" applyFont="1" applyBorder="1" applyAlignment="1">
      <alignment horizontal="center"/>
    </xf>
    <xf numFmtId="0" fontId="5" fillId="2" borderId="135" xfId="0" applyFont="1" applyFill="1" applyBorder="1"/>
    <xf numFmtId="0" fontId="6" fillId="2" borderId="135" xfId="0" applyFont="1" applyFill="1" applyBorder="1" applyAlignment="1">
      <alignment horizontal="right"/>
    </xf>
    <xf numFmtId="1" fontId="8" fillId="0" borderId="140" xfId="0" applyNumberFormat="1" applyFont="1" applyBorder="1" applyAlignment="1">
      <alignment horizontal="center" vertical="center"/>
    </xf>
    <xf numFmtId="0" fontId="8" fillId="0" borderId="135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40" xfId="0" applyFont="1" applyBorder="1" applyAlignment="1">
      <alignment horizontal="center" vertical="center"/>
    </xf>
    <xf numFmtId="0" fontId="8" fillId="0" borderId="138" xfId="0" applyFont="1" applyBorder="1" applyAlignment="1">
      <alignment horizontal="center" vertical="center"/>
    </xf>
    <xf numFmtId="0" fontId="8" fillId="0" borderId="135" xfId="0" applyFont="1" applyBorder="1" applyAlignment="1">
      <alignment horizontal="center"/>
    </xf>
    <xf numFmtId="0" fontId="8" fillId="0" borderId="135" xfId="0" applyFont="1" applyBorder="1" applyAlignment="1">
      <alignment horizontal="center" wrapText="1"/>
    </xf>
    <xf numFmtId="0" fontId="6" fillId="2" borderId="67" xfId="0" applyFont="1" applyFill="1" applyBorder="1" applyAlignment="1">
      <alignment horizontal="right"/>
    </xf>
    <xf numFmtId="49" fontId="5" fillId="2" borderId="67" xfId="0" applyNumberFormat="1" applyFont="1" applyFill="1" applyBorder="1" applyAlignment="1">
      <alignment horizontal="left"/>
    </xf>
    <xf numFmtId="0" fontId="41" fillId="0" borderId="67" xfId="0" applyFont="1" applyBorder="1" applyAlignment="1">
      <alignment horizontal="left" vertical="center" wrapText="1"/>
    </xf>
    <xf numFmtId="0" fontId="6" fillId="0" borderId="135" xfId="0" applyFont="1" applyBorder="1" applyAlignment="1">
      <alignment horizontal="center" vertical="center"/>
    </xf>
    <xf numFmtId="0" fontId="6" fillId="0" borderId="67" xfId="0" applyFont="1" applyBorder="1"/>
    <xf numFmtId="1" fontId="67" fillId="0" borderId="45" xfId="0" applyNumberFormat="1" applyFont="1" applyBorder="1" applyAlignment="1">
      <alignment horizontal="center"/>
    </xf>
    <xf numFmtId="1" fontId="67" fillId="0" borderId="139" xfId="0" applyNumberFormat="1" applyFont="1" applyBorder="1" applyAlignment="1">
      <alignment horizontal="center"/>
    </xf>
    <xf numFmtId="1" fontId="67" fillId="0" borderId="60" xfId="0" applyNumberFormat="1" applyFont="1" applyBorder="1" applyAlignment="1">
      <alignment horizontal="center"/>
    </xf>
    <xf numFmtId="0" fontId="77" fillId="0" borderId="18" xfId="0" applyFont="1" applyBorder="1" applyAlignment="1">
      <alignment horizontal="center" vertical="center" wrapText="1"/>
    </xf>
    <xf numFmtId="0" fontId="43" fillId="2" borderId="18" xfId="0" applyFont="1" applyFill="1" applyBorder="1" applyAlignment="1">
      <alignment horizontal="center" vertical="center" wrapText="1"/>
    </xf>
    <xf numFmtId="0" fontId="11" fillId="0" borderId="142" xfId="0" applyFont="1" applyBorder="1" applyAlignment="1">
      <alignment horizontal="center" vertical="center" wrapText="1"/>
    </xf>
    <xf numFmtId="1" fontId="67" fillId="0" borderId="109" xfId="0" applyNumberFormat="1" applyFont="1" applyBorder="1" applyAlignment="1">
      <alignment horizontal="center"/>
    </xf>
    <xf numFmtId="0" fontId="11" fillId="0" borderId="6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5" xfId="0" applyFont="1" applyBorder="1" applyAlignment="1">
      <alignment horizontal="center"/>
    </xf>
    <xf numFmtId="2" fontId="5" fillId="0" borderId="67" xfId="0" applyNumberFormat="1" applyFont="1" applyBorder="1" applyAlignment="1">
      <alignment horizontal="center" vertical="center" wrapText="1"/>
    </xf>
    <xf numFmtId="2" fontId="5" fillId="0" borderId="70" xfId="0" applyNumberFormat="1" applyFont="1" applyBorder="1" applyAlignment="1">
      <alignment horizontal="center"/>
    </xf>
    <xf numFmtId="0" fontId="2" fillId="0" borderId="6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5" fillId="0" borderId="67" xfId="0" applyNumberFormat="1" applyFont="1" applyBorder="1" applyAlignment="1">
      <alignment horizontal="center" vertical="center"/>
    </xf>
    <xf numFmtId="0" fontId="4" fillId="0" borderId="0" xfId="0" applyFont="1" applyBorder="1" applyAlignment="1"/>
    <xf numFmtId="0" fontId="6" fillId="0" borderId="45" xfId="0" applyFont="1" applyBorder="1" applyAlignment="1">
      <alignment vertical="center"/>
    </xf>
    <xf numFmtId="0" fontId="6" fillId="0" borderId="86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0" fontId="8" fillId="0" borderId="64" xfId="0" applyFont="1" applyBorder="1" applyAlignment="1">
      <alignment vertical="center"/>
    </xf>
    <xf numFmtId="1" fontId="5" fillId="0" borderId="136" xfId="0" applyNumberFormat="1" applyFont="1" applyBorder="1" applyAlignment="1">
      <alignment horizontal="center"/>
    </xf>
    <xf numFmtId="0" fontId="8" fillId="0" borderId="141" xfId="0" applyFont="1" applyBorder="1" applyAlignment="1">
      <alignment horizontal="center" vertical="center"/>
    </xf>
    <xf numFmtId="1" fontId="8" fillId="0" borderId="135" xfId="0" applyNumberFormat="1" applyFont="1" applyBorder="1" applyAlignment="1">
      <alignment horizontal="center" vertical="center"/>
    </xf>
    <xf numFmtId="1" fontId="8" fillId="0" borderId="136" xfId="0" applyNumberFormat="1" applyFont="1" applyBorder="1" applyAlignment="1">
      <alignment horizontal="center" vertical="center"/>
    </xf>
    <xf numFmtId="0" fontId="8" fillId="0" borderId="143" xfId="0" applyFont="1" applyBorder="1" applyAlignment="1">
      <alignment horizontal="center" vertical="center"/>
    </xf>
    <xf numFmtId="0" fontId="5" fillId="0" borderId="143" xfId="0" applyFont="1" applyBorder="1" applyAlignment="1">
      <alignment horizontal="center" vertical="center"/>
    </xf>
    <xf numFmtId="0" fontId="5" fillId="0" borderId="138" xfId="0" applyFont="1" applyBorder="1" applyAlignment="1">
      <alignment horizontal="center" vertical="center"/>
    </xf>
    <xf numFmtId="1" fontId="79" fillId="0" borderId="64" xfId="0" applyNumberFormat="1" applyFont="1" applyBorder="1" applyAlignment="1">
      <alignment horizontal="center"/>
    </xf>
    <xf numFmtId="1" fontId="17" fillId="0" borderId="64" xfId="0" applyNumberFormat="1" applyFont="1" applyBorder="1" applyAlignment="1">
      <alignment horizontal="center"/>
    </xf>
    <xf numFmtId="0" fontId="8" fillId="0" borderId="40" xfId="0" applyFont="1" applyBorder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0" fontId="5" fillId="0" borderId="67" xfId="0" applyFont="1" applyBorder="1" applyAlignment="1">
      <alignment wrapText="1"/>
    </xf>
    <xf numFmtId="0" fontId="7" fillId="0" borderId="135" xfId="0" applyFont="1" applyBorder="1" applyAlignment="1">
      <alignment horizontal="center"/>
    </xf>
    <xf numFmtId="0" fontId="5" fillId="0" borderId="70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80" fillId="0" borderId="15" xfId="0" applyFont="1" applyBorder="1" applyAlignment="1">
      <alignment horizontal="center"/>
    </xf>
    <xf numFmtId="0" fontId="81" fillId="0" borderId="15" xfId="0" applyFont="1" applyBorder="1" applyAlignment="1">
      <alignment horizontal="center"/>
    </xf>
    <xf numFmtId="0" fontId="80" fillId="0" borderId="67" xfId="0" applyFont="1" applyBorder="1" applyAlignment="1">
      <alignment horizontal="center"/>
    </xf>
    <xf numFmtId="0" fontId="5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1" fillId="0" borderId="15" xfId="0" applyFont="1" applyBorder="1" applyAlignment="1">
      <alignment horizontal="center"/>
    </xf>
    <xf numFmtId="0" fontId="77" fillId="0" borderId="15" xfId="0" applyFont="1" applyBorder="1" applyAlignment="1">
      <alignment horizontal="center"/>
    </xf>
    <xf numFmtId="0" fontId="11" fillId="0" borderId="67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5" fillId="2" borderId="67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right"/>
    </xf>
    <xf numFmtId="0" fontId="6" fillId="0" borderId="135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67" xfId="0" applyFont="1" applyBorder="1" applyAlignment="1"/>
    <xf numFmtId="1" fontId="5" fillId="0" borderId="0" xfId="0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/>
    </xf>
    <xf numFmtId="0" fontId="6" fillId="0" borderId="6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49" fontId="6" fillId="0" borderId="67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67" xfId="0" applyFont="1" applyBorder="1" applyAlignment="1">
      <alignment horizontal="center"/>
    </xf>
    <xf numFmtId="2" fontId="5" fillId="0" borderId="67" xfId="0" applyNumberFormat="1" applyFont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66" fillId="0" borderId="67" xfId="0" applyFont="1" applyBorder="1" applyAlignment="1">
      <alignment horizontal="center" vertical="center" wrapText="1"/>
    </xf>
    <xf numFmtId="0" fontId="66" fillId="0" borderId="67" xfId="0" applyFont="1" applyBorder="1" applyAlignment="1">
      <alignment horizontal="center" vertical="center"/>
    </xf>
    <xf numFmtId="0" fontId="66" fillId="0" borderId="50" xfId="0" applyFont="1" applyBorder="1" applyAlignment="1">
      <alignment horizontal="center" vertical="center" wrapText="1"/>
    </xf>
    <xf numFmtId="0" fontId="66" fillId="0" borderId="31" xfId="0" applyFont="1" applyBorder="1" applyAlignment="1">
      <alignment horizontal="center"/>
    </xf>
    <xf numFmtId="0" fontId="1" fillId="0" borderId="6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7" fillId="0" borderId="67" xfId="0" applyFont="1" applyBorder="1" applyAlignment="1">
      <alignment horizontal="center" vertical="center"/>
    </xf>
    <xf numFmtId="0" fontId="67" fillId="0" borderId="53" xfId="0" applyFont="1" applyBorder="1" applyAlignment="1">
      <alignment horizontal="center" vertical="center"/>
    </xf>
    <xf numFmtId="0" fontId="67" fillId="0" borderId="108" xfId="0" applyFont="1" applyBorder="1" applyAlignment="1">
      <alignment horizontal="center" vertical="center"/>
    </xf>
    <xf numFmtId="0" fontId="67" fillId="0" borderId="99" xfId="0" applyFont="1" applyBorder="1" applyAlignment="1">
      <alignment horizontal="center" vertical="center"/>
    </xf>
    <xf numFmtId="0" fontId="66" fillId="0" borderId="99" xfId="0" applyFont="1" applyBorder="1" applyAlignment="1">
      <alignment horizontal="center" vertical="center"/>
    </xf>
    <xf numFmtId="0" fontId="66" fillId="0" borderId="105" xfId="0" applyFont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6" fillId="0" borderId="88" xfId="0" applyFont="1" applyBorder="1" applyAlignment="1">
      <alignment horizontal="center"/>
    </xf>
    <xf numFmtId="0" fontId="66" fillId="0" borderId="88" xfId="0" applyFont="1" applyBorder="1" applyAlignment="1">
      <alignment horizontal="center" vertical="center"/>
    </xf>
    <xf numFmtId="0" fontId="66" fillId="0" borderId="87" xfId="0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1" fontId="67" fillId="0" borderId="0" xfId="0" applyNumberFormat="1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 wrapText="1"/>
    </xf>
    <xf numFmtId="0" fontId="66" fillId="0" borderId="6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67" fillId="0" borderId="67" xfId="0" applyFont="1" applyBorder="1" applyAlignment="1">
      <alignment horizontal="center"/>
    </xf>
    <xf numFmtId="0" fontId="82" fillId="26" borderId="66" xfId="0" applyFont="1" applyFill="1" applyBorder="1" applyAlignment="1">
      <alignment horizontal="center" wrapText="1"/>
    </xf>
    <xf numFmtId="0" fontId="82" fillId="26" borderId="66" xfId="0" applyFont="1" applyFill="1" applyBorder="1" applyAlignment="1">
      <alignment horizontal="center" vertical="center" wrapText="1"/>
    </xf>
    <xf numFmtId="0" fontId="38" fillId="0" borderId="6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6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84" fillId="0" borderId="0" xfId="0" applyFont="1" applyBorder="1" applyAlignment="1"/>
    <xf numFmtId="0" fontId="85" fillId="0" borderId="0" xfId="0" applyFont="1"/>
    <xf numFmtId="0" fontId="84" fillId="0" borderId="0" xfId="0" applyFont="1" applyBorder="1" applyAlignment="1">
      <alignment vertical="center"/>
    </xf>
    <xf numFmtId="0" fontId="86" fillId="0" borderId="0" xfId="0" applyFont="1"/>
    <xf numFmtId="0" fontId="86" fillId="0" borderId="0" xfId="0" applyFont="1" applyAlignment="1">
      <alignment horizontal="center"/>
    </xf>
    <xf numFmtId="0" fontId="86" fillId="0" borderId="2" xfId="0" applyFont="1" applyBorder="1" applyAlignment="1">
      <alignment horizontal="center"/>
    </xf>
    <xf numFmtId="0" fontId="87" fillId="0" borderId="0" xfId="0" applyFont="1" applyAlignment="1"/>
    <xf numFmtId="0" fontId="88" fillId="0" borderId="0" xfId="0" applyFont="1"/>
    <xf numFmtId="0" fontId="89" fillId="0" borderId="2" xfId="0" applyFont="1" applyBorder="1" applyAlignment="1">
      <alignment horizontal="center" vertical="center"/>
    </xf>
    <xf numFmtId="2" fontId="89" fillId="0" borderId="2" xfId="0" applyNumberFormat="1" applyFont="1" applyBorder="1" applyAlignment="1">
      <alignment horizontal="center" vertical="center"/>
    </xf>
    <xf numFmtId="0" fontId="86" fillId="0" borderId="2" xfId="0" applyFont="1" applyBorder="1" applyAlignment="1">
      <alignment horizontal="center" vertical="center" wrapText="1"/>
    </xf>
    <xf numFmtId="2" fontId="87" fillId="0" borderId="2" xfId="0" applyNumberFormat="1" applyFont="1" applyBorder="1" applyAlignment="1">
      <alignment horizontal="center"/>
    </xf>
    <xf numFmtId="0" fontId="84" fillId="0" borderId="0" xfId="0" applyFont="1" applyBorder="1" applyAlignment="1">
      <alignment horizontal="center"/>
    </xf>
    <xf numFmtId="0" fontId="85" fillId="0" borderId="0" xfId="0" applyFont="1" applyBorder="1"/>
    <xf numFmtId="0" fontId="86" fillId="2" borderId="0" xfId="0" applyFont="1" applyFill="1"/>
    <xf numFmtId="0" fontId="87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87" fillId="0" borderId="2" xfId="0" applyFont="1" applyBorder="1" applyAlignment="1">
      <alignment horizontal="center"/>
    </xf>
    <xf numFmtId="0" fontId="87" fillId="0" borderId="0" xfId="0" applyFont="1"/>
    <xf numFmtId="0" fontId="86" fillId="0" borderId="12" xfId="0" applyFont="1" applyBorder="1" applyAlignment="1">
      <alignment horizontal="center"/>
    </xf>
    <xf numFmtId="2" fontId="86" fillId="0" borderId="2" xfId="0" applyNumberFormat="1" applyFont="1" applyBorder="1" applyAlignment="1">
      <alignment horizontal="center" vertical="center" wrapText="1"/>
    </xf>
    <xf numFmtId="0" fontId="86" fillId="2" borderId="0" xfId="0" applyFont="1" applyFill="1" applyAlignment="1">
      <alignment horizontal="center"/>
    </xf>
    <xf numFmtId="0" fontId="83" fillId="0" borderId="0" xfId="0" applyFont="1" applyBorder="1" applyAlignment="1">
      <alignment horizontal="center" vertical="center"/>
    </xf>
    <xf numFmtId="0" fontId="84" fillId="0" borderId="0" xfId="0" applyFont="1"/>
    <xf numFmtId="0" fontId="84" fillId="0" borderId="0" xfId="0" applyFont="1" applyAlignment="1">
      <alignment horizontal="center"/>
    </xf>
    <xf numFmtId="0" fontId="92" fillId="0" borderId="0" xfId="0" applyFont="1" applyAlignment="1">
      <alignment horizontal="center" vertical="center"/>
    </xf>
    <xf numFmtId="0" fontId="92" fillId="0" borderId="0" xfId="0" applyFont="1"/>
    <xf numFmtId="0" fontId="92" fillId="0" borderId="67" xfId="0" applyFont="1" applyBorder="1" applyAlignment="1">
      <alignment horizontal="center"/>
    </xf>
    <xf numFmtId="1" fontId="92" fillId="0" borderId="67" xfId="0" applyNumberFormat="1" applyFont="1" applyBorder="1" applyAlignment="1">
      <alignment horizontal="center"/>
    </xf>
    <xf numFmtId="0" fontId="92" fillId="0" borderId="67" xfId="0" applyFont="1" applyBorder="1" applyAlignment="1">
      <alignment horizontal="center" vertical="center"/>
    </xf>
    <xf numFmtId="1" fontId="92" fillId="0" borderId="67" xfId="0" applyNumberFormat="1" applyFont="1" applyBorder="1" applyAlignment="1">
      <alignment horizontal="center" vertical="center"/>
    </xf>
    <xf numFmtId="0" fontId="92" fillId="0" borderId="0" xfId="0" applyFont="1" applyAlignment="1">
      <alignment horizontal="center"/>
    </xf>
    <xf numFmtId="0" fontId="95" fillId="0" borderId="67" xfId="0" applyFont="1" applyBorder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7" fillId="0" borderId="15" xfId="0" applyFont="1" applyBorder="1" applyAlignment="1">
      <alignment horizontal="center" vertical="center"/>
    </xf>
    <xf numFmtId="0" fontId="97" fillId="0" borderId="67" xfId="0" applyFont="1" applyBorder="1" applyAlignment="1">
      <alignment horizontal="center" vertical="center"/>
    </xf>
    <xf numFmtId="0" fontId="97" fillId="0" borderId="15" xfId="0" applyFont="1" applyBorder="1" applyAlignment="1">
      <alignment horizontal="center"/>
    </xf>
    <xf numFmtId="0" fontId="92" fillId="0" borderId="67" xfId="0" applyFont="1" applyBorder="1" applyAlignment="1">
      <alignment horizontal="center" vertical="center" wrapText="1"/>
    </xf>
    <xf numFmtId="0" fontId="92" fillId="0" borderId="67" xfId="0" applyFont="1" applyBorder="1"/>
    <xf numFmtId="0" fontId="93" fillId="0" borderId="67" xfId="0" applyFont="1" applyBorder="1" applyAlignment="1">
      <alignment horizontal="center"/>
    </xf>
    <xf numFmtId="0" fontId="92" fillId="0" borderId="0" xfId="0" applyFont="1" applyBorder="1"/>
    <xf numFmtId="0" fontId="98" fillId="2" borderId="67" xfId="0" applyFont="1" applyFill="1" applyBorder="1" applyAlignment="1">
      <alignment horizontal="center"/>
    </xf>
    <xf numFmtId="0" fontId="98" fillId="0" borderId="0" xfId="0" applyFont="1"/>
    <xf numFmtId="1" fontId="98" fillId="0" borderId="67" xfId="0" applyNumberFormat="1" applyFont="1" applyBorder="1" applyAlignment="1">
      <alignment horizontal="center"/>
    </xf>
    <xf numFmtId="1" fontId="98" fillId="0" borderId="67" xfId="0" applyNumberFormat="1" applyFont="1" applyBorder="1" applyAlignment="1">
      <alignment horizontal="center" vertical="center"/>
    </xf>
    <xf numFmtId="0" fontId="98" fillId="0" borderId="67" xfId="0" applyFont="1" applyBorder="1" applyAlignment="1">
      <alignment horizontal="center" vertical="center" wrapText="1"/>
    </xf>
    <xf numFmtId="0" fontId="98" fillId="0" borderId="67" xfId="0" applyFont="1" applyBorder="1"/>
    <xf numFmtId="0" fontId="98" fillId="0" borderId="0" xfId="0" applyFont="1" applyBorder="1" applyAlignment="1">
      <alignment horizontal="center"/>
    </xf>
    <xf numFmtId="0" fontId="98" fillId="0" borderId="0" xfId="0" applyFont="1" applyBorder="1" applyAlignment="1"/>
    <xf numFmtId="0" fontId="99" fillId="0" borderId="1" xfId="0" applyFont="1" applyBorder="1" applyAlignment="1">
      <alignment horizontal="center" vertical="center"/>
    </xf>
    <xf numFmtId="0" fontId="99" fillId="0" borderId="0" xfId="0" applyFont="1" applyBorder="1" applyAlignment="1">
      <alignment horizontal="center" vertical="center"/>
    </xf>
    <xf numFmtId="0" fontId="100" fillId="0" borderId="0" xfId="0" applyFont="1"/>
    <xf numFmtId="49" fontId="38" fillId="2" borderId="7" xfId="0" applyNumberFormat="1" applyFont="1" applyFill="1" applyBorder="1" applyAlignment="1">
      <alignment horizontal="left"/>
    </xf>
    <xf numFmtId="0" fontId="38" fillId="2" borderId="12" xfId="0" applyFont="1" applyFill="1" applyBorder="1" applyAlignment="1">
      <alignment horizontal="right"/>
    </xf>
    <xf numFmtId="0" fontId="38" fillId="0" borderId="0" xfId="0" applyFont="1" applyBorder="1" applyAlignment="1"/>
    <xf numFmtId="49" fontId="38" fillId="2" borderId="10" xfId="0" applyNumberFormat="1" applyFont="1" applyFill="1" applyBorder="1" applyAlignment="1">
      <alignment horizontal="left"/>
    </xf>
    <xf numFmtId="49" fontId="38" fillId="2" borderId="2" xfId="0" applyNumberFormat="1" applyFont="1" applyFill="1" applyBorder="1" applyAlignment="1">
      <alignment horizontal="right"/>
    </xf>
    <xf numFmtId="0" fontId="38" fillId="0" borderId="0" xfId="0" applyFont="1" applyBorder="1" applyAlignment="1">
      <alignment vertical="center"/>
    </xf>
    <xf numFmtId="0" fontId="78" fillId="0" borderId="0" xfId="0" applyFont="1" applyBorder="1"/>
    <xf numFmtId="0" fontId="38" fillId="0" borderId="0" xfId="0" applyFont="1" applyBorder="1" applyAlignment="1">
      <alignment horizontal="center" vertical="center"/>
    </xf>
    <xf numFmtId="49" fontId="38" fillId="2" borderId="2" xfId="0" applyNumberFormat="1" applyFont="1" applyFill="1" applyBorder="1" applyAlignment="1">
      <alignment horizontal="left"/>
    </xf>
    <xf numFmtId="0" fontId="38" fillId="2" borderId="5" xfId="0" applyFont="1" applyFill="1" applyBorder="1" applyAlignment="1">
      <alignment horizontal="right"/>
    </xf>
    <xf numFmtId="0" fontId="78" fillId="0" borderId="0" xfId="0" applyFont="1" applyBorder="1" applyAlignment="1"/>
    <xf numFmtId="2" fontId="78" fillId="0" borderId="0" xfId="0" applyNumberFormat="1" applyFont="1" applyBorder="1" applyAlignment="1">
      <alignment horizontal="center" vertical="center"/>
    </xf>
    <xf numFmtId="0" fontId="78" fillId="0" borderId="0" xfId="0" applyFont="1" applyBorder="1" applyAlignment="1">
      <alignment horizontal="center" vertical="center"/>
    </xf>
    <xf numFmtId="0" fontId="78" fillId="0" borderId="0" xfId="0" applyFont="1" applyBorder="1" applyAlignment="1">
      <alignment vertical="center"/>
    </xf>
    <xf numFmtId="0" fontId="38" fillId="0" borderId="0" xfId="0" applyFont="1" applyBorder="1"/>
    <xf numFmtId="0" fontId="38" fillId="0" borderId="0" xfId="0" applyFont="1" applyBorder="1" applyAlignment="1">
      <alignment horizontal="center"/>
    </xf>
    <xf numFmtId="0" fontId="101" fillId="0" borderId="0" xfId="0" applyFont="1" applyBorder="1" applyAlignment="1"/>
    <xf numFmtId="0" fontId="38" fillId="2" borderId="2" xfId="0" applyFont="1" applyFill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0" xfId="0" applyFont="1" applyAlignment="1"/>
    <xf numFmtId="0" fontId="102" fillId="0" borderId="0" xfId="0" applyFont="1"/>
    <xf numFmtId="0" fontId="100" fillId="0" borderId="0" xfId="0" applyFont="1" applyBorder="1"/>
    <xf numFmtId="0" fontId="103" fillId="0" borderId="2" xfId="0" applyFont="1" applyBorder="1"/>
    <xf numFmtId="0" fontId="103" fillId="0" borderId="2" xfId="0" applyFont="1" applyBorder="1" applyAlignment="1">
      <alignment horizontal="center"/>
    </xf>
    <xf numFmtId="0" fontId="103" fillId="0" borderId="2" xfId="0" applyFont="1" applyBorder="1" applyAlignment="1">
      <alignment horizontal="center" vertical="center"/>
    </xf>
    <xf numFmtId="0" fontId="102" fillId="0" borderId="15" xfId="0" applyFont="1" applyBorder="1" applyAlignment="1">
      <alignment horizontal="center"/>
    </xf>
    <xf numFmtId="2" fontId="103" fillId="0" borderId="15" xfId="0" applyNumberFormat="1" applyFont="1" applyBorder="1" applyAlignment="1">
      <alignment horizontal="center" vertical="center"/>
    </xf>
    <xf numFmtId="0" fontId="78" fillId="0" borderId="0" xfId="0" applyFont="1"/>
    <xf numFmtId="0" fontId="38" fillId="0" borderId="2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2" fontId="103" fillId="0" borderId="2" xfId="0" applyNumberFormat="1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/>
    </xf>
    <xf numFmtId="0" fontId="102" fillId="0" borderId="0" xfId="0" applyFont="1" applyBorder="1"/>
    <xf numFmtId="0" fontId="38" fillId="0" borderId="0" xfId="0" applyFont="1"/>
    <xf numFmtId="0" fontId="103" fillId="0" borderId="0" xfId="0" applyFont="1" applyBorder="1" applyAlignment="1">
      <alignment horizontal="center"/>
    </xf>
    <xf numFmtId="0" fontId="78" fillId="0" borderId="0" xfId="0" applyFont="1" applyBorder="1" applyAlignment="1">
      <alignment horizontal="center"/>
    </xf>
    <xf numFmtId="1" fontId="38" fillId="0" borderId="0" xfId="0" applyNumberFormat="1" applyFont="1" applyFill="1" applyBorder="1" applyAlignment="1">
      <alignment horizontal="center" vertical="center"/>
    </xf>
    <xf numFmtId="0" fontId="102" fillId="0" borderId="0" xfId="0" applyFont="1" applyBorder="1" applyAlignment="1">
      <alignment horizontal="center"/>
    </xf>
    <xf numFmtId="166" fontId="38" fillId="0" borderId="0" xfId="0" applyNumberFormat="1" applyFont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0" fontId="38" fillId="2" borderId="5" xfId="0" applyFont="1" applyFill="1" applyBorder="1"/>
    <xf numFmtId="0" fontId="38" fillId="0" borderId="12" xfId="0" applyFont="1" applyBorder="1"/>
    <xf numFmtId="0" fontId="38" fillId="0" borderId="2" xfId="0" applyFont="1" applyBorder="1"/>
    <xf numFmtId="0" fontId="38" fillId="0" borderId="2" xfId="0" applyFont="1" applyBorder="1" applyAlignment="1">
      <alignment horizontal="center" vertical="center" wrapText="1"/>
    </xf>
    <xf numFmtId="0" fontId="38" fillId="0" borderId="14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1" fillId="2" borderId="67" xfId="0" applyFont="1" applyFill="1" applyBorder="1" applyAlignment="1">
      <alignment horizontal="right"/>
    </xf>
    <xf numFmtId="0" fontId="43" fillId="0" borderId="0" xfId="0" applyFont="1"/>
    <xf numFmtId="49" fontId="1" fillId="2" borderId="67" xfId="0" applyNumberFormat="1" applyFont="1" applyFill="1" applyBorder="1" applyAlignment="1">
      <alignment horizontal="right"/>
    </xf>
    <xf numFmtId="0" fontId="43" fillId="0" borderId="31" xfId="0" applyFont="1" applyBorder="1"/>
    <xf numFmtId="0" fontId="43" fillId="0" borderId="35" xfId="0" applyFont="1" applyBorder="1"/>
    <xf numFmtId="0" fontId="1" fillId="0" borderId="47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wrapText="1"/>
    </xf>
    <xf numFmtId="0" fontId="1" fillId="0" borderId="39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wrapText="1"/>
    </xf>
    <xf numFmtId="0" fontId="1" fillId="0" borderId="64" xfId="0" applyFont="1" applyBorder="1" applyAlignment="1">
      <alignment horizontal="center"/>
    </xf>
    <xf numFmtId="0" fontId="1" fillId="0" borderId="6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/>
    </xf>
    <xf numFmtId="0" fontId="104" fillId="0" borderId="39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1" fontId="43" fillId="0" borderId="39" xfId="0" applyNumberFormat="1" applyFont="1" applyBorder="1" applyAlignment="1">
      <alignment horizontal="center" vertical="center"/>
    </xf>
    <xf numFmtId="1" fontId="43" fillId="0" borderId="67" xfId="0" applyNumberFormat="1" applyFont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1" fontId="43" fillId="0" borderId="65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1" fontId="43" fillId="0" borderId="45" xfId="0" applyNumberFormat="1" applyFont="1" applyBorder="1" applyAlignment="1">
      <alignment horizontal="center" vertical="center"/>
    </xf>
    <xf numFmtId="1" fontId="43" fillId="0" borderId="64" xfId="0" applyNumberFormat="1" applyFont="1" applyBorder="1" applyAlignment="1">
      <alignment horizontal="center" vertical="center"/>
    </xf>
    <xf numFmtId="0" fontId="43" fillId="0" borderId="67" xfId="0" applyFont="1" applyBorder="1" applyAlignment="1">
      <alignment horizontal="center"/>
    </xf>
    <xf numFmtId="1" fontId="43" fillId="0" borderId="55" xfId="0" applyNumberFormat="1" applyFont="1" applyBorder="1" applyAlignment="1">
      <alignment horizontal="center" vertical="center"/>
    </xf>
    <xf numFmtId="0" fontId="43" fillId="0" borderId="68" xfId="0" applyFont="1" applyBorder="1" applyAlignment="1">
      <alignment horizontal="center" vertical="center"/>
    </xf>
    <xf numFmtId="0" fontId="43" fillId="0" borderId="5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3" fillId="0" borderId="0" xfId="0" applyFont="1" applyAlignment="1">
      <alignment vertical="center"/>
    </xf>
    <xf numFmtId="0" fontId="43" fillId="0" borderId="1" xfId="0" applyFont="1" applyBorder="1" applyAlignment="1">
      <alignment vertical="center"/>
    </xf>
    <xf numFmtId="0" fontId="43" fillId="0" borderId="68" xfId="0" applyFont="1" applyBorder="1" applyAlignment="1">
      <alignment horizontal="center"/>
    </xf>
    <xf numFmtId="0" fontId="11" fillId="0" borderId="67" xfId="0" applyFont="1" applyBorder="1" applyAlignment="1">
      <alignment horizontal="center" vertical="center"/>
    </xf>
    <xf numFmtId="0" fontId="43" fillId="0" borderId="67" xfId="0" applyFont="1" applyBorder="1"/>
    <xf numFmtId="0" fontId="1" fillId="0" borderId="67" xfId="0" applyFont="1" applyBorder="1" applyAlignment="1">
      <alignment horizontal="center"/>
    </xf>
    <xf numFmtId="0" fontId="43" fillId="0" borderId="70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/>
    </xf>
    <xf numFmtId="0" fontId="43" fillId="0" borderId="69" xfId="0" applyFont="1" applyBorder="1" applyAlignment="1">
      <alignment horizontal="center"/>
    </xf>
    <xf numFmtId="0" fontId="11" fillId="0" borderId="70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3" fillId="2" borderId="67" xfId="0" applyFont="1" applyFill="1" applyBorder="1" applyAlignment="1">
      <alignment horizontal="right"/>
    </xf>
    <xf numFmtId="49" fontId="93" fillId="2" borderId="67" xfId="0" applyNumberFormat="1" applyFont="1" applyFill="1" applyBorder="1" applyAlignment="1">
      <alignment horizontal="right"/>
    </xf>
    <xf numFmtId="0" fontId="92" fillId="0" borderId="31" xfId="0" applyFont="1" applyBorder="1"/>
    <xf numFmtId="0" fontId="92" fillId="0" borderId="35" xfId="0" applyFont="1" applyBorder="1"/>
    <xf numFmtId="0" fontId="93" fillId="0" borderId="0" xfId="0" applyFont="1" applyAlignment="1">
      <alignment horizontal="center" vertical="center"/>
    </xf>
    <xf numFmtId="0" fontId="93" fillId="0" borderId="39" xfId="0" applyFont="1" applyBorder="1" applyAlignment="1">
      <alignment horizontal="center" vertical="center"/>
    </xf>
    <xf numFmtId="0" fontId="93" fillId="0" borderId="67" xfId="0" applyFont="1" applyBorder="1" applyAlignment="1">
      <alignment horizontal="center" vertical="center"/>
    </xf>
    <xf numFmtId="0" fontId="93" fillId="0" borderId="54" xfId="0" applyFont="1" applyBorder="1" applyAlignment="1">
      <alignment horizontal="center" vertical="center"/>
    </xf>
    <xf numFmtId="0" fontId="93" fillId="0" borderId="0" xfId="0" applyFont="1"/>
    <xf numFmtId="0" fontId="96" fillId="0" borderId="39" xfId="0" applyFont="1" applyBorder="1" applyAlignment="1">
      <alignment horizontal="center" vertical="center"/>
    </xf>
    <xf numFmtId="1" fontId="92" fillId="0" borderId="39" xfId="0" applyNumberFormat="1" applyFont="1" applyBorder="1" applyAlignment="1">
      <alignment horizontal="center" vertical="center"/>
    </xf>
    <xf numFmtId="0" fontId="92" fillId="0" borderId="39" xfId="0" applyFont="1" applyBorder="1" applyAlignment="1">
      <alignment horizontal="center" vertical="center"/>
    </xf>
    <xf numFmtId="0" fontId="95" fillId="0" borderId="15" xfId="0" applyFont="1" applyBorder="1" applyAlignment="1">
      <alignment horizontal="center" vertical="center" wrapText="1"/>
    </xf>
    <xf numFmtId="0" fontId="106" fillId="0" borderId="15" xfId="0" applyFont="1" applyBorder="1" applyAlignment="1">
      <alignment horizontal="center" vertical="center" wrapText="1"/>
    </xf>
    <xf numFmtId="0" fontId="92" fillId="2" borderId="15" xfId="0" applyFont="1" applyFill="1" applyBorder="1" applyAlignment="1">
      <alignment horizontal="center" vertical="center" wrapText="1"/>
    </xf>
    <xf numFmtId="0" fontId="95" fillId="0" borderId="19" xfId="0" applyFont="1" applyBorder="1" applyAlignment="1">
      <alignment horizontal="center" vertical="center" wrapText="1"/>
    </xf>
    <xf numFmtId="0" fontId="93" fillId="0" borderId="67" xfId="0" applyFont="1" applyBorder="1" applyAlignment="1">
      <alignment horizontal="center" vertical="center" wrapText="1"/>
    </xf>
    <xf numFmtId="0" fontId="93" fillId="0" borderId="67" xfId="0" applyFont="1" applyBorder="1" applyAlignment="1">
      <alignment horizontal="center" wrapText="1"/>
    </xf>
    <xf numFmtId="0" fontId="43" fillId="0" borderId="0" xfId="0" applyFont="1" applyAlignment="1">
      <alignment wrapText="1"/>
    </xf>
    <xf numFmtId="0" fontId="107" fillId="26" borderId="120" xfId="0" applyFont="1" applyFill="1" applyBorder="1" applyAlignment="1">
      <alignment horizontal="right"/>
    </xf>
    <xf numFmtId="0" fontId="43" fillId="0" borderId="0" xfId="0" applyFont="1" applyBorder="1" applyAlignment="1"/>
    <xf numFmtId="49" fontId="107" fillId="26" borderId="54" xfId="0" applyNumberFormat="1" applyFont="1" applyFill="1" applyBorder="1" applyAlignment="1">
      <alignment horizontal="right"/>
    </xf>
    <xf numFmtId="0" fontId="107" fillId="26" borderId="58" xfId="0" applyFont="1" applyFill="1" applyBorder="1" applyAlignment="1">
      <alignment horizontal="right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43" fillId="0" borderId="0" xfId="0" applyFont="1" applyBorder="1"/>
    <xf numFmtId="0" fontId="107" fillId="26" borderId="48" xfId="0" applyFont="1" applyFill="1" applyBorder="1" applyAlignment="1">
      <alignment vertical="center" wrapText="1"/>
    </xf>
    <xf numFmtId="0" fontId="107" fillId="26" borderId="39" xfId="0" applyFont="1" applyFill="1" applyBorder="1" applyAlignment="1">
      <alignment horizontal="center" vertical="center"/>
    </xf>
    <xf numFmtId="0" fontId="107" fillId="26" borderId="67" xfId="0" applyFont="1" applyFill="1" applyBorder="1" applyAlignment="1">
      <alignment horizontal="center" vertical="center"/>
    </xf>
    <xf numFmtId="0" fontId="107" fillId="26" borderId="51" xfId="0" applyFont="1" applyFill="1" applyBorder="1" applyAlignment="1">
      <alignment horizontal="center" vertical="center"/>
    </xf>
    <xf numFmtId="0" fontId="107" fillId="26" borderId="45" xfId="0" applyFont="1" applyFill="1" applyBorder="1" applyAlignment="1">
      <alignment horizontal="center" vertical="center"/>
    </xf>
    <xf numFmtId="0" fontId="107" fillId="26" borderId="147" xfId="0" applyFont="1" applyFill="1" applyBorder="1" applyAlignment="1">
      <alignment horizontal="center" vertical="center"/>
    </xf>
    <xf numFmtId="0" fontId="107" fillId="26" borderId="144" xfId="0" applyFont="1" applyFill="1" applyBorder="1" applyAlignment="1">
      <alignment horizontal="center" vertical="center"/>
    </xf>
    <xf numFmtId="0" fontId="107" fillId="26" borderId="148" xfId="0" applyFont="1" applyFill="1" applyBorder="1" applyAlignment="1">
      <alignment horizontal="center" vertical="center"/>
    </xf>
    <xf numFmtId="0" fontId="107" fillId="26" borderId="139" xfId="0" applyFont="1" applyFill="1" applyBorder="1" applyAlignment="1">
      <alignment horizontal="center" vertical="center"/>
    </xf>
    <xf numFmtId="0" fontId="107" fillId="26" borderId="144" xfId="0" applyFont="1" applyFill="1" applyBorder="1" applyAlignment="1">
      <alignment horizontal="center" vertical="center" wrapText="1"/>
    </xf>
    <xf numFmtId="0" fontId="107" fillId="26" borderId="149" xfId="0" applyFont="1" applyFill="1" applyBorder="1" applyAlignment="1">
      <alignment horizontal="center" vertical="center" wrapText="1"/>
    </xf>
    <xf numFmtId="0" fontId="107" fillId="26" borderId="145" xfId="0" applyFont="1" applyFill="1" applyBorder="1" applyAlignment="1">
      <alignment horizontal="center" vertical="center"/>
    </xf>
    <xf numFmtId="0" fontId="107" fillId="26" borderId="32" xfId="0" applyFont="1" applyFill="1" applyBorder="1" applyAlignment="1">
      <alignment horizontal="center" vertical="center"/>
    </xf>
    <xf numFmtId="0" fontId="107" fillId="26" borderId="33" xfId="0" applyFont="1" applyFill="1" applyBorder="1" applyAlignment="1">
      <alignment horizontal="center" vertical="center"/>
    </xf>
    <xf numFmtId="0" fontId="107" fillId="26" borderId="96" xfId="0" applyFont="1" applyFill="1" applyBorder="1" applyAlignment="1">
      <alignment horizontal="center" vertical="center"/>
    </xf>
    <xf numFmtId="0" fontId="107" fillId="26" borderId="30" xfId="0" applyFont="1" applyFill="1" applyBorder="1" applyAlignment="1">
      <alignment horizontal="center" vertical="center"/>
    </xf>
    <xf numFmtId="0" fontId="107" fillId="26" borderId="35" xfId="0" applyFont="1" applyFill="1" applyBorder="1" applyAlignment="1">
      <alignment horizontal="center" vertical="center" wrapText="1"/>
    </xf>
    <xf numFmtId="0" fontId="107" fillId="26" borderId="152" xfId="0" applyFont="1" applyFill="1" applyBorder="1" applyAlignment="1">
      <alignment horizontal="center" vertical="center"/>
    </xf>
    <xf numFmtId="0" fontId="107" fillId="26" borderId="93" xfId="0" applyFont="1" applyFill="1" applyBorder="1" applyAlignment="1">
      <alignment horizontal="center" vertical="center"/>
    </xf>
    <xf numFmtId="0" fontId="77" fillId="0" borderId="97" xfId="0" applyFont="1" applyBorder="1" applyAlignment="1">
      <alignment horizontal="center"/>
    </xf>
    <xf numFmtId="0" fontId="43" fillId="0" borderId="98" xfId="0" applyFont="1" applyBorder="1" applyAlignment="1">
      <alignment horizontal="center"/>
    </xf>
    <xf numFmtId="0" fontId="43" fillId="0" borderId="60" xfId="0" applyFont="1" applyBorder="1" applyAlignment="1">
      <alignment horizontal="center"/>
    </xf>
    <xf numFmtId="0" fontId="43" fillId="0" borderId="53" xfId="0" applyFont="1" applyBorder="1" applyAlignment="1">
      <alignment horizontal="center" vertical="center" wrapText="1"/>
    </xf>
    <xf numFmtId="0" fontId="43" fillId="0" borderId="115" xfId="0" applyFont="1" applyBorder="1" applyAlignment="1">
      <alignment horizontal="center" vertical="center"/>
    </xf>
    <xf numFmtId="1" fontId="43" fillId="0" borderId="97" xfId="0" applyNumberFormat="1" applyFont="1" applyBorder="1" applyAlignment="1">
      <alignment horizontal="center" vertical="center"/>
    </xf>
    <xf numFmtId="1" fontId="43" fillId="0" borderId="70" xfId="0" applyNumberFormat="1" applyFont="1" applyBorder="1" applyAlignment="1">
      <alignment horizontal="center" vertical="center"/>
    </xf>
    <xf numFmtId="0" fontId="43" fillId="0" borderId="98" xfId="0" applyFont="1" applyBorder="1" applyAlignment="1">
      <alignment horizontal="center" vertical="center"/>
    </xf>
    <xf numFmtId="0" fontId="43" fillId="0" borderId="97" xfId="0" applyFont="1" applyBorder="1" applyAlignment="1">
      <alignment horizontal="center" vertical="center"/>
    </xf>
    <xf numFmtId="1" fontId="43" fillId="0" borderId="8" xfId="0" applyNumberFormat="1" applyFont="1" applyBorder="1" applyAlignment="1">
      <alignment horizontal="center" vertical="center"/>
    </xf>
    <xf numFmtId="0" fontId="105" fillId="0" borderId="70" xfId="0" applyFont="1" applyBorder="1" applyAlignment="1">
      <alignment horizontal="center" vertical="center"/>
    </xf>
    <xf numFmtId="0" fontId="77" fillId="0" borderId="39" xfId="0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/>
    </xf>
    <xf numFmtId="0" fontId="105" fillId="0" borderId="67" xfId="0" applyFont="1" applyBorder="1" applyAlignment="1">
      <alignment horizontal="center" vertical="center"/>
    </xf>
    <xf numFmtId="1" fontId="77" fillId="0" borderId="39" xfId="0" applyNumberFormat="1" applyFont="1" applyBorder="1" applyAlignment="1">
      <alignment horizontal="center" vertical="center"/>
    </xf>
    <xf numFmtId="0" fontId="77" fillId="0" borderId="67" xfId="0" applyFont="1" applyBorder="1" applyAlignment="1">
      <alignment horizontal="center" vertical="center"/>
    </xf>
    <xf numFmtId="0" fontId="77" fillId="0" borderId="51" xfId="0" applyFont="1" applyBorder="1" applyAlignment="1">
      <alignment horizontal="center" vertical="center"/>
    </xf>
    <xf numFmtId="0" fontId="43" fillId="0" borderId="56" xfId="0" applyFont="1" applyBorder="1" applyAlignment="1">
      <alignment horizontal="center" vertical="center"/>
    </xf>
    <xf numFmtId="0" fontId="43" fillId="0" borderId="56" xfId="0" applyFont="1" applyBorder="1" applyAlignment="1">
      <alignment horizontal="center" vertical="center" wrapText="1"/>
    </xf>
    <xf numFmtId="0" fontId="77" fillId="0" borderId="55" xfId="0" applyFont="1" applyBorder="1" applyAlignment="1">
      <alignment horizontal="center" vertical="center"/>
    </xf>
    <xf numFmtId="0" fontId="43" fillId="0" borderId="58" xfId="0" applyFont="1" applyBorder="1" applyAlignment="1">
      <alignment horizontal="center" vertical="center"/>
    </xf>
    <xf numFmtId="1" fontId="43" fillId="0" borderId="67" xfId="0" applyNumberFormat="1" applyFont="1" applyFill="1" applyBorder="1" applyAlignment="1">
      <alignment horizontal="center" vertical="center"/>
    </xf>
    <xf numFmtId="1" fontId="43" fillId="0" borderId="0" xfId="0" applyNumberFormat="1" applyFont="1" applyFill="1" applyBorder="1" applyAlignment="1">
      <alignment horizontal="center" vertical="center"/>
    </xf>
    <xf numFmtId="0" fontId="43" fillId="26" borderId="0" xfId="0" applyFont="1" applyFill="1" applyAlignment="1">
      <alignment horizontal="center" vertical="center"/>
    </xf>
    <xf numFmtId="0" fontId="43" fillId="26" borderId="67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43" fillId="0" borderId="64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0" fontId="43" fillId="0" borderId="0" xfId="0" applyFont="1" applyAlignment="1"/>
    <xf numFmtId="0" fontId="43" fillId="0" borderId="68" xfId="0" applyFont="1" applyBorder="1" applyAlignment="1">
      <alignment horizontal="center" wrapText="1"/>
    </xf>
    <xf numFmtId="0" fontId="1" fillId="26" borderId="7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2" fontId="110" fillId="0" borderId="15" xfId="0" applyNumberFormat="1" applyFont="1" applyBorder="1"/>
    <xf numFmtId="2" fontId="111" fillId="27" borderId="15" xfId="0" applyNumberFormat="1" applyFont="1" applyFill="1" applyBorder="1"/>
    <xf numFmtId="0" fontId="1" fillId="0" borderId="64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43" fillId="0" borderId="67" xfId="0" applyFont="1" applyBorder="1" applyAlignment="1">
      <alignment horizontal="center" wrapText="1"/>
    </xf>
    <xf numFmtId="0" fontId="43" fillId="0" borderId="69" xfId="0" applyFont="1" applyBorder="1" applyAlignment="1">
      <alignment horizontal="center" wrapText="1"/>
    </xf>
    <xf numFmtId="0" fontId="43" fillId="0" borderId="64" xfId="0" applyFont="1" applyBorder="1" applyAlignment="1">
      <alignment horizontal="center" wrapText="1"/>
    </xf>
    <xf numFmtId="0" fontId="11" fillId="26" borderId="70" xfId="0" applyFont="1" applyFill="1" applyBorder="1" applyAlignment="1">
      <alignment horizontal="center" vertical="center" wrapText="1"/>
    </xf>
    <xf numFmtId="0" fontId="43" fillId="26" borderId="67" xfId="0" applyFont="1" applyFill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43" fillId="0" borderId="51" xfId="0" applyFont="1" applyBorder="1" applyAlignment="1">
      <alignment horizontal="center"/>
    </xf>
    <xf numFmtId="0" fontId="43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43" fillId="2" borderId="94" xfId="0" applyFont="1" applyFill="1" applyBorder="1"/>
    <xf numFmtId="0" fontId="1" fillId="2" borderId="94" xfId="0" applyFont="1" applyFill="1" applyBorder="1" applyAlignment="1">
      <alignment horizontal="right"/>
    </xf>
    <xf numFmtId="0" fontId="1" fillId="0" borderId="38" xfId="0" applyFont="1" applyBorder="1" applyAlignment="1">
      <alignment horizontal="center"/>
    </xf>
    <xf numFmtId="0" fontId="43" fillId="0" borderId="38" xfId="0" applyFont="1" applyBorder="1"/>
    <xf numFmtId="0" fontId="1" fillId="0" borderId="3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7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/>
    </xf>
    <xf numFmtId="0" fontId="1" fillId="0" borderId="99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 wrapText="1"/>
    </xf>
    <xf numFmtId="0" fontId="43" fillId="0" borderId="88" xfId="0" applyFont="1" applyBorder="1" applyAlignment="1">
      <alignment horizontal="center"/>
    </xf>
    <xf numFmtId="1" fontId="43" fillId="0" borderId="99" xfId="0" applyNumberFormat="1" applyFont="1" applyBorder="1" applyAlignment="1">
      <alignment horizontal="center" vertical="center"/>
    </xf>
    <xf numFmtId="1" fontId="43" fillId="0" borderId="87" xfId="0" applyNumberFormat="1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43" fillId="2" borderId="39" xfId="0" applyFont="1" applyFill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/>
    </xf>
    <xf numFmtId="0" fontId="104" fillId="0" borderId="67" xfId="0" applyFont="1" applyBorder="1" applyAlignment="1">
      <alignment horizontal="center" vertical="center"/>
    </xf>
    <xf numFmtId="1" fontId="43" fillId="2" borderId="39" xfId="0" applyNumberFormat="1" applyFont="1" applyFill="1" applyBorder="1" applyAlignment="1">
      <alignment horizontal="center" vertical="center"/>
    </xf>
    <xf numFmtId="1" fontId="43" fillId="2" borderId="67" xfId="0" applyNumberFormat="1" applyFont="1" applyFill="1" applyBorder="1" applyAlignment="1">
      <alignment horizontal="center" vertical="center"/>
    </xf>
    <xf numFmtId="0" fontId="104" fillId="2" borderId="67" xfId="0" applyFont="1" applyFill="1" applyBorder="1" applyAlignment="1">
      <alignment horizontal="center" vertical="center"/>
    </xf>
    <xf numFmtId="1" fontId="43" fillId="0" borderId="88" xfId="0" applyNumberFormat="1" applyFont="1" applyBorder="1" applyAlignment="1">
      <alignment horizontal="center" vertical="center"/>
    </xf>
    <xf numFmtId="0" fontId="43" fillId="0" borderId="88" xfId="0" applyFont="1" applyBorder="1" applyAlignment="1">
      <alignment horizontal="center" vertical="center"/>
    </xf>
    <xf numFmtId="0" fontId="104" fillId="0" borderId="88" xfId="0" applyFont="1" applyBorder="1" applyAlignment="1">
      <alignment horizontal="center" vertical="center"/>
    </xf>
    <xf numFmtId="1" fontId="77" fillId="0" borderId="67" xfId="0" applyNumberFormat="1" applyFont="1" applyBorder="1" applyAlignment="1">
      <alignment horizontal="center" vertical="center"/>
    </xf>
    <xf numFmtId="1" fontId="77" fillId="28" borderId="39" xfId="0" applyNumberFormat="1" applyFont="1" applyFill="1" applyBorder="1" applyAlignment="1">
      <alignment horizontal="center" vertical="center"/>
    </xf>
    <xf numFmtId="0" fontId="77" fillId="28" borderId="67" xfId="0" applyFont="1" applyFill="1" applyBorder="1" applyAlignment="1">
      <alignment horizontal="center" vertical="center"/>
    </xf>
    <xf numFmtId="0" fontId="104" fillId="28" borderId="39" xfId="0" applyFont="1" applyFill="1" applyBorder="1" applyAlignment="1">
      <alignment horizontal="center" vertical="center"/>
    </xf>
    <xf numFmtId="0" fontId="43" fillId="28" borderId="67" xfId="0" applyFont="1" applyFill="1" applyBorder="1" applyAlignment="1">
      <alignment horizontal="center" vertical="center"/>
    </xf>
    <xf numFmtId="0" fontId="104" fillId="2" borderId="39" xfId="0" applyFont="1" applyFill="1" applyBorder="1" applyAlignment="1">
      <alignment horizontal="center" vertical="center"/>
    </xf>
    <xf numFmtId="1" fontId="43" fillId="28" borderId="39" xfId="0" applyNumberFormat="1" applyFont="1" applyFill="1" applyBorder="1" applyAlignment="1">
      <alignment horizontal="center" vertical="center"/>
    </xf>
    <xf numFmtId="1" fontId="77" fillId="2" borderId="39" xfId="0" applyNumberFormat="1" applyFont="1" applyFill="1" applyBorder="1" applyAlignment="1">
      <alignment horizontal="center" vertical="center"/>
    </xf>
    <xf numFmtId="0" fontId="77" fillId="2" borderId="67" xfId="0" applyFont="1" applyFill="1" applyBorder="1" applyAlignment="1">
      <alignment horizontal="center" vertical="center"/>
    </xf>
    <xf numFmtId="1" fontId="43" fillId="2" borderId="100" xfId="0" applyNumberFormat="1" applyFont="1" applyFill="1" applyBorder="1" applyAlignment="1">
      <alignment horizontal="center" vertical="center"/>
    </xf>
    <xf numFmtId="0" fontId="43" fillId="2" borderId="94" xfId="0" applyFont="1" applyFill="1" applyBorder="1" applyAlignment="1">
      <alignment horizontal="center" vertical="center"/>
    </xf>
    <xf numFmtId="1" fontId="43" fillId="0" borderId="100" xfId="0" applyNumberFormat="1" applyFont="1" applyBorder="1" applyAlignment="1">
      <alignment horizontal="center" vertical="center"/>
    </xf>
    <xf numFmtId="0" fontId="43" fillId="0" borderId="94" xfId="0" applyFont="1" applyBorder="1" applyAlignment="1">
      <alignment horizontal="center" vertical="center"/>
    </xf>
    <xf numFmtId="1" fontId="43" fillId="28" borderId="100" xfId="0" applyNumberFormat="1" applyFont="1" applyFill="1" applyBorder="1" applyAlignment="1">
      <alignment horizontal="center" vertical="center"/>
    </xf>
    <xf numFmtId="0" fontId="43" fillId="28" borderId="94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77" fillId="0" borderId="0" xfId="0" applyFont="1"/>
    <xf numFmtId="0" fontId="77" fillId="0" borderId="0" xfId="0" applyFont="1" applyAlignment="1">
      <alignment wrapText="1"/>
    </xf>
    <xf numFmtId="0" fontId="77" fillId="0" borderId="67" xfId="0" applyFont="1" applyBorder="1" applyAlignment="1">
      <alignment horizontal="center"/>
    </xf>
    <xf numFmtId="0" fontId="77" fillId="0" borderId="94" xfId="0" applyFont="1" applyBorder="1" applyAlignment="1">
      <alignment horizontal="center"/>
    </xf>
    <xf numFmtId="0" fontId="77" fillId="0" borderId="94" xfId="0" applyFont="1" applyBorder="1" applyAlignment="1">
      <alignment horizontal="center" wrapText="1"/>
    </xf>
    <xf numFmtId="0" fontId="77" fillId="0" borderId="88" xfId="0" applyFont="1" applyBorder="1" applyAlignment="1">
      <alignment horizontal="center"/>
    </xf>
    <xf numFmtId="0" fontId="113" fillId="0" borderId="94" xfId="0" applyFont="1" applyBorder="1" applyAlignment="1">
      <alignment horizontal="center"/>
    </xf>
    <xf numFmtId="0" fontId="113" fillId="0" borderId="67" xfId="0" applyFont="1" applyBorder="1" applyAlignment="1">
      <alignment horizontal="center"/>
    </xf>
    <xf numFmtId="0" fontId="11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7" fillId="0" borderId="0" xfId="0" applyFont="1" applyFill="1" applyBorder="1" applyAlignment="1">
      <alignment horizontal="center" vertical="center" wrapText="1"/>
    </xf>
    <xf numFmtId="0" fontId="77" fillId="0" borderId="67" xfId="0" applyFont="1" applyBorder="1" applyAlignment="1">
      <alignment horizontal="center" vertical="center" wrapText="1"/>
    </xf>
    <xf numFmtId="0" fontId="77" fillId="0" borderId="71" xfId="0" applyFont="1" applyBorder="1" applyAlignment="1">
      <alignment horizontal="center"/>
    </xf>
    <xf numFmtId="0" fontId="113" fillId="0" borderId="0" xfId="0" applyFont="1" applyBorder="1" applyAlignment="1"/>
    <xf numFmtId="0" fontId="77" fillId="0" borderId="0" xfId="0" applyFont="1" applyAlignment="1"/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center" wrapText="1"/>
    </xf>
    <xf numFmtId="0" fontId="77" fillId="0" borderId="67" xfId="0" applyFont="1" applyBorder="1" applyAlignment="1">
      <alignment horizontal="center" wrapText="1"/>
    </xf>
    <xf numFmtId="0" fontId="77" fillId="0" borderId="69" xfId="0" applyFont="1" applyBorder="1" applyAlignment="1">
      <alignment horizontal="center"/>
    </xf>
    <xf numFmtId="0" fontId="77" fillId="0" borderId="69" xfId="0" applyFont="1" applyBorder="1" applyAlignment="1">
      <alignment horizontal="center" wrapText="1"/>
    </xf>
    <xf numFmtId="0" fontId="77" fillId="0" borderId="88" xfId="0" applyFont="1" applyBorder="1" applyAlignment="1">
      <alignment horizontal="center" wrapText="1"/>
    </xf>
    <xf numFmtId="0" fontId="113" fillId="0" borderId="88" xfId="0" applyFont="1" applyBorder="1" applyAlignment="1">
      <alignment horizontal="center"/>
    </xf>
    <xf numFmtId="0" fontId="77" fillId="0" borderId="70" xfId="0" applyFont="1" applyBorder="1" applyAlignment="1">
      <alignment horizontal="center" vertical="center" wrapText="1"/>
    </xf>
    <xf numFmtId="0" fontId="113" fillId="0" borderId="88" xfId="0" applyFont="1" applyBorder="1" applyAlignment="1">
      <alignment horizontal="center" wrapText="1"/>
    </xf>
    <xf numFmtId="0" fontId="77" fillId="0" borderId="0" xfId="0" applyFont="1" applyAlignment="1">
      <alignment horizontal="center" vertical="center"/>
    </xf>
    <xf numFmtId="0" fontId="113" fillId="0" borderId="88" xfId="0" applyFont="1" applyBorder="1" applyAlignment="1">
      <alignment horizontal="center" vertical="center"/>
    </xf>
    <xf numFmtId="0" fontId="113" fillId="0" borderId="88" xfId="0" applyFont="1" applyBorder="1" applyAlignment="1">
      <alignment horizontal="center" vertical="center" wrapText="1"/>
    </xf>
    <xf numFmtId="0" fontId="104" fillId="0" borderId="0" xfId="0" applyFont="1" applyAlignment="1">
      <alignment wrapText="1"/>
    </xf>
    <xf numFmtId="0" fontId="104" fillId="0" borderId="67" xfId="0" applyFont="1" applyBorder="1" applyAlignment="1">
      <alignment horizontal="center" vertical="center" wrapText="1"/>
    </xf>
    <xf numFmtId="0" fontId="114" fillId="0" borderId="67" xfId="0" applyFont="1" applyBorder="1" applyAlignment="1">
      <alignment horizontal="center" vertical="center" wrapText="1"/>
    </xf>
    <xf numFmtId="0" fontId="104" fillId="0" borderId="0" xfId="0" applyFont="1"/>
    <xf numFmtId="0" fontId="104" fillId="0" borderId="0" xfId="0" applyFont="1" applyAlignment="1">
      <alignment horizontal="center"/>
    </xf>
    <xf numFmtId="0" fontId="43" fillId="2" borderId="0" xfId="0" applyFont="1" applyFill="1" applyBorder="1"/>
    <xf numFmtId="0" fontId="43" fillId="2" borderId="135" xfId="0" applyFont="1" applyFill="1" applyBorder="1"/>
    <xf numFmtId="0" fontId="1" fillId="2" borderId="135" xfId="0" applyFont="1" applyFill="1" applyBorder="1" applyAlignment="1">
      <alignment horizontal="right"/>
    </xf>
    <xf numFmtId="0" fontId="1" fillId="0" borderId="48" xfId="0" applyFont="1" applyBorder="1" applyAlignment="1">
      <alignment horizontal="center" vertical="center" wrapText="1"/>
    </xf>
    <xf numFmtId="0" fontId="1" fillId="0" borderId="139" xfId="0" applyFont="1" applyBorder="1" applyAlignment="1">
      <alignment vertical="center"/>
    </xf>
    <xf numFmtId="0" fontId="1" fillId="0" borderId="138" xfId="0" applyFont="1" applyBorder="1" applyAlignment="1">
      <alignment vertical="center"/>
    </xf>
    <xf numFmtId="0" fontId="1" fillId="0" borderId="136" xfId="0" applyFont="1" applyBorder="1" applyAlignment="1">
      <alignment vertical="center"/>
    </xf>
    <xf numFmtId="0" fontId="1" fillId="0" borderId="137" xfId="0" applyFont="1" applyBorder="1" applyAlignment="1">
      <alignment horizontal="center" vertical="center"/>
    </xf>
    <xf numFmtId="0" fontId="43" fillId="0" borderId="99" xfId="0" applyFont="1" applyBorder="1" applyAlignment="1">
      <alignment horizontal="center" vertical="center"/>
    </xf>
    <xf numFmtId="1" fontId="43" fillId="0" borderId="140" xfId="0" applyNumberFormat="1" applyFont="1" applyBorder="1" applyAlignment="1">
      <alignment horizontal="center" vertical="center"/>
    </xf>
    <xf numFmtId="0" fontId="43" fillId="0" borderId="135" xfId="0" applyFont="1" applyBorder="1" applyAlignment="1">
      <alignment horizontal="center" vertical="center"/>
    </xf>
    <xf numFmtId="0" fontId="43" fillId="0" borderId="136" xfId="0" applyFont="1" applyBorder="1" applyAlignment="1">
      <alignment horizontal="center" vertical="center"/>
    </xf>
    <xf numFmtId="0" fontId="43" fillId="0" borderId="140" xfId="0" applyFont="1" applyBorder="1" applyAlignment="1">
      <alignment horizontal="center" vertical="center"/>
    </xf>
    <xf numFmtId="0" fontId="43" fillId="0" borderId="138" xfId="0" applyFont="1" applyBorder="1" applyAlignment="1">
      <alignment horizontal="center" vertical="center"/>
    </xf>
    <xf numFmtId="0" fontId="43" fillId="0" borderId="141" xfId="0" applyFont="1" applyBorder="1" applyAlignment="1">
      <alignment horizontal="center" vertical="center" wrapText="1"/>
    </xf>
    <xf numFmtId="0" fontId="43" fillId="0" borderId="0" xfId="0" applyFont="1" applyBorder="1" applyAlignment="1">
      <alignment vertical="center"/>
    </xf>
    <xf numFmtId="0" fontId="105" fillId="0" borderId="86" xfId="0" applyFont="1" applyBorder="1" applyAlignment="1">
      <alignment horizontal="center" vertical="center"/>
    </xf>
    <xf numFmtId="0" fontId="105" fillId="0" borderId="64" xfId="0" applyFont="1" applyBorder="1" applyAlignment="1">
      <alignment horizontal="center" vertical="center"/>
    </xf>
    <xf numFmtId="0" fontId="105" fillId="0" borderId="65" xfId="0" applyFont="1" applyBorder="1" applyAlignment="1">
      <alignment horizontal="center" vertical="center"/>
    </xf>
    <xf numFmtId="0" fontId="43" fillId="0" borderId="135" xfId="0" applyFont="1" applyBorder="1" applyAlignment="1">
      <alignment horizontal="center"/>
    </xf>
    <xf numFmtId="0" fontId="43" fillId="0" borderId="135" xfId="0" applyFont="1" applyBorder="1" applyAlignment="1">
      <alignment horizontal="center" wrapText="1"/>
    </xf>
    <xf numFmtId="0" fontId="109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8" fillId="0" borderId="67" xfId="0" applyFont="1" applyBorder="1"/>
    <xf numFmtId="0" fontId="78" fillId="0" borderId="0" xfId="0" applyFont="1" applyAlignment="1">
      <alignment wrapText="1"/>
    </xf>
    <xf numFmtId="0" fontId="78" fillId="0" borderId="67" xfId="0" applyFont="1" applyBorder="1" applyAlignment="1">
      <alignment horizontal="center" vertical="center"/>
    </xf>
    <xf numFmtId="0" fontId="78" fillId="0" borderId="67" xfId="0" applyFont="1" applyBorder="1" applyAlignment="1">
      <alignment vertical="center"/>
    </xf>
    <xf numFmtId="0" fontId="78" fillId="0" borderId="0" xfId="0" applyFont="1" applyAlignment="1">
      <alignment vertical="center"/>
    </xf>
    <xf numFmtId="0" fontId="78" fillId="0" borderId="67" xfId="0" applyFont="1" applyBorder="1" applyAlignment="1"/>
    <xf numFmtId="0" fontId="78" fillId="0" borderId="0" xfId="0" applyFont="1" applyAlignment="1"/>
    <xf numFmtId="0" fontId="78" fillId="0" borderId="67" xfId="0" applyFont="1" applyBorder="1" applyAlignment="1">
      <alignment horizontal="center"/>
    </xf>
    <xf numFmtId="0" fontId="78" fillId="0" borderId="135" xfId="0" applyFont="1" applyBorder="1" applyAlignment="1">
      <alignment horizontal="center"/>
    </xf>
    <xf numFmtId="0" fontId="78" fillId="0" borderId="135" xfId="0" applyFont="1" applyBorder="1" applyAlignment="1">
      <alignment horizontal="center" wrapText="1"/>
    </xf>
    <xf numFmtId="0" fontId="78" fillId="0" borderId="64" xfId="0" applyFont="1" applyBorder="1" applyAlignment="1">
      <alignment horizontal="center"/>
    </xf>
    <xf numFmtId="0" fontId="102" fillId="0" borderId="67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/>
    </xf>
    <xf numFmtId="0" fontId="78" fillId="0" borderId="70" xfId="0" applyFont="1" applyBorder="1" applyAlignment="1">
      <alignment horizontal="center" vertical="center"/>
    </xf>
    <xf numFmtId="0" fontId="102" fillId="0" borderId="0" xfId="0" applyFont="1" applyFill="1" applyBorder="1" applyAlignment="1">
      <alignment horizontal="center" vertical="center" wrapText="1"/>
    </xf>
    <xf numFmtId="0" fontId="78" fillId="0" borderId="67" xfId="0" applyFont="1" applyBorder="1" applyAlignment="1">
      <alignment horizontal="center" vertical="center" wrapText="1"/>
    </xf>
    <xf numFmtId="0" fontId="78" fillId="0" borderId="70" xfId="0" applyFont="1" applyBorder="1" applyAlignment="1">
      <alignment horizontal="center"/>
    </xf>
    <xf numFmtId="0" fontId="78" fillId="0" borderId="0" xfId="0" applyFont="1" applyAlignment="1">
      <alignment horizontal="center"/>
    </xf>
    <xf numFmtId="0" fontId="78" fillId="0" borderId="0" xfId="0" applyFont="1" applyAlignment="1">
      <alignment horizontal="center" wrapText="1"/>
    </xf>
    <xf numFmtId="0" fontId="78" fillId="0" borderId="67" xfId="0" applyFont="1" applyBorder="1" applyAlignment="1">
      <alignment horizontal="center" wrapText="1"/>
    </xf>
    <xf numFmtId="0" fontId="78" fillId="0" borderId="69" xfId="0" applyFont="1" applyBorder="1" applyAlignment="1">
      <alignment horizontal="center"/>
    </xf>
    <xf numFmtId="0" fontId="78" fillId="0" borderId="69" xfId="0" applyFont="1" applyBorder="1" applyAlignment="1">
      <alignment horizontal="center" wrapText="1"/>
    </xf>
    <xf numFmtId="0" fontId="78" fillId="0" borderId="64" xfId="0" applyFont="1" applyBorder="1" applyAlignment="1">
      <alignment horizontal="center" wrapText="1"/>
    </xf>
    <xf numFmtId="0" fontId="38" fillId="0" borderId="64" xfId="0" applyFont="1" applyBorder="1" applyAlignment="1">
      <alignment horizontal="center"/>
    </xf>
    <xf numFmtId="0" fontId="102" fillId="0" borderId="70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38" fillId="0" borderId="64" xfId="0" applyFont="1" applyBorder="1" applyAlignment="1">
      <alignment horizontal="center" vertical="center"/>
    </xf>
    <xf numFmtId="0" fontId="38" fillId="0" borderId="64" xfId="0" applyFont="1" applyBorder="1" applyAlignment="1">
      <alignment horizontal="center" vertical="center" wrapText="1"/>
    </xf>
    <xf numFmtId="0" fontId="43" fillId="0" borderId="94" xfId="0" applyFont="1" applyBorder="1" applyAlignment="1">
      <alignment horizontal="center"/>
    </xf>
    <xf numFmtId="0" fontId="43" fillId="0" borderId="94" xfId="0" applyFont="1" applyBorder="1" applyAlignment="1">
      <alignment horizontal="center" wrapText="1"/>
    </xf>
    <xf numFmtId="0" fontId="1" fillId="0" borderId="94" xfId="0" applyFont="1" applyBorder="1" applyAlignment="1">
      <alignment horizontal="center"/>
    </xf>
    <xf numFmtId="0" fontId="43" fillId="0" borderId="71" xfId="0" applyFont="1" applyBorder="1" applyAlignment="1">
      <alignment horizontal="center" vertical="center"/>
    </xf>
    <xf numFmtId="0" fontId="43" fillId="0" borderId="71" xfId="0" applyFont="1" applyBorder="1" applyAlignment="1">
      <alignment horizontal="center"/>
    </xf>
    <xf numFmtId="0" fontId="43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vertical="center" wrapText="1"/>
    </xf>
    <xf numFmtId="0" fontId="92" fillId="0" borderId="0" xfId="0" applyFont="1" applyAlignment="1">
      <alignment wrapText="1"/>
    </xf>
    <xf numFmtId="0" fontId="92" fillId="0" borderId="0" xfId="0" applyFont="1" applyBorder="1" applyAlignment="1"/>
    <xf numFmtId="0" fontId="92" fillId="2" borderId="94" xfId="0" applyFont="1" applyFill="1" applyBorder="1"/>
    <xf numFmtId="0" fontId="93" fillId="2" borderId="94" xfId="0" applyFont="1" applyFill="1" applyBorder="1" applyAlignment="1">
      <alignment horizontal="right"/>
    </xf>
    <xf numFmtId="0" fontId="93" fillId="0" borderId="51" xfId="0" applyFont="1" applyBorder="1" applyAlignment="1">
      <alignment horizontal="center" vertical="center"/>
    </xf>
    <xf numFmtId="0" fontId="93" fillId="0" borderId="88" xfId="0" applyFont="1" applyBorder="1" applyAlignment="1">
      <alignment horizontal="center" vertical="center"/>
    </xf>
    <xf numFmtId="0" fontId="93" fillId="0" borderId="87" xfId="0" applyFont="1" applyBorder="1" applyAlignment="1">
      <alignment horizontal="center" vertical="center"/>
    </xf>
    <xf numFmtId="0" fontId="93" fillId="0" borderId="88" xfId="0" applyFont="1" applyBorder="1" applyAlignment="1">
      <alignment horizontal="center"/>
    </xf>
    <xf numFmtId="0" fontId="93" fillId="0" borderId="88" xfId="0" applyFont="1" applyBorder="1" applyAlignment="1">
      <alignment horizontal="center" vertical="center" wrapText="1"/>
    </xf>
    <xf numFmtId="0" fontId="93" fillId="0" borderId="99" xfId="0" applyFont="1" applyBorder="1" applyAlignment="1">
      <alignment horizontal="center" vertical="center"/>
    </xf>
    <xf numFmtId="0" fontId="93" fillId="0" borderId="0" xfId="0" applyFont="1" applyBorder="1" applyAlignment="1">
      <alignment horizontal="center" vertical="center"/>
    </xf>
    <xf numFmtId="1" fontId="92" fillId="0" borderId="88" xfId="0" applyNumberFormat="1" applyFont="1" applyBorder="1" applyAlignment="1">
      <alignment horizontal="center"/>
    </xf>
    <xf numFmtId="0" fontId="92" fillId="0" borderId="39" xfId="0" applyFont="1" applyBorder="1" applyAlignment="1">
      <alignment horizontal="center"/>
    </xf>
    <xf numFmtId="0" fontId="92" fillId="0" borderId="87" xfId="0" applyFont="1" applyBorder="1" applyAlignment="1">
      <alignment horizontal="center"/>
    </xf>
    <xf numFmtId="1" fontId="92" fillId="0" borderId="51" xfId="0" applyNumberFormat="1" applyFont="1" applyBorder="1" applyAlignment="1">
      <alignment horizontal="center" vertical="center"/>
    </xf>
    <xf numFmtId="0" fontId="92" fillId="0" borderId="51" xfId="0" applyFont="1" applyBorder="1" applyAlignment="1">
      <alignment horizontal="center" vertical="center"/>
    </xf>
    <xf numFmtId="0" fontId="93" fillId="0" borderId="94" xfId="0" applyFont="1" applyBorder="1" applyAlignment="1">
      <alignment horizontal="center" vertical="center"/>
    </xf>
    <xf numFmtId="0" fontId="92" fillId="0" borderId="100" xfId="0" applyFont="1" applyBorder="1" applyAlignment="1">
      <alignment horizontal="center" vertical="center"/>
    </xf>
    <xf numFmtId="0" fontId="92" fillId="0" borderId="94" xfId="0" applyFont="1" applyBorder="1" applyAlignment="1">
      <alignment horizontal="center" vertical="center"/>
    </xf>
    <xf numFmtId="0" fontId="92" fillId="0" borderId="106" xfId="0" applyFont="1" applyBorder="1" applyAlignment="1">
      <alignment horizontal="center" vertical="center"/>
    </xf>
    <xf numFmtId="0" fontId="92" fillId="0" borderId="103" xfId="0" applyFont="1" applyBorder="1" applyAlignment="1">
      <alignment horizontal="center" vertical="center"/>
    </xf>
    <xf numFmtId="1" fontId="92" fillId="0" borderId="100" xfId="0" applyNumberFormat="1" applyFont="1" applyBorder="1" applyAlignment="1">
      <alignment horizontal="center" vertical="center"/>
    </xf>
    <xf numFmtId="0" fontId="115" fillId="0" borderId="94" xfId="0" applyFont="1" applyBorder="1" applyAlignment="1">
      <alignment horizontal="center" vertical="center"/>
    </xf>
    <xf numFmtId="0" fontId="96" fillId="0" borderId="67" xfId="0" applyFont="1" applyBorder="1" applyAlignment="1">
      <alignment horizontal="center" vertical="center"/>
    </xf>
    <xf numFmtId="1" fontId="92" fillId="0" borderId="69" xfId="0" applyNumberFormat="1" applyFont="1" applyBorder="1" applyAlignment="1">
      <alignment horizontal="center"/>
    </xf>
    <xf numFmtId="1" fontId="92" fillId="0" borderId="97" xfId="0" applyNumberFormat="1" applyFont="1" applyBorder="1" applyAlignment="1">
      <alignment horizontal="center" vertical="center"/>
    </xf>
    <xf numFmtId="1" fontId="92" fillId="0" borderId="70" xfId="0" applyNumberFormat="1" applyFont="1" applyBorder="1" applyAlignment="1">
      <alignment horizontal="center" vertical="center"/>
    </xf>
    <xf numFmtId="1" fontId="92" fillId="0" borderId="98" xfId="0" applyNumberFormat="1" applyFont="1" applyBorder="1" applyAlignment="1">
      <alignment horizontal="center" vertical="center"/>
    </xf>
    <xf numFmtId="0" fontId="92" fillId="0" borderId="70" xfId="0" applyFont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92" fillId="0" borderId="97" xfId="0" applyFont="1" applyBorder="1" applyAlignment="1">
      <alignment horizontal="center" vertical="center"/>
    </xf>
    <xf numFmtId="0" fontId="92" fillId="0" borderId="87" xfId="0" applyFont="1" applyBorder="1" applyAlignment="1">
      <alignment horizontal="center" vertical="center"/>
    </xf>
    <xf numFmtId="0" fontId="93" fillId="0" borderId="0" xfId="0" applyFont="1" applyAlignment="1">
      <alignment horizontal="right" vertical="center"/>
    </xf>
    <xf numFmtId="1" fontId="92" fillId="0" borderId="0" xfId="0" applyNumberFormat="1" applyFont="1" applyFill="1" applyBorder="1" applyAlignment="1">
      <alignment horizontal="center" vertical="center"/>
    </xf>
    <xf numFmtId="0" fontId="93" fillId="0" borderId="0" xfId="0" applyFont="1" applyAlignment="1">
      <alignment vertical="center"/>
    </xf>
    <xf numFmtId="0" fontId="92" fillId="0" borderId="0" xfId="0" applyFont="1" applyAlignment="1"/>
    <xf numFmtId="0" fontId="92" fillId="0" borderId="94" xfId="0" applyFont="1" applyBorder="1" applyAlignment="1">
      <alignment horizontal="center"/>
    </xf>
    <xf numFmtId="0" fontId="92" fillId="0" borderId="94" xfId="0" applyFont="1" applyBorder="1" applyAlignment="1">
      <alignment horizontal="center" wrapText="1"/>
    </xf>
    <xf numFmtId="0" fontId="95" fillId="0" borderId="67" xfId="0" applyFont="1" applyBorder="1" applyAlignment="1">
      <alignment horizontal="center" vertical="center"/>
    </xf>
    <xf numFmtId="0" fontId="93" fillId="0" borderId="0" xfId="0" applyFont="1" applyBorder="1" applyAlignment="1">
      <alignment vertical="center"/>
    </xf>
    <xf numFmtId="0" fontId="95" fillId="0" borderId="0" xfId="0" applyFont="1" applyFill="1" applyBorder="1" applyAlignment="1">
      <alignment horizontal="center" vertical="center" wrapText="1"/>
    </xf>
    <xf numFmtId="0" fontId="93" fillId="0" borderId="0" xfId="0" applyFont="1" applyBorder="1" applyAlignment="1"/>
    <xf numFmtId="0" fontId="92" fillId="0" borderId="0" xfId="0" applyFont="1" applyAlignment="1">
      <alignment horizontal="center" wrapText="1"/>
    </xf>
    <xf numFmtId="0" fontId="92" fillId="0" borderId="69" xfId="0" applyFont="1" applyBorder="1" applyAlignment="1">
      <alignment horizontal="center"/>
    </xf>
    <xf numFmtId="0" fontId="95" fillId="0" borderId="70" xfId="0" applyFont="1" applyBorder="1" applyAlignment="1">
      <alignment horizontal="center" vertical="center" wrapText="1"/>
    </xf>
    <xf numFmtId="0" fontId="97" fillId="0" borderId="0" xfId="0" applyFont="1" applyAlignment="1">
      <alignment horizontal="center" vertical="center"/>
    </xf>
    <xf numFmtId="0" fontId="67" fillId="0" borderId="119" xfId="0" applyFont="1" applyBorder="1"/>
    <xf numFmtId="1" fontId="67" fillId="0" borderId="106" xfId="0" applyNumberFormat="1" applyFont="1" applyBorder="1" applyAlignment="1">
      <alignment horizontal="center" vertical="center"/>
    </xf>
    <xf numFmtId="1" fontId="67" fillId="0" borderId="103" xfId="0" applyNumberFormat="1" applyFont="1" applyBorder="1" applyAlignment="1">
      <alignment horizontal="center" vertical="center"/>
    </xf>
    <xf numFmtId="0" fontId="67" fillId="0" borderId="106" xfId="0" applyFont="1" applyBorder="1" applyAlignment="1">
      <alignment horizontal="center" vertical="center" wrapText="1"/>
    </xf>
    <xf numFmtId="0" fontId="75" fillId="0" borderId="94" xfId="0" applyFont="1" applyBorder="1" applyAlignment="1">
      <alignment horizontal="center" vertical="center"/>
    </xf>
    <xf numFmtId="0" fontId="67" fillId="0" borderId="98" xfId="0" applyFont="1" applyBorder="1" applyAlignment="1">
      <alignment horizontal="center" vertical="center" wrapText="1"/>
    </xf>
    <xf numFmtId="0" fontId="75" fillId="0" borderId="70" xfId="0" applyFont="1" applyBorder="1" applyAlignment="1">
      <alignment horizontal="center" vertical="center"/>
    </xf>
    <xf numFmtId="0" fontId="76" fillId="0" borderId="67" xfId="0" applyFont="1" applyBorder="1" applyAlignment="1">
      <alignment horizontal="center" vertical="center"/>
    </xf>
    <xf numFmtId="0" fontId="76" fillId="0" borderId="67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/>
    </xf>
    <xf numFmtId="0" fontId="43" fillId="0" borderId="39" xfId="0" applyFont="1" applyBorder="1" applyAlignment="1">
      <alignment horizontal="center"/>
    </xf>
    <xf numFmtId="0" fontId="43" fillId="0" borderId="99" xfId="0" applyFont="1" applyBorder="1" applyAlignment="1">
      <alignment horizontal="center"/>
    </xf>
    <xf numFmtId="1" fontId="43" fillId="0" borderId="51" xfId="0" applyNumberFormat="1" applyFont="1" applyBorder="1" applyAlignment="1">
      <alignment horizontal="center" vertical="center"/>
    </xf>
    <xf numFmtId="0" fontId="43" fillId="0" borderId="141" xfId="0" applyFont="1" applyBorder="1" applyAlignment="1">
      <alignment horizontal="center" vertical="center"/>
    </xf>
    <xf numFmtId="0" fontId="43" fillId="0" borderId="143" xfId="0" applyFont="1" applyBorder="1" applyAlignment="1">
      <alignment horizontal="center" vertical="center"/>
    </xf>
    <xf numFmtId="1" fontId="43" fillId="0" borderId="135" xfId="0" applyNumberFormat="1" applyFont="1" applyBorder="1" applyAlignment="1">
      <alignment horizontal="center" vertical="center"/>
    </xf>
    <xf numFmtId="1" fontId="43" fillId="0" borderId="141" xfId="0" applyNumberFormat="1" applyFont="1" applyBorder="1" applyAlignment="1">
      <alignment horizontal="center" vertical="center"/>
    </xf>
    <xf numFmtId="1" fontId="43" fillId="0" borderId="98" xfId="0" applyNumberFormat="1" applyFont="1" applyBorder="1" applyAlignment="1">
      <alignment horizontal="center" vertical="center"/>
    </xf>
    <xf numFmtId="0" fontId="43" fillId="0" borderId="53" xfId="0" applyFont="1" applyBorder="1" applyAlignment="1">
      <alignment horizontal="center" vertical="center"/>
    </xf>
    <xf numFmtId="0" fontId="43" fillId="0" borderId="69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104" fillId="0" borderId="51" xfId="0" applyFont="1" applyBorder="1" applyAlignment="1">
      <alignment horizontal="center" vertical="center"/>
    </xf>
    <xf numFmtId="0" fontId="43" fillId="0" borderId="39" xfId="0" applyFont="1" applyBorder="1"/>
    <xf numFmtId="0" fontId="43" fillId="0" borderId="51" xfId="0" applyFont="1" applyBorder="1"/>
    <xf numFmtId="0" fontId="43" fillId="0" borderId="64" xfId="0" applyFont="1" applyBorder="1"/>
    <xf numFmtId="1" fontId="43" fillId="0" borderId="86" xfId="0" applyNumberFormat="1" applyFont="1" applyBorder="1" applyAlignment="1">
      <alignment horizontal="center" vertical="center"/>
    </xf>
    <xf numFmtId="1" fontId="43" fillId="0" borderId="43" xfId="0" applyNumberFormat="1" applyFont="1" applyBorder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43" fillId="0" borderId="57" xfId="0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/>
    </xf>
    <xf numFmtId="0" fontId="43" fillId="0" borderId="110" xfId="0" applyFont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9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1" fillId="0" borderId="96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wrapText="1"/>
    </xf>
    <xf numFmtId="1" fontId="43" fillId="0" borderId="64" xfId="0" applyNumberFormat="1" applyFont="1" applyBorder="1" applyAlignment="1">
      <alignment horizontal="center"/>
    </xf>
    <xf numFmtId="0" fontId="1" fillId="0" borderId="135" xfId="0" applyFont="1" applyBorder="1" applyAlignment="1">
      <alignment horizontal="center" vertical="center"/>
    </xf>
    <xf numFmtId="1" fontId="43" fillId="0" borderId="136" xfId="0" applyNumberFormat="1" applyFont="1" applyBorder="1" applyAlignment="1">
      <alignment horizontal="center"/>
    </xf>
    <xf numFmtId="1" fontId="43" fillId="0" borderId="69" xfId="0" applyNumberFormat="1" applyFont="1" applyBorder="1" applyAlignment="1">
      <alignment horizontal="center"/>
    </xf>
    <xf numFmtId="0" fontId="1" fillId="0" borderId="135" xfId="0" applyFont="1" applyBorder="1" applyAlignment="1">
      <alignment horizontal="center"/>
    </xf>
    <xf numFmtId="0" fontId="93" fillId="0" borderId="45" xfId="0" applyFont="1" applyBorder="1" applyAlignment="1">
      <alignment horizontal="center" vertical="center" wrapText="1"/>
    </xf>
    <xf numFmtId="0" fontId="92" fillId="0" borderId="67" xfId="0" applyFont="1" applyBorder="1" applyAlignment="1">
      <alignment vertical="center"/>
    </xf>
    <xf numFmtId="0" fontId="93" fillId="0" borderId="67" xfId="0" applyFont="1" applyBorder="1" applyAlignment="1">
      <alignment vertical="center"/>
    </xf>
    <xf numFmtId="0" fontId="91" fillId="0" borderId="67" xfId="0" applyFont="1" applyBorder="1" applyAlignment="1">
      <alignment horizontal="center"/>
    </xf>
    <xf numFmtId="1" fontId="92" fillId="0" borderId="101" xfId="0" applyNumberFormat="1" applyFont="1" applyBorder="1" applyAlignment="1">
      <alignment horizontal="center" vertical="center"/>
    </xf>
    <xf numFmtId="0" fontId="92" fillId="0" borderId="102" xfId="0" applyFont="1" applyBorder="1" applyAlignment="1">
      <alignment horizontal="center" vertical="center"/>
    </xf>
    <xf numFmtId="1" fontId="92" fillId="0" borderId="88" xfId="0" applyNumberFormat="1" applyFont="1" applyBorder="1" applyAlignment="1">
      <alignment horizontal="center" vertical="center"/>
    </xf>
    <xf numFmtId="0" fontId="92" fillId="0" borderId="86" xfId="0" applyFont="1" applyBorder="1" applyAlignment="1">
      <alignment horizontal="center" vertical="center"/>
    </xf>
    <xf numFmtId="1" fontId="92" fillId="0" borderId="69" xfId="0" applyNumberFormat="1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116" fillId="0" borderId="67" xfId="0" applyFont="1" applyBorder="1" applyAlignment="1">
      <alignment horizontal="center"/>
    </xf>
    <xf numFmtId="0" fontId="92" fillId="0" borderId="88" xfId="0" applyFont="1" applyBorder="1" applyAlignment="1">
      <alignment horizontal="center" vertical="center"/>
    </xf>
    <xf numFmtId="0" fontId="94" fillId="0" borderId="39" xfId="0" applyFont="1" applyBorder="1" applyAlignment="1">
      <alignment horizontal="center" vertical="center"/>
    </xf>
    <xf numFmtId="0" fontId="92" fillId="0" borderId="101" xfId="0" applyFont="1" applyBorder="1" applyAlignment="1">
      <alignment horizontal="center" vertical="center"/>
    </xf>
    <xf numFmtId="0" fontId="95" fillId="0" borderId="15" xfId="0" applyFont="1" applyBorder="1" applyAlignment="1">
      <alignment horizontal="center" vertical="center"/>
    </xf>
    <xf numFmtId="2" fontId="95" fillId="0" borderId="15" xfId="0" applyNumberFormat="1" applyFont="1" applyBorder="1" applyAlignment="1">
      <alignment horizontal="center" vertical="center"/>
    </xf>
    <xf numFmtId="0" fontId="95" fillId="0" borderId="67" xfId="0" applyFont="1" applyBorder="1" applyAlignment="1">
      <alignment horizontal="center"/>
    </xf>
    <xf numFmtId="0" fontId="93" fillId="0" borderId="87" xfId="0" applyFont="1" applyBorder="1" applyAlignment="1"/>
    <xf numFmtId="0" fontId="97" fillId="0" borderId="16" xfId="0" applyFont="1" applyBorder="1" applyAlignment="1">
      <alignment horizontal="center" vertical="center"/>
    </xf>
    <xf numFmtId="0" fontId="97" fillId="0" borderId="67" xfId="0" applyFont="1" applyBorder="1" applyAlignment="1">
      <alignment horizontal="center"/>
    </xf>
    <xf numFmtId="0" fontId="95" fillId="0" borderId="15" xfId="0" applyFont="1" applyBorder="1" applyAlignment="1">
      <alignment horizontal="center"/>
    </xf>
    <xf numFmtId="0" fontId="95" fillId="0" borderId="19" xfId="0" applyFont="1" applyBorder="1" applyAlignment="1">
      <alignment horizontal="center"/>
    </xf>
    <xf numFmtId="2" fontId="95" fillId="0" borderId="67" xfId="0" applyNumberFormat="1" applyFont="1" applyBorder="1" applyAlignment="1">
      <alignment horizontal="center" vertical="center"/>
    </xf>
    <xf numFmtId="0" fontId="1" fillId="0" borderId="137" xfId="0" applyFont="1" applyBorder="1" applyAlignment="1">
      <alignment vertical="center"/>
    </xf>
    <xf numFmtId="0" fontId="112" fillId="0" borderId="67" xfId="0" applyFont="1" applyBorder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8" fillId="2" borderId="0" xfId="0" applyFont="1" applyFill="1" applyBorder="1"/>
    <xf numFmtId="0" fontId="78" fillId="2" borderId="144" xfId="0" applyFont="1" applyFill="1" applyBorder="1"/>
    <xf numFmtId="0" fontId="38" fillId="2" borderId="144" xfId="0" applyFont="1" applyFill="1" applyBorder="1" applyAlignment="1">
      <alignment horizontal="right"/>
    </xf>
    <xf numFmtId="0" fontId="38" fillId="0" borderId="38" xfId="0" applyFont="1" applyBorder="1" applyAlignment="1">
      <alignment horizontal="center"/>
    </xf>
    <xf numFmtId="0" fontId="78" fillId="0" borderId="38" xfId="0" applyFont="1" applyBorder="1"/>
    <xf numFmtId="0" fontId="78" fillId="0" borderId="31" xfId="0" applyFont="1" applyBorder="1"/>
    <xf numFmtId="0" fontId="78" fillId="0" borderId="35" xfId="0" applyFont="1" applyBorder="1"/>
    <xf numFmtId="0" fontId="38" fillId="0" borderId="35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97" xfId="0" applyFont="1" applyBorder="1" applyAlignment="1">
      <alignment horizontal="center" vertical="center"/>
    </xf>
    <xf numFmtId="0" fontId="38" fillId="0" borderId="70" xfId="0" applyFont="1" applyBorder="1" applyAlignment="1">
      <alignment horizontal="center" vertical="center"/>
    </xf>
    <xf numFmtId="0" fontId="38" fillId="0" borderId="98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38" fillId="0" borderId="9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8" fillId="0" borderId="45" xfId="0" applyFont="1" applyBorder="1" applyAlignment="1">
      <alignment horizontal="center" vertical="center"/>
    </xf>
    <xf numFmtId="0" fontId="38" fillId="0" borderId="51" xfId="0" applyFont="1" applyBorder="1" applyAlignment="1">
      <alignment horizontal="center" vertical="center"/>
    </xf>
    <xf numFmtId="0" fontId="38" fillId="0" borderId="45" xfId="0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0" fontId="38" fillId="0" borderId="147" xfId="0" applyFont="1" applyBorder="1" applyAlignment="1">
      <alignment horizontal="center" vertical="center"/>
    </xf>
    <xf numFmtId="0" fontId="38" fillId="0" borderId="148" xfId="0" applyFont="1" applyBorder="1" applyAlignment="1">
      <alignment horizontal="center" vertical="center"/>
    </xf>
    <xf numFmtId="1" fontId="78" fillId="0" borderId="64" xfId="0" applyNumberFormat="1" applyFont="1" applyBorder="1" applyAlignment="1">
      <alignment horizontal="center"/>
    </xf>
    <xf numFmtId="0" fontId="78" fillId="0" borderId="39" xfId="0" applyFont="1" applyBorder="1" applyAlignment="1">
      <alignment horizontal="center" vertical="center"/>
    </xf>
    <xf numFmtId="0" fontId="78" fillId="0" borderId="51" xfId="0" applyFont="1" applyBorder="1" applyAlignment="1">
      <alignment horizontal="center"/>
    </xf>
    <xf numFmtId="0" fontId="78" fillId="0" borderId="39" xfId="0" applyFont="1" applyBorder="1" applyAlignment="1">
      <alignment horizontal="center"/>
    </xf>
    <xf numFmtId="0" fontId="78" fillId="0" borderId="99" xfId="0" applyFont="1" applyBorder="1" applyAlignment="1">
      <alignment horizontal="center"/>
    </xf>
    <xf numFmtId="0" fontId="78" fillId="0" borderId="51" xfId="0" applyFont="1" applyBorder="1" applyAlignment="1">
      <alignment horizontal="center" vertical="center"/>
    </xf>
    <xf numFmtId="1" fontId="78" fillId="0" borderId="99" xfId="0" applyNumberFormat="1" applyFont="1" applyBorder="1" applyAlignment="1">
      <alignment horizontal="center" vertical="center"/>
    </xf>
    <xf numFmtId="1" fontId="78" fillId="0" borderId="39" xfId="0" applyNumberFormat="1" applyFont="1" applyBorder="1" applyAlignment="1">
      <alignment horizontal="center" vertical="center"/>
    </xf>
    <xf numFmtId="1" fontId="78" fillId="0" borderId="67" xfId="0" applyNumberFormat="1" applyFont="1" applyBorder="1" applyAlignment="1">
      <alignment horizontal="center" vertical="center"/>
    </xf>
    <xf numFmtId="1" fontId="78" fillId="0" borderId="51" xfId="0" applyNumberFormat="1" applyFont="1" applyBorder="1" applyAlignment="1">
      <alignment horizontal="center" vertical="center"/>
    </xf>
    <xf numFmtId="0" fontId="78" fillId="0" borderId="39" xfId="0" applyFont="1" applyBorder="1" applyAlignment="1">
      <alignment vertical="center"/>
    </xf>
    <xf numFmtId="0" fontId="78" fillId="0" borderId="51" xfId="0" applyFont="1" applyBorder="1" applyAlignment="1">
      <alignment vertical="center"/>
    </xf>
    <xf numFmtId="0" fontId="78" fillId="0" borderId="65" xfId="0" applyFont="1" applyBorder="1" applyAlignment="1">
      <alignment horizontal="center" vertical="center"/>
    </xf>
    <xf numFmtId="1" fontId="78" fillId="0" borderId="65" xfId="0" applyNumberFormat="1" applyFont="1" applyBorder="1" applyAlignment="1">
      <alignment horizontal="center" vertical="center"/>
    </xf>
    <xf numFmtId="0" fontId="78" fillId="0" borderId="15" xfId="2" applyFont="1" applyBorder="1" applyAlignment="1">
      <alignment horizontal="center" vertical="center"/>
    </xf>
    <xf numFmtId="0" fontId="102" fillId="0" borderId="18" xfId="0" applyFont="1" applyBorder="1" applyAlignment="1">
      <alignment horizontal="center" vertical="center" wrapText="1"/>
    </xf>
    <xf numFmtId="0" fontId="38" fillId="0" borderId="144" xfId="0" applyFont="1" applyBorder="1" applyAlignment="1">
      <alignment horizontal="center" vertical="center"/>
    </xf>
    <xf numFmtId="1" fontId="78" fillId="0" borderId="145" xfId="0" applyNumberFormat="1" applyFont="1" applyBorder="1" applyAlignment="1">
      <alignment horizontal="center"/>
    </xf>
    <xf numFmtId="0" fontId="78" fillId="0" borderId="147" xfId="0" applyFont="1" applyBorder="1" applyAlignment="1">
      <alignment horizontal="center" vertical="center"/>
    </xf>
    <xf numFmtId="0" fontId="78" fillId="0" borderId="144" xfId="0" applyFont="1" applyBorder="1" applyAlignment="1">
      <alignment horizontal="center" vertical="center"/>
    </xf>
    <xf numFmtId="0" fontId="78" fillId="0" borderId="148" xfId="0" applyFont="1" applyBorder="1" applyAlignment="1">
      <alignment horizontal="center" vertical="center"/>
    </xf>
    <xf numFmtId="0" fontId="78" fillId="0" borderId="149" xfId="0" applyFont="1" applyBorder="1" applyAlignment="1">
      <alignment horizontal="center" vertical="center"/>
    </xf>
    <xf numFmtId="0" fontId="78" fillId="0" borderId="145" xfId="0" applyFont="1" applyBorder="1" applyAlignment="1">
      <alignment horizontal="center" vertical="center"/>
    </xf>
    <xf numFmtId="1" fontId="78" fillId="0" borderId="147" xfId="0" applyNumberFormat="1" applyFont="1" applyBorder="1" applyAlignment="1">
      <alignment horizontal="center" vertical="center"/>
    </xf>
    <xf numFmtId="1" fontId="78" fillId="0" borderId="144" xfId="0" applyNumberFormat="1" applyFont="1" applyBorder="1" applyAlignment="1">
      <alignment horizontal="center" vertical="center"/>
    </xf>
    <xf numFmtId="1" fontId="78" fillId="0" borderId="148" xfId="0" applyNumberFormat="1" applyFont="1" applyBorder="1" applyAlignment="1">
      <alignment horizontal="center" vertical="center"/>
    </xf>
    <xf numFmtId="0" fontId="78" fillId="0" borderId="150" xfId="0" applyFont="1" applyBorder="1" applyAlignment="1">
      <alignment horizontal="center" vertical="center"/>
    </xf>
    <xf numFmtId="0" fontId="78" fillId="0" borderId="64" xfId="0" applyFont="1" applyBorder="1" applyAlignment="1">
      <alignment horizontal="center" vertical="center"/>
    </xf>
    <xf numFmtId="0" fontId="78" fillId="0" borderId="99" xfId="0" applyFont="1" applyBorder="1" applyAlignment="1">
      <alignment horizontal="center" vertical="center"/>
    </xf>
    <xf numFmtId="0" fontId="117" fillId="0" borderId="15" xfId="0" applyFont="1" applyBorder="1" applyAlignment="1">
      <alignment horizontal="center" vertical="center" wrapText="1"/>
    </xf>
    <xf numFmtId="1" fontId="78" fillId="0" borderId="69" xfId="0" applyNumberFormat="1" applyFont="1" applyBorder="1" applyAlignment="1">
      <alignment horizontal="center"/>
    </xf>
    <xf numFmtId="1" fontId="78" fillId="0" borderId="97" xfId="0" applyNumberFormat="1" applyFont="1" applyBorder="1" applyAlignment="1">
      <alignment horizontal="center" vertical="center"/>
    </xf>
    <xf numFmtId="1" fontId="78" fillId="0" borderId="70" xfId="0" applyNumberFormat="1" applyFont="1" applyBorder="1" applyAlignment="1">
      <alignment horizontal="center" vertical="center"/>
    </xf>
    <xf numFmtId="1" fontId="78" fillId="0" borderId="98" xfId="0" applyNumberFormat="1" applyFont="1" applyBorder="1" applyAlignment="1">
      <alignment horizontal="center" vertical="center"/>
    </xf>
    <xf numFmtId="0" fontId="78" fillId="0" borderId="98" xfId="0" applyFont="1" applyBorder="1" applyAlignment="1">
      <alignment horizontal="center" vertical="center"/>
    </xf>
    <xf numFmtId="0" fontId="78" fillId="0" borderId="97" xfId="0" applyFont="1" applyBorder="1" applyAlignment="1">
      <alignment horizontal="center" vertical="center"/>
    </xf>
    <xf numFmtId="0" fontId="78" fillId="0" borderId="53" xfId="0" applyFont="1" applyBorder="1" applyAlignment="1">
      <alignment horizontal="center" vertical="center"/>
    </xf>
    <xf numFmtId="0" fontId="78" fillId="0" borderId="69" xfId="0" applyFont="1" applyBorder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78" fillId="0" borderId="45" xfId="0" applyFont="1" applyBorder="1" applyAlignment="1">
      <alignment horizontal="center" vertical="center"/>
    </xf>
    <xf numFmtId="0" fontId="118" fillId="0" borderId="51" xfId="0" applyFont="1" applyBorder="1" applyAlignment="1">
      <alignment horizontal="center" vertical="center"/>
    </xf>
    <xf numFmtId="0" fontId="118" fillId="0" borderId="39" xfId="0" applyFont="1" applyBorder="1" applyAlignment="1">
      <alignment horizontal="center" vertical="center"/>
    </xf>
    <xf numFmtId="0" fontId="78" fillId="2" borderId="18" xfId="0" applyFont="1" applyFill="1" applyBorder="1" applyAlignment="1">
      <alignment horizontal="center" vertical="center" wrapText="1"/>
    </xf>
    <xf numFmtId="0" fontId="102" fillId="0" borderId="142" xfId="0" applyFont="1" applyBorder="1" applyAlignment="1">
      <alignment horizontal="center" vertical="center" wrapText="1"/>
    </xf>
    <xf numFmtId="1" fontId="78" fillId="0" borderId="43" xfId="0" applyNumberFormat="1" applyFont="1" applyBorder="1" applyAlignment="1">
      <alignment horizontal="center" vertical="center"/>
    </xf>
    <xf numFmtId="0" fontId="78" fillId="0" borderId="44" xfId="0" applyFont="1" applyBorder="1" applyAlignment="1">
      <alignment horizontal="center" vertical="center"/>
    </xf>
    <xf numFmtId="0" fontId="78" fillId="0" borderId="57" xfId="0" applyFont="1" applyBorder="1" applyAlignment="1">
      <alignment horizontal="center" vertical="center"/>
    </xf>
    <xf numFmtId="0" fontId="78" fillId="0" borderId="43" xfId="0" applyFont="1" applyBorder="1" applyAlignment="1">
      <alignment horizontal="center" vertical="center"/>
    </xf>
    <xf numFmtId="0" fontId="78" fillId="0" borderId="110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0" fontId="78" fillId="0" borderId="95" xfId="0" applyFont="1" applyBorder="1" applyAlignment="1">
      <alignment horizontal="center" vertical="center"/>
    </xf>
    <xf numFmtId="0" fontId="102" fillId="0" borderId="65" xfId="0" applyFont="1" applyBorder="1" applyAlignment="1">
      <alignment horizontal="center" vertical="center" wrapText="1"/>
    </xf>
    <xf numFmtId="0" fontId="38" fillId="0" borderId="0" xfId="0" applyFont="1" applyAlignment="1">
      <alignment horizontal="right" vertical="center"/>
    </xf>
    <xf numFmtId="1" fontId="78" fillId="0" borderId="0" xfId="0" applyNumberFormat="1" applyFont="1" applyFill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3" xfId="0" applyFont="1" applyBorder="1" applyAlignment="1">
      <alignment vertical="center"/>
    </xf>
    <xf numFmtId="0" fontId="38" fillId="0" borderId="33" xfId="0" applyFont="1" applyBorder="1" applyAlignment="1">
      <alignment vertical="center" wrapText="1"/>
    </xf>
    <xf numFmtId="0" fontId="38" fillId="0" borderId="96" xfId="0" applyFont="1" applyBorder="1" applyAlignment="1">
      <alignment vertical="center"/>
    </xf>
    <xf numFmtId="0" fontId="38" fillId="0" borderId="34" xfId="0" applyFont="1" applyBorder="1" applyAlignment="1">
      <alignment horizontal="center" vertical="center"/>
    </xf>
    <xf numFmtId="0" fontId="38" fillId="0" borderId="93" xfId="0" applyFont="1" applyBorder="1" applyAlignment="1">
      <alignment horizontal="center" vertical="center"/>
    </xf>
    <xf numFmtId="0" fontId="38" fillId="0" borderId="96" xfId="0" applyFont="1" applyBorder="1" applyAlignment="1">
      <alignment horizontal="center" vertical="center"/>
    </xf>
    <xf numFmtId="0" fontId="78" fillId="0" borderId="144" xfId="0" applyFont="1" applyBorder="1" applyAlignment="1">
      <alignment horizontal="center"/>
    </xf>
    <xf numFmtId="0" fontId="78" fillId="0" borderId="144" xfId="0" applyFont="1" applyBorder="1" applyAlignment="1">
      <alignment horizontal="center" wrapText="1"/>
    </xf>
    <xf numFmtId="0" fontId="38" fillId="0" borderId="144" xfId="0" applyFont="1" applyBorder="1" applyAlignment="1">
      <alignment horizontal="center"/>
    </xf>
    <xf numFmtId="0" fontId="78" fillId="0" borderId="71" xfId="0" applyFont="1" applyBorder="1" applyAlignment="1">
      <alignment horizontal="center"/>
    </xf>
    <xf numFmtId="0" fontId="102" fillId="0" borderId="70" xfId="0" applyFont="1" applyBorder="1" applyAlignment="1">
      <alignment horizontal="center" vertical="center"/>
    </xf>
    <xf numFmtId="0" fontId="38" fillId="0" borderId="64" xfId="0" applyFont="1" applyBorder="1" applyAlignment="1">
      <alignment horizontal="center" wrapText="1"/>
    </xf>
    <xf numFmtId="0" fontId="103" fillId="0" borderId="0" xfId="0" applyFont="1" applyAlignment="1">
      <alignment horizontal="center" vertical="center"/>
    </xf>
    <xf numFmtId="0" fontId="84" fillId="2" borderId="0" xfId="0" applyFont="1" applyFill="1" applyBorder="1"/>
    <xf numFmtId="0" fontId="84" fillId="0" borderId="0" xfId="0" applyFont="1" applyAlignment="1">
      <alignment wrapText="1"/>
    </xf>
    <xf numFmtId="0" fontId="83" fillId="2" borderId="67" xfId="0" applyFont="1" applyFill="1" applyBorder="1" applyAlignment="1">
      <alignment horizontal="right"/>
    </xf>
    <xf numFmtId="49" fontId="83" fillId="2" borderId="67" xfId="0" applyNumberFormat="1" applyFont="1" applyFill="1" applyBorder="1" applyAlignment="1">
      <alignment horizontal="right"/>
    </xf>
    <xf numFmtId="0" fontId="84" fillId="2" borderId="94" xfId="0" applyFont="1" applyFill="1" applyBorder="1"/>
    <xf numFmtId="0" fontId="83" fillId="2" borderId="94" xfId="0" applyFont="1" applyFill="1" applyBorder="1" applyAlignment="1">
      <alignment horizontal="right"/>
    </xf>
    <xf numFmtId="0" fontId="83" fillId="0" borderId="31" xfId="0" applyFont="1" applyBorder="1" applyAlignment="1">
      <alignment horizontal="center"/>
    </xf>
    <xf numFmtId="0" fontId="84" fillId="0" borderId="31" xfId="0" applyFont="1" applyBorder="1"/>
    <xf numFmtId="0" fontId="84" fillId="0" borderId="35" xfId="0" applyFont="1" applyBorder="1"/>
    <xf numFmtId="0" fontId="83" fillId="0" borderId="37" xfId="0" applyFont="1" applyBorder="1" applyAlignment="1">
      <alignment horizontal="center" vertical="center" wrapText="1"/>
    </xf>
    <xf numFmtId="0" fontId="83" fillId="0" borderId="70" xfId="0" applyFont="1" applyBorder="1" applyAlignment="1">
      <alignment horizontal="center" vertical="center" wrapText="1"/>
    </xf>
    <xf numFmtId="0" fontId="83" fillId="0" borderId="70" xfId="0" applyFont="1" applyBorder="1" applyAlignment="1">
      <alignment horizontal="center" wrapText="1"/>
    </xf>
    <xf numFmtId="0" fontId="83" fillId="0" borderId="39" xfId="0" applyFont="1" applyBorder="1" applyAlignment="1">
      <alignment horizontal="center" vertical="center"/>
    </xf>
    <xf numFmtId="0" fontId="83" fillId="0" borderId="67" xfId="0" applyFont="1" applyBorder="1" applyAlignment="1">
      <alignment horizontal="center" vertical="center"/>
    </xf>
    <xf numFmtId="0" fontId="83" fillId="0" borderId="51" xfId="0" applyFont="1" applyBorder="1" applyAlignment="1">
      <alignment horizontal="center" vertical="center"/>
    </xf>
    <xf numFmtId="0" fontId="83" fillId="0" borderId="39" xfId="0" applyFont="1" applyBorder="1" applyAlignment="1">
      <alignment horizontal="center" vertical="center" wrapText="1"/>
    </xf>
    <xf numFmtId="0" fontId="83" fillId="0" borderId="88" xfId="0" applyFont="1" applyBorder="1" applyAlignment="1">
      <alignment horizontal="center" vertical="center"/>
    </xf>
    <xf numFmtId="0" fontId="83" fillId="0" borderId="99" xfId="0" applyFont="1" applyBorder="1" applyAlignment="1">
      <alignment horizontal="center" vertical="center"/>
    </xf>
    <xf numFmtId="0" fontId="83" fillId="0" borderId="87" xfId="0" applyFont="1" applyBorder="1" applyAlignment="1">
      <alignment horizontal="center" vertical="center" wrapText="1"/>
    </xf>
    <xf numFmtId="0" fontId="83" fillId="0" borderId="67" xfId="0" applyFont="1" applyBorder="1" applyAlignment="1">
      <alignment horizontal="center" wrapText="1"/>
    </xf>
    <xf numFmtId="0" fontId="83" fillId="0" borderId="88" xfId="0" applyFont="1" applyBorder="1" applyAlignment="1">
      <alignment horizontal="center"/>
    </xf>
    <xf numFmtId="0" fontId="83" fillId="0" borderId="54" xfId="0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87" xfId="0" applyFont="1" applyBorder="1" applyAlignment="1">
      <alignment horizontal="center" vertical="center"/>
    </xf>
    <xf numFmtId="0" fontId="83" fillId="0" borderId="51" xfId="0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1" fontId="84" fillId="0" borderId="88" xfId="0" applyNumberFormat="1" applyFont="1" applyBorder="1" applyAlignment="1">
      <alignment horizontal="center"/>
    </xf>
    <xf numFmtId="0" fontId="81" fillId="0" borderId="39" xfId="0" applyFont="1" applyBorder="1" applyAlignment="1">
      <alignment horizontal="center" vertical="center"/>
    </xf>
    <xf numFmtId="0" fontId="84" fillId="0" borderId="67" xfId="0" applyFont="1" applyBorder="1" applyAlignment="1">
      <alignment horizontal="center"/>
    </xf>
    <xf numFmtId="0" fontId="84" fillId="0" borderId="51" xfId="0" applyFont="1" applyBorder="1" applyAlignment="1">
      <alignment horizontal="center"/>
    </xf>
    <xf numFmtId="0" fontId="84" fillId="0" borderId="39" xfId="0" applyFont="1" applyBorder="1" applyAlignment="1">
      <alignment horizontal="center"/>
    </xf>
    <xf numFmtId="0" fontId="84" fillId="0" borderId="99" xfId="0" applyFont="1" applyBorder="1" applyAlignment="1">
      <alignment horizontal="center"/>
    </xf>
    <xf numFmtId="0" fontId="84" fillId="0" borderId="116" xfId="0" applyFont="1" applyBorder="1"/>
    <xf numFmtId="0" fontId="84" fillId="0" borderId="39" xfId="0" applyFont="1" applyBorder="1" applyAlignment="1">
      <alignment vertical="center"/>
    </xf>
    <xf numFmtId="0" fontId="84" fillId="0" borderId="51" xfId="0" applyFont="1" applyBorder="1" applyAlignment="1">
      <alignment vertical="center"/>
    </xf>
    <xf numFmtId="1" fontId="84" fillId="0" borderId="99" xfId="0" applyNumberFormat="1" applyFont="1" applyBorder="1" applyAlignment="1">
      <alignment horizontal="center" vertical="center"/>
    </xf>
    <xf numFmtId="1" fontId="84" fillId="0" borderId="39" xfId="0" applyNumberFormat="1" applyFont="1" applyBorder="1" applyAlignment="1">
      <alignment horizontal="center" vertical="center"/>
    </xf>
    <xf numFmtId="1" fontId="84" fillId="0" borderId="67" xfId="0" applyNumberFormat="1" applyFont="1" applyBorder="1" applyAlignment="1">
      <alignment horizontal="center" vertical="center"/>
    </xf>
    <xf numFmtId="1" fontId="84" fillId="0" borderId="88" xfId="0" applyNumberFormat="1" applyFont="1" applyBorder="1" applyAlignment="1">
      <alignment horizontal="center" vertical="center"/>
    </xf>
    <xf numFmtId="0" fontId="84" fillId="0" borderId="51" xfId="0" applyFont="1" applyBorder="1" applyAlignment="1">
      <alignment horizontal="center" vertical="center"/>
    </xf>
    <xf numFmtId="0" fontId="84" fillId="0" borderId="39" xfId="0" applyFont="1" applyBorder="1" applyAlignment="1">
      <alignment horizontal="center" vertical="center"/>
    </xf>
    <xf numFmtId="0" fontId="84" fillId="0" borderId="99" xfId="0" applyFont="1" applyBorder="1" applyAlignment="1">
      <alignment horizontal="center" vertical="center"/>
    </xf>
    <xf numFmtId="1" fontId="84" fillId="0" borderId="54" xfId="0" applyNumberFormat="1" applyFont="1" applyBorder="1" applyAlignment="1">
      <alignment horizontal="center" vertical="center"/>
    </xf>
    <xf numFmtId="0" fontId="84" fillId="0" borderId="15" xfId="0" applyFont="1" applyBorder="1" applyAlignment="1">
      <alignment horizontal="center" vertical="center"/>
    </xf>
    <xf numFmtId="0" fontId="80" fillId="0" borderId="15" xfId="0" applyFont="1" applyBorder="1" applyAlignment="1">
      <alignment horizontal="center" vertical="center" wrapText="1"/>
    </xf>
    <xf numFmtId="0" fontId="84" fillId="0" borderId="67" xfId="0" applyFont="1" applyBorder="1" applyAlignment="1">
      <alignment horizontal="center" vertical="center"/>
    </xf>
    <xf numFmtId="0" fontId="83" fillId="0" borderId="94" xfId="0" applyFont="1" applyBorder="1" applyAlignment="1">
      <alignment horizontal="center" vertical="center"/>
    </xf>
    <xf numFmtId="1" fontId="84" fillId="0" borderId="101" xfId="0" applyNumberFormat="1" applyFont="1" applyBorder="1" applyAlignment="1">
      <alignment horizontal="center"/>
    </xf>
    <xf numFmtId="0" fontId="84" fillId="0" borderId="100" xfId="0" applyFont="1" applyBorder="1" applyAlignment="1">
      <alignment horizontal="center" vertical="center"/>
    </xf>
    <xf numFmtId="0" fontId="84" fillId="0" borderId="94" xfId="0" applyFont="1" applyBorder="1" applyAlignment="1">
      <alignment horizontal="center" vertical="center"/>
    </xf>
    <xf numFmtId="0" fontId="84" fillId="0" borderId="106" xfId="0" applyFont="1" applyBorder="1" applyAlignment="1">
      <alignment horizontal="center" vertical="center"/>
    </xf>
    <xf numFmtId="0" fontId="84" fillId="0" borderId="108" xfId="0" applyFont="1" applyBorder="1" applyAlignment="1">
      <alignment horizontal="center" vertical="center"/>
    </xf>
    <xf numFmtId="1" fontId="84" fillId="0" borderId="100" xfId="0" applyNumberFormat="1" applyFont="1" applyBorder="1" applyAlignment="1">
      <alignment horizontal="center" vertical="center"/>
    </xf>
    <xf numFmtId="1" fontId="84" fillId="0" borderId="94" xfId="0" applyNumberFormat="1" applyFont="1" applyBorder="1" applyAlignment="1">
      <alignment horizontal="center" vertical="center"/>
    </xf>
    <xf numFmtId="1" fontId="84" fillId="0" borderId="101" xfId="0" applyNumberFormat="1" applyFont="1" applyBorder="1" applyAlignment="1">
      <alignment horizontal="center" vertical="center"/>
    </xf>
    <xf numFmtId="1" fontId="84" fillId="0" borderId="117" xfId="0" applyNumberFormat="1" applyFont="1" applyBorder="1" applyAlignment="1">
      <alignment horizontal="center" vertical="center"/>
    </xf>
    <xf numFmtId="1" fontId="84" fillId="0" borderId="51" xfId="0" applyNumberFormat="1" applyFont="1" applyBorder="1" applyAlignment="1">
      <alignment horizontal="center" vertical="center"/>
    </xf>
    <xf numFmtId="0" fontId="84" fillId="0" borderId="0" xfId="0" applyFont="1" applyBorder="1"/>
    <xf numFmtId="0" fontId="119" fillId="0" borderId="39" xfId="0" applyFont="1" applyBorder="1" applyAlignment="1">
      <alignment horizontal="center" vertical="center"/>
    </xf>
    <xf numFmtId="0" fontId="83" fillId="0" borderId="70" xfId="0" applyFont="1" applyBorder="1" applyAlignment="1">
      <alignment horizontal="center" vertical="center"/>
    </xf>
    <xf numFmtId="1" fontId="84" fillId="0" borderId="69" xfId="0" applyNumberFormat="1" applyFont="1" applyBorder="1" applyAlignment="1">
      <alignment horizontal="center"/>
    </xf>
    <xf numFmtId="1" fontId="84" fillId="0" borderId="97" xfId="0" applyNumberFormat="1" applyFont="1" applyBorder="1" applyAlignment="1">
      <alignment horizontal="center" vertical="center"/>
    </xf>
    <xf numFmtId="1" fontId="84" fillId="0" borderId="70" xfId="0" applyNumberFormat="1" applyFont="1" applyBorder="1" applyAlignment="1">
      <alignment horizontal="center" vertical="center"/>
    </xf>
    <xf numFmtId="1" fontId="84" fillId="0" borderId="98" xfId="0" applyNumberFormat="1" applyFont="1" applyBorder="1" applyAlignment="1">
      <alignment horizontal="center" vertical="center"/>
    </xf>
    <xf numFmtId="0" fontId="84" fillId="0" borderId="98" xfId="0" applyFont="1" applyBorder="1" applyAlignment="1">
      <alignment horizontal="center" vertical="center"/>
    </xf>
    <xf numFmtId="0" fontId="84" fillId="0" borderId="97" xfId="0" applyFont="1" applyBorder="1" applyAlignment="1">
      <alignment horizontal="center" vertical="center"/>
    </xf>
    <xf numFmtId="0" fontId="84" fillId="0" borderId="53" xfId="0" applyFont="1" applyBorder="1" applyAlignment="1">
      <alignment horizontal="center" vertical="center"/>
    </xf>
    <xf numFmtId="1" fontId="84" fillId="0" borderId="69" xfId="0" applyNumberFormat="1" applyFont="1" applyBorder="1" applyAlignment="1">
      <alignment horizontal="center" vertical="center"/>
    </xf>
    <xf numFmtId="1" fontId="84" fillId="0" borderId="115" xfId="0" applyNumberFormat="1" applyFont="1" applyBorder="1" applyAlignment="1">
      <alignment horizontal="center" vertical="center"/>
    </xf>
    <xf numFmtId="0" fontId="80" fillId="0" borderId="18" xfId="0" applyFont="1" applyBorder="1" applyAlignment="1">
      <alignment horizontal="center" vertical="center" wrapText="1"/>
    </xf>
    <xf numFmtId="0" fontId="84" fillId="0" borderId="45" xfId="0" applyFont="1" applyBorder="1" applyAlignment="1">
      <alignment horizontal="center" vertical="center"/>
    </xf>
    <xf numFmtId="0" fontId="119" fillId="0" borderId="51" xfId="0" applyFont="1" applyBorder="1" applyAlignment="1">
      <alignment horizontal="center" vertical="center"/>
    </xf>
    <xf numFmtId="0" fontId="84" fillId="0" borderId="54" xfId="0" applyFont="1" applyBorder="1" applyAlignment="1">
      <alignment horizontal="center" vertical="center"/>
    </xf>
    <xf numFmtId="0" fontId="84" fillId="0" borderId="88" xfId="0" applyFont="1" applyBorder="1" applyAlignment="1">
      <alignment horizontal="center" vertical="center"/>
    </xf>
    <xf numFmtId="0" fontId="84" fillId="0" borderId="39" xfId="0" applyFont="1" applyBorder="1"/>
    <xf numFmtId="0" fontId="84" fillId="0" borderId="67" xfId="0" applyFont="1" applyBorder="1"/>
    <xf numFmtId="0" fontId="84" fillId="0" borderId="51" xfId="0" applyFont="1" applyBorder="1"/>
    <xf numFmtId="0" fontId="84" fillId="2" borderId="15" xfId="0" applyFont="1" applyFill="1" applyBorder="1" applyAlignment="1">
      <alignment horizontal="center" vertical="center" wrapText="1"/>
    </xf>
    <xf numFmtId="0" fontId="84" fillId="0" borderId="101" xfId="0" applyFont="1" applyBorder="1" applyAlignment="1">
      <alignment horizontal="center" vertical="center"/>
    </xf>
    <xf numFmtId="0" fontId="80" fillId="0" borderId="19" xfId="0" applyFont="1" applyBorder="1" applyAlignment="1">
      <alignment horizontal="center" vertical="center" wrapText="1"/>
    </xf>
    <xf numFmtId="1" fontId="84" fillId="0" borderId="43" xfId="0" applyNumberFormat="1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57" xfId="0" applyFont="1" applyBorder="1" applyAlignment="1">
      <alignment horizontal="center" vertical="center"/>
    </xf>
    <xf numFmtId="0" fontId="84" fillId="0" borderId="43" xfId="0" applyFont="1" applyBorder="1" applyAlignment="1">
      <alignment horizontal="center" vertical="center"/>
    </xf>
    <xf numFmtId="0" fontId="84" fillId="0" borderId="110" xfId="0" applyFont="1" applyBorder="1" applyAlignment="1">
      <alignment horizontal="center" vertical="center"/>
    </xf>
    <xf numFmtId="0" fontId="84" fillId="0" borderId="43" xfId="0" applyFont="1" applyBorder="1" applyAlignment="1">
      <alignment vertical="center"/>
    </xf>
    <xf numFmtId="0" fontId="84" fillId="0" borderId="57" xfId="0" applyFont="1" applyBorder="1" applyAlignment="1">
      <alignment vertical="center"/>
    </xf>
    <xf numFmtId="0" fontId="84" fillId="0" borderId="40" xfId="0" applyFont="1" applyBorder="1" applyAlignment="1">
      <alignment horizontal="center" vertical="center"/>
    </xf>
    <xf numFmtId="1" fontId="84" fillId="0" borderId="58" xfId="0" applyNumberFormat="1" applyFont="1" applyBorder="1" applyAlignment="1">
      <alignment horizontal="center" vertical="center"/>
    </xf>
    <xf numFmtId="0" fontId="80" fillId="0" borderId="67" xfId="0" applyFont="1" applyBorder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0" fontId="83" fillId="0" borderId="0" xfId="0" applyFont="1" applyAlignment="1">
      <alignment horizontal="right" vertical="center"/>
    </xf>
    <xf numFmtId="1" fontId="84" fillId="0" borderId="0" xfId="0" applyNumberFormat="1" applyFont="1" applyFill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4" fillId="0" borderId="0" xfId="0" applyFont="1" applyAlignment="1"/>
    <xf numFmtId="0" fontId="84" fillId="0" borderId="94" xfId="0" applyFont="1" applyBorder="1" applyAlignment="1">
      <alignment horizontal="center"/>
    </xf>
    <xf numFmtId="0" fontId="84" fillId="0" borderId="94" xfId="0" applyFont="1" applyBorder="1" applyAlignment="1">
      <alignment horizontal="center" wrapText="1"/>
    </xf>
    <xf numFmtId="0" fontId="84" fillId="0" borderId="0" xfId="0" applyFont="1" applyAlignment="1">
      <alignment horizontal="center" wrapText="1"/>
    </xf>
    <xf numFmtId="0" fontId="84" fillId="0" borderId="88" xfId="0" applyFont="1" applyBorder="1" applyAlignment="1">
      <alignment horizontal="center"/>
    </xf>
    <xf numFmtId="0" fontId="80" fillId="0" borderId="67" xfId="0" applyFont="1" applyBorder="1" applyAlignment="1">
      <alignment horizontal="center" vertical="center"/>
    </xf>
    <xf numFmtId="0" fontId="84" fillId="0" borderId="101" xfId="0" applyFont="1" applyBorder="1" applyAlignment="1">
      <alignment horizontal="center"/>
    </xf>
    <xf numFmtId="0" fontId="83" fillId="0" borderId="94" xfId="0" applyFont="1" applyBorder="1" applyAlignment="1">
      <alignment horizontal="center"/>
    </xf>
    <xf numFmtId="0" fontId="83" fillId="0" borderId="67" xfId="0" applyFont="1" applyBorder="1" applyAlignment="1">
      <alignment horizontal="center"/>
    </xf>
    <xf numFmtId="0" fontId="83" fillId="0" borderId="0" xfId="0" applyFont="1" applyBorder="1" applyAlignment="1">
      <alignment vertical="center"/>
    </xf>
    <xf numFmtId="0" fontId="80" fillId="0" borderId="0" xfId="0" applyFont="1" applyFill="1" applyBorder="1" applyAlignment="1">
      <alignment horizontal="center" vertical="center" wrapText="1"/>
    </xf>
    <xf numFmtId="0" fontId="84" fillId="0" borderId="67" xfId="0" applyFont="1" applyBorder="1" applyAlignment="1">
      <alignment horizontal="center" vertical="center" wrapText="1"/>
    </xf>
    <xf numFmtId="0" fontId="83" fillId="0" borderId="0" xfId="0" applyFont="1" applyBorder="1" applyAlignment="1"/>
    <xf numFmtId="0" fontId="84" fillId="0" borderId="67" xfId="0" applyFont="1" applyBorder="1" applyAlignment="1">
      <alignment horizontal="center" wrapText="1"/>
    </xf>
    <xf numFmtId="0" fontId="84" fillId="0" borderId="69" xfId="0" applyFont="1" applyBorder="1" applyAlignment="1">
      <alignment horizontal="center"/>
    </xf>
    <xf numFmtId="0" fontId="84" fillId="0" borderId="69" xfId="0" applyFont="1" applyBorder="1" applyAlignment="1">
      <alignment horizontal="center" wrapText="1"/>
    </xf>
    <xf numFmtId="0" fontId="84" fillId="0" borderId="88" xfId="0" applyFont="1" applyBorder="1" applyAlignment="1">
      <alignment horizontal="center" wrapText="1"/>
    </xf>
    <xf numFmtId="0" fontId="80" fillId="0" borderId="70" xfId="0" applyFont="1" applyBorder="1" applyAlignment="1">
      <alignment horizontal="center" vertical="center"/>
    </xf>
    <xf numFmtId="0" fontId="80" fillId="0" borderId="70" xfId="0" applyFont="1" applyBorder="1" applyAlignment="1">
      <alignment horizontal="center" vertical="center" wrapText="1"/>
    </xf>
    <xf numFmtId="0" fontId="83" fillId="0" borderId="88" xfId="0" applyFont="1" applyBorder="1" applyAlignment="1">
      <alignment horizontal="center" wrapText="1"/>
    </xf>
    <xf numFmtId="0" fontId="83" fillId="0" borderId="88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/>
    </xf>
    <xf numFmtId="0" fontId="84" fillId="2" borderId="118" xfId="0" applyFont="1" applyFill="1" applyBorder="1"/>
    <xf numFmtId="0" fontId="83" fillId="2" borderId="118" xfId="0" applyFont="1" applyFill="1" applyBorder="1" applyAlignment="1">
      <alignment horizontal="right"/>
    </xf>
    <xf numFmtId="0" fontId="83" fillId="0" borderId="38" xfId="0" applyFont="1" applyBorder="1" applyAlignment="1">
      <alignment horizontal="center"/>
    </xf>
    <xf numFmtId="0" fontId="84" fillId="0" borderId="38" xfId="0" applyFont="1" applyBorder="1"/>
    <xf numFmtId="0" fontId="83" fillId="0" borderId="119" xfId="0" applyFont="1" applyBorder="1" applyAlignment="1">
      <alignment horizontal="center" vertical="center" wrapText="1"/>
    </xf>
    <xf numFmtId="0" fontId="83" fillId="0" borderId="92" xfId="0" applyFont="1" applyBorder="1" applyAlignment="1">
      <alignment horizontal="center" vertical="center" wrapText="1"/>
    </xf>
    <xf numFmtId="0" fontId="83" fillId="0" borderId="120" xfId="0" applyFont="1" applyBorder="1" applyAlignment="1">
      <alignment vertical="center" wrapText="1"/>
    </xf>
    <xf numFmtId="0" fontId="83" fillId="0" borderId="8" xfId="0" applyFont="1" applyBorder="1" applyAlignment="1">
      <alignment horizontal="center" vertical="center" wrapText="1"/>
    </xf>
    <xf numFmtId="0" fontId="83" fillId="0" borderId="105" xfId="0" applyFont="1" applyBorder="1" applyAlignment="1">
      <alignment horizontal="center" vertical="center"/>
    </xf>
    <xf numFmtId="0" fontId="83" fillId="0" borderId="64" xfId="0" applyFont="1" applyBorder="1" applyAlignment="1">
      <alignment horizontal="center" vertical="center"/>
    </xf>
    <xf numFmtId="0" fontId="83" fillId="0" borderId="66" xfId="0" applyFont="1" applyBorder="1" applyAlignment="1">
      <alignment horizontal="center" vertical="center"/>
    </xf>
    <xf numFmtId="0" fontId="83" fillId="0" borderId="65" xfId="0" applyFont="1" applyBorder="1" applyAlignment="1">
      <alignment horizontal="center" vertical="center"/>
    </xf>
    <xf numFmtId="0" fontId="83" fillId="0" borderId="65" xfId="0" applyFont="1" applyBorder="1" applyAlignment="1">
      <alignment horizontal="center" vertical="center" wrapText="1"/>
    </xf>
    <xf numFmtId="0" fontId="83" fillId="0" borderId="64" xfId="0" applyFont="1" applyBorder="1" applyAlignment="1">
      <alignment horizontal="center"/>
    </xf>
    <xf numFmtId="0" fontId="83" fillId="0" borderId="45" xfId="0" applyFont="1" applyBorder="1" applyAlignment="1">
      <alignment horizontal="center" vertical="center" wrapText="1"/>
    </xf>
    <xf numFmtId="0" fontId="83" fillId="0" borderId="115" xfId="0" applyFont="1" applyBorder="1" applyAlignment="1">
      <alignment horizontal="center" vertical="center"/>
    </xf>
    <xf numFmtId="0" fontId="83" fillId="0" borderId="60" xfId="0" applyFont="1" applyBorder="1" applyAlignment="1">
      <alignment horizontal="center" vertical="center"/>
    </xf>
    <xf numFmtId="0" fontId="83" fillId="0" borderId="53" xfId="0" applyFont="1" applyBorder="1" applyAlignment="1">
      <alignment horizontal="center" vertical="center"/>
    </xf>
    <xf numFmtId="1" fontId="84" fillId="0" borderId="64" xfId="0" applyNumberFormat="1" applyFont="1" applyBorder="1" applyAlignment="1">
      <alignment horizontal="center"/>
    </xf>
    <xf numFmtId="1" fontId="84" fillId="0" borderId="64" xfId="0" applyNumberFormat="1" applyFont="1" applyBorder="1" applyAlignment="1">
      <alignment horizontal="center" vertical="center"/>
    </xf>
    <xf numFmtId="0" fontId="84" fillId="0" borderId="66" xfId="0" applyFont="1" applyBorder="1" applyAlignment="1">
      <alignment horizontal="center" vertical="center"/>
    </xf>
    <xf numFmtId="0" fontId="84" fillId="0" borderId="65" xfId="0" applyFont="1" applyBorder="1" applyAlignment="1">
      <alignment horizontal="center" vertical="center"/>
    </xf>
    <xf numFmtId="0" fontId="83" fillId="0" borderId="118" xfId="0" applyFont="1" applyBorder="1" applyAlignment="1">
      <alignment horizontal="center" vertical="center"/>
    </xf>
    <xf numFmtId="1" fontId="84" fillId="0" borderId="121" xfId="0" applyNumberFormat="1" applyFont="1" applyBorder="1" applyAlignment="1">
      <alignment horizontal="center"/>
    </xf>
    <xf numFmtId="0" fontId="84" fillId="0" borderId="122" xfId="0" applyFont="1" applyBorder="1" applyAlignment="1">
      <alignment horizontal="center" vertical="center"/>
    </xf>
    <xf numFmtId="0" fontId="84" fillId="0" borderId="118" xfId="0" applyFont="1" applyBorder="1" applyAlignment="1">
      <alignment horizontal="center" vertical="center"/>
    </xf>
    <xf numFmtId="0" fontId="84" fillId="0" borderId="123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1" fontId="84" fillId="0" borderId="122" xfId="0" applyNumberFormat="1" applyFont="1" applyBorder="1" applyAlignment="1">
      <alignment horizontal="center" vertical="center"/>
    </xf>
    <xf numFmtId="1" fontId="84" fillId="0" borderId="118" xfId="0" applyNumberFormat="1" applyFont="1" applyBorder="1" applyAlignment="1">
      <alignment horizontal="center" vertical="center"/>
    </xf>
    <xf numFmtId="1" fontId="84" fillId="0" borderId="121" xfId="0" applyNumberFormat="1" applyFont="1" applyBorder="1" applyAlignment="1">
      <alignment horizontal="center" vertical="center"/>
    </xf>
    <xf numFmtId="0" fontId="84" fillId="0" borderId="86" xfId="0" applyFont="1" applyBorder="1" applyAlignment="1">
      <alignment horizontal="center" vertical="center"/>
    </xf>
    <xf numFmtId="0" fontId="84" fillId="0" borderId="125" xfId="0" applyFont="1" applyBorder="1" applyAlignment="1">
      <alignment horizontal="center" vertical="center"/>
    </xf>
    <xf numFmtId="0" fontId="84" fillId="0" borderId="126" xfId="0" applyFont="1" applyBorder="1" applyAlignment="1">
      <alignment horizontal="center" vertical="center"/>
    </xf>
    <xf numFmtId="0" fontId="84" fillId="0" borderId="115" xfId="0" applyFont="1" applyBorder="1" applyAlignment="1">
      <alignment horizontal="center" vertical="center"/>
    </xf>
    <xf numFmtId="0" fontId="84" fillId="0" borderId="8" xfId="0" applyFont="1" applyBorder="1" applyAlignment="1">
      <alignment horizontal="center" vertical="center"/>
    </xf>
    <xf numFmtId="0" fontId="84" fillId="0" borderId="64" xfId="0" applyFont="1" applyBorder="1" applyAlignment="1">
      <alignment horizontal="center" vertical="center"/>
    </xf>
    <xf numFmtId="0" fontId="121" fillId="0" borderId="15" xfId="0" applyFont="1" applyBorder="1" applyAlignment="1">
      <alignment horizontal="center" vertical="center" wrapText="1"/>
    </xf>
    <xf numFmtId="0" fontId="84" fillId="0" borderId="121" xfId="0" applyFont="1" applyBorder="1" applyAlignment="1">
      <alignment horizontal="center" vertical="center"/>
    </xf>
    <xf numFmtId="0" fontId="122" fillId="0" borderId="15" xfId="0" applyFont="1" applyBorder="1" applyAlignment="1">
      <alignment horizontal="center" vertical="center" wrapText="1"/>
    </xf>
    <xf numFmtId="0" fontId="84" fillId="0" borderId="41" xfId="0" applyFont="1" applyBorder="1" applyAlignment="1">
      <alignment horizontal="center" vertical="center"/>
    </xf>
    <xf numFmtId="0" fontId="84" fillId="0" borderId="58" xfId="0" applyFont="1" applyBorder="1" applyAlignment="1">
      <alignment horizontal="center" vertical="center"/>
    </xf>
    <xf numFmtId="0" fontId="83" fillId="0" borderId="32" xfId="0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83" fillId="0" borderId="33" xfId="0" applyFont="1" applyBorder="1" applyAlignment="1">
      <alignment vertical="center"/>
    </xf>
    <xf numFmtId="0" fontId="83" fillId="0" borderId="33" xfId="0" applyFont="1" applyBorder="1" applyAlignment="1">
      <alignment vertical="center" wrapText="1"/>
    </xf>
    <xf numFmtId="0" fontId="83" fillId="0" borderId="96" xfId="0" applyFont="1" applyBorder="1" applyAlignment="1">
      <alignment vertical="center"/>
    </xf>
    <xf numFmtId="0" fontId="83" fillId="0" borderId="34" xfId="0" applyFont="1" applyBorder="1" applyAlignment="1">
      <alignment horizontal="center" vertical="center"/>
    </xf>
    <xf numFmtId="0" fontId="83" fillId="0" borderId="93" xfId="0" applyFont="1" applyBorder="1" applyAlignment="1">
      <alignment horizontal="center" vertical="center"/>
    </xf>
    <xf numFmtId="0" fontId="83" fillId="0" borderId="96" xfId="0" applyFont="1" applyBorder="1" applyAlignment="1">
      <alignment horizontal="center" vertical="center"/>
    </xf>
    <xf numFmtId="0" fontId="84" fillId="0" borderId="67" xfId="0" applyFont="1" applyBorder="1" applyAlignment="1">
      <alignment vertical="center"/>
    </xf>
    <xf numFmtId="0" fontId="84" fillId="0" borderId="67" xfId="0" applyFont="1" applyBorder="1" applyAlignment="1"/>
    <xf numFmtId="0" fontId="84" fillId="0" borderId="118" xfId="0" applyFont="1" applyBorder="1" applyAlignment="1">
      <alignment horizontal="center"/>
    </xf>
    <xf numFmtId="0" fontId="84" fillId="0" borderId="118" xfId="0" applyFont="1" applyBorder="1" applyAlignment="1">
      <alignment horizontal="center" wrapText="1"/>
    </xf>
    <xf numFmtId="0" fontId="84" fillId="0" borderId="64" xfId="0" applyFont="1" applyBorder="1" applyAlignment="1">
      <alignment horizontal="center"/>
    </xf>
    <xf numFmtId="0" fontId="83" fillId="0" borderId="118" xfId="0" applyFont="1" applyBorder="1" applyAlignment="1">
      <alignment horizontal="center"/>
    </xf>
    <xf numFmtId="0" fontId="84" fillId="0" borderId="71" xfId="0" applyFont="1" applyBorder="1" applyAlignment="1">
      <alignment horizontal="center"/>
    </xf>
    <xf numFmtId="0" fontId="84" fillId="0" borderId="64" xfId="0" applyFont="1" applyBorder="1" applyAlignment="1">
      <alignment horizontal="center" wrapText="1"/>
    </xf>
    <xf numFmtId="0" fontId="83" fillId="0" borderId="64" xfId="0" applyFont="1" applyBorder="1" applyAlignment="1">
      <alignment horizontal="center" wrapText="1"/>
    </xf>
    <xf numFmtId="0" fontId="83" fillId="0" borderId="64" xfId="0" applyFont="1" applyBorder="1" applyAlignment="1">
      <alignment horizontal="center" vertical="center" wrapText="1"/>
    </xf>
    <xf numFmtId="0" fontId="83" fillId="0" borderId="48" xfId="0" applyFont="1" applyBorder="1" applyAlignment="1">
      <alignment vertical="center" wrapText="1"/>
    </xf>
    <xf numFmtId="0" fontId="83" fillId="0" borderId="50" xfId="0" applyFont="1" applyBorder="1" applyAlignment="1">
      <alignment horizontal="center" vertical="center" wrapText="1"/>
    </xf>
    <xf numFmtId="0" fontId="83" fillId="0" borderId="47" xfId="0" applyFont="1" applyBorder="1" applyAlignment="1">
      <alignment vertical="center" wrapText="1"/>
    </xf>
    <xf numFmtId="0" fontId="83" fillId="0" borderId="67" xfId="0" applyFont="1" applyBorder="1" applyAlignment="1">
      <alignment horizontal="center" vertical="center" wrapText="1"/>
    </xf>
    <xf numFmtId="0" fontId="83" fillId="0" borderId="64" xfId="0" applyFont="1" applyBorder="1" applyAlignment="1">
      <alignment vertical="center"/>
    </xf>
    <xf numFmtId="0" fontId="123" fillId="0" borderId="67" xfId="0" applyFont="1" applyBorder="1" applyAlignment="1">
      <alignment horizontal="center" vertical="center"/>
    </xf>
    <xf numFmtId="1" fontId="84" fillId="0" borderId="65" xfId="0" applyNumberFormat="1" applyFont="1" applyBorder="1" applyAlignment="1">
      <alignment horizontal="center" vertical="center"/>
    </xf>
    <xf numFmtId="0" fontId="124" fillId="0" borderId="67" xfId="0" applyFont="1" applyBorder="1" applyAlignment="1">
      <alignment horizontal="center" vertical="center"/>
    </xf>
    <xf numFmtId="0" fontId="119" fillId="0" borderId="65" xfId="0" applyFont="1" applyBorder="1" applyAlignment="1">
      <alignment horizontal="center" vertical="center"/>
    </xf>
    <xf numFmtId="1" fontId="84" fillId="0" borderId="8" xfId="0" applyNumberFormat="1" applyFont="1" applyBorder="1" applyAlignment="1">
      <alignment horizontal="center" vertical="center"/>
    </xf>
    <xf numFmtId="0" fontId="84" fillId="0" borderId="70" xfId="0" applyFont="1" applyBorder="1" applyAlignment="1">
      <alignment horizontal="center" vertical="center"/>
    </xf>
    <xf numFmtId="0" fontId="124" fillId="0" borderId="70" xfId="0" applyFont="1" applyBorder="1" applyAlignment="1">
      <alignment horizontal="center" vertical="center"/>
    </xf>
    <xf numFmtId="0" fontId="119" fillId="0" borderId="67" xfId="0" applyFont="1" applyBorder="1" applyAlignment="1">
      <alignment horizontal="center" vertical="center"/>
    </xf>
    <xf numFmtId="0" fontId="84" fillId="0" borderId="65" xfId="0" applyFont="1" applyBorder="1"/>
    <xf numFmtId="0" fontId="84" fillId="0" borderId="65" xfId="0" applyFont="1" applyBorder="1" applyAlignment="1">
      <alignment horizontal="center"/>
    </xf>
    <xf numFmtId="1" fontId="84" fillId="0" borderId="0" xfId="0" applyNumberFormat="1" applyFont="1" applyBorder="1" applyAlignment="1">
      <alignment horizontal="center" vertical="center"/>
    </xf>
    <xf numFmtId="0" fontId="83" fillId="0" borderId="0" xfId="0" applyFont="1" applyBorder="1" applyAlignment="1">
      <alignment horizontal="center"/>
    </xf>
    <xf numFmtId="0" fontId="80" fillId="0" borderId="15" xfId="0" applyFont="1" applyBorder="1" applyAlignment="1">
      <alignment horizontal="center" vertical="center"/>
    </xf>
    <xf numFmtId="0" fontId="80" fillId="0" borderId="19" xfId="0" applyFont="1" applyBorder="1" applyAlignment="1">
      <alignment horizontal="center"/>
    </xf>
    <xf numFmtId="0" fontId="83" fillId="0" borderId="86" xfId="0" applyFont="1" applyBorder="1" applyAlignment="1">
      <alignment horizontal="center" vertical="center"/>
    </xf>
    <xf numFmtId="0" fontId="85" fillId="0" borderId="67" xfId="0" applyFont="1" applyBorder="1" applyAlignment="1">
      <alignment horizontal="center"/>
    </xf>
    <xf numFmtId="0" fontId="125" fillId="0" borderId="67" xfId="0" applyFont="1" applyBorder="1" applyAlignment="1">
      <alignment horizontal="center" vertical="center"/>
    </xf>
    <xf numFmtId="0" fontId="125" fillId="0" borderId="67" xfId="0" applyFont="1" applyBorder="1" applyAlignment="1">
      <alignment horizontal="center" vertical="center" wrapText="1"/>
    </xf>
    <xf numFmtId="0" fontId="123" fillId="0" borderId="67" xfId="0" applyFont="1" applyBorder="1" applyAlignment="1">
      <alignment horizontal="center" vertical="center" wrapText="1"/>
    </xf>
    <xf numFmtId="0" fontId="123" fillId="0" borderId="67" xfId="0" applyFont="1" applyBorder="1" applyAlignment="1">
      <alignment vertical="center" wrapText="1"/>
    </xf>
    <xf numFmtId="0" fontId="84" fillId="0" borderId="71" xfId="0" applyFont="1" applyBorder="1" applyAlignment="1">
      <alignment horizontal="center" vertical="center"/>
    </xf>
    <xf numFmtId="0" fontId="123" fillId="0" borderId="128" xfId="0" applyFont="1" applyBorder="1" applyAlignment="1">
      <alignment horizontal="center" vertical="center" wrapText="1"/>
    </xf>
    <xf numFmtId="0" fontId="83" fillId="0" borderId="0" xfId="0" applyFont="1" applyBorder="1" applyAlignment="1">
      <alignment horizontal="center" vertical="center" wrapText="1"/>
    </xf>
    <xf numFmtId="0" fontId="43" fillId="2" borderId="0" xfId="0" applyFont="1" applyFill="1"/>
    <xf numFmtId="0" fontId="43" fillId="2" borderId="144" xfId="0" applyFont="1" applyFill="1" applyBorder="1"/>
    <xf numFmtId="0" fontId="1" fillId="2" borderId="144" xfId="0" applyFont="1" applyFill="1" applyBorder="1" applyAlignment="1">
      <alignment horizontal="right"/>
    </xf>
    <xf numFmtId="0" fontId="1" fillId="0" borderId="31" xfId="0" applyFont="1" applyBorder="1"/>
    <xf numFmtId="0" fontId="1" fillId="0" borderId="120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04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134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/>
    </xf>
    <xf numFmtId="0" fontId="1" fillId="0" borderId="54" xfId="0" applyFont="1" applyBorder="1" applyAlignment="1">
      <alignment horizontal="center" vertical="center" wrapText="1"/>
    </xf>
    <xf numFmtId="0" fontId="1" fillId="0" borderId="11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 wrapText="1"/>
    </xf>
    <xf numFmtId="0" fontId="1" fillId="0" borderId="151" xfId="0" applyFont="1" applyBorder="1" applyAlignment="1">
      <alignment horizontal="center" vertical="center"/>
    </xf>
    <xf numFmtId="1" fontId="43" fillId="0" borderId="54" xfId="0" applyNumberFormat="1" applyFont="1" applyBorder="1" applyAlignment="1">
      <alignment horizontal="center"/>
    </xf>
    <xf numFmtId="0" fontId="104" fillId="0" borderId="65" xfId="0" applyFont="1" applyBorder="1" applyAlignment="1">
      <alignment horizontal="center" vertical="center"/>
    </xf>
    <xf numFmtId="0" fontId="43" fillId="0" borderId="116" xfId="0" applyFont="1" applyBorder="1" applyAlignment="1">
      <alignment horizontal="center"/>
    </xf>
    <xf numFmtId="0" fontId="43" fillId="0" borderId="86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 wrapText="1"/>
    </xf>
    <xf numFmtId="0" fontId="1" fillId="0" borderId="145" xfId="0" applyFont="1" applyBorder="1" applyAlignment="1">
      <alignment horizontal="center" vertical="center"/>
    </xf>
    <xf numFmtId="1" fontId="43" fillId="0" borderId="151" xfId="0" applyNumberFormat="1" applyFont="1" applyBorder="1" applyAlignment="1">
      <alignment horizontal="center"/>
    </xf>
    <xf numFmtId="0" fontId="43" fillId="0" borderId="150" xfId="0" applyFont="1" applyBorder="1" applyAlignment="1">
      <alignment horizontal="center" vertical="center"/>
    </xf>
    <xf numFmtId="0" fontId="43" fillId="0" borderId="144" xfId="0" applyFont="1" applyBorder="1" applyAlignment="1">
      <alignment horizontal="center" vertical="center"/>
    </xf>
    <xf numFmtId="0" fontId="43" fillId="0" borderId="145" xfId="0" applyFont="1" applyBorder="1" applyAlignment="1">
      <alignment horizontal="center" vertical="center"/>
    </xf>
    <xf numFmtId="0" fontId="43" fillId="0" borderId="147" xfId="0" applyFont="1" applyBorder="1" applyAlignment="1">
      <alignment horizontal="center" vertical="center"/>
    </xf>
    <xf numFmtId="0" fontId="43" fillId="0" borderId="148" xfId="0" applyFont="1" applyBorder="1" applyAlignment="1">
      <alignment horizontal="center" vertical="center"/>
    </xf>
    <xf numFmtId="0" fontId="43" fillId="0" borderId="149" xfId="0" applyFont="1" applyBorder="1" applyAlignment="1">
      <alignment horizontal="center" vertical="center"/>
    </xf>
    <xf numFmtId="1" fontId="43" fillId="0" borderId="147" xfId="0" applyNumberFormat="1" applyFont="1" applyBorder="1" applyAlignment="1">
      <alignment horizontal="center" vertical="center"/>
    </xf>
    <xf numFmtId="1" fontId="43" fillId="0" borderId="144" xfId="0" applyNumberFormat="1" applyFont="1" applyBorder="1" applyAlignment="1">
      <alignment horizontal="center" vertical="center"/>
    </xf>
    <xf numFmtId="1" fontId="43" fillId="0" borderId="148" xfId="0" applyNumberFormat="1" applyFont="1" applyBorder="1" applyAlignment="1">
      <alignment horizontal="center" vertical="center"/>
    </xf>
    <xf numFmtId="0" fontId="43" fillId="0" borderId="146" xfId="0" applyFont="1" applyBorder="1" applyAlignment="1">
      <alignment horizontal="center" vertical="center"/>
    </xf>
    <xf numFmtId="0" fontId="43" fillId="0" borderId="86" xfId="0" applyFont="1" applyBorder="1" applyAlignment="1">
      <alignment horizontal="center" vertical="center"/>
    </xf>
    <xf numFmtId="1" fontId="43" fillId="0" borderId="115" xfId="0" applyNumberFormat="1" applyFont="1" applyBorder="1" applyAlignment="1">
      <alignment horizontal="center"/>
    </xf>
    <xf numFmtId="1" fontId="43" fillId="0" borderId="69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/>
    </xf>
    <xf numFmtId="0" fontId="43" fillId="25" borderId="86" xfId="0" applyFont="1" applyFill="1" applyBorder="1" applyAlignment="1">
      <alignment horizontal="center" vertical="center" wrapText="1"/>
    </xf>
    <xf numFmtId="1" fontId="43" fillId="0" borderId="150" xfId="0" applyNumberFormat="1" applyFont="1" applyBorder="1" applyAlignment="1">
      <alignment horizontal="center" vertical="center"/>
    </xf>
    <xf numFmtId="1" fontId="43" fillId="0" borderId="58" xfId="0" applyNumberFormat="1" applyFont="1" applyBorder="1" applyAlignment="1">
      <alignment horizontal="center"/>
    </xf>
    <xf numFmtId="0" fontId="43" fillId="0" borderId="58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43" fillId="0" borderId="144" xfId="0" applyFont="1" applyBorder="1" applyAlignment="1">
      <alignment horizontal="center"/>
    </xf>
    <xf numFmtId="0" fontId="43" fillId="0" borderId="144" xfId="0" applyFont="1" applyBorder="1" applyAlignment="1">
      <alignment horizontal="center" wrapText="1"/>
    </xf>
    <xf numFmtId="0" fontId="1" fillId="0" borderId="144" xfId="0" applyFont="1" applyBorder="1" applyAlignment="1">
      <alignment horizontal="center"/>
    </xf>
    <xf numFmtId="0" fontId="38" fillId="0" borderId="31" xfId="0" applyFont="1" applyBorder="1" applyAlignment="1">
      <alignment horizontal="center"/>
    </xf>
    <xf numFmtId="0" fontId="38" fillId="0" borderId="50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70" xfId="0" applyFont="1" applyBorder="1" applyAlignment="1">
      <alignment horizontal="center" vertical="center" wrapText="1"/>
    </xf>
    <xf numFmtId="0" fontId="38" fillId="0" borderId="70" xfId="0" applyFont="1" applyBorder="1" applyAlignment="1">
      <alignment horizontal="center" wrapText="1"/>
    </xf>
    <xf numFmtId="0" fontId="38" fillId="0" borderId="67" xfId="0" applyFont="1" applyBorder="1" applyAlignment="1">
      <alignment horizontal="center" vertical="center" wrapText="1"/>
    </xf>
    <xf numFmtId="0" fontId="38" fillId="0" borderId="105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 wrapText="1"/>
    </xf>
    <xf numFmtId="0" fontId="78" fillId="0" borderId="65" xfId="0" applyFont="1" applyBorder="1" applyAlignment="1">
      <alignment horizontal="center"/>
    </xf>
    <xf numFmtId="0" fontId="100" fillId="0" borderId="67" xfId="0" applyFont="1" applyBorder="1" applyAlignment="1">
      <alignment horizontal="center"/>
    </xf>
    <xf numFmtId="1" fontId="78" fillId="0" borderId="64" xfId="0" applyNumberFormat="1" applyFont="1" applyBorder="1" applyAlignment="1">
      <alignment horizontal="center" vertical="center"/>
    </xf>
    <xf numFmtId="0" fontId="78" fillId="0" borderId="86" xfId="0" applyFont="1" applyBorder="1" applyAlignment="1">
      <alignment horizontal="center" vertical="center"/>
    </xf>
    <xf numFmtId="0" fontId="126" fillId="0" borderId="67" xfId="0" applyFont="1" applyBorder="1" applyAlignment="1">
      <alignment horizontal="center" vertical="center"/>
    </xf>
    <xf numFmtId="0" fontId="38" fillId="0" borderId="118" xfId="0" applyFont="1" applyBorder="1" applyAlignment="1">
      <alignment horizontal="center" vertical="center"/>
    </xf>
    <xf numFmtId="1" fontId="78" fillId="0" borderId="67" xfId="0" applyNumberFormat="1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78" fillId="0" borderId="123" xfId="0" applyFont="1" applyBorder="1" applyAlignment="1">
      <alignment horizontal="center" vertical="center"/>
    </xf>
    <xf numFmtId="0" fontId="78" fillId="0" borderId="126" xfId="0" applyFont="1" applyBorder="1" applyAlignment="1">
      <alignment horizontal="center" vertical="center"/>
    </xf>
    <xf numFmtId="0" fontId="78" fillId="0" borderId="122" xfId="0" applyFont="1" applyBorder="1" applyAlignment="1">
      <alignment horizontal="center" vertical="center"/>
    </xf>
    <xf numFmtId="0" fontId="78" fillId="0" borderId="118" xfId="0" applyFont="1" applyBorder="1" applyAlignment="1">
      <alignment horizontal="center" vertical="center"/>
    </xf>
    <xf numFmtId="0" fontId="38" fillId="0" borderId="67" xfId="0" applyFont="1" applyBorder="1" applyAlignment="1">
      <alignment vertical="center"/>
    </xf>
    <xf numFmtId="1" fontId="78" fillId="0" borderId="121" xfId="0" applyNumberFormat="1" applyFont="1" applyBorder="1" applyAlignment="1">
      <alignment horizontal="center" vertical="center"/>
    </xf>
    <xf numFmtId="0" fontId="78" fillId="0" borderId="127" xfId="0" applyFont="1" applyBorder="1" applyAlignment="1">
      <alignment horizontal="center" vertical="center"/>
    </xf>
    <xf numFmtId="0" fontId="126" fillId="0" borderId="118" xfId="0" applyFont="1" applyBorder="1" applyAlignment="1">
      <alignment horizontal="center" vertical="center"/>
    </xf>
    <xf numFmtId="0" fontId="118" fillId="0" borderId="67" xfId="0" applyFont="1" applyBorder="1" applyAlignment="1">
      <alignment horizontal="center" vertical="center"/>
    </xf>
    <xf numFmtId="1" fontId="78" fillId="0" borderId="69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126" fillId="0" borderId="70" xfId="0" applyFont="1" applyBorder="1" applyAlignment="1">
      <alignment horizontal="center" vertical="center"/>
    </xf>
    <xf numFmtId="0" fontId="127" fillId="0" borderId="67" xfId="0" applyFont="1" applyBorder="1" applyAlignment="1">
      <alignment horizontal="center"/>
    </xf>
    <xf numFmtId="0" fontId="117" fillId="0" borderId="39" xfId="0" applyFont="1" applyBorder="1" applyAlignment="1">
      <alignment horizontal="center" vertical="center"/>
    </xf>
    <xf numFmtId="1" fontId="78" fillId="0" borderId="122" xfId="0" applyNumberFormat="1" applyFont="1" applyBorder="1" applyAlignment="1">
      <alignment horizontal="center" vertical="center"/>
    </xf>
    <xf numFmtId="0" fontId="78" fillId="0" borderId="121" xfId="0" applyFont="1" applyBorder="1" applyAlignment="1">
      <alignment horizontal="center" vertical="center"/>
    </xf>
    <xf numFmtId="0" fontId="100" fillId="0" borderId="51" xfId="0" applyFont="1" applyBorder="1" applyAlignment="1">
      <alignment horizontal="center"/>
    </xf>
    <xf numFmtId="0" fontId="128" fillId="0" borderId="67" xfId="0" applyFont="1" applyBorder="1" applyAlignment="1">
      <alignment horizontal="center" vertical="center"/>
    </xf>
    <xf numFmtId="0" fontId="128" fillId="0" borderId="67" xfId="0" applyFont="1" applyBorder="1" applyAlignment="1">
      <alignment horizontal="center" vertical="center" wrapText="1"/>
    </xf>
    <xf numFmtId="0" fontId="78" fillId="0" borderId="118" xfId="0" applyFont="1" applyBorder="1" applyAlignment="1">
      <alignment horizontal="center"/>
    </xf>
    <xf numFmtId="0" fontId="78" fillId="0" borderId="118" xfId="0" applyFont="1" applyBorder="1" applyAlignment="1">
      <alignment horizontal="center" wrapText="1"/>
    </xf>
    <xf numFmtId="0" fontId="38" fillId="0" borderId="118" xfId="0" applyFont="1" applyBorder="1" applyAlignment="1">
      <alignment horizontal="center"/>
    </xf>
    <xf numFmtId="0" fontId="78" fillId="0" borderId="71" xfId="0" applyFont="1" applyBorder="1" applyAlignment="1">
      <alignment horizontal="center" vertical="center"/>
    </xf>
    <xf numFmtId="0" fontId="124" fillId="0" borderId="118" xfId="0" applyFont="1" applyBorder="1" applyAlignment="1">
      <alignment horizontal="center" vertical="center"/>
    </xf>
    <xf numFmtId="0" fontId="81" fillId="0" borderId="15" xfId="0" applyFont="1" applyBorder="1" applyAlignment="1">
      <alignment horizontal="center" vertical="center" wrapText="1"/>
    </xf>
    <xf numFmtId="0" fontId="84" fillId="0" borderId="0" xfId="0" applyFont="1" applyBorder="1" applyAlignment="1">
      <alignment horizontal="center" vertical="center" wrapText="1"/>
    </xf>
    <xf numFmtId="0" fontId="83" fillId="0" borderId="31" xfId="0" applyFont="1" applyBorder="1" applyAlignment="1"/>
    <xf numFmtId="0" fontId="83" fillId="0" borderId="120" xfId="0" applyFont="1" applyBorder="1" applyAlignment="1">
      <alignment horizontal="center" vertical="center" wrapText="1"/>
    </xf>
    <xf numFmtId="0" fontId="83" fillId="0" borderId="104" xfId="0" applyFont="1" applyBorder="1" applyAlignment="1">
      <alignment horizontal="center" vertical="center"/>
    </xf>
    <xf numFmtId="0" fontId="83" fillId="0" borderId="47" xfId="0" applyFont="1" applyBorder="1" applyAlignment="1">
      <alignment horizontal="center" vertical="center"/>
    </xf>
    <xf numFmtId="0" fontId="83" fillId="0" borderId="91" xfId="0" applyFont="1" applyBorder="1" applyAlignment="1">
      <alignment horizontal="center" vertical="center"/>
    </xf>
    <xf numFmtId="0" fontId="83" fillId="0" borderId="54" xfId="0" applyFont="1" applyBorder="1" applyAlignment="1">
      <alignment horizontal="center"/>
    </xf>
    <xf numFmtId="0" fontId="83" fillId="0" borderId="54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1" fontId="84" fillId="0" borderId="54" xfId="0" applyNumberFormat="1" applyFont="1" applyBorder="1" applyAlignment="1">
      <alignment horizontal="center"/>
    </xf>
    <xf numFmtId="0" fontId="84" fillId="0" borderId="116" xfId="0" applyFont="1" applyBorder="1" applyAlignment="1">
      <alignment horizontal="center"/>
    </xf>
    <xf numFmtId="0" fontId="84" fillId="0" borderId="86" xfId="0" applyFont="1" applyBorder="1" applyAlignment="1">
      <alignment horizontal="center" vertical="center" wrapText="1"/>
    </xf>
    <xf numFmtId="1" fontId="84" fillId="0" borderId="86" xfId="0" applyNumberFormat="1" applyFont="1" applyBorder="1" applyAlignment="1">
      <alignment horizontal="center" vertical="center"/>
    </xf>
    <xf numFmtId="0" fontId="84" fillId="0" borderId="54" xfId="0" applyFont="1" applyBorder="1" applyAlignment="1">
      <alignment horizontal="center" vertical="center" wrapText="1"/>
    </xf>
    <xf numFmtId="0" fontId="84" fillId="0" borderId="65" xfId="0" applyFont="1" applyBorder="1" applyAlignment="1">
      <alignment horizontal="center" vertical="center" wrapText="1"/>
    </xf>
    <xf numFmtId="0" fontId="83" fillId="0" borderId="121" xfId="0" applyFont="1" applyBorder="1" applyAlignment="1">
      <alignment horizontal="center" vertical="center"/>
    </xf>
    <xf numFmtId="1" fontId="84" fillId="0" borderId="125" xfId="0" applyNumberFormat="1" applyFont="1" applyBorder="1" applyAlignment="1">
      <alignment horizontal="center"/>
    </xf>
    <xf numFmtId="1" fontId="84" fillId="0" borderId="123" xfId="0" applyNumberFormat="1" applyFont="1" applyBorder="1" applyAlignment="1">
      <alignment horizontal="center" vertical="center"/>
    </xf>
    <xf numFmtId="0" fontId="84" fillId="0" borderId="127" xfId="0" applyFont="1" applyBorder="1" applyAlignment="1">
      <alignment horizontal="center" vertical="center"/>
    </xf>
    <xf numFmtId="0" fontId="83" fillId="0" borderId="69" xfId="0" applyFont="1" applyBorder="1" applyAlignment="1">
      <alignment horizontal="center" vertical="center"/>
    </xf>
    <xf numFmtId="1" fontId="84" fillId="0" borderId="115" xfId="0" applyNumberFormat="1" applyFont="1" applyBorder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84" fillId="25" borderId="86" xfId="0" applyFont="1" applyFill="1" applyBorder="1" applyAlignment="1">
      <alignment horizontal="center" vertical="center" wrapText="1"/>
    </xf>
    <xf numFmtId="1" fontId="84" fillId="0" borderId="126" xfId="0" applyNumberFormat="1" applyFont="1" applyBorder="1" applyAlignment="1">
      <alignment horizontal="center" vertical="center"/>
    </xf>
    <xf numFmtId="1" fontId="84" fillId="0" borderId="58" xfId="0" applyNumberFormat="1" applyFont="1" applyBorder="1" applyAlignment="1">
      <alignment horizontal="center"/>
    </xf>
    <xf numFmtId="0" fontId="84" fillId="0" borderId="58" xfId="0" applyFont="1" applyBorder="1" applyAlignment="1">
      <alignment horizontal="center" vertical="center" wrapText="1"/>
    </xf>
    <xf numFmtId="0" fontId="83" fillId="0" borderId="0" xfId="0" applyFont="1" applyAlignment="1">
      <alignment horizontal="right" vertical="center" wrapText="1"/>
    </xf>
    <xf numFmtId="1" fontId="84" fillId="0" borderId="67" xfId="0" applyNumberFormat="1" applyFont="1" applyFill="1" applyBorder="1" applyAlignment="1">
      <alignment horizontal="center" vertical="center"/>
    </xf>
    <xf numFmtId="0" fontId="38" fillId="0" borderId="51" xfId="0" applyFont="1" applyBorder="1" applyAlignment="1">
      <alignment horizontal="center" vertical="center" wrapText="1"/>
    </xf>
    <xf numFmtId="1" fontId="78" fillId="0" borderId="8" xfId="0" applyNumberFormat="1" applyFont="1" applyBorder="1" applyAlignment="1">
      <alignment horizontal="center" vertical="center"/>
    </xf>
    <xf numFmtId="0" fontId="84" fillId="0" borderId="63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 wrapText="1"/>
    </xf>
    <xf numFmtId="0" fontId="98" fillId="0" borderId="67" xfId="0" applyFont="1" applyBorder="1" applyAlignment="1">
      <alignment horizontal="center"/>
    </xf>
    <xf numFmtId="0" fontId="98" fillId="0" borderId="0" xfId="0" applyFont="1" applyAlignment="1">
      <alignment horizontal="center"/>
    </xf>
    <xf numFmtId="0" fontId="98" fillId="0" borderId="67" xfId="0" applyFont="1" applyBorder="1" applyAlignment="1">
      <alignment horizontal="center" wrapText="1"/>
    </xf>
    <xf numFmtId="0" fontId="98" fillId="0" borderId="67" xfId="0" applyFont="1" applyBorder="1" applyAlignment="1">
      <alignment horizontal="center" vertical="center"/>
    </xf>
    <xf numFmtId="0" fontId="64" fillId="2" borderId="67" xfId="0" applyFont="1" applyFill="1" applyBorder="1" applyAlignment="1">
      <alignment horizontal="center"/>
    </xf>
    <xf numFmtId="0" fontId="64" fillId="0" borderId="6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98" fillId="0" borderId="67" xfId="0" applyFont="1" applyBorder="1" applyAlignment="1"/>
    <xf numFmtId="0" fontId="64" fillId="0" borderId="67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98" fillId="2" borderId="67" xfId="0" applyFont="1" applyFill="1" applyBorder="1" applyAlignment="1">
      <alignment horizontal="center" vertical="center"/>
    </xf>
    <xf numFmtId="0" fontId="98" fillId="2" borderId="67" xfId="0" applyFont="1" applyFill="1" applyBorder="1" applyAlignment="1">
      <alignment horizontal="center" vertical="center" wrapText="1"/>
    </xf>
    <xf numFmtId="0" fontId="98" fillId="2" borderId="70" xfId="0" applyFont="1" applyFill="1" applyBorder="1" applyAlignment="1">
      <alignment horizontal="center" vertical="center"/>
    </xf>
    <xf numFmtId="0" fontId="98" fillId="0" borderId="158" xfId="0" applyFont="1" applyBorder="1" applyAlignment="1">
      <alignment horizontal="center" vertical="center"/>
    </xf>
    <xf numFmtId="0" fontId="98" fillId="2" borderId="71" xfId="0" applyFont="1" applyFill="1" applyBorder="1" applyAlignment="1">
      <alignment horizontal="center" vertical="center"/>
    </xf>
    <xf numFmtId="0" fontId="98" fillId="2" borderId="158" xfId="0" applyFont="1" applyFill="1" applyBorder="1" applyAlignment="1">
      <alignment horizontal="center" vertical="center"/>
    </xf>
    <xf numFmtId="0" fontId="98" fillId="2" borderId="0" xfId="0" applyFont="1" applyFill="1" applyBorder="1" applyAlignment="1">
      <alignment horizontal="center" vertical="center"/>
    </xf>
    <xf numFmtId="1" fontId="43" fillId="2" borderId="70" xfId="0" applyNumberFormat="1" applyFont="1" applyFill="1" applyBorder="1" applyAlignment="1">
      <alignment horizontal="center" vertical="center"/>
    </xf>
    <xf numFmtId="1" fontId="78" fillId="2" borderId="70" xfId="0" applyNumberFormat="1" applyFont="1" applyFill="1" applyBorder="1" applyAlignment="1">
      <alignment horizontal="center" vertical="center"/>
    </xf>
    <xf numFmtId="1" fontId="98" fillId="2" borderId="70" xfId="0" applyNumberFormat="1" applyFont="1" applyFill="1" applyBorder="1" applyAlignment="1">
      <alignment horizontal="center" vertical="center"/>
    </xf>
    <xf numFmtId="0" fontId="0" fillId="31" borderId="67" xfId="0" applyFill="1" applyBorder="1" applyAlignment="1">
      <alignment horizontal="center" vertical="center" wrapText="1"/>
    </xf>
    <xf numFmtId="0" fontId="64" fillId="2" borderId="67" xfId="0" applyFont="1" applyFill="1" applyBorder="1" applyAlignment="1">
      <alignment horizontal="center" vertical="center"/>
    </xf>
    <xf numFmtId="0" fontId="64" fillId="2" borderId="67" xfId="0" applyFont="1" applyFill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 wrapText="1"/>
    </xf>
    <xf numFmtId="0" fontId="98" fillId="0" borderId="0" xfId="0" applyFont="1" applyBorder="1" applyAlignment="1">
      <alignment vertical="center"/>
    </xf>
    <xf numFmtId="0" fontId="64" fillId="2" borderId="2" xfId="0" applyFont="1" applyFill="1" applyBorder="1" applyAlignment="1">
      <alignment horizontal="center"/>
    </xf>
    <xf numFmtId="0" fontId="64" fillId="0" borderId="2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/>
    </xf>
    <xf numFmtId="0" fontId="98" fillId="2" borderId="67" xfId="0" applyFont="1" applyFill="1" applyBorder="1" applyAlignment="1">
      <alignment horizontal="center" wrapText="1"/>
    </xf>
    <xf numFmtId="0" fontId="98" fillId="0" borderId="2" xfId="0" applyFont="1" applyBorder="1" applyAlignment="1">
      <alignment horizontal="center"/>
    </xf>
    <xf numFmtId="1" fontId="98" fillId="0" borderId="159" xfId="0" applyNumberFormat="1" applyFont="1" applyBorder="1" applyAlignment="1">
      <alignment horizontal="center" vertical="center"/>
    </xf>
    <xf numFmtId="1" fontId="98" fillId="0" borderId="67" xfId="0" applyNumberFormat="1" applyFont="1" applyFill="1" applyBorder="1" applyAlignment="1">
      <alignment horizontal="center"/>
    </xf>
    <xf numFmtId="2" fontId="98" fillId="0" borderId="67" xfId="0" applyNumberFormat="1" applyFont="1" applyBorder="1" applyAlignment="1">
      <alignment horizontal="center"/>
    </xf>
    <xf numFmtId="0" fontId="64" fillId="2" borderId="67" xfId="0" applyFont="1" applyFill="1" applyBorder="1" applyAlignment="1">
      <alignment horizontal="center" wrapText="1"/>
    </xf>
    <xf numFmtId="0" fontId="98" fillId="0" borderId="67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43" fillId="2" borderId="70" xfId="0" applyFont="1" applyFill="1" applyBorder="1" applyAlignment="1">
      <alignment horizontal="center" vertical="center"/>
    </xf>
    <xf numFmtId="0" fontId="43" fillId="2" borderId="65" xfId="0" applyFont="1" applyFill="1" applyBorder="1" applyAlignment="1">
      <alignment horizontal="center" vertical="center"/>
    </xf>
    <xf numFmtId="0" fontId="43" fillId="0" borderId="158" xfId="0" applyFont="1" applyBorder="1" applyAlignment="1">
      <alignment horizontal="center" vertical="center"/>
    </xf>
    <xf numFmtId="0" fontId="43" fillId="2" borderId="71" xfId="0" applyFont="1" applyFill="1" applyBorder="1" applyAlignment="1">
      <alignment horizontal="center" vertical="center"/>
    </xf>
    <xf numFmtId="0" fontId="43" fillId="2" borderId="158" xfId="0" applyFont="1" applyFill="1" applyBorder="1" applyAlignment="1">
      <alignment horizontal="center" vertical="center"/>
    </xf>
    <xf numFmtId="0" fontId="43" fillId="31" borderId="67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43" fillId="2" borderId="0" xfId="0" applyFont="1" applyFill="1" applyBorder="1" applyAlignment="1">
      <alignment horizontal="center" vertical="center"/>
    </xf>
    <xf numFmtId="0" fontId="43" fillId="0" borderId="0" xfId="0" applyFont="1" applyBorder="1" applyAlignment="1">
      <alignment horizontal="center"/>
    </xf>
    <xf numFmtId="0" fontId="11" fillId="0" borderId="0" xfId="0" applyFont="1"/>
    <xf numFmtId="0" fontId="109" fillId="0" borderId="15" xfId="0" applyFont="1" applyBorder="1" applyAlignment="1">
      <alignment wrapText="1"/>
    </xf>
    <xf numFmtId="0" fontId="109" fillId="0" borderId="15" xfId="0" applyFont="1" applyBorder="1" applyAlignment="1">
      <alignment horizontal="center"/>
    </xf>
    <xf numFmtId="0" fontId="10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wrapText="1"/>
    </xf>
    <xf numFmtId="0" fontId="109" fillId="0" borderId="15" xfId="0" applyFont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2" fontId="109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49" fontId="40" fillId="2" borderId="0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1" fontId="3" fillId="0" borderId="67" xfId="0" applyNumberFormat="1" applyFont="1" applyBorder="1" applyAlignment="1">
      <alignment horizontal="center" vertical="center"/>
    </xf>
    <xf numFmtId="0" fontId="129" fillId="0" borderId="67" xfId="0" applyFont="1" applyBorder="1" applyAlignment="1">
      <alignment horizontal="center" vertical="center"/>
    </xf>
    <xf numFmtId="1" fontId="129" fillId="0" borderId="67" xfId="0" applyNumberFormat="1" applyFont="1" applyBorder="1" applyAlignment="1">
      <alignment horizontal="center" vertical="center"/>
    </xf>
    <xf numFmtId="0" fontId="130" fillId="2" borderId="67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6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2" fontId="3" fillId="0" borderId="6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7" fillId="0" borderId="6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67" xfId="0" applyFont="1" applyFill="1" applyBorder="1" applyAlignment="1">
      <alignment horizontal="right"/>
    </xf>
    <xf numFmtId="0" fontId="6" fillId="0" borderId="135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67" xfId="0" applyFont="1" applyBorder="1" applyAlignment="1"/>
    <xf numFmtId="0" fontId="38" fillId="0" borderId="67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97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31" xfId="0" applyFont="1" applyBorder="1" applyAlignment="1">
      <alignment horizontal="center"/>
    </xf>
    <xf numFmtId="0" fontId="92" fillId="0" borderId="67" xfId="0" applyFont="1" applyBorder="1" applyAlignment="1">
      <alignment horizontal="center"/>
    </xf>
    <xf numFmtId="1" fontId="5" fillId="0" borderId="0" xfId="0" applyNumberFormat="1" applyFont="1" applyFill="1" applyBorder="1" applyAlignment="1">
      <alignment horizontal="center" vertical="center"/>
    </xf>
    <xf numFmtId="49" fontId="5" fillId="2" borderId="87" xfId="0" applyNumberFormat="1" applyFont="1" applyFill="1" applyBorder="1" applyAlignment="1">
      <alignment horizontal="left"/>
    </xf>
    <xf numFmtId="0" fontId="38" fillId="0" borderId="64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38" fillId="0" borderId="31" xfId="0" applyFont="1" applyBorder="1" applyAlignment="1">
      <alignment horizontal="center"/>
    </xf>
    <xf numFmtId="0" fontId="38" fillId="0" borderId="105" xfId="0" applyFont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5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/>
    </xf>
    <xf numFmtId="2" fontId="110" fillId="0" borderId="0" xfId="0" applyNumberFormat="1" applyFont="1" applyBorder="1"/>
    <xf numFmtId="0" fontId="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/>
    </xf>
    <xf numFmtId="1" fontId="3" fillId="0" borderId="70" xfId="0" applyNumberFormat="1" applyFont="1" applyBorder="1" applyAlignment="1">
      <alignment horizontal="center" vertical="center"/>
    </xf>
    <xf numFmtId="0" fontId="129" fillId="0" borderId="0" xfId="0" applyFont="1" applyBorder="1" applyAlignment="1">
      <alignment horizontal="center" vertical="center"/>
    </xf>
    <xf numFmtId="0" fontId="43" fillId="0" borderId="68" xfId="0" applyFont="1" applyBorder="1" applyAlignment="1">
      <alignment horizontal="center" vertical="center" wrapText="1"/>
    </xf>
    <xf numFmtId="0" fontId="43" fillId="0" borderId="161" xfId="0" applyFont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165" fontId="110" fillId="0" borderId="15" xfId="0" applyNumberFormat="1" applyFont="1" applyBorder="1" applyAlignment="1">
      <alignment horizontal="center" vertical="center"/>
    </xf>
    <xf numFmtId="0" fontId="52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7" fillId="0" borderId="67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6" fillId="2" borderId="67" xfId="0" applyFont="1" applyFill="1" applyBorder="1" applyAlignment="1">
      <alignment horizontal="right"/>
    </xf>
    <xf numFmtId="0" fontId="6" fillId="0" borderId="135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67" xfId="0" applyFont="1" applyBorder="1" applyAlignment="1"/>
    <xf numFmtId="1" fontId="5" fillId="0" borderId="0" xfId="0" applyNumberFormat="1" applyFont="1" applyFill="1" applyBorder="1" applyAlignment="1">
      <alignment horizontal="center" vertical="center"/>
    </xf>
    <xf numFmtId="0" fontId="41" fillId="0" borderId="67" xfId="0" applyFont="1" applyBorder="1" applyAlignment="1">
      <alignment horizontal="center" vertical="center" wrapText="1"/>
    </xf>
    <xf numFmtId="0" fontId="38" fillId="0" borderId="64" xfId="0" applyFont="1" applyBorder="1" applyAlignment="1"/>
    <xf numFmtId="0" fontId="103" fillId="0" borderId="0" xfId="0" applyFont="1" applyBorder="1"/>
    <xf numFmtId="0" fontId="103" fillId="0" borderId="0" xfId="0" applyFont="1" applyBorder="1" applyAlignment="1">
      <alignment horizontal="center" vertical="center"/>
    </xf>
    <xf numFmtId="2" fontId="103" fillId="0" borderId="0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left"/>
    </xf>
    <xf numFmtId="2" fontId="38" fillId="0" borderId="0" xfId="0" applyNumberFormat="1" applyFont="1" applyBorder="1" applyAlignment="1">
      <alignment horizontal="center"/>
    </xf>
    <xf numFmtId="0" fontId="45" fillId="0" borderId="67" xfId="0" applyFont="1" applyBorder="1"/>
    <xf numFmtId="1" fontId="45" fillId="0" borderId="67" xfId="0" applyNumberFormat="1" applyFont="1" applyFill="1" applyBorder="1"/>
    <xf numFmtId="0" fontId="45" fillId="0" borderId="67" xfId="0" applyFont="1" applyBorder="1" applyAlignment="1">
      <alignment horizontal="right"/>
    </xf>
    <xf numFmtId="0" fontId="45" fillId="0" borderId="67" xfId="0" applyFont="1" applyBorder="1" applyAlignment="1">
      <alignment horizontal="center" vertical="center"/>
    </xf>
    <xf numFmtId="0" fontId="131" fillId="0" borderId="67" xfId="0" applyFont="1" applyBorder="1" applyAlignment="1">
      <alignment horizontal="center" vertical="center" wrapText="1"/>
    </xf>
    <xf numFmtId="0" fontId="0" fillId="0" borderId="0" xfId="0" applyFont="1"/>
    <xf numFmtId="0" fontId="6" fillId="0" borderId="67" xfId="0" applyFont="1" applyBorder="1" applyAlignment="1">
      <alignment horizontal="center"/>
    </xf>
    <xf numFmtId="0" fontId="0" fillId="0" borderId="67" xfId="0" applyBorder="1" applyAlignment="1">
      <alignment horizontal="center" vertical="center" wrapText="1"/>
    </xf>
    <xf numFmtId="0" fontId="0" fillId="31" borderId="67" xfId="0" applyFill="1" applyBorder="1" applyAlignment="1">
      <alignment horizontal="center" vertical="center" wrapText="1"/>
    </xf>
    <xf numFmtId="0" fontId="0" fillId="26" borderId="67" xfId="0" applyFill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 wrapText="1"/>
    </xf>
    <xf numFmtId="0" fontId="0" fillId="31" borderId="67" xfId="0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31" borderId="67" xfId="0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31" borderId="67" xfId="0" applyFill="1" applyBorder="1" applyAlignment="1">
      <alignment horizontal="center" vertical="center" wrapText="1"/>
    </xf>
    <xf numFmtId="0" fontId="0" fillId="0" borderId="67" xfId="0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31" borderId="67" xfId="0" applyFill="1" applyBorder="1" applyAlignment="1">
      <alignment horizontal="center" vertical="center" wrapText="1"/>
    </xf>
    <xf numFmtId="0" fontId="0" fillId="0" borderId="67" xfId="0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31" borderId="67" xfId="0" applyFill="1" applyBorder="1" applyAlignment="1">
      <alignment horizontal="center" vertical="center" wrapText="1"/>
    </xf>
    <xf numFmtId="0" fontId="132" fillId="0" borderId="67" xfId="0" applyFont="1" applyBorder="1" applyAlignment="1">
      <alignment horizontal="center" vertical="center" wrapText="1"/>
    </xf>
    <xf numFmtId="0" fontId="132" fillId="31" borderId="67" xfId="0" applyFont="1" applyFill="1" applyBorder="1" applyAlignment="1">
      <alignment horizontal="center" vertical="center" wrapText="1"/>
    </xf>
    <xf numFmtId="0" fontId="6" fillId="0" borderId="67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92" fillId="2" borderId="68" xfId="0" applyFont="1" applyFill="1" applyBorder="1"/>
    <xf numFmtId="0" fontId="93" fillId="2" borderId="68" xfId="0" applyFont="1" applyFill="1" applyBorder="1" applyAlignment="1">
      <alignment horizontal="right"/>
    </xf>
    <xf numFmtId="0" fontId="93" fillId="0" borderId="59" xfId="0" applyFont="1" applyBorder="1" applyAlignment="1">
      <alignment vertical="center"/>
    </xf>
    <xf numFmtId="0" fontId="93" fillId="0" borderId="74" xfId="0" applyFont="1" applyBorder="1" applyAlignment="1">
      <alignment vertical="center"/>
    </xf>
    <xf numFmtId="0" fontId="93" fillId="0" borderId="72" xfId="0" applyFont="1" applyBorder="1" applyAlignment="1">
      <alignment vertical="center"/>
    </xf>
    <xf numFmtId="0" fontId="93" fillId="0" borderId="73" xfId="0" applyFont="1" applyBorder="1" applyAlignment="1">
      <alignment vertical="center"/>
    </xf>
    <xf numFmtId="0" fontId="93" fillId="0" borderId="73" xfId="0" applyFont="1" applyBorder="1" applyAlignment="1">
      <alignment horizontal="center" vertical="center"/>
    </xf>
    <xf numFmtId="0" fontId="93" fillId="0" borderId="65" xfId="0" applyFont="1" applyBorder="1" applyAlignment="1">
      <alignment horizontal="center" vertical="center" wrapText="1"/>
    </xf>
    <xf numFmtId="0" fontId="93" fillId="0" borderId="64" xfId="0" applyFont="1" applyBorder="1" applyAlignment="1">
      <alignment horizontal="center" wrapText="1"/>
    </xf>
    <xf numFmtId="0" fontId="93" fillId="0" borderId="64" xfId="0" applyFont="1" applyBorder="1" applyAlignment="1">
      <alignment horizontal="center" vertical="center"/>
    </xf>
    <xf numFmtId="0" fontId="93" fillId="0" borderId="66" xfId="0" applyFont="1" applyBorder="1" applyAlignment="1">
      <alignment horizontal="center" vertical="center"/>
    </xf>
    <xf numFmtId="0" fontId="93" fillId="0" borderId="65" xfId="0" applyFont="1" applyBorder="1" applyAlignment="1">
      <alignment horizontal="center" vertical="center"/>
    </xf>
    <xf numFmtId="0" fontId="92" fillId="0" borderId="64" xfId="0" applyFont="1" applyBorder="1" applyAlignment="1">
      <alignment horizontal="center"/>
    </xf>
    <xf numFmtId="0" fontId="92" fillId="0" borderId="64" xfId="0" applyFont="1" applyBorder="1" applyAlignment="1">
      <alignment horizontal="center" vertical="center"/>
    </xf>
    <xf numFmtId="0" fontId="92" fillId="0" borderId="42" xfId="0" applyFont="1" applyBorder="1" applyAlignment="1">
      <alignment horizontal="center" vertical="center"/>
    </xf>
    <xf numFmtId="0" fontId="92" fillId="0" borderId="65" xfId="0" applyFont="1" applyBorder="1" applyAlignment="1">
      <alignment horizontal="center" vertical="center"/>
    </xf>
    <xf numFmtId="1" fontId="92" fillId="0" borderId="65" xfId="0" applyNumberFormat="1" applyFont="1" applyBorder="1" applyAlignment="1">
      <alignment horizontal="center" vertical="center"/>
    </xf>
    <xf numFmtId="1" fontId="92" fillId="0" borderId="45" xfId="0" applyNumberFormat="1" applyFont="1" applyBorder="1" applyAlignment="1">
      <alignment horizontal="center" vertical="center"/>
    </xf>
    <xf numFmtId="1" fontId="92" fillId="0" borderId="64" xfId="0" applyNumberFormat="1" applyFont="1" applyBorder="1" applyAlignment="1">
      <alignment horizontal="center" vertical="center"/>
    </xf>
    <xf numFmtId="1" fontId="92" fillId="0" borderId="55" xfId="0" applyNumberFormat="1" applyFont="1" applyBorder="1" applyAlignment="1">
      <alignment horizontal="center" vertical="center"/>
    </xf>
    <xf numFmtId="0" fontId="92" fillId="0" borderId="68" xfId="0" applyFont="1" applyBorder="1" applyAlignment="1">
      <alignment horizontal="center" vertical="center"/>
    </xf>
    <xf numFmtId="0" fontId="92" fillId="0" borderId="72" xfId="0" applyFont="1" applyBorder="1" applyAlignment="1">
      <alignment horizontal="center" vertical="center"/>
    </xf>
    <xf numFmtId="0" fontId="92" fillId="0" borderId="55" xfId="0" applyFont="1" applyBorder="1" applyAlignment="1">
      <alignment horizontal="center" vertical="center"/>
    </xf>
    <xf numFmtId="0" fontId="92" fillId="0" borderId="74" xfId="0" applyFont="1" applyBorder="1" applyAlignment="1">
      <alignment horizontal="center" vertical="center"/>
    </xf>
    <xf numFmtId="1" fontId="92" fillId="0" borderId="42" xfId="0" applyNumberFormat="1" applyFont="1" applyBorder="1" applyAlignment="1">
      <alignment horizontal="center" vertical="center"/>
    </xf>
    <xf numFmtId="1" fontId="92" fillId="0" borderId="0" xfId="0" applyNumberFormat="1" applyFont="1" applyAlignment="1">
      <alignment horizontal="center" vertical="center"/>
    </xf>
    <xf numFmtId="0" fontId="93" fillId="0" borderId="67" xfId="0" applyFont="1" applyBorder="1" applyAlignment="1"/>
    <xf numFmtId="0" fontId="92" fillId="0" borderId="68" xfId="0" applyFont="1" applyBorder="1" applyAlignment="1">
      <alignment horizontal="center"/>
    </xf>
    <xf numFmtId="0" fontId="92" fillId="0" borderId="70" xfId="0" applyFont="1" applyBorder="1" applyAlignment="1">
      <alignment horizontal="center"/>
    </xf>
    <xf numFmtId="0" fontId="92" fillId="0" borderId="0" xfId="0" applyFont="1" applyBorder="1" applyAlignment="1">
      <alignment horizontal="center"/>
    </xf>
    <xf numFmtId="0" fontId="92" fillId="0" borderId="0" xfId="0" applyFont="1" applyBorder="1" applyAlignment="1">
      <alignment horizontal="center" vertical="center" wrapText="1"/>
    </xf>
    <xf numFmtId="0" fontId="93" fillId="0" borderId="64" xfId="0" applyFont="1" applyBorder="1" applyAlignment="1">
      <alignment horizontal="center"/>
    </xf>
    <xf numFmtId="0" fontId="6" fillId="0" borderId="6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6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/>
    <xf numFmtId="0" fontId="41" fillId="0" borderId="67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11" fillId="29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8" fillId="2" borderId="94" xfId="0" applyFont="1" applyFill="1" applyBorder="1"/>
    <xf numFmtId="0" fontId="38" fillId="2" borderId="94" xfId="0" applyFont="1" applyFill="1" applyBorder="1" applyAlignment="1">
      <alignment horizontal="right"/>
    </xf>
    <xf numFmtId="0" fontId="78" fillId="0" borderId="119" xfId="0" applyFont="1" applyBorder="1"/>
    <xf numFmtId="0" fontId="38" fillId="0" borderId="88" xfId="0" applyFont="1" applyBorder="1" applyAlignment="1">
      <alignment horizontal="center" vertical="center"/>
    </xf>
    <xf numFmtId="0" fontId="38" fillId="0" borderId="87" xfId="0" applyFont="1" applyBorder="1" applyAlignment="1">
      <alignment horizontal="center" vertical="center"/>
    </xf>
    <xf numFmtId="0" fontId="38" fillId="0" borderId="88" xfId="0" applyFont="1" applyBorder="1" applyAlignment="1">
      <alignment horizontal="center"/>
    </xf>
    <xf numFmtId="0" fontId="38" fillId="0" borderId="88" xfId="0" applyFont="1" applyBorder="1" applyAlignment="1">
      <alignment horizontal="center" vertical="center" wrapText="1"/>
    </xf>
    <xf numFmtId="1" fontId="78" fillId="0" borderId="88" xfId="0" applyNumberFormat="1" applyFont="1" applyBorder="1" applyAlignment="1">
      <alignment horizontal="center"/>
    </xf>
    <xf numFmtId="0" fontId="78" fillId="0" borderId="87" xfId="0" applyFont="1" applyBorder="1" applyAlignment="1">
      <alignment horizontal="center"/>
    </xf>
    <xf numFmtId="1" fontId="78" fillId="0" borderId="87" xfId="0" applyNumberFormat="1" applyFont="1" applyBorder="1" applyAlignment="1">
      <alignment horizontal="center" vertical="center"/>
    </xf>
    <xf numFmtId="0" fontId="78" fillId="0" borderId="51" xfId="0" applyFont="1" applyBorder="1" applyAlignment="1">
      <alignment horizontal="center" vertical="center" wrapText="1"/>
    </xf>
    <xf numFmtId="0" fontId="102" fillId="0" borderId="15" xfId="0" applyFont="1" applyBorder="1" applyAlignment="1">
      <alignment horizontal="center" vertical="center" wrapText="1"/>
    </xf>
    <xf numFmtId="0" fontId="38" fillId="0" borderId="94" xfId="0" applyFont="1" applyBorder="1" applyAlignment="1">
      <alignment horizontal="center" vertical="center"/>
    </xf>
    <xf numFmtId="1" fontId="78" fillId="0" borderId="101" xfId="0" applyNumberFormat="1" applyFont="1" applyBorder="1" applyAlignment="1">
      <alignment horizontal="center"/>
    </xf>
    <xf numFmtId="0" fontId="78" fillId="0" borderId="100" xfId="0" applyFont="1" applyBorder="1" applyAlignment="1">
      <alignment horizontal="center" vertical="center"/>
    </xf>
    <xf numFmtId="0" fontId="78" fillId="0" borderId="94" xfId="0" applyFont="1" applyBorder="1" applyAlignment="1">
      <alignment horizontal="center" vertical="center"/>
    </xf>
    <xf numFmtId="0" fontId="78" fillId="0" borderId="106" xfId="0" applyFont="1" applyBorder="1" applyAlignment="1">
      <alignment horizontal="center" vertical="center"/>
    </xf>
    <xf numFmtId="0" fontId="78" fillId="0" borderId="103" xfId="0" applyFont="1" applyBorder="1" applyAlignment="1">
      <alignment horizontal="center" vertical="center"/>
    </xf>
    <xf numFmtId="0" fontId="78" fillId="0" borderId="108" xfId="0" applyFont="1" applyBorder="1" applyAlignment="1">
      <alignment horizontal="center" vertical="center"/>
    </xf>
    <xf numFmtId="1" fontId="78" fillId="0" borderId="54" xfId="0" applyNumberFormat="1" applyFont="1" applyBorder="1" applyAlignment="1">
      <alignment horizontal="center" vertical="center"/>
    </xf>
    <xf numFmtId="1" fontId="78" fillId="0" borderId="100" xfId="0" applyNumberFormat="1" applyFont="1" applyBorder="1" applyAlignment="1">
      <alignment horizontal="center" vertical="center"/>
    </xf>
    <xf numFmtId="1" fontId="78" fillId="0" borderId="94" xfId="0" applyNumberFormat="1" applyFont="1" applyBorder="1" applyAlignment="1">
      <alignment horizontal="center" vertical="center"/>
    </xf>
    <xf numFmtId="1" fontId="78" fillId="0" borderId="106" xfId="0" applyNumberFormat="1" applyFont="1" applyBorder="1" applyAlignment="1">
      <alignment horizontal="center" vertical="center"/>
    </xf>
    <xf numFmtId="1" fontId="78" fillId="0" borderId="103" xfId="0" applyNumberFormat="1" applyFont="1" applyBorder="1" applyAlignment="1">
      <alignment horizontal="center" vertical="center"/>
    </xf>
    <xf numFmtId="0" fontId="78" fillId="0" borderId="106" xfId="0" applyFont="1" applyBorder="1" applyAlignment="1">
      <alignment horizontal="center" vertical="center" wrapText="1"/>
    </xf>
    <xf numFmtId="0" fontId="126" fillId="0" borderId="94" xfId="0" applyFont="1" applyBorder="1" applyAlignment="1">
      <alignment horizontal="center" vertical="center"/>
    </xf>
    <xf numFmtId="0" fontId="78" fillId="0" borderId="98" xfId="0" applyFont="1" applyBorder="1" applyAlignment="1">
      <alignment horizontal="center" vertical="center" wrapText="1"/>
    </xf>
    <xf numFmtId="0" fontId="78" fillId="0" borderId="87" xfId="0" applyFont="1" applyBorder="1" applyAlignment="1">
      <alignment horizontal="center" vertical="center"/>
    </xf>
    <xf numFmtId="0" fontId="78" fillId="2" borderId="15" xfId="0" applyFont="1" applyFill="1" applyBorder="1" applyAlignment="1">
      <alignment horizontal="center" vertical="center" wrapText="1"/>
    </xf>
    <xf numFmtId="0" fontId="102" fillId="0" borderId="19" xfId="0" applyFont="1" applyBorder="1" applyAlignment="1">
      <alignment horizontal="center" vertical="center" wrapText="1"/>
    </xf>
    <xf numFmtId="0" fontId="102" fillId="0" borderId="67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8" fillId="0" borderId="94" xfId="0" applyFont="1" applyBorder="1" applyAlignment="1">
      <alignment horizontal="center"/>
    </xf>
    <xf numFmtId="0" fontId="78" fillId="0" borderId="94" xfId="0" applyFont="1" applyBorder="1" applyAlignment="1">
      <alignment horizontal="center" wrapText="1"/>
    </xf>
    <xf numFmtId="0" fontId="78" fillId="0" borderId="88" xfId="0" applyFont="1" applyBorder="1" applyAlignment="1">
      <alignment horizontal="center"/>
    </xf>
    <xf numFmtId="0" fontId="38" fillId="0" borderId="94" xfId="0" applyFont="1" applyBorder="1" applyAlignment="1">
      <alignment horizontal="center"/>
    </xf>
    <xf numFmtId="0" fontId="78" fillId="0" borderId="88" xfId="0" applyFont="1" applyBorder="1" applyAlignment="1">
      <alignment horizontal="center" wrapText="1"/>
    </xf>
    <xf numFmtId="0" fontId="38" fillId="0" borderId="88" xfId="0" applyFont="1" applyBorder="1" applyAlignment="1">
      <alignment horizontal="center" wrapText="1"/>
    </xf>
    <xf numFmtId="0" fontId="6" fillId="2" borderId="31" xfId="0" applyFont="1" applyFill="1" applyBorder="1" applyAlignment="1">
      <alignment horizontal="center" vertical="center"/>
    </xf>
    <xf numFmtId="0" fontId="131" fillId="0" borderId="67" xfId="0" applyFont="1" applyBorder="1" applyAlignment="1">
      <alignment horizontal="center" vertical="center"/>
    </xf>
    <xf numFmtId="164" fontId="131" fillId="0" borderId="67" xfId="0" applyNumberFormat="1" applyFont="1" applyBorder="1" applyAlignment="1">
      <alignment horizontal="center" vertical="center"/>
    </xf>
    <xf numFmtId="1" fontId="131" fillId="0" borderId="67" xfId="0" applyNumberFormat="1" applyFont="1" applyBorder="1" applyAlignment="1">
      <alignment horizontal="center" vertical="center"/>
    </xf>
    <xf numFmtId="0" fontId="134" fillId="0" borderId="6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31" fillId="0" borderId="0" xfId="0" applyFont="1"/>
    <xf numFmtId="1" fontId="4" fillId="2" borderId="15" xfId="0" applyNumberFormat="1" applyFont="1" applyFill="1" applyBorder="1" applyAlignment="1">
      <alignment horizontal="center" vertical="center"/>
    </xf>
    <xf numFmtId="1" fontId="131" fillId="2" borderId="67" xfId="0" applyNumberFormat="1" applyFont="1" applyFill="1" applyBorder="1" applyAlignment="1">
      <alignment horizontal="center" vertical="center"/>
    </xf>
    <xf numFmtId="0" fontId="131" fillId="2" borderId="67" xfId="0" applyFont="1" applyFill="1" applyBorder="1" applyAlignment="1">
      <alignment horizontal="center" vertical="center"/>
    </xf>
    <xf numFmtId="0" fontId="134" fillId="2" borderId="67" xfId="0" applyFont="1" applyFill="1" applyBorder="1" applyAlignment="1">
      <alignment horizontal="center" vertical="center"/>
    </xf>
    <xf numFmtId="1" fontId="131" fillId="0" borderId="71" xfId="0" applyNumberFormat="1" applyFont="1" applyFill="1" applyBorder="1" applyAlignment="1">
      <alignment horizontal="center" vertical="center"/>
    </xf>
    <xf numFmtId="164" fontId="131" fillId="0" borderId="94" xfId="0" applyNumberFormat="1" applyFont="1" applyBorder="1" applyAlignment="1">
      <alignment horizontal="center" vertical="center"/>
    </xf>
    <xf numFmtId="0" fontId="131" fillId="0" borderId="94" xfId="0" applyFont="1" applyBorder="1" applyAlignment="1">
      <alignment horizontal="center" vertical="center"/>
    </xf>
    <xf numFmtId="1" fontId="131" fillId="0" borderId="94" xfId="0" applyNumberFormat="1" applyFont="1" applyBorder="1" applyAlignment="1">
      <alignment horizontal="center" vertical="center"/>
    </xf>
    <xf numFmtId="0" fontId="134" fillId="0" borderId="94" xfId="0" applyFont="1" applyBorder="1" applyAlignment="1">
      <alignment horizontal="center" vertical="center"/>
    </xf>
    <xf numFmtId="0" fontId="131" fillId="0" borderId="71" xfId="0" applyFont="1" applyFill="1" applyBorder="1" applyAlignment="1">
      <alignment horizontal="center" vertical="center"/>
    </xf>
    <xf numFmtId="164" fontId="131" fillId="30" borderId="67" xfId="0" applyNumberFormat="1" applyFont="1" applyFill="1" applyBorder="1" applyAlignment="1">
      <alignment horizontal="center" vertical="center"/>
    </xf>
    <xf numFmtId="0" fontId="131" fillId="30" borderId="67" xfId="0" applyFont="1" applyFill="1" applyBorder="1" applyAlignment="1">
      <alignment horizontal="center" vertical="center"/>
    </xf>
    <xf numFmtId="1" fontId="131" fillId="30" borderId="67" xfId="0" applyNumberFormat="1" applyFont="1" applyFill="1" applyBorder="1" applyAlignment="1">
      <alignment horizontal="center" vertical="center"/>
    </xf>
    <xf numFmtId="164" fontId="131" fillId="0" borderId="67" xfId="0" applyNumberFormat="1" applyFont="1" applyFill="1" applyBorder="1" applyAlignment="1">
      <alignment horizontal="center" vertical="center"/>
    </xf>
    <xf numFmtId="0" fontId="135" fillId="0" borderId="15" xfId="0" applyFont="1" applyBorder="1" applyAlignment="1">
      <alignment horizontal="center" vertical="center" wrapText="1"/>
    </xf>
    <xf numFmtId="164" fontId="131" fillId="0" borderId="71" xfId="0" applyNumberFormat="1" applyFont="1" applyFill="1" applyBorder="1" applyAlignment="1">
      <alignment horizontal="center" vertical="center"/>
    </xf>
    <xf numFmtId="164" fontId="131" fillId="2" borderId="67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34" fillId="30" borderId="67" xfId="0" applyFont="1" applyFill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164" fontId="131" fillId="0" borderId="0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131" fillId="0" borderId="0" xfId="0" applyFont="1" applyBorder="1" applyAlignment="1">
      <alignment horizontal="center" vertical="center"/>
    </xf>
    <xf numFmtId="2" fontId="5" fillId="0" borderId="0" xfId="0" applyNumberFormat="1" applyFont="1"/>
    <xf numFmtId="0" fontId="17" fillId="0" borderId="0" xfId="0" applyFont="1"/>
    <xf numFmtId="0" fontId="6" fillId="0" borderId="94" xfId="0" applyFont="1" applyBorder="1" applyAlignment="1">
      <alignment horizontal="center"/>
    </xf>
    <xf numFmtId="0" fontId="131" fillId="0" borderId="87" xfId="0" applyFont="1" applyBorder="1" applyAlignment="1">
      <alignment horizontal="center" vertical="center" wrapText="1"/>
    </xf>
    <xf numFmtId="0" fontId="131" fillId="0" borderId="88" xfId="0" applyFont="1" applyBorder="1" applyAlignment="1">
      <alignment horizontal="center" vertical="center" wrapText="1"/>
    </xf>
    <xf numFmtId="0" fontId="131" fillId="0" borderId="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0" borderId="88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/>
    <xf numFmtId="0" fontId="6" fillId="0" borderId="6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6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Border="1"/>
    <xf numFmtId="1" fontId="5" fillId="0" borderId="0" xfId="0" applyNumberFormat="1" applyFont="1" applyAlignment="1">
      <alignment horizontal="center"/>
    </xf>
    <xf numFmtId="0" fontId="41" fillId="0" borderId="67" xfId="0" applyFont="1" applyBorder="1" applyAlignment="1">
      <alignment horizontal="left" vertical="center" wrapText="1"/>
    </xf>
    <xf numFmtId="0" fontId="0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43" fillId="2" borderId="18" xfId="0" applyFont="1" applyFill="1" applyBorder="1" applyAlignment="1">
      <alignment horizontal="center" vertical="center" wrapText="1"/>
    </xf>
    <xf numFmtId="0" fontId="11" fillId="0" borderId="142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77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1" fillId="0" borderId="163" xfId="0" applyFont="1" applyBorder="1" applyAlignment="1">
      <alignment horizontal="center" vertical="center" wrapText="1"/>
    </xf>
    <xf numFmtId="0" fontId="15" fillId="0" borderId="15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49" fontId="6" fillId="2" borderId="0" xfId="0" applyNumberFormat="1" applyFont="1" applyFill="1"/>
    <xf numFmtId="1" fontId="5" fillId="2" borderId="0" xfId="0" applyNumberFormat="1" applyFont="1" applyFill="1"/>
    <xf numFmtId="0" fontId="6" fillId="2" borderId="0" xfId="0" applyFont="1" applyFill="1"/>
    <xf numFmtId="1" fontId="5" fillId="0" borderId="0" xfId="0" applyNumberFormat="1" applyFont="1"/>
    <xf numFmtId="49" fontId="5" fillId="2" borderId="0" xfId="0" applyNumberFormat="1" applyFont="1" applyFill="1"/>
    <xf numFmtId="0" fontId="5" fillId="2" borderId="67" xfId="0" applyFont="1" applyFill="1" applyBorder="1"/>
    <xf numFmtId="0" fontId="5" fillId="2" borderId="67" xfId="0" applyFont="1" applyFill="1" applyBorder="1" applyAlignment="1">
      <alignment horizontal="right"/>
    </xf>
    <xf numFmtId="1" fontId="4" fillId="0" borderId="67" xfId="0" applyNumberFormat="1" applyFont="1" applyBorder="1" applyAlignment="1">
      <alignment horizontal="center" vertical="center"/>
    </xf>
    <xf numFmtId="0" fontId="5" fillId="2" borderId="67" xfId="0" applyFont="1" applyFill="1" applyBorder="1" applyAlignment="1">
      <alignment horizontal="center"/>
    </xf>
    <xf numFmtId="164" fontId="5" fillId="0" borderId="67" xfId="0" applyNumberFormat="1" applyFont="1" applyBorder="1" applyAlignment="1">
      <alignment horizontal="center"/>
    </xf>
    <xf numFmtId="1" fontId="5" fillId="0" borderId="67" xfId="0" applyNumberFormat="1" applyFont="1" applyBorder="1"/>
    <xf numFmtId="0" fontId="5" fillId="0" borderId="158" xfId="0" applyFont="1" applyBorder="1" applyAlignment="1">
      <alignment horizontal="center"/>
    </xf>
    <xf numFmtId="1" fontId="5" fillId="0" borderId="158" xfId="0" applyNumberFormat="1" applyFont="1" applyBorder="1" applyAlignment="1">
      <alignment horizontal="center"/>
    </xf>
    <xf numFmtId="0" fontId="5" fillId="0" borderId="64" xfId="0" applyFont="1" applyBorder="1"/>
    <xf numFmtId="164" fontId="5" fillId="0" borderId="67" xfId="0" applyNumberFormat="1" applyFont="1" applyBorder="1"/>
    <xf numFmtId="0" fontId="17" fillId="0" borderId="67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" fillId="0" borderId="0" xfId="0" applyFont="1"/>
    <xf numFmtId="0" fontId="15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/>
    </xf>
    <xf numFmtId="2" fontId="4" fillId="0" borderId="0" xfId="0" applyNumberFormat="1" applyFont="1" applyBorder="1"/>
    <xf numFmtId="0" fontId="17" fillId="0" borderId="0" xfId="0" applyFont="1" applyBorder="1" applyAlignment="1">
      <alignment horizontal="center"/>
    </xf>
    <xf numFmtId="1" fontId="52" fillId="0" borderId="67" xfId="0" applyNumberFormat="1" applyFont="1" applyBorder="1" applyAlignment="1">
      <alignment horizontal="center" vertical="center"/>
    </xf>
    <xf numFmtId="0" fontId="52" fillId="0" borderId="67" xfId="0" applyFont="1" applyBorder="1" applyAlignment="1">
      <alignment horizontal="center"/>
    </xf>
    <xf numFmtId="0" fontId="53" fillId="2" borderId="67" xfId="0" applyFont="1" applyFill="1" applyBorder="1" applyAlignment="1">
      <alignment horizontal="center"/>
    </xf>
    <xf numFmtId="49" fontId="53" fillId="2" borderId="64" xfId="0" applyNumberFormat="1" applyFont="1" applyFill="1" applyBorder="1" applyAlignment="1">
      <alignment horizontal="center"/>
    </xf>
    <xf numFmtId="0" fontId="53" fillId="2" borderId="158" xfId="0" applyFont="1" applyFill="1" applyBorder="1" applyAlignment="1">
      <alignment horizontal="center"/>
    </xf>
    <xf numFmtId="2" fontId="56" fillId="0" borderId="0" xfId="0" applyNumberFormat="1" applyFont="1" applyBorder="1" applyAlignment="1"/>
    <xf numFmtId="0" fontId="52" fillId="0" borderId="0" xfId="0" applyFont="1" applyBorder="1"/>
    <xf numFmtId="2" fontId="53" fillId="0" borderId="158" xfId="0" applyNumberFormat="1" applyFont="1" applyBorder="1" applyAlignment="1">
      <alignment horizontal="center"/>
    </xf>
    <xf numFmtId="0" fontId="132" fillId="0" borderId="67" xfId="0" applyFont="1" applyBorder="1" applyAlignment="1">
      <alignment horizontal="center" vertical="center"/>
    </xf>
    <xf numFmtId="0" fontId="132" fillId="2" borderId="67" xfId="0" applyFont="1" applyFill="1" applyBorder="1" applyAlignment="1">
      <alignment horizontal="center" vertical="center"/>
    </xf>
    <xf numFmtId="0" fontId="132" fillId="2" borderId="67" xfId="0" applyFont="1" applyFill="1" applyBorder="1" applyAlignment="1">
      <alignment horizontal="center" vertical="top" wrapText="1"/>
    </xf>
    <xf numFmtId="0" fontId="132" fillId="0" borderId="67" xfId="0" applyFont="1" applyBorder="1" applyAlignment="1">
      <alignment horizontal="center"/>
    </xf>
    <xf numFmtId="0" fontId="132" fillId="2" borderId="67" xfId="0" applyFont="1" applyFill="1" applyBorder="1" applyAlignment="1">
      <alignment horizontal="center"/>
    </xf>
    <xf numFmtId="0" fontId="132" fillId="2" borderId="70" xfId="0" applyFont="1" applyFill="1" applyBorder="1" applyAlignment="1">
      <alignment horizontal="center"/>
    </xf>
    <xf numFmtId="0" fontId="132" fillId="2" borderId="65" xfId="0" applyFont="1" applyFill="1" applyBorder="1" applyAlignment="1">
      <alignment horizontal="center"/>
    </xf>
    <xf numFmtId="0" fontId="131" fillId="0" borderId="158" xfId="0" applyFont="1" applyBorder="1" applyAlignment="1">
      <alignment horizontal="center" vertical="center"/>
    </xf>
    <xf numFmtId="0" fontId="131" fillId="2" borderId="71" xfId="0" applyFont="1" applyFill="1" applyBorder="1" applyAlignment="1">
      <alignment horizontal="center" vertical="center"/>
    </xf>
    <xf numFmtId="0" fontId="131" fillId="2" borderId="158" xfId="0" applyFont="1" applyFill="1" applyBorder="1" applyAlignment="1">
      <alignment horizontal="center" vertical="center"/>
    </xf>
    <xf numFmtId="0" fontId="131" fillId="2" borderId="0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67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4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67" xfId="0" applyFont="1" applyBorder="1" applyAlignment="1">
      <alignment horizontal="center" wrapText="1"/>
    </xf>
    <xf numFmtId="0" fontId="6" fillId="0" borderId="67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70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64" xfId="0" applyFont="1" applyBorder="1" applyAlignment="1">
      <alignment horizontal="center"/>
    </xf>
    <xf numFmtId="0" fontId="7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wrapText="1"/>
    </xf>
    <xf numFmtId="0" fontId="6" fillId="0" borderId="67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7" fillId="0" borderId="64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7" fillId="26" borderId="67" xfId="0" applyFont="1" applyFill="1" applyBorder="1" applyAlignment="1">
      <alignment horizontal="center"/>
    </xf>
    <xf numFmtId="0" fontId="107" fillId="26" borderId="47" xfId="0" applyFont="1" applyFill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/>
    </xf>
    <xf numFmtId="0" fontId="6" fillId="2" borderId="67" xfId="0" applyFont="1" applyFill="1" applyBorder="1" applyAlignment="1">
      <alignment horizontal="right"/>
    </xf>
    <xf numFmtId="0" fontId="1" fillId="0" borderId="67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/>
    </xf>
    <xf numFmtId="0" fontId="10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84" fillId="0" borderId="67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39" fillId="0" borderId="0" xfId="0" applyFont="1"/>
    <xf numFmtId="0" fontId="0" fillId="0" borderId="0" xfId="0" applyAlignment="1">
      <alignment horizontal="left" vertical="center" indent="1"/>
    </xf>
    <xf numFmtId="0" fontId="2" fillId="0" borderId="20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6" fillId="0" borderId="31" xfId="0" applyFont="1" applyBorder="1" applyAlignment="1"/>
    <xf numFmtId="0" fontId="6" fillId="0" borderId="0" xfId="0" applyFont="1" applyAlignment="1">
      <alignment horizontal="right" vertical="center" wrapText="1"/>
    </xf>
    <xf numFmtId="0" fontId="8" fillId="0" borderId="158" xfId="0" applyFont="1" applyBorder="1" applyAlignment="1">
      <alignment horizontal="center"/>
    </xf>
    <xf numFmtId="0" fontId="40" fillId="0" borderId="67" xfId="0" applyFont="1" applyBorder="1" applyAlignment="1">
      <alignment horizontal="center"/>
    </xf>
    <xf numFmtId="0" fontId="136" fillId="0" borderId="19" xfId="0" applyFont="1" applyBorder="1" applyAlignment="1">
      <alignment horizontal="center"/>
    </xf>
    <xf numFmtId="0" fontId="136" fillId="0" borderId="61" xfId="0" applyFont="1" applyBorder="1" applyAlignment="1">
      <alignment horizontal="center"/>
    </xf>
    <xf numFmtId="0" fontId="136" fillId="0" borderId="67" xfId="0" applyFont="1" applyBorder="1" applyAlignment="1">
      <alignment horizontal="center"/>
    </xf>
    <xf numFmtId="0" fontId="3" fillId="0" borderId="88" xfId="0" applyFont="1" applyBorder="1" applyAlignment="1">
      <alignment horizontal="center"/>
    </xf>
    <xf numFmtId="0" fontId="120" fillId="0" borderId="15" xfId="0" applyFont="1" applyBorder="1" applyAlignment="1">
      <alignment horizontal="center"/>
    </xf>
    <xf numFmtId="0" fontId="6" fillId="0" borderId="120" xfId="0" applyFont="1" applyBorder="1" applyAlignment="1">
      <alignment horizontal="center" vertical="center" wrapText="1"/>
    </xf>
    <xf numFmtId="0" fontId="6" fillId="0" borderId="134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/>
    </xf>
    <xf numFmtId="0" fontId="6" fillId="0" borderId="45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/>
    </xf>
    <xf numFmtId="0" fontId="6" fillId="0" borderId="115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125" xfId="0" applyFont="1" applyBorder="1" applyAlignment="1">
      <alignment horizontal="center" vertical="center"/>
    </xf>
    <xf numFmtId="1" fontId="5" fillId="0" borderId="54" xfId="0" applyNumberFormat="1" applyFont="1" applyBorder="1" applyAlignment="1">
      <alignment horizontal="center"/>
    </xf>
    <xf numFmtId="0" fontId="4" fillId="0" borderId="65" xfId="0" applyFont="1" applyBorder="1" applyAlignment="1">
      <alignment horizontal="center" vertical="center"/>
    </xf>
    <xf numFmtId="0" fontId="5" fillId="0" borderId="99" xfId="0" applyFont="1" applyBorder="1" applyAlignment="1">
      <alignment horizontal="center"/>
    </xf>
    <xf numFmtId="0" fontId="5" fillId="0" borderId="116" xfId="0" applyFont="1" applyBorder="1" applyAlignment="1">
      <alignment horizontal="center"/>
    </xf>
    <xf numFmtId="0" fontId="5" fillId="0" borderId="51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 wrapText="1"/>
    </xf>
    <xf numFmtId="1" fontId="5" fillId="0" borderId="39" xfId="0" applyNumberFormat="1" applyFont="1" applyBorder="1" applyAlignment="1">
      <alignment horizontal="center" vertical="center"/>
    </xf>
    <xf numFmtId="1" fontId="5" fillId="0" borderId="51" xfId="0" applyNumberFormat="1" applyFont="1" applyBorder="1" applyAlignment="1">
      <alignment horizontal="center" vertical="center"/>
    </xf>
    <xf numFmtId="1" fontId="5" fillId="0" borderId="86" xfId="0" applyNumberFormat="1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6" fillId="0" borderId="121" xfId="0" applyFont="1" applyBorder="1" applyAlignment="1">
      <alignment horizontal="center" vertical="center"/>
    </xf>
    <xf numFmtId="1" fontId="5" fillId="0" borderId="125" xfId="0" applyNumberFormat="1" applyFont="1" applyBorder="1" applyAlignment="1">
      <alignment horizontal="center"/>
    </xf>
    <xf numFmtId="0" fontId="5" fillId="0" borderId="118" xfId="0" applyFont="1" applyBorder="1" applyAlignment="1">
      <alignment horizontal="center" vertical="center"/>
    </xf>
    <xf numFmtId="0" fontId="5" fillId="0" borderId="121" xfId="0" applyFont="1" applyBorder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0" fontId="5" fillId="0" borderId="123" xfId="0" applyFont="1" applyBorder="1" applyAlignment="1">
      <alignment horizontal="center" vertical="center"/>
    </xf>
    <xf numFmtId="0" fontId="5" fillId="0" borderId="124" xfId="0" applyFont="1" applyBorder="1" applyAlignment="1">
      <alignment horizontal="center" vertical="center"/>
    </xf>
    <xf numFmtId="1" fontId="5" fillId="0" borderId="122" xfId="0" applyNumberFormat="1" applyFont="1" applyBorder="1" applyAlignment="1">
      <alignment horizontal="center" vertical="center"/>
    </xf>
    <xf numFmtId="1" fontId="5" fillId="0" borderId="118" xfId="0" applyNumberFormat="1" applyFont="1" applyBorder="1" applyAlignment="1">
      <alignment horizontal="center" vertical="center"/>
    </xf>
    <xf numFmtId="1" fontId="5" fillId="0" borderId="123" xfId="0" applyNumberFormat="1" applyFont="1" applyBorder="1" applyAlignment="1">
      <alignment horizontal="center" vertical="center"/>
    </xf>
    <xf numFmtId="0" fontId="5" fillId="0" borderId="127" xfId="0" applyFont="1" applyBorder="1" applyAlignment="1">
      <alignment horizontal="center" vertical="center"/>
    </xf>
    <xf numFmtId="1" fontId="5" fillId="0" borderId="64" xfId="0" applyNumberFormat="1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1" fontId="5" fillId="0" borderId="115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70" xfId="0" applyNumberFormat="1" applyFont="1" applyBorder="1" applyAlignment="1">
      <alignment horizontal="center" vertical="center"/>
    </xf>
    <xf numFmtId="1" fontId="5" fillId="0" borderId="69" xfId="0" applyNumberFormat="1" applyFont="1" applyBorder="1" applyAlignment="1">
      <alignment horizontal="center" vertical="center"/>
    </xf>
    <xf numFmtId="1" fontId="5" fillId="0" borderId="97" xfId="0" applyNumberFormat="1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1" fontId="5" fillId="0" borderId="98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118" xfId="0" applyFont="1" applyBorder="1" applyAlignment="1">
      <alignment horizontal="center"/>
    </xf>
    <xf numFmtId="0" fontId="5" fillId="0" borderId="118" xfId="0" applyFont="1" applyBorder="1" applyAlignment="1">
      <alignment horizontal="center" wrapText="1"/>
    </xf>
    <xf numFmtId="0" fontId="6" fillId="0" borderId="118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69" xfId="0" applyFont="1" applyBorder="1" applyAlignment="1">
      <alignment horizontal="center" wrapText="1"/>
    </xf>
    <xf numFmtId="0" fontId="5" fillId="0" borderId="64" xfId="0" applyFont="1" applyBorder="1" applyAlignment="1">
      <alignment horizontal="center" wrapText="1"/>
    </xf>
    <xf numFmtId="0" fontId="2" fillId="0" borderId="7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wrapText="1"/>
    </xf>
    <xf numFmtId="0" fontId="5" fillId="0" borderId="67" xfId="0" applyFont="1" applyBorder="1" applyAlignment="1">
      <alignment horizontal="center"/>
    </xf>
    <xf numFmtId="0" fontId="43" fillId="0" borderId="67" xfId="0" applyFont="1" applyBorder="1" applyAlignment="1">
      <alignment horizontal="center" vertical="center" wrapText="1"/>
    </xf>
    <xf numFmtId="2" fontId="46" fillId="0" borderId="2" xfId="0" applyNumberFormat="1" applyFont="1" applyFill="1" applyBorder="1" applyAlignment="1">
      <alignment horizontal="center"/>
    </xf>
    <xf numFmtId="165" fontId="92" fillId="0" borderId="67" xfId="0" applyNumberFormat="1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40" fillId="0" borderId="67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15" fillId="0" borderId="142" xfId="0" applyFont="1" applyBorder="1" applyAlignment="1">
      <alignment horizontal="center"/>
    </xf>
    <xf numFmtId="2" fontId="2" fillId="0" borderId="163" xfId="0" applyNumberFormat="1" applyFont="1" applyBorder="1" applyAlignment="1">
      <alignment horizontal="center" vertical="center"/>
    </xf>
    <xf numFmtId="0" fontId="89" fillId="0" borderId="142" xfId="0" applyFont="1" applyBorder="1" applyAlignment="1">
      <alignment horizontal="center"/>
    </xf>
    <xf numFmtId="0" fontId="89" fillId="0" borderId="19" xfId="0" applyFont="1" applyBorder="1" applyAlignment="1">
      <alignment horizontal="center"/>
    </xf>
    <xf numFmtId="2" fontId="89" fillId="0" borderId="163" xfId="0" applyNumberFormat="1" applyFont="1" applyBorder="1" applyAlignment="1">
      <alignment horizontal="center" vertical="center"/>
    </xf>
    <xf numFmtId="2" fontId="89" fillId="0" borderId="20" xfId="0" applyNumberFormat="1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67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wrapText="1"/>
    </xf>
    <xf numFmtId="0" fontId="67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67" fillId="0" borderId="67" xfId="0" applyFont="1" applyBorder="1" applyAlignment="1">
      <alignment horizontal="center" vertical="center"/>
    </xf>
    <xf numFmtId="0" fontId="66" fillId="0" borderId="69" xfId="0" applyFont="1" applyBorder="1" applyAlignment="1">
      <alignment horizontal="center" vertical="center"/>
    </xf>
    <xf numFmtId="0" fontId="66" fillId="0" borderId="31" xfId="0" applyFont="1" applyBorder="1" applyAlignment="1">
      <alignment horizontal="center"/>
    </xf>
    <xf numFmtId="0" fontId="6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56" fillId="0" borderId="16" xfId="0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2" fontId="56" fillId="0" borderId="20" xfId="0" applyNumberFormat="1" applyFont="1" applyBorder="1" applyAlignment="1">
      <alignment horizontal="center" vertical="center"/>
    </xf>
    <xf numFmtId="0" fontId="130" fillId="0" borderId="67" xfId="0" applyFont="1" applyBorder="1" applyAlignment="1">
      <alignment horizontal="center" vertical="center"/>
    </xf>
    <xf numFmtId="0" fontId="6" fillId="0" borderId="47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49" fontId="5" fillId="2" borderId="10" xfId="0" applyNumberFormat="1" applyFont="1" applyFill="1" applyBorder="1" applyAlignment="1"/>
    <xf numFmtId="49" fontId="5" fillId="2" borderId="13" xfId="0" applyNumberFormat="1" applyFont="1" applyFill="1" applyBorder="1" applyAlignment="1"/>
    <xf numFmtId="49" fontId="5" fillId="2" borderId="3" xfId="0" applyNumberFormat="1" applyFont="1" applyFill="1" applyBorder="1" applyAlignment="1"/>
    <xf numFmtId="49" fontId="5" fillId="2" borderId="14" xfId="0" applyNumberFormat="1" applyFont="1" applyFill="1" applyBorder="1" applyAlignment="1"/>
    <xf numFmtId="2" fontId="138" fillId="0" borderId="2" xfId="0" applyNumberFormat="1" applyFont="1" applyBorder="1" applyAlignment="1">
      <alignment horizontal="center" vertical="center"/>
    </xf>
    <xf numFmtId="2" fontId="6" fillId="0" borderId="67" xfId="0" applyNumberFormat="1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7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7" fillId="0" borderId="64" xfId="0" applyFont="1" applyBorder="1" applyAlignment="1">
      <alignment horizontal="center" vertical="center"/>
    </xf>
    <xf numFmtId="0" fontId="6" fillId="2" borderId="67" xfId="0" applyFont="1" applyFill="1" applyBorder="1" applyAlignment="1">
      <alignment horizontal="right"/>
    </xf>
    <xf numFmtId="0" fontId="7" fillId="0" borderId="6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78" fillId="2" borderId="170" xfId="0" applyFont="1" applyFill="1" applyBorder="1"/>
    <xf numFmtId="0" fontId="38" fillId="2" borderId="170" xfId="0" applyFont="1" applyFill="1" applyBorder="1" applyAlignment="1">
      <alignment horizontal="right"/>
    </xf>
    <xf numFmtId="0" fontId="38" fillId="2" borderId="174" xfId="0" applyFont="1" applyFill="1" applyBorder="1" applyAlignment="1">
      <alignment horizontal="right"/>
    </xf>
    <xf numFmtId="0" fontId="66" fillId="0" borderId="54" xfId="0" applyFont="1" applyBorder="1" applyAlignment="1">
      <alignment horizontal="center"/>
    </xf>
    <xf numFmtId="0" fontId="7" fillId="0" borderId="54" xfId="0" applyFont="1" applyBorder="1" applyAlignment="1">
      <alignment horizontal="center" vertical="center" wrapText="1"/>
    </xf>
    <xf numFmtId="0" fontId="7" fillId="0" borderId="115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66" fillId="0" borderId="151" xfId="0" applyFont="1" applyBorder="1" applyAlignment="1">
      <alignment horizontal="center" vertical="center"/>
    </xf>
    <xf numFmtId="1" fontId="67" fillId="0" borderId="54" xfId="0" applyNumberFormat="1" applyFont="1" applyBorder="1" applyAlignment="1">
      <alignment horizontal="center"/>
    </xf>
    <xf numFmtId="0" fontId="17" fillId="0" borderId="65" xfId="0" applyFont="1" applyBorder="1" applyAlignment="1">
      <alignment horizontal="center" vertical="center"/>
    </xf>
    <xf numFmtId="0" fontId="139" fillId="0" borderId="15" xfId="0" applyFont="1" applyBorder="1" applyAlignment="1">
      <alignment horizontal="center"/>
    </xf>
    <xf numFmtId="1" fontId="5" fillId="0" borderId="66" xfId="0" applyNumberFormat="1" applyFont="1" applyBorder="1" applyAlignment="1">
      <alignment horizontal="center" vertical="center"/>
    </xf>
    <xf numFmtId="0" fontId="67" fillId="0" borderId="54" xfId="0" applyFont="1" applyBorder="1" applyAlignment="1">
      <alignment horizontal="center" vertical="center" wrapText="1"/>
    </xf>
    <xf numFmtId="0" fontId="19" fillId="0" borderId="67" xfId="0" applyFont="1" applyBorder="1" applyAlignment="1">
      <alignment horizontal="center"/>
    </xf>
    <xf numFmtId="0" fontId="66" fillId="0" borderId="171" xfId="0" applyFont="1" applyBorder="1" applyAlignment="1">
      <alignment horizontal="center" vertical="center"/>
    </xf>
    <xf numFmtId="1" fontId="67" fillId="0" borderId="151" xfId="0" applyNumberFormat="1" applyFont="1" applyBorder="1" applyAlignment="1">
      <alignment horizontal="center"/>
    </xf>
    <xf numFmtId="0" fontId="8" fillId="0" borderId="173" xfId="0" applyFont="1" applyBorder="1" applyAlignment="1">
      <alignment horizontal="center" vertical="center"/>
    </xf>
    <xf numFmtId="0" fontId="8" fillId="0" borderId="174" xfId="0" applyFont="1" applyBorder="1" applyAlignment="1">
      <alignment horizontal="center" vertical="center"/>
    </xf>
    <xf numFmtId="0" fontId="8" fillId="0" borderId="171" xfId="0" applyFont="1" applyBorder="1" applyAlignment="1">
      <alignment horizontal="center" vertical="center"/>
    </xf>
    <xf numFmtId="0" fontId="8" fillId="0" borderId="147" xfId="0" applyFont="1" applyBorder="1" applyAlignment="1">
      <alignment horizontal="center" vertical="center"/>
    </xf>
    <xf numFmtId="0" fontId="8" fillId="0" borderId="148" xfId="0" applyFont="1" applyBorder="1" applyAlignment="1">
      <alignment horizontal="center" vertical="center"/>
    </xf>
    <xf numFmtId="0" fontId="8" fillId="0" borderId="175" xfId="0" applyFont="1" applyBorder="1" applyAlignment="1">
      <alignment horizontal="center" vertical="center"/>
    </xf>
    <xf numFmtId="0" fontId="139" fillId="0" borderId="20" xfId="0" applyFont="1" applyBorder="1" applyAlignment="1">
      <alignment horizontal="center"/>
    </xf>
    <xf numFmtId="1" fontId="8" fillId="0" borderId="147" xfId="0" applyNumberFormat="1" applyFont="1" applyBorder="1" applyAlignment="1">
      <alignment horizontal="center" vertical="center"/>
    </xf>
    <xf numFmtId="1" fontId="8" fillId="0" borderId="170" xfId="0" applyNumberFormat="1" applyFont="1" applyBorder="1" applyAlignment="1">
      <alignment horizontal="center" vertical="center"/>
    </xf>
    <xf numFmtId="1" fontId="8" fillId="0" borderId="148" xfId="0" applyNumberFormat="1" applyFont="1" applyBorder="1" applyAlignment="1">
      <alignment horizontal="center" vertical="center"/>
    </xf>
    <xf numFmtId="0" fontId="5" fillId="0" borderId="172" xfId="0" applyFont="1" applyBorder="1" applyAlignment="1">
      <alignment horizontal="center" vertical="center"/>
    </xf>
    <xf numFmtId="1" fontId="8" fillId="0" borderId="65" xfId="0" applyNumberFormat="1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1" fontId="67" fillId="0" borderId="115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69" fillId="0" borderId="51" xfId="0" applyFont="1" applyBorder="1" applyAlignment="1">
      <alignment horizontal="center" vertical="center"/>
    </xf>
    <xf numFmtId="0" fontId="69" fillId="0" borderId="39" xfId="0" applyFont="1" applyBorder="1" applyAlignment="1">
      <alignment horizontal="center" vertical="center"/>
    </xf>
    <xf numFmtId="0" fontId="139" fillId="32" borderId="20" xfId="0" applyFont="1" applyFill="1" applyBorder="1" applyAlignment="1">
      <alignment horizontal="center"/>
    </xf>
    <xf numFmtId="1" fontId="8" fillId="0" borderId="173" xfId="0" applyNumberFormat="1" applyFont="1" applyBorder="1" applyAlignment="1">
      <alignment horizontal="center" vertical="center"/>
    </xf>
    <xf numFmtId="0" fontId="8" fillId="0" borderId="170" xfId="0" applyFont="1" applyBorder="1" applyAlignment="1">
      <alignment horizontal="center" vertical="center"/>
    </xf>
    <xf numFmtId="1" fontId="67" fillId="0" borderId="58" xfId="0" applyNumberFormat="1" applyFont="1" applyBorder="1" applyAlignment="1">
      <alignment horizontal="center"/>
    </xf>
    <xf numFmtId="0" fontId="5" fillId="0" borderId="171" xfId="0" applyFont="1" applyBorder="1" applyAlignment="1">
      <alignment horizontal="center" vertical="center"/>
    </xf>
    <xf numFmtId="0" fontId="66" fillId="0" borderId="0" xfId="0" applyFont="1" applyAlignment="1">
      <alignment horizontal="right" vertical="center" wrapText="1"/>
    </xf>
    <xf numFmtId="1" fontId="67" fillId="0" borderId="67" xfId="0" applyNumberFormat="1" applyFont="1" applyFill="1" applyBorder="1" applyAlignment="1">
      <alignment horizontal="center" vertical="center"/>
    </xf>
    <xf numFmtId="0" fontId="67" fillId="0" borderId="120" xfId="0" applyFont="1" applyBorder="1" applyAlignment="1">
      <alignment horizontal="center" vertical="center"/>
    </xf>
    <xf numFmtId="0" fontId="67" fillId="0" borderId="58" xfId="0" applyFont="1" applyBorder="1" applyAlignment="1">
      <alignment horizontal="center" vertical="center"/>
    </xf>
    <xf numFmtId="0" fontId="66" fillId="0" borderId="54" xfId="0" applyFont="1" applyBorder="1" applyAlignment="1">
      <alignment horizontal="center" vertical="center" wrapText="1"/>
    </xf>
    <xf numFmtId="0" fontId="67" fillId="0" borderId="170" xfId="0" applyFont="1" applyBorder="1" applyAlignment="1">
      <alignment horizontal="center"/>
    </xf>
    <xf numFmtId="0" fontId="67" fillId="0" borderId="170" xfId="0" applyFont="1" applyBorder="1" applyAlignment="1">
      <alignment horizontal="center" wrapText="1"/>
    </xf>
    <xf numFmtId="0" fontId="67" fillId="0" borderId="64" xfId="0" applyFont="1" applyBorder="1" applyAlignment="1">
      <alignment horizontal="center"/>
    </xf>
    <xf numFmtId="0" fontId="66" fillId="0" borderId="170" xfId="0" applyFont="1" applyBorder="1" applyAlignment="1">
      <alignment horizontal="center"/>
    </xf>
    <xf numFmtId="0" fontId="66" fillId="0" borderId="65" xfId="0" applyFont="1" applyBorder="1" applyAlignment="1">
      <alignment vertical="center"/>
    </xf>
    <xf numFmtId="0" fontId="66" fillId="0" borderId="65" xfId="0" applyFont="1" applyBorder="1" applyAlignment="1"/>
    <xf numFmtId="0" fontId="67" fillId="0" borderId="64" xfId="0" applyFont="1" applyBorder="1" applyAlignment="1">
      <alignment horizontal="center" wrapText="1"/>
    </xf>
    <xf numFmtId="0" fontId="66" fillId="0" borderId="64" xfId="0" applyFont="1" applyBorder="1" applyAlignment="1">
      <alignment horizontal="center"/>
    </xf>
    <xf numFmtId="0" fontId="66" fillId="0" borderId="64" xfId="0" applyFont="1" applyBorder="1" applyAlignment="1">
      <alignment horizontal="center" vertical="center" wrapText="1"/>
    </xf>
    <xf numFmtId="2" fontId="113" fillId="0" borderId="67" xfId="0" applyNumberFormat="1" applyFont="1" applyBorder="1" applyAlignment="1">
      <alignment horizontal="center" vertical="center"/>
    </xf>
    <xf numFmtId="0" fontId="6" fillId="0" borderId="172" xfId="0" applyFont="1" applyBorder="1" applyAlignment="1">
      <alignment horizontal="center" vertical="center"/>
    </xf>
    <xf numFmtId="2" fontId="140" fillId="0" borderId="67" xfId="0" applyNumberFormat="1" applyFont="1" applyBorder="1" applyAlignment="1">
      <alignment horizontal="center" vertical="center"/>
    </xf>
    <xf numFmtId="0" fontId="5" fillId="2" borderId="174" xfId="0" applyFont="1" applyFill="1" applyBorder="1"/>
    <xf numFmtId="0" fontId="6" fillId="2" borderId="174" xfId="0" applyFont="1" applyFill="1" applyBorder="1" applyAlignment="1">
      <alignment horizontal="right"/>
    </xf>
    <xf numFmtId="0" fontId="6" fillId="2" borderId="179" xfId="0" applyFont="1" applyFill="1" applyBorder="1" applyAlignment="1">
      <alignment horizontal="right"/>
    </xf>
    <xf numFmtId="0" fontId="6" fillId="0" borderId="38" xfId="0" applyFont="1" applyBorder="1" applyAlignment="1"/>
    <xf numFmtId="0" fontId="7" fillId="0" borderId="99" xfId="0" applyFont="1" applyBorder="1" applyAlignment="1">
      <alignment horizontal="center" vertical="center" wrapText="1"/>
    </xf>
    <xf numFmtId="0" fontId="8" fillId="0" borderId="99" xfId="0" applyFont="1" applyBorder="1" applyAlignment="1">
      <alignment horizontal="center" vertical="center" wrapText="1"/>
    </xf>
    <xf numFmtId="1" fontId="8" fillId="0" borderId="180" xfId="0" applyNumberFormat="1" applyFont="1" applyBorder="1" applyAlignment="1">
      <alignment horizontal="center" vertical="center"/>
    </xf>
    <xf numFmtId="0" fontId="8" fillId="0" borderId="179" xfId="0" applyFont="1" applyBorder="1" applyAlignment="1">
      <alignment horizontal="center" vertical="center"/>
    </xf>
    <xf numFmtId="0" fontId="8" fillId="0" borderId="181" xfId="0" applyFont="1" applyBorder="1" applyAlignment="1">
      <alignment horizontal="center" vertical="center"/>
    </xf>
    <xf numFmtId="0" fontId="8" fillId="0" borderId="180" xfId="0" applyFont="1" applyBorder="1" applyAlignment="1">
      <alignment horizontal="center" vertical="center"/>
    </xf>
    <xf numFmtId="0" fontId="8" fillId="0" borderId="181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11" fillId="0" borderId="179" xfId="0" applyFont="1" applyBorder="1" applyAlignment="1">
      <alignment horizontal="center" vertical="center" wrapText="1"/>
    </xf>
    <xf numFmtId="0" fontId="112" fillId="0" borderId="0" xfId="0" applyFont="1" applyBorder="1" applyAlignment="1">
      <alignment horizontal="center" vertical="center"/>
    </xf>
    <xf numFmtId="0" fontId="8" fillId="0" borderId="179" xfId="0" applyFont="1" applyBorder="1" applyAlignment="1">
      <alignment horizontal="center"/>
    </xf>
    <xf numFmtId="0" fontId="8" fillId="0" borderId="179" xfId="0" applyFont="1" applyBorder="1" applyAlignment="1">
      <alignment horizont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8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9" fontId="64" fillId="0" borderId="64" xfId="0" applyNumberFormat="1" applyFont="1" applyBorder="1" applyAlignment="1">
      <alignment horizontal="center" vertical="center"/>
    </xf>
    <xf numFmtId="9" fontId="64" fillId="0" borderId="66" xfId="0" applyNumberFormat="1" applyFont="1" applyBorder="1" applyAlignment="1">
      <alignment horizontal="center" vertical="center"/>
    </xf>
    <xf numFmtId="9" fontId="64" fillId="0" borderId="65" xfId="0" applyNumberFormat="1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 wrapText="1"/>
    </xf>
    <xf numFmtId="0" fontId="57" fillId="0" borderId="67" xfId="0" applyFont="1" applyBorder="1" applyAlignment="1">
      <alignment horizontal="center" vertical="center" wrapText="1"/>
    </xf>
    <xf numFmtId="0" fontId="137" fillId="0" borderId="64" xfId="0" applyFont="1" applyBorder="1" applyAlignment="1">
      <alignment horizontal="center" vertical="center" wrapText="1"/>
    </xf>
    <xf numFmtId="0" fontId="137" fillId="0" borderId="86" xfId="0" applyFont="1" applyBorder="1" applyAlignment="1">
      <alignment horizontal="center" vertical="center" wrapText="1"/>
    </xf>
    <xf numFmtId="0" fontId="137" fillId="0" borderId="6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/>
    </xf>
    <xf numFmtId="9" fontId="6" fillId="0" borderId="64" xfId="0" applyNumberFormat="1" applyFont="1" applyBorder="1" applyAlignment="1">
      <alignment horizontal="center" vertical="center"/>
    </xf>
    <xf numFmtId="9" fontId="6" fillId="0" borderId="66" xfId="0" applyNumberFormat="1" applyFont="1" applyBorder="1" applyAlignment="1">
      <alignment horizontal="center" vertical="center"/>
    </xf>
    <xf numFmtId="9" fontId="6" fillId="0" borderId="6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3" fillId="0" borderId="0" xfId="0" applyFont="1" applyAlignment="1">
      <alignment horizontal="center" vertical="center"/>
    </xf>
    <xf numFmtId="0" fontId="14" fillId="0" borderId="167" xfId="0" applyFont="1" applyBorder="1" applyAlignment="1">
      <alignment horizontal="center" vertical="center" wrapText="1"/>
    </xf>
    <xf numFmtId="0" fontId="14" fillId="0" borderId="168" xfId="0" applyFont="1" applyBorder="1" applyAlignment="1">
      <alignment horizontal="center" vertical="center" wrapText="1"/>
    </xf>
    <xf numFmtId="0" fontId="14" fillId="0" borderId="169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37" fillId="0" borderId="6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7" fillId="0" borderId="10" xfId="0" applyFont="1" applyBorder="1" applyAlignment="1">
      <alignment horizontal="center" vertical="center" wrapText="1"/>
    </xf>
    <xf numFmtId="0" fontId="137" fillId="0" borderId="13" xfId="0" applyFont="1" applyBorder="1" applyAlignment="1">
      <alignment horizontal="center" vertical="center" wrapText="1"/>
    </xf>
    <xf numFmtId="0" fontId="137" fillId="0" borderId="11" xfId="0" applyFont="1" applyBorder="1" applyAlignment="1">
      <alignment horizontal="center" vertical="center" wrapText="1"/>
    </xf>
    <xf numFmtId="0" fontId="93" fillId="0" borderId="6" xfId="0" applyFont="1" applyBorder="1" applyAlignment="1">
      <alignment horizontal="center" vertical="center"/>
    </xf>
    <xf numFmtId="0" fontId="93" fillId="0" borderId="0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93" fillId="0" borderId="64" xfId="0" applyFont="1" applyBorder="1" applyAlignment="1">
      <alignment horizontal="center" vertical="center" wrapText="1"/>
    </xf>
    <xf numFmtId="0" fontId="93" fillId="0" borderId="66" xfId="0" applyFont="1" applyBorder="1" applyAlignment="1">
      <alignment horizontal="center" vertical="center" wrapText="1"/>
    </xf>
    <xf numFmtId="0" fontId="93" fillId="0" borderId="65" xfId="0" applyFont="1" applyBorder="1" applyAlignment="1">
      <alignment horizontal="center" vertical="center" wrapText="1"/>
    </xf>
    <xf numFmtId="0" fontId="93" fillId="0" borderId="86" xfId="0" applyFont="1" applyBorder="1" applyAlignment="1">
      <alignment horizontal="center" vertical="center" wrapText="1"/>
    </xf>
    <xf numFmtId="49" fontId="93" fillId="0" borderId="64" xfId="0" applyNumberFormat="1" applyFont="1" applyBorder="1" applyAlignment="1">
      <alignment horizontal="center" vertical="center" wrapText="1"/>
    </xf>
    <xf numFmtId="49" fontId="93" fillId="0" borderId="86" xfId="0" applyNumberFormat="1" applyFont="1" applyBorder="1" applyAlignment="1">
      <alignment horizontal="center" vertical="center" wrapText="1"/>
    </xf>
    <xf numFmtId="49" fontId="93" fillId="0" borderId="65" xfId="0" applyNumberFormat="1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43" fillId="0" borderId="86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 wrapText="1"/>
    </xf>
    <xf numFmtId="0" fontId="43" fillId="0" borderId="67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9" fontId="43" fillId="0" borderId="6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09" fillId="0" borderId="16" xfId="0" applyNumberFormat="1" applyFont="1" applyBorder="1" applyAlignment="1">
      <alignment horizontal="center"/>
    </xf>
    <xf numFmtId="2" fontId="113" fillId="0" borderId="17" xfId="0" applyNumberFormat="1" applyFont="1" applyBorder="1"/>
    <xf numFmtId="2" fontId="113" fillId="0" borderId="18" xfId="0" applyNumberFormat="1" applyFont="1" applyBorder="1"/>
    <xf numFmtId="2" fontId="109" fillId="0" borderId="10" xfId="0" applyNumberFormat="1" applyFont="1" applyBorder="1" applyAlignment="1">
      <alignment horizontal="center"/>
    </xf>
    <xf numFmtId="2" fontId="109" fillId="0" borderId="13" xfId="0" applyNumberFormat="1" applyFont="1" applyBorder="1" applyAlignment="1">
      <alignment horizontal="center"/>
    </xf>
    <xf numFmtId="2" fontId="109" fillId="0" borderId="11" xfId="0" applyNumberFormat="1" applyFont="1" applyBorder="1" applyAlignment="1">
      <alignment horizontal="center"/>
    </xf>
    <xf numFmtId="0" fontId="64" fillId="2" borderId="7" xfId="0" applyFont="1" applyFill="1" applyBorder="1" applyAlignment="1">
      <alignment horizontal="right"/>
    </xf>
    <xf numFmtId="0" fontId="64" fillId="2" borderId="8" xfId="0" applyFont="1" applyFill="1" applyBorder="1" applyAlignment="1">
      <alignment horizontal="right"/>
    </xf>
    <xf numFmtId="49" fontId="64" fillId="2" borderId="10" xfId="0" applyNumberFormat="1" applyFont="1" applyFill="1" applyBorder="1" applyAlignment="1">
      <alignment horizontal="left"/>
    </xf>
    <xf numFmtId="49" fontId="64" fillId="2" borderId="13" xfId="0" applyNumberFormat="1" applyFont="1" applyFill="1" applyBorder="1" applyAlignment="1">
      <alignment horizontal="left"/>
    </xf>
    <xf numFmtId="49" fontId="64" fillId="2" borderId="11" xfId="0" applyNumberFormat="1" applyFont="1" applyFill="1" applyBorder="1" applyAlignment="1">
      <alignment horizontal="left"/>
    </xf>
    <xf numFmtId="0" fontId="64" fillId="2" borderId="2" xfId="0" applyFont="1" applyFill="1" applyBorder="1" applyAlignment="1">
      <alignment horizontal="right"/>
    </xf>
    <xf numFmtId="0" fontId="64" fillId="0" borderId="2" xfId="0" applyFont="1" applyBorder="1" applyAlignment="1">
      <alignment horizontal="left"/>
    </xf>
    <xf numFmtId="0" fontId="64" fillId="0" borderId="5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98" fillId="0" borderId="64" xfId="0" applyFont="1" applyBorder="1" applyAlignment="1">
      <alignment horizontal="center" vertical="center"/>
    </xf>
    <xf numFmtId="0" fontId="98" fillId="0" borderId="86" xfId="0" applyFont="1" applyBorder="1" applyAlignment="1">
      <alignment horizontal="center" vertical="center"/>
    </xf>
    <xf numFmtId="0" fontId="98" fillId="0" borderId="65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49" fontId="64" fillId="2" borderId="3" xfId="0" applyNumberFormat="1" applyFont="1" applyFill="1" applyBorder="1" applyAlignment="1">
      <alignment horizontal="left"/>
    </xf>
    <xf numFmtId="49" fontId="64" fillId="2" borderId="14" xfId="0" applyNumberFormat="1" applyFont="1" applyFill="1" applyBorder="1" applyAlignment="1">
      <alignment horizontal="left"/>
    </xf>
    <xf numFmtId="49" fontId="64" fillId="2" borderId="4" xfId="0" applyNumberFormat="1" applyFont="1" applyFill="1" applyBorder="1" applyAlignment="1">
      <alignment horizontal="left"/>
    </xf>
    <xf numFmtId="0" fontId="64" fillId="2" borderId="5" xfId="0" applyFont="1" applyFill="1" applyBorder="1" applyAlignment="1">
      <alignment horizontal="right"/>
    </xf>
    <xf numFmtId="0" fontId="98" fillId="2" borderId="10" xfId="0" applyFont="1" applyFill="1" applyBorder="1" applyAlignment="1">
      <alignment horizontal="center"/>
    </xf>
    <xf numFmtId="0" fontId="98" fillId="2" borderId="11" xfId="0" applyFont="1" applyFill="1" applyBorder="1" applyAlignment="1">
      <alignment horizontal="center"/>
    </xf>
    <xf numFmtId="0" fontId="64" fillId="2" borderId="10" xfId="0" applyFont="1" applyFill="1" applyBorder="1" applyAlignment="1">
      <alignment horizontal="right"/>
    </xf>
    <xf numFmtId="0" fontId="64" fillId="2" borderId="11" xfId="0" applyFont="1" applyFill="1" applyBorder="1" applyAlignment="1">
      <alignment horizontal="right"/>
    </xf>
    <xf numFmtId="49" fontId="64" fillId="2" borderId="2" xfId="0" applyNumberFormat="1" applyFont="1" applyFill="1" applyBorder="1" applyAlignment="1">
      <alignment horizontal="right"/>
    </xf>
    <xf numFmtId="0" fontId="64" fillId="0" borderId="10" xfId="0" applyFont="1" applyBorder="1" applyAlignment="1">
      <alignment horizontal="left"/>
    </xf>
    <xf numFmtId="0" fontId="64" fillId="0" borderId="13" xfId="0" applyFont="1" applyBorder="1" applyAlignment="1">
      <alignment horizontal="left"/>
    </xf>
    <xf numFmtId="0" fontId="64" fillId="0" borderId="11" xfId="0" applyFont="1" applyBorder="1" applyAlignment="1">
      <alignment horizontal="left"/>
    </xf>
    <xf numFmtId="0" fontId="64" fillId="0" borderId="5" xfId="0" applyFont="1" applyBorder="1" applyAlignment="1">
      <alignment horizontal="left"/>
    </xf>
    <xf numFmtId="0" fontId="64" fillId="2" borderId="2" xfId="0" applyFont="1" applyFill="1" applyBorder="1" applyAlignment="1">
      <alignment horizontal="center"/>
    </xf>
    <xf numFmtId="0" fontId="64" fillId="2" borderId="67" xfId="0" applyFont="1" applyFill="1" applyBorder="1" applyAlignment="1">
      <alignment horizontal="center"/>
    </xf>
    <xf numFmtId="0" fontId="64" fillId="0" borderId="2" xfId="0" applyFont="1" applyBorder="1" applyAlignment="1">
      <alignment horizontal="center"/>
    </xf>
    <xf numFmtId="0" fontId="64" fillId="0" borderId="67" xfId="0" applyFont="1" applyBorder="1" applyAlignment="1">
      <alignment horizontal="center"/>
    </xf>
    <xf numFmtId="0" fontId="87" fillId="2" borderId="5" xfId="0" applyFont="1" applyFill="1" applyBorder="1" applyAlignment="1">
      <alignment horizontal="center" vertical="center" wrapText="1"/>
    </xf>
    <xf numFmtId="0" fontId="87" fillId="2" borderId="9" xfId="0" applyFont="1" applyFill="1" applyBorder="1" applyAlignment="1">
      <alignment horizontal="center" vertical="center" wrapText="1"/>
    </xf>
    <xf numFmtId="0" fontId="87" fillId="2" borderId="12" xfId="0" applyFont="1" applyFill="1" applyBorder="1" applyAlignment="1">
      <alignment horizontal="center" vertical="center" wrapText="1"/>
    </xf>
    <xf numFmtId="0" fontId="87" fillId="0" borderId="5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center" vertical="center" wrapText="1"/>
    </xf>
    <xf numFmtId="0" fontId="87" fillId="0" borderId="12" xfId="0" applyFont="1" applyBorder="1" applyAlignment="1">
      <alignment horizontal="center" vertical="center" wrapText="1"/>
    </xf>
    <xf numFmtId="0" fontId="98" fillId="0" borderId="64" xfId="0" applyFont="1" applyBorder="1" applyAlignment="1">
      <alignment horizontal="center" vertical="center" wrapText="1"/>
    </xf>
    <xf numFmtId="0" fontId="98" fillId="0" borderId="65" xfId="0" applyFont="1" applyBorder="1" applyAlignment="1">
      <alignment horizontal="center" vertical="center" wrapText="1"/>
    </xf>
    <xf numFmtId="0" fontId="98" fillId="2" borderId="64" xfId="0" applyFont="1" applyFill="1" applyBorder="1" applyAlignment="1">
      <alignment horizontal="center" vertical="center" wrapText="1"/>
    </xf>
    <xf numFmtId="0" fontId="98" fillId="2" borderId="65" xfId="0" applyFont="1" applyFill="1" applyBorder="1" applyAlignment="1">
      <alignment horizontal="center" vertical="center" wrapText="1"/>
    </xf>
    <xf numFmtId="0" fontId="89" fillId="0" borderId="2" xfId="0" applyFont="1" applyBorder="1" applyAlignment="1">
      <alignment horizontal="center"/>
    </xf>
    <xf numFmtId="0" fontId="89" fillId="0" borderId="2" xfId="0" applyFont="1" applyBorder="1" applyAlignment="1">
      <alignment horizontal="center" vertical="center"/>
    </xf>
    <xf numFmtId="0" fontId="87" fillId="2" borderId="2" xfId="0" applyFont="1" applyFill="1" applyBorder="1" applyAlignment="1">
      <alignment horizontal="center"/>
    </xf>
    <xf numFmtId="0" fontId="89" fillId="0" borderId="2" xfId="0" applyFont="1" applyBorder="1" applyAlignment="1">
      <alignment horizontal="center" wrapText="1"/>
    </xf>
    <xf numFmtId="0" fontId="98" fillId="0" borderId="64" xfId="0" applyFont="1" applyBorder="1" applyAlignment="1">
      <alignment horizontal="center"/>
    </xf>
    <xf numFmtId="0" fontId="98" fillId="0" borderId="65" xfId="0" applyFont="1" applyBorder="1" applyAlignment="1">
      <alignment horizontal="center"/>
    </xf>
    <xf numFmtId="0" fontId="59" fillId="0" borderId="64" xfId="0" applyFont="1" applyBorder="1" applyAlignment="1">
      <alignment horizontal="center"/>
    </xf>
    <xf numFmtId="0" fontId="59" fillId="0" borderId="65" xfId="0" applyFont="1" applyBorder="1" applyAlignment="1">
      <alignment horizontal="center"/>
    </xf>
    <xf numFmtId="0" fontId="98" fillId="2" borderId="64" xfId="0" applyFont="1" applyFill="1" applyBorder="1" applyAlignment="1">
      <alignment horizontal="center" vertical="center"/>
    </xf>
    <xf numFmtId="0" fontId="98" fillId="2" borderId="65" xfId="0" applyFont="1" applyFill="1" applyBorder="1" applyAlignment="1">
      <alignment horizontal="center" vertical="center"/>
    </xf>
    <xf numFmtId="0" fontId="83" fillId="0" borderId="0" xfId="0" applyFont="1" applyAlignment="1">
      <alignment horizontal="center"/>
    </xf>
    <xf numFmtId="0" fontId="98" fillId="0" borderId="67" xfId="0" applyFont="1" applyBorder="1" applyAlignment="1">
      <alignment horizontal="center" wrapText="1"/>
    </xf>
    <xf numFmtId="0" fontId="87" fillId="0" borderId="2" xfId="0" applyFont="1" applyBorder="1" applyAlignment="1">
      <alignment horizontal="center"/>
    </xf>
    <xf numFmtId="2" fontId="87" fillId="0" borderId="2" xfId="0" applyNumberFormat="1" applyFont="1" applyBorder="1" applyAlignment="1">
      <alignment horizontal="center"/>
    </xf>
    <xf numFmtId="9" fontId="98" fillId="0" borderId="67" xfId="0" applyNumberFormat="1" applyFont="1" applyBorder="1" applyAlignment="1">
      <alignment horizontal="center" wrapText="1"/>
    </xf>
    <xf numFmtId="2" fontId="89" fillId="0" borderId="17" xfId="0" applyNumberFormat="1" applyFont="1" applyBorder="1" applyAlignment="1">
      <alignment horizontal="center"/>
    </xf>
    <xf numFmtId="2" fontId="90" fillId="0" borderId="17" xfId="0" applyNumberFormat="1" applyFont="1" applyBorder="1"/>
    <xf numFmtId="2" fontId="90" fillId="0" borderId="18" xfId="0" applyNumberFormat="1" applyFont="1" applyBorder="1"/>
    <xf numFmtId="2" fontId="89" fillId="0" borderId="10" xfId="0" applyNumberFormat="1" applyFont="1" applyBorder="1" applyAlignment="1">
      <alignment horizontal="center"/>
    </xf>
    <xf numFmtId="2" fontId="89" fillId="0" borderId="13" xfId="0" applyNumberFormat="1" applyFont="1" applyBorder="1" applyAlignment="1">
      <alignment horizontal="center"/>
    </xf>
    <xf numFmtId="2" fontId="89" fillId="0" borderId="11" xfId="0" applyNumberFormat="1" applyFont="1" applyBorder="1" applyAlignment="1">
      <alignment horizontal="center"/>
    </xf>
    <xf numFmtId="0" fontId="87" fillId="0" borderId="0" xfId="0" applyFont="1" applyAlignment="1">
      <alignment horizontal="left"/>
    </xf>
    <xf numFmtId="0" fontId="64" fillId="2" borderId="64" xfId="0" applyFont="1" applyFill="1" applyBorder="1" applyAlignment="1">
      <alignment horizontal="center" vertical="center" wrapText="1"/>
    </xf>
    <xf numFmtId="0" fontId="64" fillId="2" borderId="65" xfId="0" applyFont="1" applyFill="1" applyBorder="1" applyAlignment="1">
      <alignment horizontal="center" vertical="center" wrapText="1"/>
    </xf>
    <xf numFmtId="0" fontId="98" fillId="0" borderId="67" xfId="0" applyFont="1" applyBorder="1" applyAlignment="1">
      <alignment horizontal="center"/>
    </xf>
    <xf numFmtId="0" fontId="64" fillId="0" borderId="64" xfId="0" applyFont="1" applyBorder="1" applyAlignment="1">
      <alignment horizontal="center" vertical="center" wrapText="1"/>
    </xf>
    <xf numFmtId="0" fontId="64" fillId="0" borderId="65" xfId="0" applyFont="1" applyBorder="1" applyAlignment="1">
      <alignment horizontal="center" vertical="center" wrapText="1"/>
    </xf>
    <xf numFmtId="0" fontId="64" fillId="0" borderId="86" xfId="0" applyFont="1" applyBorder="1" applyAlignment="1">
      <alignment horizontal="center" vertical="center" wrapText="1"/>
    </xf>
    <xf numFmtId="2" fontId="3" fillId="0" borderId="64" xfId="0" applyNumberFormat="1" applyFont="1" applyBorder="1" applyAlignment="1">
      <alignment horizontal="center" vertical="center"/>
    </xf>
    <xf numFmtId="2" fontId="3" fillId="0" borderId="86" xfId="0" applyNumberFormat="1" applyFont="1" applyBorder="1" applyAlignment="1">
      <alignment horizontal="center" vertical="center"/>
    </xf>
    <xf numFmtId="2" fontId="3" fillId="0" borderId="65" xfId="0" applyNumberFormat="1" applyFont="1" applyBorder="1" applyAlignment="1">
      <alignment horizontal="center" vertical="center"/>
    </xf>
    <xf numFmtId="0" fontId="40" fillId="2" borderId="67" xfId="0" applyFont="1" applyFill="1" applyBorder="1" applyAlignment="1">
      <alignment horizontal="center" vertical="center"/>
    </xf>
    <xf numFmtId="0" fontId="40" fillId="2" borderId="158" xfId="0" applyFont="1" applyFill="1" applyBorder="1" applyAlignment="1">
      <alignment horizontal="center" vertical="center" wrapText="1"/>
    </xf>
    <xf numFmtId="0" fontId="40" fillId="2" borderId="71" xfId="0" applyFont="1" applyFill="1" applyBorder="1" applyAlignment="1">
      <alignment horizontal="center" vertical="center"/>
    </xf>
    <xf numFmtId="0" fontId="40" fillId="2" borderId="70" xfId="0" applyFont="1" applyFill="1" applyBorder="1" applyAlignment="1">
      <alignment horizontal="center" vertical="center"/>
    </xf>
    <xf numFmtId="0" fontId="40" fillId="0" borderId="67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159" xfId="0" applyFont="1" applyBorder="1" applyAlignment="1">
      <alignment horizontal="center" vertical="center" wrapText="1"/>
    </xf>
    <xf numFmtId="0" fontId="3" fillId="0" borderId="16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67" xfId="0" applyNumberFormat="1" applyFont="1" applyBorder="1" applyAlignment="1">
      <alignment horizontal="center" vertical="center"/>
    </xf>
    <xf numFmtId="0" fontId="53" fillId="0" borderId="2" xfId="0" applyFont="1" applyBorder="1" applyAlignment="1">
      <alignment horizontal="left"/>
    </xf>
    <xf numFmtId="0" fontId="53" fillId="2" borderId="10" xfId="0" applyFont="1" applyFill="1" applyBorder="1" applyAlignment="1">
      <alignment horizontal="right"/>
    </xf>
    <xf numFmtId="0" fontId="53" fillId="2" borderId="11" xfId="0" applyFont="1" applyFill="1" applyBorder="1" applyAlignment="1">
      <alignment horizontal="right"/>
    </xf>
    <xf numFmtId="49" fontId="53" fillId="2" borderId="10" xfId="0" applyNumberFormat="1" applyFont="1" applyFill="1" applyBorder="1" applyAlignment="1">
      <alignment horizontal="left"/>
    </xf>
    <xf numFmtId="49" fontId="53" fillId="2" borderId="13" xfId="0" applyNumberFormat="1" applyFont="1" applyFill="1" applyBorder="1" applyAlignment="1">
      <alignment horizontal="left"/>
    </xf>
    <xf numFmtId="49" fontId="53" fillId="2" borderId="11" xfId="0" applyNumberFormat="1" applyFont="1" applyFill="1" applyBorder="1" applyAlignment="1">
      <alignment horizontal="left"/>
    </xf>
    <xf numFmtId="49" fontId="53" fillId="2" borderId="2" xfId="0" applyNumberFormat="1" applyFont="1" applyFill="1" applyBorder="1" applyAlignment="1">
      <alignment horizontal="center"/>
    </xf>
    <xf numFmtId="0" fontId="53" fillId="0" borderId="10" xfId="0" applyFont="1" applyBorder="1" applyAlignment="1">
      <alignment horizontal="left"/>
    </xf>
    <xf numFmtId="0" fontId="53" fillId="0" borderId="13" xfId="0" applyFont="1" applyBorder="1" applyAlignment="1">
      <alignment horizontal="left"/>
    </xf>
    <xf numFmtId="0" fontId="53" fillId="0" borderId="11" xfId="0" applyFont="1" applyBorder="1" applyAlignment="1">
      <alignment horizontal="left"/>
    </xf>
    <xf numFmtId="0" fontId="53" fillId="2" borderId="7" xfId="0" applyFont="1" applyFill="1" applyBorder="1" applyAlignment="1">
      <alignment horizontal="right"/>
    </xf>
    <xf numFmtId="0" fontId="53" fillId="2" borderId="8" xfId="0" applyFont="1" applyFill="1" applyBorder="1" applyAlignment="1">
      <alignment horizontal="right"/>
    </xf>
    <xf numFmtId="0" fontId="53" fillId="2" borderId="2" xfId="0" applyFont="1" applyFill="1" applyBorder="1" applyAlignment="1">
      <alignment horizontal="center"/>
    </xf>
    <xf numFmtId="0" fontId="53" fillId="0" borderId="5" xfId="0" applyFont="1" applyBorder="1" applyAlignment="1">
      <alignment horizontal="left"/>
    </xf>
    <xf numFmtId="0" fontId="53" fillId="0" borderId="2" xfId="0" applyFont="1" applyBorder="1" applyAlignment="1">
      <alignment horizontal="center"/>
    </xf>
    <xf numFmtId="0" fontId="52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/>
    </xf>
    <xf numFmtId="49" fontId="53" fillId="2" borderId="3" xfId="0" applyNumberFormat="1" applyFont="1" applyFill="1" applyBorder="1" applyAlignment="1">
      <alignment horizontal="left"/>
    </xf>
    <xf numFmtId="49" fontId="53" fillId="2" borderId="14" xfId="0" applyNumberFormat="1" applyFont="1" applyFill="1" applyBorder="1" applyAlignment="1">
      <alignment horizontal="left"/>
    </xf>
    <xf numFmtId="49" fontId="53" fillId="2" borderId="4" xfId="0" applyNumberFormat="1" applyFont="1" applyFill="1" applyBorder="1" applyAlignment="1">
      <alignment horizontal="left"/>
    </xf>
    <xf numFmtId="0" fontId="53" fillId="2" borderId="5" xfId="0" applyFont="1" applyFill="1" applyBorder="1" applyAlignment="1">
      <alignment horizontal="center"/>
    </xf>
    <xf numFmtId="0" fontId="52" fillId="0" borderId="5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9" fontId="52" fillId="0" borderId="2" xfId="0" applyNumberFormat="1" applyFont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52" fillId="0" borderId="10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52" fillId="0" borderId="11" xfId="0" applyFont="1" applyBorder="1" applyAlignment="1">
      <alignment horizontal="center"/>
    </xf>
    <xf numFmtId="0" fontId="52" fillId="0" borderId="2" xfId="0" applyFont="1" applyBorder="1" applyAlignment="1">
      <alignment horizontal="center" wrapText="1"/>
    </xf>
    <xf numFmtId="0" fontId="38" fillId="2" borderId="7" xfId="0" applyFont="1" applyFill="1" applyBorder="1" applyAlignment="1">
      <alignment horizontal="right"/>
    </xf>
    <xf numFmtId="0" fontId="38" fillId="2" borderId="8" xfId="0" applyFont="1" applyFill="1" applyBorder="1" applyAlignment="1">
      <alignment horizontal="right"/>
    </xf>
    <xf numFmtId="0" fontId="38" fillId="2" borderId="10" xfId="0" applyFont="1" applyFill="1" applyBorder="1" applyAlignment="1">
      <alignment horizontal="right"/>
    </xf>
    <xf numFmtId="0" fontId="38" fillId="2" borderId="11" xfId="0" applyFont="1" applyFill="1" applyBorder="1" applyAlignment="1">
      <alignment horizontal="right"/>
    </xf>
    <xf numFmtId="0" fontId="38" fillId="2" borderId="10" xfId="0" applyFont="1" applyFill="1" applyBorder="1" applyAlignment="1">
      <alignment horizontal="center" vertical="center"/>
    </xf>
    <xf numFmtId="0" fontId="38" fillId="2" borderId="86" xfId="0" applyFont="1" applyFill="1" applyBorder="1" applyAlignment="1">
      <alignment horizontal="center" vertical="center"/>
    </xf>
    <xf numFmtId="0" fontId="101" fillId="0" borderId="10" xfId="0" applyFont="1" applyBorder="1" applyAlignment="1">
      <alignment horizontal="center" vertical="center"/>
    </xf>
    <xf numFmtId="0" fontId="101" fillId="0" borderId="86" xfId="0" applyFont="1" applyBorder="1" applyAlignment="1">
      <alignment horizontal="center" vertical="center"/>
    </xf>
    <xf numFmtId="9" fontId="38" fillId="0" borderId="0" xfId="0" applyNumberFormat="1" applyFont="1" applyAlignment="1">
      <alignment horizontal="center" wrapText="1"/>
    </xf>
    <xf numFmtId="0" fontId="38" fillId="0" borderId="0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 wrapText="1"/>
    </xf>
    <xf numFmtId="0" fontId="38" fillId="0" borderId="162" xfId="0" applyFont="1" applyBorder="1" applyAlignment="1">
      <alignment horizontal="center" vertical="center" wrapText="1"/>
    </xf>
    <xf numFmtId="0" fontId="38" fillId="0" borderId="69" xfId="0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2" fontId="103" fillId="0" borderId="0" xfId="0" applyNumberFormat="1" applyFont="1" applyBorder="1" applyAlignment="1">
      <alignment horizontal="center"/>
    </xf>
    <xf numFmtId="2" fontId="38" fillId="0" borderId="0" xfId="0" applyNumberFormat="1" applyFont="1" applyBorder="1" applyAlignment="1">
      <alignment horizontal="center"/>
    </xf>
    <xf numFmtId="2" fontId="103" fillId="0" borderId="10" xfId="0" applyNumberFormat="1" applyFont="1" applyBorder="1" applyAlignment="1">
      <alignment horizontal="center"/>
    </xf>
    <xf numFmtId="2" fontId="103" fillId="0" borderId="13" xfId="0" applyNumberFormat="1" applyFont="1" applyBorder="1" applyAlignment="1">
      <alignment horizontal="center"/>
    </xf>
    <xf numFmtId="2" fontId="103" fillId="0" borderId="11" xfId="0" applyNumberFormat="1" applyFont="1" applyBorder="1" applyAlignment="1">
      <alignment horizontal="center"/>
    </xf>
    <xf numFmtId="2" fontId="38" fillId="0" borderId="10" xfId="0" applyNumberFormat="1" applyFont="1" applyBorder="1" applyAlignment="1">
      <alignment horizontal="center"/>
    </xf>
    <xf numFmtId="2" fontId="38" fillId="0" borderId="13" xfId="0" applyNumberFormat="1" applyFont="1" applyBorder="1" applyAlignment="1">
      <alignment horizontal="center"/>
    </xf>
    <xf numFmtId="2" fontId="38" fillId="0" borderId="1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right"/>
    </xf>
    <xf numFmtId="0" fontId="6" fillId="2" borderId="11" xfId="0" applyFont="1" applyFill="1" applyBorder="1" applyAlignment="1">
      <alignment horizontal="right"/>
    </xf>
    <xf numFmtId="0" fontId="1" fillId="0" borderId="0" xfId="0" applyFont="1" applyAlignment="1">
      <alignment horizontal="center" wrapText="1"/>
    </xf>
    <xf numFmtId="2" fontId="15" fillId="0" borderId="10" xfId="0" applyNumberFormat="1" applyFont="1" applyBorder="1" applyAlignment="1">
      <alignment horizontal="center"/>
    </xf>
    <xf numFmtId="2" fontId="15" fillId="0" borderId="13" xfId="0" applyNumberFormat="1" applyFont="1" applyBorder="1" applyAlignment="1">
      <alignment horizontal="center"/>
    </xf>
    <xf numFmtId="2" fontId="15" fillId="0" borderId="11" xfId="0" applyNumberFormat="1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9" fontId="1" fillId="0" borderId="0" xfId="0" applyNumberFormat="1" applyFont="1" applyAlignment="1">
      <alignment horizont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2" fontId="7" fillId="0" borderId="11" xfId="0" applyNumberFormat="1" applyFont="1" applyBorder="1" applyAlignment="1">
      <alignment horizontal="center"/>
    </xf>
    <xf numFmtId="0" fontId="40" fillId="0" borderId="10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3" fillId="2" borderId="158" xfId="0" applyFont="1" applyFill="1" applyBorder="1" applyAlignment="1">
      <alignment horizontal="center"/>
    </xf>
    <xf numFmtId="0" fontId="53" fillId="2" borderId="67" xfId="0" applyFont="1" applyFill="1" applyBorder="1" applyAlignment="1">
      <alignment horizontal="center"/>
    </xf>
    <xf numFmtId="49" fontId="53" fillId="2" borderId="67" xfId="0" applyNumberFormat="1" applyFont="1" applyFill="1" applyBorder="1" applyAlignment="1">
      <alignment horizontal="center"/>
    </xf>
    <xf numFmtId="9" fontId="52" fillId="0" borderId="0" xfId="0" applyNumberFormat="1" applyFont="1" applyAlignment="1">
      <alignment horizontal="center" wrapText="1"/>
    </xf>
    <xf numFmtId="0" fontId="52" fillId="0" borderId="158" xfId="0" applyFont="1" applyBorder="1" applyAlignment="1">
      <alignment horizontal="center" vertical="center" wrapText="1"/>
    </xf>
    <xf numFmtId="0" fontId="52" fillId="0" borderId="71" xfId="0" applyFont="1" applyBorder="1" applyAlignment="1">
      <alignment horizontal="center" vertical="center" wrapText="1"/>
    </xf>
    <xf numFmtId="0" fontId="52" fillId="0" borderId="70" xfId="0" applyFont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/>
    </xf>
    <xf numFmtId="0" fontId="53" fillId="0" borderId="5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2" borderId="158" xfId="0" applyFont="1" applyFill="1" applyBorder="1" applyAlignment="1">
      <alignment horizontal="center" vertical="center" wrapText="1"/>
    </xf>
    <xf numFmtId="0" fontId="52" fillId="2" borderId="71" xfId="0" applyFont="1" applyFill="1" applyBorder="1" applyAlignment="1">
      <alignment horizontal="center" vertical="center" wrapText="1"/>
    </xf>
    <xf numFmtId="0" fontId="52" fillId="2" borderId="70" xfId="0" applyFont="1" applyFill="1" applyBorder="1" applyAlignment="1">
      <alignment horizontal="center" vertical="center" wrapText="1"/>
    </xf>
    <xf numFmtId="0" fontId="52" fillId="0" borderId="64" xfId="0" applyFont="1" applyBorder="1" applyAlignment="1">
      <alignment horizontal="center" vertical="center" wrapText="1"/>
    </xf>
    <xf numFmtId="0" fontId="52" fillId="0" borderId="65" xfId="0" applyFont="1" applyBorder="1" applyAlignment="1">
      <alignment horizontal="center" vertical="center" wrapText="1"/>
    </xf>
    <xf numFmtId="0" fontId="53" fillId="0" borderId="0" xfId="0" applyFont="1" applyAlignment="1">
      <alignment horizontal="left"/>
    </xf>
    <xf numFmtId="2" fontId="53" fillId="0" borderId="0" xfId="0" applyNumberFormat="1" applyFont="1" applyBorder="1" applyAlignment="1">
      <alignment horizontal="center"/>
    </xf>
    <xf numFmtId="0" fontId="52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2" fontId="56" fillId="0" borderId="16" xfId="0" applyNumberFormat="1" applyFont="1" applyBorder="1" applyAlignment="1">
      <alignment horizontal="center"/>
    </xf>
    <xf numFmtId="2" fontId="56" fillId="0" borderId="17" xfId="0" applyNumberFormat="1" applyFont="1" applyBorder="1" applyAlignment="1">
      <alignment horizontal="center"/>
    </xf>
    <xf numFmtId="2" fontId="53" fillId="0" borderId="62" xfId="0" applyNumberFormat="1" applyFont="1" applyBorder="1" applyAlignment="1">
      <alignment horizontal="center"/>
    </xf>
    <xf numFmtId="2" fontId="53" fillId="0" borderId="66" xfId="0" applyNumberFormat="1" applyFont="1" applyBorder="1" applyAlignment="1">
      <alignment horizontal="center"/>
    </xf>
    <xf numFmtId="2" fontId="53" fillId="0" borderId="67" xfId="0" applyNumberFormat="1" applyFont="1" applyBorder="1" applyAlignment="1">
      <alignment horizontal="center"/>
    </xf>
    <xf numFmtId="0" fontId="46" fillId="2" borderId="7" xfId="0" applyFont="1" applyFill="1" applyBorder="1" applyAlignment="1">
      <alignment horizontal="right"/>
    </xf>
    <xf numFmtId="0" fontId="46" fillId="2" borderId="8" xfId="0" applyFont="1" applyFill="1" applyBorder="1" applyAlignment="1">
      <alignment horizontal="right"/>
    </xf>
    <xf numFmtId="49" fontId="46" fillId="2" borderId="10" xfId="0" applyNumberFormat="1" applyFont="1" applyFill="1" applyBorder="1" applyAlignment="1">
      <alignment horizontal="left"/>
    </xf>
    <xf numFmtId="49" fontId="46" fillId="2" borderId="13" xfId="0" applyNumberFormat="1" applyFont="1" applyFill="1" applyBorder="1" applyAlignment="1">
      <alignment horizontal="left"/>
    </xf>
    <xf numFmtId="49" fontId="46" fillId="2" borderId="11" xfId="0" applyNumberFormat="1" applyFont="1" applyFill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5" fillId="0" borderId="67" xfId="0" applyFont="1" applyBorder="1" applyAlignment="1">
      <alignment horizontal="center" wrapText="1"/>
    </xf>
    <xf numFmtId="0" fontId="46" fillId="2" borderId="10" xfId="0" applyFont="1" applyFill="1" applyBorder="1" applyAlignment="1">
      <alignment horizontal="right"/>
    </xf>
    <xf numFmtId="0" fontId="46" fillId="2" borderId="11" xfId="0" applyFont="1" applyFill="1" applyBorder="1" applyAlignment="1">
      <alignment horizontal="right"/>
    </xf>
    <xf numFmtId="0" fontId="46" fillId="0" borderId="10" xfId="0" applyFont="1" applyBorder="1" applyAlignment="1">
      <alignment horizontal="left"/>
    </xf>
    <xf numFmtId="0" fontId="46" fillId="0" borderId="11" xfId="0" applyFont="1" applyBorder="1" applyAlignment="1">
      <alignment horizontal="left"/>
    </xf>
    <xf numFmtId="49" fontId="46" fillId="2" borderId="3" xfId="0" applyNumberFormat="1" applyFont="1" applyFill="1" applyBorder="1" applyAlignment="1">
      <alignment horizontal="left"/>
    </xf>
    <xf numFmtId="49" fontId="46" fillId="2" borderId="14" xfId="0" applyNumberFormat="1" applyFont="1" applyFill="1" applyBorder="1" applyAlignment="1">
      <alignment horizontal="left"/>
    </xf>
    <xf numFmtId="49" fontId="46" fillId="2" borderId="4" xfId="0" applyNumberFormat="1" applyFont="1" applyFill="1" applyBorder="1" applyAlignment="1">
      <alignment horizontal="left"/>
    </xf>
    <xf numFmtId="0" fontId="46" fillId="0" borderId="5" xfId="0" applyFont="1" applyBorder="1" applyAlignment="1">
      <alignment horizontal="left"/>
    </xf>
    <xf numFmtId="0" fontId="46" fillId="2" borderId="2" xfId="0" applyFont="1" applyFill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0" borderId="2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2" fontId="49" fillId="0" borderId="10" xfId="0" applyNumberFormat="1" applyFont="1" applyBorder="1" applyAlignment="1">
      <alignment horizontal="center"/>
    </xf>
    <xf numFmtId="2" fontId="49" fillId="0" borderId="13" xfId="0" applyNumberFormat="1" applyFont="1" applyBorder="1" applyAlignment="1">
      <alignment horizontal="center"/>
    </xf>
    <xf numFmtId="2" fontId="49" fillId="0" borderId="1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46" fillId="0" borderId="10" xfId="0" applyNumberFormat="1" applyFont="1" applyBorder="1" applyAlignment="1">
      <alignment horizontal="center"/>
    </xf>
    <xf numFmtId="2" fontId="46" fillId="0" borderId="13" xfId="0" applyNumberFormat="1" applyFont="1" applyBorder="1" applyAlignment="1">
      <alignment horizontal="center"/>
    </xf>
    <xf numFmtId="2" fontId="46" fillId="0" borderId="11" xfId="0" applyNumberFormat="1" applyFont="1" applyBorder="1" applyAlignment="1">
      <alignment horizontal="center"/>
    </xf>
    <xf numFmtId="9" fontId="45" fillId="0" borderId="67" xfId="0" applyNumberFormat="1" applyFont="1" applyBorder="1" applyAlignment="1">
      <alignment horizontal="center" wrapText="1"/>
    </xf>
    <xf numFmtId="0" fontId="45" fillId="0" borderId="0" xfId="0" applyFont="1" applyAlignment="1">
      <alignment horizontal="center"/>
    </xf>
    <xf numFmtId="2" fontId="49" fillId="0" borderId="16" xfId="0" applyNumberFormat="1" applyFont="1" applyBorder="1" applyAlignment="1">
      <alignment horizontal="center"/>
    </xf>
    <xf numFmtId="2" fontId="50" fillId="0" borderId="17" xfId="0" applyNumberFormat="1" applyFont="1" applyBorder="1"/>
    <xf numFmtId="2" fontId="50" fillId="0" borderId="18" xfId="0" applyNumberFormat="1" applyFont="1" applyBorder="1"/>
    <xf numFmtId="49" fontId="6" fillId="2" borderId="10" xfId="0" applyNumberFormat="1" applyFont="1" applyFill="1" applyBorder="1" applyAlignment="1">
      <alignment horizontal="left"/>
    </xf>
    <xf numFmtId="49" fontId="6" fillId="2" borderId="13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5" fillId="0" borderId="0" xfId="0" applyFont="1" applyAlignment="1">
      <alignment horizontal="center" wrapText="1"/>
    </xf>
    <xf numFmtId="49" fontId="6" fillId="2" borderId="2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left"/>
    </xf>
    <xf numFmtId="49" fontId="6" fillId="2" borderId="14" xfId="0" applyNumberFormat="1" applyFont="1" applyFill="1" applyBorder="1" applyAlignment="1">
      <alignment horizontal="left"/>
    </xf>
    <xf numFmtId="49" fontId="6" fillId="2" borderId="4" xfId="0" applyNumberFormat="1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/>
    </xf>
    <xf numFmtId="2" fontId="16" fillId="0" borderId="17" xfId="0" applyNumberFormat="1" applyFont="1" applyBorder="1"/>
    <xf numFmtId="2" fontId="16" fillId="0" borderId="18" xfId="0" applyNumberFormat="1" applyFont="1" applyBorder="1"/>
    <xf numFmtId="2" fontId="2" fillId="0" borderId="10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46" fillId="0" borderId="0" xfId="0" applyFont="1" applyFill="1" applyBorder="1" applyAlignment="1">
      <alignment horizontal="center"/>
    </xf>
    <xf numFmtId="0" fontId="45" fillId="0" borderId="2" xfId="0" applyFont="1" applyFill="1" applyBorder="1" applyAlignment="1">
      <alignment horizontal="center"/>
    </xf>
    <xf numFmtId="0" fontId="39" fillId="0" borderId="2" xfId="0" applyFont="1" applyFill="1" applyBorder="1" applyAlignment="1">
      <alignment horizontal="center"/>
    </xf>
    <xf numFmtId="0" fontId="45" fillId="0" borderId="2" xfId="0" applyFont="1" applyFill="1" applyBorder="1" applyAlignment="1">
      <alignment horizontal="center" vertical="center"/>
    </xf>
    <xf numFmtId="0" fontId="45" fillId="0" borderId="10" xfId="0" applyFont="1" applyFill="1" applyBorder="1" applyAlignment="1">
      <alignment horizontal="center" vertical="center" wrapText="1"/>
    </xf>
    <xf numFmtId="0" fontId="45" fillId="0" borderId="11" xfId="0" applyFont="1" applyFill="1" applyBorder="1" applyAlignment="1">
      <alignment horizontal="center" vertical="center" wrapText="1"/>
    </xf>
    <xf numFmtId="0" fontId="45" fillId="0" borderId="2" xfId="0" applyFont="1" applyFill="1" applyBorder="1" applyAlignment="1">
      <alignment horizontal="center" vertical="center" wrapText="1"/>
    </xf>
    <xf numFmtId="9" fontId="45" fillId="0" borderId="0" xfId="0" applyNumberFormat="1" applyFont="1" applyFill="1" applyAlignment="1">
      <alignment horizontal="center" wrapText="1"/>
    </xf>
    <xf numFmtId="0" fontId="45" fillId="0" borderId="0" xfId="0" applyFont="1" applyFill="1" applyAlignment="1">
      <alignment horizontal="center" wrapText="1"/>
    </xf>
    <xf numFmtId="49" fontId="45" fillId="0" borderId="2" xfId="0" applyNumberFormat="1" applyFont="1" applyFill="1" applyBorder="1" applyAlignment="1">
      <alignment horizontal="center"/>
    </xf>
    <xf numFmtId="0" fontId="45" fillId="0" borderId="2" xfId="0" applyFont="1" applyFill="1" applyBorder="1" applyAlignment="1">
      <alignment horizontal="center" wrapText="1"/>
    </xf>
    <xf numFmtId="0" fontId="45" fillId="0" borderId="5" xfId="0" applyFont="1" applyFill="1" applyBorder="1" applyAlignment="1">
      <alignment horizontal="center"/>
    </xf>
    <xf numFmtId="0" fontId="45" fillId="0" borderId="12" xfId="0" applyFont="1" applyFill="1" applyBorder="1" applyAlignment="1">
      <alignment horizontal="center"/>
    </xf>
    <xf numFmtId="0" fontId="45" fillId="0" borderId="0" xfId="0" applyFont="1" applyFill="1" applyBorder="1" applyAlignment="1">
      <alignment horizontal="center"/>
    </xf>
    <xf numFmtId="2" fontId="49" fillId="0" borderId="2" xfId="0" applyNumberFormat="1" applyFont="1" applyFill="1" applyBorder="1" applyAlignment="1">
      <alignment horizontal="center"/>
    </xf>
    <xf numFmtId="2" fontId="50" fillId="0" borderId="2" xfId="0" applyNumberFormat="1" applyFont="1" applyFill="1" applyBorder="1"/>
    <xf numFmtId="0" fontId="49" fillId="0" borderId="2" xfId="0" applyFont="1" applyFill="1" applyBorder="1" applyAlignment="1">
      <alignment horizontal="center"/>
    </xf>
    <xf numFmtId="2" fontId="46" fillId="0" borderId="2" xfId="0" applyNumberFormat="1" applyFont="1" applyFill="1" applyBorder="1" applyAlignment="1">
      <alignment horizontal="center"/>
    </xf>
    <xf numFmtId="0" fontId="46" fillId="0" borderId="2" xfId="0" applyFont="1" applyFill="1" applyBorder="1" applyAlignment="1">
      <alignment horizontal="center"/>
    </xf>
    <xf numFmtId="0" fontId="48" fillId="0" borderId="0" xfId="0" applyFont="1" applyFill="1" applyBorder="1" applyAlignment="1">
      <alignment horizontal="center"/>
    </xf>
    <xf numFmtId="2" fontId="2" fillId="0" borderId="64" xfId="0" applyNumberFormat="1" applyFont="1" applyBorder="1" applyAlignment="1">
      <alignment horizontal="center"/>
    </xf>
    <xf numFmtId="2" fontId="2" fillId="0" borderId="66" xfId="0" applyNumberFormat="1" applyFont="1" applyBorder="1" applyAlignment="1">
      <alignment horizontal="center"/>
    </xf>
    <xf numFmtId="2" fontId="2" fillId="0" borderId="65" xfId="0" applyNumberFormat="1" applyFont="1" applyBorder="1" applyAlignment="1">
      <alignment horizontal="center"/>
    </xf>
    <xf numFmtId="2" fontId="5" fillId="0" borderId="64" xfId="0" applyNumberFormat="1" applyFont="1" applyBorder="1" applyAlignment="1">
      <alignment horizontal="center"/>
    </xf>
    <xf numFmtId="2" fontId="5" fillId="0" borderId="66" xfId="0" applyNumberFormat="1" applyFont="1" applyBorder="1" applyAlignment="1">
      <alignment horizontal="center"/>
    </xf>
    <xf numFmtId="2" fontId="5" fillId="0" borderId="65" xfId="0" applyNumberFormat="1" applyFont="1" applyBorder="1" applyAlignment="1">
      <alignment horizontal="center"/>
    </xf>
    <xf numFmtId="2" fontId="6" fillId="0" borderId="64" xfId="0" applyNumberFormat="1" applyFont="1" applyBorder="1" applyAlignment="1">
      <alignment horizontal="center"/>
    </xf>
    <xf numFmtId="2" fontId="6" fillId="0" borderId="66" xfId="0" applyNumberFormat="1" applyFont="1" applyBorder="1" applyAlignment="1">
      <alignment horizontal="center"/>
    </xf>
    <xf numFmtId="2" fontId="6" fillId="0" borderId="65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4" fillId="0" borderId="17" xfId="0" applyNumberFormat="1" applyFont="1" applyBorder="1"/>
    <xf numFmtId="2" fontId="4" fillId="0" borderId="18" xfId="0" applyNumberFormat="1" applyFont="1" applyBorder="1"/>
    <xf numFmtId="0" fontId="5" fillId="0" borderId="67" xfId="0" applyFont="1" applyBorder="1" applyAlignment="1">
      <alignment horizontal="center" vertical="center"/>
    </xf>
    <xf numFmtId="0" fontId="6" fillId="2" borderId="67" xfId="0" applyFont="1" applyFill="1" applyBorder="1" applyAlignment="1">
      <alignment horizontal="center"/>
    </xf>
    <xf numFmtId="0" fontId="6" fillId="2" borderId="15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/>
    </xf>
    <xf numFmtId="0" fontId="6" fillId="2" borderId="70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/>
    </xf>
    <xf numFmtId="0" fontId="5" fillId="0" borderId="162" xfId="0" applyFont="1" applyBorder="1" applyAlignment="1">
      <alignment horizontal="center" vertical="center" wrapText="1"/>
    </xf>
    <xf numFmtId="0" fontId="5" fillId="0" borderId="160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wrapText="1"/>
    </xf>
    <xf numFmtId="0" fontId="6" fillId="0" borderId="67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2" fontId="6" fillId="0" borderId="10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170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5" fillId="0" borderId="3" xfId="0" applyFont="1" applyBorder="1" applyAlignment="1"/>
    <xf numFmtId="0" fontId="5" fillId="0" borderId="14" xfId="0" applyFont="1" applyBorder="1" applyAlignment="1"/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71" xfId="0" applyFont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0" borderId="69" xfId="0" applyFont="1" applyBorder="1" applyAlignment="1">
      <alignment horizontal="center" vertical="center"/>
    </xf>
    <xf numFmtId="0" fontId="6" fillId="2" borderId="89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90" xfId="0" applyFont="1" applyFill="1" applyBorder="1" applyAlignment="1">
      <alignment horizontal="center"/>
    </xf>
    <xf numFmtId="0" fontId="5" fillId="0" borderId="10" xfId="0" applyFont="1" applyBorder="1" applyAlignment="1"/>
    <xf numFmtId="0" fontId="5" fillId="0" borderId="13" xfId="0" applyFont="1" applyBorder="1" applyAlignment="1"/>
    <xf numFmtId="9" fontId="6" fillId="0" borderId="0" xfId="0" applyNumberFormat="1" applyFont="1" applyAlignment="1">
      <alignment horizont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left"/>
    </xf>
    <xf numFmtId="49" fontId="5" fillId="2" borderId="13" xfId="0" applyNumberFormat="1" applyFont="1" applyFill="1" applyBorder="1" applyAlignment="1">
      <alignment horizontal="left"/>
    </xf>
    <xf numFmtId="49" fontId="5" fillId="2" borderId="11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5" fillId="2" borderId="14" xfId="0" applyNumberFormat="1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0" fontId="6" fillId="2" borderId="32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70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7" fillId="0" borderId="67" xfId="0" applyFont="1" applyBorder="1" applyAlignment="1">
      <alignment horizontal="center" vertical="center"/>
    </xf>
    <xf numFmtId="9" fontId="6" fillId="0" borderId="67" xfId="0" applyNumberFormat="1" applyFont="1" applyBorder="1" applyAlignment="1">
      <alignment horizontal="center" wrapText="1"/>
    </xf>
    <xf numFmtId="0" fontId="6" fillId="0" borderId="67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7" fillId="0" borderId="64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6" fillId="0" borderId="89" xfId="0" applyFont="1" applyBorder="1" applyAlignment="1">
      <alignment horizontal="center" vertical="center" wrapText="1"/>
    </xf>
    <xf numFmtId="0" fontId="6" fillId="0" borderId="90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right"/>
    </xf>
    <xf numFmtId="0" fontId="6" fillId="2" borderId="65" xfId="0" applyFont="1" applyFill="1" applyBorder="1" applyAlignment="1">
      <alignment horizontal="right"/>
    </xf>
    <xf numFmtId="49" fontId="5" fillId="2" borderId="64" xfId="0" applyNumberFormat="1" applyFont="1" applyFill="1" applyBorder="1" applyAlignment="1">
      <alignment horizontal="left"/>
    </xf>
    <xf numFmtId="49" fontId="5" fillId="2" borderId="66" xfId="0" applyNumberFormat="1" applyFont="1" applyFill="1" applyBorder="1" applyAlignment="1">
      <alignment horizontal="left"/>
    </xf>
    <xf numFmtId="49" fontId="5" fillId="2" borderId="65" xfId="0" applyNumberFormat="1" applyFont="1" applyFill="1" applyBorder="1" applyAlignment="1">
      <alignment horizontal="left"/>
    </xf>
    <xf numFmtId="0" fontId="5" fillId="0" borderId="64" xfId="0" applyFont="1" applyBorder="1" applyAlignment="1"/>
    <xf numFmtId="0" fontId="5" fillId="0" borderId="66" xfId="0" applyFont="1" applyBorder="1" applyAlignment="1"/>
    <xf numFmtId="49" fontId="5" fillId="2" borderId="72" xfId="0" applyNumberFormat="1" applyFont="1" applyFill="1" applyBorder="1" applyAlignment="1">
      <alignment horizontal="left"/>
    </xf>
    <xf numFmtId="49" fontId="5" fillId="2" borderId="73" xfId="0" applyNumberFormat="1" applyFont="1" applyFill="1" applyBorder="1" applyAlignment="1">
      <alignment horizontal="left"/>
    </xf>
    <xf numFmtId="49" fontId="5" fillId="2" borderId="74" xfId="0" applyNumberFormat="1" applyFont="1" applyFill="1" applyBorder="1" applyAlignment="1">
      <alignment horizontal="left"/>
    </xf>
    <xf numFmtId="0" fontId="5" fillId="0" borderId="72" xfId="0" applyFont="1" applyBorder="1" applyAlignment="1"/>
    <xf numFmtId="0" fontId="5" fillId="0" borderId="73" xfId="0" applyFont="1" applyBorder="1" applyAlignment="1"/>
    <xf numFmtId="0" fontId="93" fillId="0" borderId="154" xfId="0" applyFont="1" applyBorder="1" applyAlignment="1">
      <alignment horizontal="center" vertical="center" wrapText="1"/>
    </xf>
    <xf numFmtId="0" fontId="93" fillId="0" borderId="0" xfId="0" applyFont="1" applyBorder="1" applyAlignment="1">
      <alignment horizontal="center" vertical="center" wrapText="1"/>
    </xf>
    <xf numFmtId="0" fontId="92" fillId="0" borderId="0" xfId="0" applyFont="1" applyAlignment="1">
      <alignment horizontal="left"/>
    </xf>
    <xf numFmtId="0" fontId="92" fillId="0" borderId="0" xfId="0" applyFont="1" applyAlignment="1">
      <alignment horizontal="center"/>
    </xf>
    <xf numFmtId="0" fontId="93" fillId="0" borderId="67" xfId="0" applyFont="1" applyBorder="1" applyAlignment="1">
      <alignment horizontal="center"/>
    </xf>
    <xf numFmtId="0" fontId="95" fillId="0" borderId="0" xfId="0" applyFont="1" applyAlignment="1">
      <alignment horizontal="left" vertical="center"/>
    </xf>
    <xf numFmtId="0" fontId="97" fillId="0" borderId="0" xfId="0" applyFont="1" applyAlignment="1">
      <alignment horizontal="center" vertical="center"/>
    </xf>
    <xf numFmtId="0" fontId="93" fillId="0" borderId="0" xfId="0" applyFont="1" applyAlignment="1">
      <alignment horizontal="left"/>
    </xf>
    <xf numFmtId="0" fontId="92" fillId="0" borderId="0" xfId="0" applyFont="1" applyAlignment="1">
      <alignment horizontal="left" wrapText="1"/>
    </xf>
    <xf numFmtId="0" fontId="93" fillId="0" borderId="0" xfId="0" applyFont="1" applyAlignment="1">
      <alignment horizontal="center"/>
    </xf>
    <xf numFmtId="2" fontId="93" fillId="0" borderId="64" xfId="0" applyNumberFormat="1" applyFont="1" applyBorder="1" applyAlignment="1">
      <alignment horizontal="center"/>
    </xf>
    <xf numFmtId="2" fontId="93" fillId="0" borderId="86" xfId="0" applyNumberFormat="1" applyFont="1" applyBorder="1" applyAlignment="1">
      <alignment horizontal="center"/>
    </xf>
    <xf numFmtId="2" fontId="93" fillId="0" borderId="65" xfId="0" applyNumberFormat="1" applyFont="1" applyBorder="1" applyAlignment="1">
      <alignment horizontal="center"/>
    </xf>
    <xf numFmtId="0" fontId="93" fillId="0" borderId="64" xfId="0" applyFont="1" applyBorder="1" applyAlignment="1">
      <alignment horizontal="center" vertical="center"/>
    </xf>
    <xf numFmtId="0" fontId="93" fillId="0" borderId="86" xfId="0" applyFont="1" applyBorder="1" applyAlignment="1">
      <alignment horizontal="center" vertical="center"/>
    </xf>
    <xf numFmtId="0" fontId="93" fillId="0" borderId="65" xfId="0" applyFont="1" applyBorder="1" applyAlignment="1">
      <alignment horizontal="center" vertical="center"/>
    </xf>
    <xf numFmtId="0" fontId="93" fillId="0" borderId="67" xfId="0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 wrapText="1"/>
    </xf>
    <xf numFmtId="0" fontId="93" fillId="0" borderId="71" xfId="0" applyFont="1" applyBorder="1" applyAlignment="1">
      <alignment horizontal="center" vertical="center" wrapText="1"/>
    </xf>
    <xf numFmtId="0" fontId="93" fillId="0" borderId="70" xfId="0" applyFont="1" applyBorder="1" applyAlignment="1">
      <alignment horizontal="center" vertical="center" wrapText="1"/>
    </xf>
    <xf numFmtId="0" fontId="93" fillId="0" borderId="37" xfId="0" applyFont="1" applyBorder="1" applyAlignment="1">
      <alignment horizontal="center" wrapText="1"/>
    </xf>
    <xf numFmtId="0" fontId="93" fillId="0" borderId="71" xfId="0" applyFont="1" applyBorder="1" applyAlignment="1">
      <alignment horizontal="center" wrapText="1"/>
    </xf>
    <xf numFmtId="0" fontId="93" fillId="0" borderId="70" xfId="0" applyFont="1" applyBorder="1" applyAlignment="1">
      <alignment horizontal="center" wrapText="1"/>
    </xf>
    <xf numFmtId="2" fontId="93" fillId="0" borderId="64" xfId="0" applyNumberFormat="1" applyFont="1" applyBorder="1" applyAlignment="1">
      <alignment horizontal="center" vertical="center"/>
    </xf>
    <xf numFmtId="2" fontId="93" fillId="0" borderId="86" xfId="0" applyNumberFormat="1" applyFont="1" applyBorder="1" applyAlignment="1">
      <alignment horizontal="center" vertical="center"/>
    </xf>
    <xf numFmtId="2" fontId="93" fillId="0" borderId="65" xfId="0" applyNumberFormat="1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0" fontId="93" fillId="0" borderId="71" xfId="0" applyFont="1" applyBorder="1" applyAlignment="1">
      <alignment horizontal="center" vertical="center"/>
    </xf>
    <xf numFmtId="0" fontId="93" fillId="0" borderId="70" xfId="0" applyFont="1" applyBorder="1" applyAlignment="1">
      <alignment horizontal="center" vertical="center"/>
    </xf>
    <xf numFmtId="9" fontId="93" fillId="0" borderId="0" xfId="0" applyNumberFormat="1" applyFont="1" applyAlignment="1">
      <alignment horizontal="center" wrapText="1"/>
    </xf>
    <xf numFmtId="0" fontId="93" fillId="0" borderId="0" xfId="0" applyFont="1" applyAlignment="1">
      <alignment horizontal="center" wrapText="1"/>
    </xf>
    <xf numFmtId="0" fontId="133" fillId="0" borderId="64" xfId="0" applyFont="1" applyBorder="1" applyAlignment="1">
      <alignment horizontal="center" vertical="center"/>
    </xf>
    <xf numFmtId="0" fontId="133" fillId="0" borderId="65" xfId="0" applyFont="1" applyBorder="1" applyAlignment="1">
      <alignment horizontal="center" vertical="center"/>
    </xf>
    <xf numFmtId="0" fontId="133" fillId="0" borderId="86" xfId="0" applyFont="1" applyBorder="1" applyAlignment="1">
      <alignment horizontal="center" vertical="center"/>
    </xf>
    <xf numFmtId="0" fontId="93" fillId="0" borderId="91" xfId="0" applyFont="1" applyBorder="1" applyAlignment="1">
      <alignment horizontal="center" vertical="center" wrapText="1"/>
    </xf>
    <xf numFmtId="0" fontId="93" fillId="0" borderId="105" xfId="0" applyFont="1" applyBorder="1" applyAlignment="1">
      <alignment horizontal="center" vertical="center" wrapText="1"/>
    </xf>
    <xf numFmtId="0" fontId="93" fillId="0" borderId="50" xfId="0" applyFont="1" applyBorder="1" applyAlignment="1">
      <alignment horizontal="center" vertical="center" wrapText="1"/>
    </xf>
    <xf numFmtId="0" fontId="93" fillId="0" borderId="52" xfId="0" applyFont="1" applyBorder="1" applyAlignment="1">
      <alignment horizontal="center" vertical="center" wrapText="1"/>
    </xf>
    <xf numFmtId="0" fontId="93" fillId="0" borderId="115" xfId="0" applyFont="1" applyBorder="1" applyAlignment="1">
      <alignment horizontal="center" vertical="center" wrapText="1"/>
    </xf>
    <xf numFmtId="0" fontId="93" fillId="0" borderId="107" xfId="0" applyFont="1" applyBorder="1" applyAlignment="1">
      <alignment horizontal="center" vertical="center"/>
    </xf>
    <xf numFmtId="0" fontId="93" fillId="0" borderId="104" xfId="0" applyFont="1" applyBorder="1" applyAlignment="1">
      <alignment horizontal="center" vertical="center"/>
    </xf>
    <xf numFmtId="0" fontId="93" fillId="0" borderId="92" xfId="0" applyFont="1" applyBorder="1" applyAlignment="1">
      <alignment horizontal="center" vertical="center"/>
    </xf>
    <xf numFmtId="0" fontId="93" fillId="0" borderId="92" xfId="0" applyFont="1" applyBorder="1" applyAlignment="1">
      <alignment horizontal="center" vertical="center" wrapText="1"/>
    </xf>
    <xf numFmtId="49" fontId="92" fillId="2" borderId="40" xfId="0" applyNumberFormat="1" applyFont="1" applyFill="1" applyBorder="1" applyAlignment="1">
      <alignment horizontal="left"/>
    </xf>
    <xf numFmtId="49" fontId="92" fillId="2" borderId="41" xfId="0" applyNumberFormat="1" applyFont="1" applyFill="1" applyBorder="1" applyAlignment="1">
      <alignment horizontal="left"/>
    </xf>
    <xf numFmtId="49" fontId="92" fillId="2" borderId="95" xfId="0" applyNumberFormat="1" applyFont="1" applyFill="1" applyBorder="1" applyAlignment="1">
      <alignment horizontal="left"/>
    </xf>
    <xf numFmtId="0" fontId="92" fillId="0" borderId="40" xfId="0" applyFont="1" applyBorder="1"/>
    <xf numFmtId="0" fontId="92" fillId="0" borderId="41" xfId="0" applyFont="1" applyBorder="1"/>
    <xf numFmtId="0" fontId="92" fillId="2" borderId="30" xfId="0" applyFont="1" applyFill="1" applyBorder="1" applyAlignment="1">
      <alignment horizontal="center"/>
    </xf>
    <xf numFmtId="0" fontId="92" fillId="2" borderId="35" xfId="0" applyFont="1" applyFill="1" applyBorder="1" applyAlignment="1">
      <alignment horizontal="center"/>
    </xf>
    <xf numFmtId="0" fontId="93" fillId="2" borderId="30" xfId="0" applyFont="1" applyFill="1" applyBorder="1" applyAlignment="1">
      <alignment horizontal="center"/>
    </xf>
    <xf numFmtId="0" fontId="93" fillId="2" borderId="31" xfId="0" applyFont="1" applyFill="1" applyBorder="1" applyAlignment="1">
      <alignment horizontal="center"/>
    </xf>
    <xf numFmtId="0" fontId="93" fillId="2" borderId="35" xfId="0" applyFont="1" applyFill="1" applyBorder="1" applyAlignment="1">
      <alignment horizontal="center"/>
    </xf>
    <xf numFmtId="0" fontId="93" fillId="0" borderId="30" xfId="0" applyFont="1" applyBorder="1" applyAlignment="1">
      <alignment horizontal="center"/>
    </xf>
    <xf numFmtId="0" fontId="93" fillId="0" borderId="31" xfId="0" applyFont="1" applyBorder="1" applyAlignment="1">
      <alignment horizontal="center"/>
    </xf>
    <xf numFmtId="0" fontId="93" fillId="0" borderId="37" xfId="0" applyFont="1" applyBorder="1" applyAlignment="1">
      <alignment horizontal="center"/>
    </xf>
    <xf numFmtId="0" fontId="93" fillId="0" borderId="71" xfId="0" applyFont="1" applyBorder="1" applyAlignment="1">
      <alignment horizontal="center"/>
    </xf>
    <xf numFmtId="0" fontId="93" fillId="0" borderId="70" xfId="0" applyFont="1" applyBorder="1" applyAlignment="1">
      <alignment horizontal="center"/>
    </xf>
    <xf numFmtId="0" fontId="93" fillId="0" borderId="131" xfId="0" applyFont="1" applyBorder="1" applyAlignment="1">
      <alignment horizontal="center" vertical="center" wrapText="1"/>
    </xf>
    <xf numFmtId="0" fontId="93" fillId="0" borderId="98" xfId="0" applyFont="1" applyBorder="1" applyAlignment="1">
      <alignment horizontal="center" vertical="center" wrapText="1"/>
    </xf>
    <xf numFmtId="0" fontId="93" fillId="0" borderId="105" xfId="0" applyFont="1" applyBorder="1" applyAlignment="1">
      <alignment horizontal="center" vertical="center"/>
    </xf>
    <xf numFmtId="0" fontId="93" fillId="0" borderId="107" xfId="0" applyFont="1" applyBorder="1" applyAlignment="1">
      <alignment horizontal="center" vertical="center" wrapText="1"/>
    </xf>
    <xf numFmtId="0" fontId="93" fillId="2" borderId="64" xfId="0" applyFont="1" applyFill="1" applyBorder="1" applyAlignment="1">
      <alignment horizontal="right"/>
    </xf>
    <xf numFmtId="0" fontId="93" fillId="2" borderId="65" xfId="0" applyFont="1" applyFill="1" applyBorder="1" applyAlignment="1">
      <alignment horizontal="right"/>
    </xf>
    <xf numFmtId="49" fontId="92" fillId="2" borderId="64" xfId="0" applyNumberFormat="1" applyFont="1" applyFill="1" applyBorder="1" applyAlignment="1">
      <alignment horizontal="left"/>
    </xf>
    <xf numFmtId="49" fontId="92" fillId="2" borderId="86" xfId="0" applyNumberFormat="1" applyFont="1" applyFill="1" applyBorder="1" applyAlignment="1">
      <alignment horizontal="left"/>
    </xf>
    <xf numFmtId="49" fontId="92" fillId="2" borderId="65" xfId="0" applyNumberFormat="1" applyFont="1" applyFill="1" applyBorder="1" applyAlignment="1">
      <alignment horizontal="left"/>
    </xf>
    <xf numFmtId="0" fontId="92" fillId="0" borderId="64" xfId="0" applyFont="1" applyBorder="1"/>
    <xf numFmtId="0" fontId="92" fillId="0" borderId="86" xfId="0" applyFont="1" applyBorder="1"/>
    <xf numFmtId="0" fontId="1" fillId="0" borderId="64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7" fillId="26" borderId="0" xfId="0" applyFont="1" applyFill="1" applyAlignment="1">
      <alignment horizontal="center"/>
    </xf>
    <xf numFmtId="0" fontId="1" fillId="0" borderId="164" xfId="0" applyFont="1" applyBorder="1" applyAlignment="1">
      <alignment horizontal="center"/>
    </xf>
    <xf numFmtId="0" fontId="1" fillId="0" borderId="165" xfId="0" applyFont="1" applyBorder="1" applyAlignment="1">
      <alignment horizontal="center"/>
    </xf>
    <xf numFmtId="0" fontId="1" fillId="0" borderId="166" xfId="0" applyFont="1" applyBorder="1" applyAlignment="1">
      <alignment horizontal="center"/>
    </xf>
    <xf numFmtId="0" fontId="7" fillId="26" borderId="64" xfId="0" applyFont="1" applyFill="1" applyBorder="1" applyAlignment="1">
      <alignment horizontal="center"/>
    </xf>
    <xf numFmtId="0" fontId="7" fillId="26" borderId="65" xfId="0" applyFont="1" applyFill="1" applyBorder="1" applyAlignment="1">
      <alignment horizontal="center"/>
    </xf>
    <xf numFmtId="0" fontId="1" fillId="26" borderId="64" xfId="0" applyFont="1" applyFill="1" applyBorder="1" applyAlignment="1">
      <alignment horizontal="center"/>
    </xf>
    <xf numFmtId="0" fontId="1" fillId="26" borderId="66" xfId="0" applyFont="1" applyFill="1" applyBorder="1" applyAlignment="1">
      <alignment horizontal="center"/>
    </xf>
    <xf numFmtId="0" fontId="1" fillId="26" borderId="65" xfId="0" applyFont="1" applyFill="1" applyBorder="1" applyAlignment="1">
      <alignment horizontal="center"/>
    </xf>
    <xf numFmtId="0" fontId="43" fillId="2" borderId="64" xfId="0" applyFont="1" applyFill="1" applyBorder="1" applyAlignment="1">
      <alignment horizontal="center" vertical="center"/>
    </xf>
    <xf numFmtId="0" fontId="43" fillId="2" borderId="66" xfId="0" applyFont="1" applyFill="1" applyBorder="1" applyAlignment="1">
      <alignment horizontal="center" vertical="center"/>
    </xf>
    <xf numFmtId="0" fontId="43" fillId="2" borderId="65" xfId="0" applyFont="1" applyFill="1" applyBorder="1" applyAlignment="1">
      <alignment horizontal="center" vertical="center"/>
    </xf>
    <xf numFmtId="0" fontId="6" fillId="26" borderId="64" xfId="0" applyFont="1" applyFill="1" applyBorder="1" applyAlignment="1">
      <alignment horizontal="right" vertical="center" wrapText="1"/>
    </xf>
    <xf numFmtId="0" fontId="6" fillId="26" borderId="66" xfId="0" applyFont="1" applyFill="1" applyBorder="1" applyAlignment="1">
      <alignment horizontal="right" vertical="center" wrapText="1"/>
    </xf>
    <xf numFmtId="0" fontId="6" fillId="26" borderId="65" xfId="0" applyFont="1" applyFill="1" applyBorder="1" applyAlignment="1">
      <alignment horizontal="right" vertical="center" wrapText="1"/>
    </xf>
    <xf numFmtId="0" fontId="1" fillId="26" borderId="64" xfId="0" applyFont="1" applyFill="1" applyBorder="1" applyAlignment="1">
      <alignment horizontal="center" vertical="center"/>
    </xf>
    <xf numFmtId="0" fontId="1" fillId="26" borderId="66" xfId="0" applyFont="1" applyFill="1" applyBorder="1" applyAlignment="1">
      <alignment horizontal="center" vertical="center"/>
    </xf>
    <xf numFmtId="0" fontId="1" fillId="26" borderId="65" xfId="0" applyFont="1" applyFill="1" applyBorder="1" applyAlignment="1">
      <alignment horizontal="center" vertical="center"/>
    </xf>
    <xf numFmtId="0" fontId="108" fillId="26" borderId="50" xfId="0" applyFont="1" applyFill="1" applyBorder="1" applyAlignment="1">
      <alignment horizontal="center" vertical="center" wrapText="1"/>
    </xf>
    <xf numFmtId="0" fontId="108" fillId="26" borderId="52" xfId="0" applyFont="1" applyFill="1" applyBorder="1" applyAlignment="1">
      <alignment horizontal="center" vertical="center" wrapText="1"/>
    </xf>
    <xf numFmtId="0" fontId="108" fillId="26" borderId="15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7" fillId="26" borderId="64" xfId="0" applyFont="1" applyFill="1" applyBorder="1" applyAlignment="1">
      <alignment horizontal="center" vertical="center"/>
    </xf>
    <xf numFmtId="0" fontId="107" fillId="26" borderId="99" xfId="0" applyFont="1" applyFill="1" applyBorder="1" applyAlignment="1">
      <alignment horizontal="center" vertical="center"/>
    </xf>
    <xf numFmtId="9" fontId="66" fillId="0" borderId="64" xfId="0" applyNumberFormat="1" applyFont="1" applyBorder="1" applyAlignment="1">
      <alignment horizontal="center" wrapText="1"/>
    </xf>
    <xf numFmtId="9" fontId="66" fillId="0" borderId="65" xfId="0" applyNumberFormat="1" applyFont="1" applyBorder="1" applyAlignment="1">
      <alignment horizontal="center" wrapText="1"/>
    </xf>
    <xf numFmtId="0" fontId="107" fillId="26" borderId="50" xfId="0" applyFont="1" applyFill="1" applyBorder="1" applyAlignment="1">
      <alignment horizontal="center" vertical="center" wrapText="1"/>
    </xf>
    <xf numFmtId="0" fontId="107" fillId="26" borderId="52" xfId="0" applyFont="1" applyFill="1" applyBorder="1" applyAlignment="1">
      <alignment horizontal="center" vertical="center" wrapText="1"/>
    </xf>
    <xf numFmtId="0" fontId="107" fillId="26" borderId="153" xfId="0" applyFont="1" applyFill="1" applyBorder="1" applyAlignment="1">
      <alignment horizontal="center" vertical="center" wrapText="1"/>
    </xf>
    <xf numFmtId="0" fontId="66" fillId="0" borderId="64" xfId="0" applyFont="1" applyBorder="1" applyAlignment="1">
      <alignment horizontal="center" wrapText="1"/>
    </xf>
    <xf numFmtId="0" fontId="66" fillId="0" borderId="65" xfId="0" applyFont="1" applyBorder="1" applyAlignment="1">
      <alignment horizontal="center" wrapText="1"/>
    </xf>
    <xf numFmtId="0" fontId="107" fillId="26" borderId="107" xfId="0" applyFont="1" applyFill="1" applyBorder="1" applyAlignment="1">
      <alignment horizontal="center" vertical="center"/>
    </xf>
    <xf numFmtId="0" fontId="107" fillId="26" borderId="104" xfId="0" applyFont="1" applyFill="1" applyBorder="1" applyAlignment="1">
      <alignment horizontal="center" vertical="center"/>
    </xf>
    <xf numFmtId="0" fontId="107" fillId="26" borderId="105" xfId="0" applyFont="1" applyFill="1" applyBorder="1" applyAlignment="1">
      <alignment horizontal="center" vertical="center"/>
    </xf>
    <xf numFmtId="0" fontId="107" fillId="26" borderId="130" xfId="0" applyFont="1" applyFill="1" applyBorder="1" applyAlignment="1">
      <alignment horizontal="center" vertical="center" wrapText="1"/>
    </xf>
    <xf numFmtId="0" fontId="107" fillId="26" borderId="97" xfId="0" applyFont="1" applyFill="1" applyBorder="1" applyAlignment="1">
      <alignment horizontal="center" vertical="center" wrapText="1"/>
    </xf>
    <xf numFmtId="0" fontId="107" fillId="26" borderId="37" xfId="0" applyFont="1" applyFill="1" applyBorder="1" applyAlignment="1">
      <alignment horizontal="center" vertical="center" wrapText="1"/>
    </xf>
    <xf numFmtId="0" fontId="107" fillId="26" borderId="70" xfId="0" applyFont="1" applyFill="1" applyBorder="1" applyAlignment="1">
      <alignment horizontal="center" vertical="center" wrapText="1"/>
    </xf>
    <xf numFmtId="0" fontId="107" fillId="26" borderId="131" xfId="0" applyFont="1" applyFill="1" applyBorder="1" applyAlignment="1">
      <alignment horizontal="center" vertical="center" wrapText="1"/>
    </xf>
    <xf numFmtId="0" fontId="107" fillId="26" borderId="98" xfId="0" applyFont="1" applyFill="1" applyBorder="1" applyAlignment="1">
      <alignment horizontal="center" vertical="center" wrapText="1"/>
    </xf>
    <xf numFmtId="0" fontId="107" fillId="26" borderId="91" xfId="0" applyFont="1" applyFill="1" applyBorder="1" applyAlignment="1">
      <alignment horizontal="center" vertical="center" wrapText="1"/>
    </xf>
    <xf numFmtId="0" fontId="107" fillId="26" borderId="105" xfId="0" applyFont="1" applyFill="1" applyBorder="1" applyAlignment="1">
      <alignment horizontal="center" vertical="center" wrapText="1"/>
    </xf>
    <xf numFmtId="49" fontId="107" fillId="26" borderId="109" xfId="0" applyNumberFormat="1" applyFont="1" applyFill="1" applyBorder="1" applyAlignment="1">
      <alignment horizontal="left"/>
    </xf>
    <xf numFmtId="49" fontId="107" fillId="26" borderId="41" xfId="0" applyNumberFormat="1" applyFont="1" applyFill="1" applyBorder="1" applyAlignment="1">
      <alignment horizontal="left"/>
    </xf>
    <xf numFmtId="49" fontId="107" fillId="26" borderId="110" xfId="0" applyNumberFormat="1" applyFont="1" applyFill="1" applyBorder="1" applyAlignment="1">
      <alignment horizontal="left"/>
    </xf>
    <xf numFmtId="0" fontId="107" fillId="26" borderId="109" xfId="0" applyFont="1" applyFill="1" applyBorder="1" applyAlignment="1"/>
    <xf numFmtId="0" fontId="107" fillId="26" borderId="41" xfId="0" applyFont="1" applyFill="1" applyBorder="1" applyAlignment="1"/>
    <xf numFmtId="0" fontId="107" fillId="26" borderId="110" xfId="0" applyFont="1" applyFill="1" applyBorder="1" applyAlignment="1"/>
    <xf numFmtId="0" fontId="108" fillId="26" borderId="30" xfId="0" applyFont="1" applyFill="1" applyBorder="1" applyAlignment="1">
      <alignment horizontal="center"/>
    </xf>
    <xf numFmtId="0" fontId="108" fillId="26" borderId="31" xfId="0" applyFont="1" applyFill="1" applyBorder="1" applyAlignment="1">
      <alignment horizontal="center"/>
    </xf>
    <xf numFmtId="0" fontId="108" fillId="26" borderId="35" xfId="0" applyFont="1" applyFill="1" applyBorder="1" applyAlignment="1">
      <alignment horizontal="center"/>
    </xf>
    <xf numFmtId="0" fontId="82" fillId="26" borderId="139" xfId="0" applyFont="1" applyFill="1" applyBorder="1" applyAlignment="1">
      <alignment horizontal="right"/>
    </xf>
    <xf numFmtId="0" fontId="82" fillId="26" borderId="149" xfId="0" applyFont="1" applyFill="1" applyBorder="1" applyAlignment="1">
      <alignment horizontal="right"/>
    </xf>
    <xf numFmtId="0" fontId="82" fillId="26" borderId="131" xfId="0" applyFont="1" applyFill="1" applyBorder="1" applyAlignment="1">
      <alignment horizontal="center" vertical="center" wrapText="1"/>
    </xf>
    <xf numFmtId="0" fontId="82" fillId="26" borderId="133" xfId="0" applyFont="1" applyFill="1" applyBorder="1" applyAlignment="1">
      <alignment horizontal="center" vertical="center" wrapText="1"/>
    </xf>
    <xf numFmtId="0" fontId="82" fillId="26" borderId="98" xfId="0" applyFont="1" applyFill="1" applyBorder="1" applyAlignment="1">
      <alignment horizontal="center" vertical="center" wrapText="1"/>
    </xf>
    <xf numFmtId="0" fontId="82" fillId="26" borderId="158" xfId="0" applyFont="1" applyFill="1" applyBorder="1" applyAlignment="1">
      <alignment horizontal="center" vertical="center"/>
    </xf>
    <xf numFmtId="0" fontId="82" fillId="26" borderId="71" xfId="0" applyFont="1" applyFill="1" applyBorder="1" applyAlignment="1">
      <alignment horizontal="center" vertical="center"/>
    </xf>
    <xf numFmtId="0" fontId="82" fillId="26" borderId="70" xfId="0" applyFont="1" applyFill="1" applyBorder="1" applyAlignment="1">
      <alignment horizontal="center" vertical="center"/>
    </xf>
    <xf numFmtId="0" fontId="82" fillId="26" borderId="107" xfId="0" applyFont="1" applyFill="1" applyBorder="1" applyAlignment="1">
      <alignment horizontal="right"/>
    </xf>
    <xf numFmtId="0" fontId="82" fillId="26" borderId="105" xfId="0" applyFont="1" applyFill="1" applyBorder="1" applyAlignment="1">
      <alignment horizontal="right"/>
    </xf>
    <xf numFmtId="49" fontId="107" fillId="26" borderId="107" xfId="0" applyNumberFormat="1" applyFont="1" applyFill="1" applyBorder="1" applyAlignment="1">
      <alignment horizontal="left"/>
    </xf>
    <xf numFmtId="49" fontId="107" fillId="26" borderId="104" xfId="0" applyNumberFormat="1" applyFont="1" applyFill="1" applyBorder="1" applyAlignment="1">
      <alignment horizontal="left"/>
    </xf>
    <xf numFmtId="49" fontId="107" fillId="26" borderId="105" xfId="0" applyNumberFormat="1" applyFont="1" applyFill="1" applyBorder="1" applyAlignment="1">
      <alignment horizontal="left"/>
    </xf>
    <xf numFmtId="0" fontId="107" fillId="26" borderId="107" xfId="0" applyFont="1" applyFill="1" applyBorder="1" applyAlignment="1"/>
    <xf numFmtId="0" fontId="107" fillId="26" borderId="104" xfId="0" applyFont="1" applyFill="1" applyBorder="1" applyAlignment="1"/>
    <xf numFmtId="0" fontId="107" fillId="26" borderId="105" xfId="0" applyFont="1" applyFill="1" applyBorder="1" applyAlignment="1"/>
    <xf numFmtId="0" fontId="82" fillId="26" borderId="45" xfId="0" applyFont="1" applyFill="1" applyBorder="1" applyAlignment="1">
      <alignment horizontal="right"/>
    </xf>
    <xf numFmtId="0" fontId="82" fillId="26" borderId="99" xfId="0" applyFont="1" applyFill="1" applyBorder="1" applyAlignment="1">
      <alignment horizontal="right"/>
    </xf>
    <xf numFmtId="49" fontId="107" fillId="26" borderId="45" xfId="0" applyNumberFormat="1" applyFont="1" applyFill="1" applyBorder="1" applyAlignment="1">
      <alignment horizontal="left"/>
    </xf>
    <xf numFmtId="49" fontId="107" fillId="26" borderId="66" xfId="0" applyNumberFormat="1" applyFont="1" applyFill="1" applyBorder="1" applyAlignment="1">
      <alignment horizontal="left"/>
    </xf>
    <xf numFmtId="49" fontId="107" fillId="26" borderId="99" xfId="0" applyNumberFormat="1" applyFont="1" applyFill="1" applyBorder="1" applyAlignment="1">
      <alignment horizontal="left"/>
    </xf>
    <xf numFmtId="0" fontId="107" fillId="26" borderId="45" xfId="0" applyFont="1" applyFill="1" applyBorder="1" applyAlignment="1"/>
    <xf numFmtId="0" fontId="107" fillId="26" borderId="66" xfId="0" applyFont="1" applyFill="1" applyBorder="1" applyAlignment="1"/>
    <xf numFmtId="0" fontId="107" fillId="26" borderId="99" xfId="0" applyFont="1" applyFill="1" applyBorder="1" applyAlignment="1"/>
    <xf numFmtId="0" fontId="7" fillId="0" borderId="86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/>
    </xf>
    <xf numFmtId="0" fontId="6" fillId="0" borderId="64" xfId="0" applyFont="1" applyBorder="1" applyAlignment="1">
      <alignment horizontal="right" vertical="center" wrapText="1"/>
    </xf>
    <xf numFmtId="0" fontId="6" fillId="0" borderId="86" xfId="0" applyFont="1" applyBorder="1" applyAlignment="1">
      <alignment horizontal="right" vertical="center" wrapText="1"/>
    </xf>
    <xf numFmtId="0" fontId="6" fillId="0" borderId="65" xfId="0" applyFont="1" applyBorder="1" applyAlignment="1">
      <alignment horizontal="right" vertical="center" wrapText="1"/>
    </xf>
    <xf numFmtId="49" fontId="5" fillId="2" borderId="176" xfId="0" applyNumberFormat="1" applyFont="1" applyFill="1" applyBorder="1" applyAlignment="1">
      <alignment horizontal="left"/>
    </xf>
    <xf numFmtId="49" fontId="5" fillId="2" borderId="177" xfId="0" applyNumberFormat="1" applyFont="1" applyFill="1" applyBorder="1" applyAlignment="1">
      <alignment horizontal="left"/>
    </xf>
    <xf numFmtId="49" fontId="5" fillId="2" borderId="178" xfId="0" applyNumberFormat="1" applyFont="1" applyFill="1" applyBorder="1" applyAlignment="1">
      <alignment horizontal="left"/>
    </xf>
    <xf numFmtId="0" fontId="5" fillId="0" borderId="176" xfId="0" applyFont="1" applyBorder="1" applyAlignment="1"/>
    <xf numFmtId="0" fontId="5" fillId="0" borderId="177" xfId="0" applyFont="1" applyBorder="1" applyAlignment="1"/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93" xfId="0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9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67" xfId="0" applyFont="1" applyFill="1" applyBorder="1" applyAlignment="1">
      <alignment horizontal="right"/>
    </xf>
    <xf numFmtId="0" fontId="6" fillId="0" borderId="135" xfId="0" applyFont="1" applyBorder="1" applyAlignment="1">
      <alignment horizontal="center"/>
    </xf>
    <xf numFmtId="0" fontId="6" fillId="0" borderId="135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5" fillId="0" borderId="64" xfId="0" applyNumberFormat="1" applyFont="1" applyBorder="1" applyAlignment="1">
      <alignment horizontal="center"/>
    </xf>
    <xf numFmtId="2" fontId="15" fillId="0" borderId="86" xfId="0" applyNumberFormat="1" applyFont="1" applyBorder="1" applyAlignment="1">
      <alignment horizontal="center"/>
    </xf>
    <xf numFmtId="2" fontId="15" fillId="0" borderId="65" xfId="0" applyNumberFormat="1" applyFont="1" applyBorder="1" applyAlignment="1">
      <alignment horizontal="center"/>
    </xf>
    <xf numFmtId="2" fontId="6" fillId="0" borderId="86" xfId="0" applyNumberFormat="1" applyFont="1" applyBorder="1" applyAlignment="1">
      <alignment horizontal="center"/>
    </xf>
    <xf numFmtId="2" fontId="15" fillId="0" borderId="16" xfId="0" applyNumberFormat="1" applyFont="1" applyBorder="1" applyAlignment="1">
      <alignment horizontal="center"/>
    </xf>
    <xf numFmtId="2" fontId="14" fillId="0" borderId="17" xfId="0" applyNumberFormat="1" applyFont="1" applyBorder="1"/>
    <xf numFmtId="2" fontId="14" fillId="0" borderId="18" xfId="0" applyNumberFormat="1" applyFont="1" applyBorder="1"/>
    <xf numFmtId="0" fontId="1" fillId="2" borderId="88" xfId="0" applyFont="1" applyFill="1" applyBorder="1" applyAlignment="1">
      <alignment horizontal="right"/>
    </xf>
    <xf numFmtId="0" fontId="1" fillId="2" borderId="87" xfId="0" applyFont="1" applyFill="1" applyBorder="1" applyAlignment="1">
      <alignment horizontal="right"/>
    </xf>
    <xf numFmtId="49" fontId="43" fillId="2" borderId="88" xfId="0" applyNumberFormat="1" applyFont="1" applyFill="1" applyBorder="1" applyAlignment="1">
      <alignment horizontal="left"/>
    </xf>
    <xf numFmtId="49" fontId="43" fillId="2" borderId="86" xfId="0" applyNumberFormat="1" applyFont="1" applyFill="1" applyBorder="1" applyAlignment="1">
      <alignment horizontal="left"/>
    </xf>
    <xf numFmtId="49" fontId="43" fillId="2" borderId="87" xfId="0" applyNumberFormat="1" applyFont="1" applyFill="1" applyBorder="1" applyAlignment="1">
      <alignment horizontal="left"/>
    </xf>
    <xf numFmtId="0" fontId="43" fillId="0" borderId="88" xfId="0" applyFont="1" applyBorder="1" applyAlignment="1"/>
    <xf numFmtId="0" fontId="43" fillId="0" borderId="86" xfId="0" applyFont="1" applyBorder="1" applyAlignment="1"/>
    <xf numFmtId="0" fontId="1" fillId="0" borderId="37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49" fontId="43" fillId="2" borderId="40" xfId="0" applyNumberFormat="1" applyFont="1" applyFill="1" applyBorder="1" applyAlignment="1">
      <alignment horizontal="left"/>
    </xf>
    <xf numFmtId="49" fontId="43" fillId="2" borderId="41" xfId="0" applyNumberFormat="1" applyFont="1" applyFill="1" applyBorder="1" applyAlignment="1">
      <alignment horizontal="left"/>
    </xf>
    <xf numFmtId="49" fontId="43" fillId="2" borderId="95" xfId="0" applyNumberFormat="1" applyFont="1" applyFill="1" applyBorder="1" applyAlignment="1">
      <alignment horizontal="left"/>
    </xf>
    <xf numFmtId="0" fontId="43" fillId="0" borderId="40" xfId="0" applyFont="1" applyBorder="1" applyAlignment="1"/>
    <xf numFmtId="0" fontId="43" fillId="0" borderId="41" xfId="0" applyFont="1" applyBorder="1" applyAlignment="1"/>
    <xf numFmtId="0" fontId="43" fillId="2" borderId="30" xfId="0" applyFont="1" applyFill="1" applyBorder="1" applyAlignment="1">
      <alignment horizontal="center"/>
    </xf>
    <xf numFmtId="0" fontId="43" fillId="2" borderId="3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6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13" fillId="0" borderId="0" xfId="0" applyFont="1" applyAlignment="1">
      <alignment horizontal="center"/>
    </xf>
    <xf numFmtId="0" fontId="113" fillId="0" borderId="67" xfId="0" applyFont="1" applyBorder="1" applyAlignment="1">
      <alignment horizontal="center"/>
    </xf>
    <xf numFmtId="0" fontId="113" fillId="0" borderId="88" xfId="0" applyFont="1" applyBorder="1" applyAlignment="1">
      <alignment horizontal="center" vertical="center"/>
    </xf>
    <xf numFmtId="0" fontId="113" fillId="0" borderId="86" xfId="0" applyFont="1" applyBorder="1" applyAlignment="1">
      <alignment horizontal="center" vertical="center"/>
    </xf>
    <xf numFmtId="0" fontId="113" fillId="0" borderId="87" xfId="0" applyFont="1" applyBorder="1" applyAlignment="1">
      <alignment horizontal="center" vertical="center"/>
    </xf>
    <xf numFmtId="0" fontId="113" fillId="0" borderId="67" xfId="0" applyFont="1" applyBorder="1" applyAlignment="1">
      <alignment horizontal="center" vertical="center"/>
    </xf>
    <xf numFmtId="0" fontId="43" fillId="0" borderId="94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88" xfId="0" applyFont="1" applyBorder="1" applyAlignment="1">
      <alignment vertical="center" wrapText="1"/>
    </xf>
    <xf numFmtId="0" fontId="43" fillId="0" borderId="86" xfId="0" applyFont="1" applyBorder="1" applyAlignment="1">
      <alignment vertical="center" wrapText="1"/>
    </xf>
    <xf numFmtId="0" fontId="43" fillId="0" borderId="87" xfId="0" applyFont="1" applyBorder="1" applyAlignment="1">
      <alignment vertical="center" wrapText="1"/>
    </xf>
    <xf numFmtId="0" fontId="43" fillId="0" borderId="88" xfId="0" applyFont="1" applyBorder="1" applyAlignment="1">
      <alignment horizontal="left" vertical="center" wrapText="1"/>
    </xf>
    <xf numFmtId="0" fontId="43" fillId="0" borderId="86" xfId="0" applyFont="1" applyBorder="1" applyAlignment="1">
      <alignment horizontal="left" vertical="center" wrapText="1"/>
    </xf>
    <xf numFmtId="0" fontId="43" fillId="0" borderId="87" xfId="0" applyFont="1" applyBorder="1" applyAlignment="1">
      <alignment horizontal="left" vertical="center" wrapText="1"/>
    </xf>
    <xf numFmtId="0" fontId="104" fillId="0" borderId="88" xfId="0" applyFont="1" applyBorder="1" applyAlignment="1">
      <alignment horizontal="left" vertical="center" wrapText="1"/>
    </xf>
    <xf numFmtId="0" fontId="104" fillId="0" borderId="86" xfId="0" applyFont="1" applyBorder="1" applyAlignment="1">
      <alignment horizontal="left" vertical="center" wrapText="1"/>
    </xf>
    <xf numFmtId="0" fontId="104" fillId="0" borderId="87" xfId="0" applyFont="1" applyBorder="1" applyAlignment="1">
      <alignment horizontal="left" vertical="center" wrapText="1"/>
    </xf>
    <xf numFmtId="0" fontId="6" fillId="2" borderId="88" xfId="0" applyFont="1" applyFill="1" applyBorder="1" applyAlignment="1">
      <alignment horizontal="right"/>
    </xf>
    <xf numFmtId="0" fontId="6" fillId="2" borderId="87" xfId="0" applyFont="1" applyFill="1" applyBorder="1" applyAlignment="1">
      <alignment horizontal="right"/>
    </xf>
    <xf numFmtId="49" fontId="5" fillId="2" borderId="88" xfId="0" applyNumberFormat="1" applyFont="1" applyFill="1" applyBorder="1" applyAlignment="1">
      <alignment horizontal="left"/>
    </xf>
    <xf numFmtId="49" fontId="5" fillId="2" borderId="86" xfId="0" applyNumberFormat="1" applyFont="1" applyFill="1" applyBorder="1" applyAlignment="1">
      <alignment horizontal="left"/>
    </xf>
    <xf numFmtId="0" fontId="5" fillId="0" borderId="67" xfId="0" applyFont="1" applyBorder="1" applyAlignment="1"/>
    <xf numFmtId="49" fontId="5" fillId="2" borderId="101" xfId="0" applyNumberFormat="1" applyFont="1" applyFill="1" applyBorder="1" applyAlignment="1">
      <alignment horizontal="left"/>
    </xf>
    <xf numFmtId="49" fontId="5" fillId="2" borderId="102" xfId="0" applyNumberFormat="1" applyFont="1" applyFill="1" applyBorder="1" applyAlignment="1">
      <alignment horizontal="left"/>
    </xf>
    <xf numFmtId="0" fontId="5" fillId="0" borderId="94" xfId="0" applyFont="1" applyBorder="1" applyAlignment="1"/>
    <xf numFmtId="0" fontId="7" fillId="2" borderId="34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88" xfId="0" applyFont="1" applyBorder="1" applyAlignment="1">
      <alignment horizontal="center"/>
    </xf>
    <xf numFmtId="0" fontId="7" fillId="0" borderId="87" xfId="0" applyFont="1" applyBorder="1" applyAlignment="1">
      <alignment horizontal="center"/>
    </xf>
    <xf numFmtId="0" fontId="40" fillId="0" borderId="67" xfId="0" applyFont="1" applyBorder="1" applyAlignment="1">
      <alignment horizontal="center"/>
    </xf>
    <xf numFmtId="0" fontId="1" fillId="2" borderId="64" xfId="0" applyFont="1" applyFill="1" applyBorder="1" applyAlignment="1">
      <alignment horizontal="right"/>
    </xf>
    <xf numFmtId="0" fontId="1" fillId="2" borderId="65" xfId="0" applyFont="1" applyFill="1" applyBorder="1" applyAlignment="1">
      <alignment horizontal="right"/>
    </xf>
    <xf numFmtId="49" fontId="43" fillId="2" borderId="64" xfId="0" applyNumberFormat="1" applyFont="1" applyFill="1" applyBorder="1" applyAlignment="1">
      <alignment horizontal="left"/>
    </xf>
    <xf numFmtId="49" fontId="43" fillId="2" borderId="65" xfId="0" applyNumberFormat="1" applyFont="1" applyFill="1" applyBorder="1" applyAlignment="1">
      <alignment horizontal="left"/>
    </xf>
    <xf numFmtId="0" fontId="43" fillId="0" borderId="64" xfId="0" applyFont="1" applyBorder="1" applyAlignment="1"/>
    <xf numFmtId="49" fontId="43" fillId="2" borderId="136" xfId="0" applyNumberFormat="1" applyFont="1" applyFill="1" applyBorder="1" applyAlignment="1">
      <alignment horizontal="left"/>
    </xf>
    <xf numFmtId="49" fontId="43" fillId="2" borderId="137" xfId="0" applyNumberFormat="1" applyFont="1" applyFill="1" applyBorder="1" applyAlignment="1">
      <alignment horizontal="left"/>
    </xf>
    <xf numFmtId="49" fontId="43" fillId="2" borderId="138" xfId="0" applyNumberFormat="1" applyFont="1" applyFill="1" applyBorder="1" applyAlignment="1">
      <alignment horizontal="left"/>
    </xf>
    <xf numFmtId="0" fontId="43" fillId="0" borderId="136" xfId="0" applyFont="1" applyBorder="1" applyAlignment="1"/>
    <xf numFmtId="0" fontId="43" fillId="0" borderId="137" xfId="0" applyFont="1" applyBorder="1" applyAlignment="1"/>
    <xf numFmtId="0" fontId="1" fillId="0" borderId="48" xfId="0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0" borderId="15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0" xfId="0" applyFont="1" applyBorder="1" applyAlignment="1">
      <alignment horizontal="center" wrapText="1"/>
    </xf>
    <xf numFmtId="0" fontId="1" fillId="0" borderId="67" xfId="0" applyFont="1" applyBorder="1" applyAlignment="1">
      <alignment horizontal="center" wrapText="1"/>
    </xf>
    <xf numFmtId="0" fontId="1" fillId="0" borderId="91" xfId="0" applyFont="1" applyBorder="1" applyAlignment="1">
      <alignment horizontal="center" vertical="center" wrapText="1"/>
    </xf>
    <xf numFmtId="0" fontId="1" fillId="0" borderId="105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2" fontId="38" fillId="0" borderId="67" xfId="0" applyNumberFormat="1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2" fontId="38" fillId="0" borderId="155" xfId="0" applyNumberFormat="1" applyFont="1" applyBorder="1" applyAlignment="1">
      <alignment horizontal="center"/>
    </xf>
    <xf numFmtId="2" fontId="38" fillId="0" borderId="154" xfId="0" applyNumberFormat="1" applyFont="1" applyBorder="1" applyAlignment="1">
      <alignment horizontal="center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left" wrapText="1"/>
    </xf>
    <xf numFmtId="0" fontId="67" fillId="0" borderId="67" xfId="0" applyFont="1" applyBorder="1" applyAlignment="1">
      <alignment horizontal="center" vertical="center"/>
    </xf>
    <xf numFmtId="0" fontId="67" fillId="0" borderId="69" xfId="0" applyFont="1" applyBorder="1" applyAlignment="1">
      <alignment horizontal="center" vertical="center"/>
    </xf>
    <xf numFmtId="0" fontId="67" fillId="0" borderId="53" xfId="0" applyFont="1" applyBorder="1" applyAlignment="1">
      <alignment horizontal="center" vertical="center"/>
    </xf>
    <xf numFmtId="0" fontId="67" fillId="0" borderId="101" xfId="0" applyFont="1" applyBorder="1" applyAlignment="1">
      <alignment horizontal="center" vertical="center"/>
    </xf>
    <xf numFmtId="0" fontId="67" fillId="0" borderId="108" xfId="0" applyFont="1" applyBorder="1" applyAlignment="1">
      <alignment horizontal="center" vertical="center"/>
    </xf>
    <xf numFmtId="0" fontId="67" fillId="0" borderId="88" xfId="0" applyFont="1" applyBorder="1" applyAlignment="1">
      <alignment horizontal="center" vertical="center"/>
    </xf>
    <xf numFmtId="0" fontId="67" fillId="0" borderId="99" xfId="0" applyFont="1" applyBorder="1" applyAlignment="1">
      <alignment horizontal="center" vertical="center"/>
    </xf>
    <xf numFmtId="0" fontId="67" fillId="0" borderId="86" xfId="0" applyFont="1" applyBorder="1" applyAlignment="1">
      <alignment horizontal="center" vertical="center"/>
    </xf>
    <xf numFmtId="0" fontId="66" fillId="2" borderId="88" xfId="0" applyFont="1" applyFill="1" applyBorder="1" applyAlignment="1">
      <alignment horizontal="right"/>
    </xf>
    <xf numFmtId="0" fontId="66" fillId="2" borderId="87" xfId="0" applyFont="1" applyFill="1" applyBorder="1" applyAlignment="1">
      <alignment horizontal="right"/>
    </xf>
    <xf numFmtId="49" fontId="67" fillId="2" borderId="40" xfId="0" applyNumberFormat="1" applyFont="1" applyFill="1" applyBorder="1" applyAlignment="1">
      <alignment horizontal="left"/>
    </xf>
    <xf numFmtId="49" fontId="67" fillId="2" borderId="41" xfId="0" applyNumberFormat="1" applyFont="1" applyFill="1" applyBorder="1" applyAlignment="1">
      <alignment horizontal="left"/>
    </xf>
    <xf numFmtId="49" fontId="67" fillId="2" borderId="95" xfId="0" applyNumberFormat="1" applyFont="1" applyFill="1" applyBorder="1" applyAlignment="1">
      <alignment horizontal="left"/>
    </xf>
    <xf numFmtId="49" fontId="67" fillId="2" borderId="88" xfId="0" applyNumberFormat="1" applyFont="1" applyFill="1" applyBorder="1" applyAlignment="1">
      <alignment horizontal="left"/>
    </xf>
    <xf numFmtId="49" fontId="67" fillId="2" borderId="86" xfId="0" applyNumberFormat="1" applyFont="1" applyFill="1" applyBorder="1" applyAlignment="1">
      <alignment horizontal="left"/>
    </xf>
    <xf numFmtId="49" fontId="67" fillId="2" borderId="87" xfId="0" applyNumberFormat="1" applyFont="1" applyFill="1" applyBorder="1" applyAlignment="1">
      <alignment horizontal="left"/>
    </xf>
    <xf numFmtId="0" fontId="67" fillId="0" borderId="88" xfId="0" applyFont="1" applyBorder="1" applyAlignment="1"/>
    <xf numFmtId="0" fontId="67" fillId="0" borderId="86" xfId="0" applyFont="1" applyBorder="1" applyAlignment="1"/>
    <xf numFmtId="0" fontId="67" fillId="0" borderId="40" xfId="0" applyFont="1" applyBorder="1" applyAlignment="1"/>
    <xf numFmtId="0" fontId="67" fillId="0" borderId="41" xfId="0" applyFont="1" applyBorder="1" applyAlignment="1"/>
    <xf numFmtId="0" fontId="66" fillId="0" borderId="37" xfId="0" applyFont="1" applyBorder="1" applyAlignment="1">
      <alignment horizontal="center"/>
    </xf>
    <xf numFmtId="0" fontId="66" fillId="0" borderId="71" xfId="0" applyFont="1" applyBorder="1" applyAlignment="1">
      <alignment horizontal="center"/>
    </xf>
    <xf numFmtId="0" fontId="66" fillId="0" borderId="70" xfId="0" applyFont="1" applyBorder="1" applyAlignment="1">
      <alignment horizontal="center"/>
    </xf>
    <xf numFmtId="0" fontId="66" fillId="0" borderId="48" xfId="0" applyFont="1" applyBorder="1" applyAlignment="1">
      <alignment horizontal="center" vertical="center" wrapText="1"/>
    </xf>
    <xf numFmtId="0" fontId="66" fillId="0" borderId="49" xfId="0" applyFont="1" applyBorder="1" applyAlignment="1">
      <alignment horizontal="center" vertical="center" wrapText="1"/>
    </xf>
    <xf numFmtId="0" fontId="66" fillId="0" borderId="47" xfId="0" applyFont="1" applyBorder="1" applyAlignment="1">
      <alignment horizontal="center" vertical="center" wrapText="1"/>
    </xf>
    <xf numFmtId="0" fontId="66" fillId="0" borderId="36" xfId="0" applyFont="1" applyBorder="1" applyAlignment="1">
      <alignment horizontal="center" vertical="center"/>
    </xf>
    <xf numFmtId="0" fontId="66" fillId="0" borderId="69" xfId="0" applyFont="1" applyBorder="1" applyAlignment="1">
      <alignment horizontal="center" vertical="center"/>
    </xf>
    <xf numFmtId="0" fontId="67" fillId="2" borderId="30" xfId="0" applyFont="1" applyFill="1" applyBorder="1" applyAlignment="1">
      <alignment horizontal="center"/>
    </xf>
    <xf numFmtId="0" fontId="67" fillId="2" borderId="35" xfId="0" applyFont="1" applyFill="1" applyBorder="1" applyAlignment="1">
      <alignment horizontal="center"/>
    </xf>
    <xf numFmtId="0" fontId="66" fillId="2" borderId="30" xfId="0" applyFont="1" applyFill="1" applyBorder="1" applyAlignment="1">
      <alignment horizontal="center"/>
    </xf>
    <xf numFmtId="0" fontId="66" fillId="2" borderId="31" xfId="0" applyFont="1" applyFill="1" applyBorder="1" applyAlignment="1">
      <alignment horizontal="center"/>
    </xf>
    <xf numFmtId="0" fontId="66" fillId="2" borderId="35" xfId="0" applyFont="1" applyFill="1" applyBorder="1" applyAlignment="1">
      <alignment horizontal="center"/>
    </xf>
    <xf numFmtId="0" fontId="66" fillId="0" borderId="30" xfId="0" applyFont="1" applyBorder="1" applyAlignment="1">
      <alignment horizontal="center"/>
    </xf>
    <xf numFmtId="0" fontId="66" fillId="0" borderId="31" xfId="0" applyFont="1" applyBorder="1" applyAlignment="1">
      <alignment horizontal="center"/>
    </xf>
    <xf numFmtId="0" fontId="66" fillId="0" borderId="45" xfId="0" applyFont="1" applyBorder="1" applyAlignment="1">
      <alignment horizontal="center" vertical="center"/>
    </xf>
    <xf numFmtId="0" fontId="66" fillId="0" borderId="99" xfId="0" applyFont="1" applyBorder="1" applyAlignment="1">
      <alignment horizontal="center" vertical="center"/>
    </xf>
    <xf numFmtId="0" fontId="66" fillId="0" borderId="107" xfId="0" applyFont="1" applyBorder="1" applyAlignment="1">
      <alignment horizontal="center" vertical="center"/>
    </xf>
    <xf numFmtId="0" fontId="66" fillId="0" borderId="104" xfId="0" applyFont="1" applyBorder="1" applyAlignment="1">
      <alignment horizontal="center" vertical="center"/>
    </xf>
    <xf numFmtId="0" fontId="66" fillId="0" borderId="105" xfId="0" applyFont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1" fillId="0" borderId="88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88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66" fillId="0" borderId="0" xfId="0" applyFont="1" applyAlignment="1">
      <alignment horizontal="left"/>
    </xf>
    <xf numFmtId="0" fontId="66" fillId="0" borderId="36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 wrapText="1"/>
    </xf>
    <xf numFmtId="0" fontId="66" fillId="0" borderId="69" xfId="0" applyFont="1" applyBorder="1" applyAlignment="1">
      <alignment horizontal="center" vertical="center" wrapText="1"/>
    </xf>
    <xf numFmtId="0" fontId="66" fillId="0" borderId="88" xfId="0" applyFont="1" applyBorder="1" applyAlignment="1">
      <alignment horizontal="center" vertical="center"/>
    </xf>
    <xf numFmtId="0" fontId="66" fillId="0" borderId="87" xfId="0" applyFont="1" applyBorder="1" applyAlignment="1">
      <alignment horizontal="center" vertical="center"/>
    </xf>
    <xf numFmtId="0" fontId="66" fillId="0" borderId="45" xfId="0" applyFont="1" applyBorder="1" applyAlignment="1">
      <alignment horizontal="center" vertical="center" wrapText="1"/>
    </xf>
    <xf numFmtId="0" fontId="66" fillId="0" borderId="99" xfId="0" applyFont="1" applyBorder="1" applyAlignment="1">
      <alignment horizontal="center" vertical="center" wrapText="1"/>
    </xf>
    <xf numFmtId="0" fontId="66" fillId="0" borderId="60" xfId="0" applyFont="1" applyBorder="1" applyAlignment="1">
      <alignment horizontal="center" vertical="center"/>
    </xf>
    <xf numFmtId="0" fontId="66" fillId="0" borderId="53" xfId="0" applyFont="1" applyBorder="1" applyAlignment="1">
      <alignment horizontal="center" vertical="center"/>
    </xf>
    <xf numFmtId="0" fontId="66" fillId="0" borderId="107" xfId="0" applyFont="1" applyBorder="1" applyAlignment="1">
      <alignment horizontal="center" vertical="center" wrapText="1"/>
    </xf>
    <xf numFmtId="0" fontId="66" fillId="0" borderId="104" xfId="0" applyFont="1" applyBorder="1" applyAlignment="1">
      <alignment horizontal="center" vertical="center" wrapText="1"/>
    </xf>
    <xf numFmtId="0" fontId="66" fillId="0" borderId="37" xfId="0" applyFont="1" applyBorder="1" applyAlignment="1">
      <alignment horizontal="center" vertical="center" wrapText="1"/>
    </xf>
    <xf numFmtId="0" fontId="66" fillId="0" borderId="71" xfId="0" applyFont="1" applyBorder="1" applyAlignment="1">
      <alignment horizontal="center" vertical="center" wrapText="1"/>
    </xf>
    <xf numFmtId="0" fontId="66" fillId="0" borderId="70" xfId="0" applyFont="1" applyBorder="1" applyAlignment="1">
      <alignment horizontal="center" vertical="center" wrapText="1"/>
    </xf>
    <xf numFmtId="9" fontId="66" fillId="0" borderId="0" xfId="0" applyNumberFormat="1" applyFont="1" applyAlignment="1">
      <alignment horizontal="center" wrapText="1"/>
    </xf>
    <xf numFmtId="0" fontId="67" fillId="0" borderId="0" xfId="0" applyFont="1" applyAlignment="1">
      <alignment horizontal="center" vertical="center"/>
    </xf>
    <xf numFmtId="0" fontId="66" fillId="0" borderId="0" xfId="0" applyFont="1" applyAlignment="1">
      <alignment horizontal="center" wrapText="1"/>
    </xf>
    <xf numFmtId="0" fontId="67" fillId="0" borderId="1" xfId="0" applyFont="1" applyBorder="1" applyAlignment="1">
      <alignment horizontal="center" vertical="center"/>
    </xf>
    <xf numFmtId="0" fontId="67" fillId="0" borderId="102" xfId="0" applyFont="1" applyBorder="1" applyAlignment="1">
      <alignment horizontal="center" vertical="center"/>
    </xf>
    <xf numFmtId="0" fontId="67" fillId="0" borderId="0" xfId="0" applyFont="1" applyAlignment="1">
      <alignment horizontal="left" wrapText="1"/>
    </xf>
    <xf numFmtId="0" fontId="67" fillId="0" borderId="0" xfId="0" applyFont="1" applyAlignment="1">
      <alignment horizontal="left"/>
    </xf>
    <xf numFmtId="0" fontId="67" fillId="0" borderId="109" xfId="0" applyFont="1" applyBorder="1" applyAlignment="1">
      <alignment horizontal="center" vertical="center"/>
    </xf>
    <xf numFmtId="0" fontId="67" fillId="0" borderId="110" xfId="0" applyFont="1" applyBorder="1" applyAlignment="1">
      <alignment horizontal="center" vertical="center"/>
    </xf>
    <xf numFmtId="0" fontId="67" fillId="0" borderId="38" xfId="0" applyFont="1" applyBorder="1" applyAlignment="1">
      <alignment horizontal="center" vertical="center"/>
    </xf>
    <xf numFmtId="1" fontId="67" fillId="0" borderId="0" xfId="0" applyNumberFormat="1" applyFont="1" applyFill="1" applyBorder="1" applyAlignment="1">
      <alignment horizontal="center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8" fillId="0" borderId="70" xfId="0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 wrapText="1"/>
    </xf>
    <xf numFmtId="0" fontId="38" fillId="2" borderId="88" xfId="0" applyFont="1" applyFill="1" applyBorder="1" applyAlignment="1">
      <alignment horizontal="right"/>
    </xf>
    <xf numFmtId="0" fontId="38" fillId="2" borderId="87" xfId="0" applyFont="1" applyFill="1" applyBorder="1" applyAlignment="1">
      <alignment horizontal="right"/>
    </xf>
    <xf numFmtId="49" fontId="78" fillId="2" borderId="88" xfId="0" applyNumberFormat="1" applyFont="1" applyFill="1" applyBorder="1" applyAlignment="1">
      <alignment horizontal="left"/>
    </xf>
    <xf numFmtId="49" fontId="78" fillId="2" borderId="86" xfId="0" applyNumberFormat="1" applyFont="1" applyFill="1" applyBorder="1" applyAlignment="1">
      <alignment horizontal="left"/>
    </xf>
    <xf numFmtId="49" fontId="78" fillId="2" borderId="87" xfId="0" applyNumberFormat="1" applyFont="1" applyFill="1" applyBorder="1" applyAlignment="1">
      <alignment horizontal="left"/>
    </xf>
    <xf numFmtId="0" fontId="78" fillId="0" borderId="88" xfId="0" applyFont="1" applyBorder="1" applyAlignment="1"/>
    <xf numFmtId="0" fontId="78" fillId="0" borderId="86" xfId="0" applyFont="1" applyBorder="1" applyAlignment="1"/>
    <xf numFmtId="0" fontId="38" fillId="0" borderId="37" xfId="0" applyFont="1" applyBorder="1" applyAlignment="1">
      <alignment horizontal="center"/>
    </xf>
    <xf numFmtId="0" fontId="38" fillId="0" borderId="71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36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38" fillId="0" borderId="107" xfId="0" applyFont="1" applyBorder="1" applyAlignment="1">
      <alignment horizontal="center" vertical="center"/>
    </xf>
    <xf numFmtId="0" fontId="38" fillId="0" borderId="104" xfId="0" applyFont="1" applyBorder="1" applyAlignment="1">
      <alignment horizontal="center" vertical="center"/>
    </xf>
    <xf numFmtId="0" fontId="38" fillId="0" borderId="105" xfId="0" applyFont="1" applyBorder="1" applyAlignment="1">
      <alignment horizontal="center" vertical="center"/>
    </xf>
    <xf numFmtId="0" fontId="38" fillId="0" borderId="107" xfId="0" applyFont="1" applyBorder="1" applyAlignment="1">
      <alignment horizontal="center" vertical="center" wrapText="1"/>
    </xf>
    <xf numFmtId="0" fontId="38" fillId="0" borderId="104" xfId="0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45" xfId="0" applyFont="1" applyBorder="1" applyAlignment="1">
      <alignment horizontal="center" vertical="center"/>
    </xf>
    <xf numFmtId="0" fontId="38" fillId="0" borderId="87" xfId="0" applyFont="1" applyBorder="1" applyAlignment="1">
      <alignment horizontal="center" vertical="center"/>
    </xf>
    <xf numFmtId="0" fontId="38" fillId="0" borderId="88" xfId="0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49" fontId="78" fillId="2" borderId="40" xfId="0" applyNumberFormat="1" applyFont="1" applyFill="1" applyBorder="1" applyAlignment="1">
      <alignment horizontal="left"/>
    </xf>
    <xf numFmtId="49" fontId="78" fillId="2" borderId="41" xfId="0" applyNumberFormat="1" applyFont="1" applyFill="1" applyBorder="1" applyAlignment="1">
      <alignment horizontal="left"/>
    </xf>
    <xf numFmtId="49" fontId="78" fillId="2" borderId="95" xfId="0" applyNumberFormat="1" applyFont="1" applyFill="1" applyBorder="1" applyAlignment="1">
      <alignment horizontal="left"/>
    </xf>
    <xf numFmtId="0" fontId="78" fillId="0" borderId="40" xfId="0" applyFont="1" applyBorder="1" applyAlignment="1"/>
    <xf numFmtId="0" fontId="78" fillId="0" borderId="41" xfId="0" applyFont="1" applyBorder="1" applyAlignment="1"/>
    <xf numFmtId="0" fontId="78" fillId="2" borderId="30" xfId="0" applyFont="1" applyFill="1" applyBorder="1" applyAlignment="1">
      <alignment horizontal="center"/>
    </xf>
    <xf numFmtId="0" fontId="78" fillId="2" borderId="35" xfId="0" applyFont="1" applyFill="1" applyBorder="1" applyAlignment="1">
      <alignment horizontal="center"/>
    </xf>
    <xf numFmtId="0" fontId="38" fillId="2" borderId="30" xfId="0" applyFont="1" applyFill="1" applyBorder="1" applyAlignment="1">
      <alignment horizontal="center"/>
    </xf>
    <xf numFmtId="0" fontId="38" fillId="2" borderId="31" xfId="0" applyFont="1" applyFill="1" applyBorder="1" applyAlignment="1">
      <alignment horizontal="center"/>
    </xf>
    <xf numFmtId="0" fontId="38" fillId="2" borderId="35" xfId="0" applyFont="1" applyFill="1" applyBorder="1" applyAlignment="1">
      <alignment horizontal="center"/>
    </xf>
    <xf numFmtId="0" fontId="38" fillId="0" borderId="30" xfId="0" applyFont="1" applyBorder="1" applyAlignment="1">
      <alignment horizontal="center"/>
    </xf>
    <xf numFmtId="0" fontId="38" fillId="0" borderId="31" xfId="0" applyFont="1" applyBorder="1" applyAlignment="1">
      <alignment horizontal="center"/>
    </xf>
    <xf numFmtId="0" fontId="38" fillId="0" borderId="45" xfId="0" applyFont="1" applyBorder="1" applyAlignment="1">
      <alignment horizontal="center" vertical="center" wrapText="1"/>
    </xf>
    <xf numFmtId="0" fontId="38" fillId="0" borderId="99" xfId="0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/>
    </xf>
    <xf numFmtId="0" fontId="38" fillId="0" borderId="53" xfId="0" applyFont="1" applyBorder="1" applyAlignment="1">
      <alignment horizontal="center" vertical="center"/>
    </xf>
    <xf numFmtId="0" fontId="38" fillId="0" borderId="47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38" fillId="0" borderId="86" xfId="0" applyFont="1" applyBorder="1" applyAlignment="1">
      <alignment horizontal="center" vertical="center"/>
    </xf>
    <xf numFmtId="0" fontId="38" fillId="0" borderId="88" xfId="0" applyFont="1" applyBorder="1" applyAlignment="1">
      <alignment horizontal="center"/>
    </xf>
    <xf numFmtId="0" fontId="38" fillId="0" borderId="86" xfId="0" applyFont="1" applyBorder="1" applyAlignment="1">
      <alignment horizontal="center"/>
    </xf>
    <xf numFmtId="0" fontId="38" fillId="0" borderId="87" xfId="0" applyFont="1" applyBorder="1" applyAlignment="1">
      <alignment horizontal="center"/>
    </xf>
    <xf numFmtId="0" fontId="103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78" fillId="0" borderId="0" xfId="0" applyFont="1" applyAlignment="1">
      <alignment horizontal="left" wrapText="1"/>
    </xf>
    <xf numFmtId="0" fontId="78" fillId="0" borderId="0" xfId="0" applyFont="1" applyAlignment="1">
      <alignment horizontal="left"/>
    </xf>
    <xf numFmtId="0" fontId="66" fillId="0" borderId="38" xfId="0" applyFont="1" applyBorder="1" applyAlignment="1">
      <alignment horizontal="center" vertical="center" wrapText="1"/>
    </xf>
    <xf numFmtId="0" fontId="66" fillId="0" borderId="0" xfId="0" applyFont="1" applyBorder="1" applyAlignment="1">
      <alignment horizontal="center" vertical="center" wrapText="1"/>
    </xf>
    <xf numFmtId="0" fontId="66" fillId="0" borderId="156" xfId="0" applyFont="1" applyBorder="1" applyAlignment="1">
      <alignment horizontal="center" vertical="center" wrapText="1"/>
    </xf>
    <xf numFmtId="0" fontId="66" fillId="0" borderId="67" xfId="0" applyFont="1" applyBorder="1" applyAlignment="1">
      <alignment horizontal="center" vertical="center" wrapText="1"/>
    </xf>
    <xf numFmtId="0" fontId="66" fillId="0" borderId="86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/>
    </xf>
    <xf numFmtId="0" fontId="66" fillId="0" borderId="88" xfId="0" applyFont="1" applyBorder="1" applyAlignment="1">
      <alignment horizontal="center"/>
    </xf>
    <xf numFmtId="0" fontId="66" fillId="0" borderId="86" xfId="0" applyFont="1" applyBorder="1" applyAlignment="1">
      <alignment horizontal="center"/>
    </xf>
    <xf numFmtId="0" fontId="66" fillId="0" borderId="87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49" fontId="5" fillId="2" borderId="87" xfId="0" applyNumberFormat="1" applyFont="1" applyFill="1" applyBorder="1" applyAlignment="1">
      <alignment horizontal="left"/>
    </xf>
    <xf numFmtId="0" fontId="6" fillId="0" borderId="107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 wrapText="1"/>
    </xf>
    <xf numFmtId="0" fontId="6" fillId="0" borderId="104" xfId="0" applyFont="1" applyBorder="1" applyAlignment="1">
      <alignment horizontal="center" vertical="center" wrapText="1"/>
    </xf>
    <xf numFmtId="49" fontId="5" fillId="2" borderId="40" xfId="0" applyNumberFormat="1" applyFont="1" applyFill="1" applyBorder="1" applyAlignment="1">
      <alignment horizontal="left"/>
    </xf>
    <xf numFmtId="49" fontId="5" fillId="2" borderId="41" xfId="0" applyNumberFormat="1" applyFont="1" applyFill="1" applyBorder="1" applyAlignment="1">
      <alignment horizontal="left"/>
    </xf>
    <xf numFmtId="49" fontId="5" fillId="2" borderId="95" xfId="0" applyNumberFormat="1" applyFont="1" applyFill="1" applyBorder="1" applyAlignment="1">
      <alignment horizontal="left"/>
    </xf>
    <xf numFmtId="0" fontId="5" fillId="2" borderId="35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0" borderId="111" xfId="0" applyFont="1" applyBorder="1" applyAlignment="1">
      <alignment horizontal="center"/>
    </xf>
    <xf numFmtId="0" fontId="6" fillId="0" borderId="112" xfId="0" applyFont="1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 wrapText="1"/>
    </xf>
    <xf numFmtId="0" fontId="43" fillId="0" borderId="64" xfId="0" applyFont="1" applyBorder="1"/>
    <xf numFmtId="0" fontId="43" fillId="0" borderId="86" xfId="0" applyFont="1" applyBorder="1"/>
    <xf numFmtId="0" fontId="43" fillId="0" borderId="136" xfId="0" applyFont="1" applyBorder="1"/>
    <xf numFmtId="0" fontId="43" fillId="0" borderId="137" xfId="0" applyFont="1" applyBorder="1"/>
    <xf numFmtId="0" fontId="105" fillId="0" borderId="64" xfId="0" applyFont="1" applyBorder="1" applyAlignment="1">
      <alignment horizontal="center" vertical="center"/>
    </xf>
    <xf numFmtId="0" fontId="105" fillId="0" borderId="65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" fillId="0" borderId="146" xfId="0" applyFont="1" applyBorder="1" applyAlignment="1">
      <alignment horizontal="center" vertical="center"/>
    </xf>
    <xf numFmtId="2" fontId="1" fillId="0" borderId="145" xfId="0" applyNumberFormat="1" applyFont="1" applyBorder="1" applyAlignment="1">
      <alignment horizontal="center"/>
    </xf>
    <xf numFmtId="2" fontId="1" fillId="0" borderId="146" xfId="0" applyNumberFormat="1" applyFont="1" applyBorder="1" applyAlignment="1">
      <alignment horizontal="center"/>
    </xf>
    <xf numFmtId="2" fontId="1" fillId="0" borderId="67" xfId="0" applyNumberFormat="1" applyFont="1" applyBorder="1" applyAlignment="1">
      <alignment horizontal="center" vertical="center"/>
    </xf>
    <xf numFmtId="0" fontId="6" fillId="0" borderId="102" xfId="0" applyFont="1" applyBorder="1" applyAlignment="1">
      <alignment horizontal="center" vertical="center" wrapText="1"/>
    </xf>
    <xf numFmtId="0" fontId="6" fillId="0" borderId="113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left" vertical="center" indent="3"/>
    </xf>
    <xf numFmtId="0" fontId="6" fillId="0" borderId="91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/>
    </xf>
    <xf numFmtId="0" fontId="6" fillId="0" borderId="86" xfId="0" applyFont="1" applyBorder="1" applyAlignment="1">
      <alignment horizontal="center"/>
    </xf>
    <xf numFmtId="0" fontId="6" fillId="0" borderId="87" xfId="0" applyFont="1" applyBorder="1" applyAlignment="1">
      <alignment horizontal="center"/>
    </xf>
    <xf numFmtId="0" fontId="5" fillId="0" borderId="67" xfId="0" applyFont="1" applyBorder="1" applyAlignment="1">
      <alignment horizontal="left" vertical="center" wrapText="1" indent="3"/>
    </xf>
    <xf numFmtId="49" fontId="5" fillId="2" borderId="103" xfId="0" applyNumberFormat="1" applyFont="1" applyFill="1" applyBorder="1" applyAlignment="1">
      <alignment horizontal="left"/>
    </xf>
    <xf numFmtId="0" fontId="6" fillId="2" borderId="34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2" fillId="0" borderId="88" xfId="0" applyFont="1" applyBorder="1" applyAlignment="1"/>
    <xf numFmtId="0" fontId="92" fillId="0" borderId="86" xfId="0" applyFont="1" applyBorder="1" applyAlignment="1"/>
    <xf numFmtId="0" fontId="93" fillId="2" borderId="88" xfId="0" applyFont="1" applyFill="1" applyBorder="1" applyAlignment="1">
      <alignment horizontal="right"/>
    </xf>
    <xf numFmtId="0" fontId="93" fillId="2" borderId="87" xfId="0" applyFont="1" applyFill="1" applyBorder="1" applyAlignment="1">
      <alignment horizontal="right"/>
    </xf>
    <xf numFmtId="49" fontId="92" fillId="2" borderId="88" xfId="0" applyNumberFormat="1" applyFont="1" applyFill="1" applyBorder="1" applyAlignment="1">
      <alignment horizontal="left"/>
    </xf>
    <xf numFmtId="49" fontId="92" fillId="2" borderId="87" xfId="0" applyNumberFormat="1" applyFont="1" applyFill="1" applyBorder="1" applyAlignment="1">
      <alignment horizontal="left"/>
    </xf>
    <xf numFmtId="0" fontId="92" fillId="0" borderId="40" xfId="0" applyFont="1" applyBorder="1" applyAlignment="1"/>
    <xf numFmtId="0" fontId="92" fillId="0" borderId="41" xfId="0" applyFont="1" applyBorder="1" applyAlignment="1"/>
    <xf numFmtId="0" fontId="93" fillId="0" borderId="47" xfId="0" applyFont="1" applyBorder="1" applyAlignment="1">
      <alignment horizontal="center" vertical="center" wrapText="1"/>
    </xf>
    <xf numFmtId="0" fontId="93" fillId="0" borderId="48" xfId="0" applyFont="1" applyBorder="1" applyAlignment="1">
      <alignment horizontal="center" vertical="center" wrapText="1"/>
    </xf>
    <xf numFmtId="0" fontId="93" fillId="0" borderId="36" xfId="0" applyFont="1" applyBorder="1" applyAlignment="1">
      <alignment horizontal="center" vertical="center" wrapText="1"/>
    </xf>
    <xf numFmtId="0" fontId="93" fillId="0" borderId="69" xfId="0" applyFont="1" applyBorder="1" applyAlignment="1">
      <alignment horizontal="center" vertical="center" wrapText="1"/>
    </xf>
    <xf numFmtId="0" fontId="92" fillId="0" borderId="0" xfId="0" applyFont="1" applyAlignment="1">
      <alignment horizontal="center" vertical="center"/>
    </xf>
    <xf numFmtId="0" fontId="92" fillId="0" borderId="67" xfId="0" applyFont="1" applyBorder="1" applyAlignment="1">
      <alignment horizontal="center"/>
    </xf>
    <xf numFmtId="2" fontId="95" fillId="0" borderId="88" xfId="0" applyNumberFormat="1" applyFont="1" applyBorder="1" applyAlignment="1">
      <alignment horizontal="center"/>
    </xf>
    <xf numFmtId="2" fontId="95" fillId="0" borderId="86" xfId="0" applyNumberFormat="1" applyFont="1" applyBorder="1" applyAlignment="1">
      <alignment horizontal="center"/>
    </xf>
    <xf numFmtId="2" fontId="95" fillId="0" borderId="87" xfId="0" applyNumberFormat="1" applyFont="1" applyBorder="1" applyAlignment="1">
      <alignment horizontal="center"/>
    </xf>
    <xf numFmtId="0" fontId="93" fillId="0" borderId="88" xfId="0" applyFont="1" applyBorder="1" applyAlignment="1">
      <alignment horizontal="center" vertical="center"/>
    </xf>
    <xf numFmtId="0" fontId="93" fillId="0" borderId="87" xfId="0" applyFont="1" applyBorder="1" applyAlignment="1">
      <alignment horizontal="center" vertical="center"/>
    </xf>
    <xf numFmtId="0" fontId="93" fillId="0" borderId="6" xfId="0" applyFont="1" applyBorder="1" applyAlignment="1">
      <alignment horizontal="center" vertical="center" wrapText="1"/>
    </xf>
    <xf numFmtId="0" fontId="93" fillId="0" borderId="90" xfId="0" applyFont="1" applyBorder="1" applyAlignment="1">
      <alignment horizontal="center" vertical="center" wrapText="1"/>
    </xf>
    <xf numFmtId="0" fontId="93" fillId="0" borderId="114" xfId="0" applyFont="1" applyBorder="1" applyAlignment="1">
      <alignment horizontal="center" vertical="center" wrapText="1"/>
    </xf>
    <xf numFmtId="0" fontId="93" fillId="0" borderId="8" xfId="0" applyFont="1" applyBorder="1" applyAlignment="1">
      <alignment horizontal="center" vertical="center" wrapText="1"/>
    </xf>
    <xf numFmtId="0" fontId="93" fillId="0" borderId="49" xfId="0" applyFont="1" applyBorder="1" applyAlignment="1">
      <alignment horizontal="center" vertical="center" wrapText="1"/>
    </xf>
    <xf numFmtId="0" fontId="93" fillId="0" borderId="104" xfId="0" applyFont="1" applyBorder="1" applyAlignment="1">
      <alignment horizontal="center" vertical="center" wrapText="1"/>
    </xf>
    <xf numFmtId="0" fontId="93" fillId="0" borderId="119" xfId="0" applyFont="1" applyBorder="1" applyAlignment="1">
      <alignment horizontal="center" vertical="center" wrapText="1"/>
    </xf>
    <xf numFmtId="0" fontId="93" fillId="0" borderId="116" xfId="0" applyFont="1" applyBorder="1" applyAlignment="1">
      <alignment horizontal="center" vertical="center" wrapText="1"/>
    </xf>
    <xf numFmtId="0" fontId="93" fillId="0" borderId="53" xfId="0" applyFont="1" applyBorder="1" applyAlignment="1">
      <alignment horizontal="center" vertical="center" wrapText="1"/>
    </xf>
    <xf numFmtId="0" fontId="38" fillId="2" borderId="64" xfId="0" applyFont="1" applyFill="1" applyBorder="1" applyAlignment="1">
      <alignment horizontal="right"/>
    </xf>
    <xf numFmtId="0" fontId="38" fillId="2" borderId="65" xfId="0" applyFont="1" applyFill="1" applyBorder="1" applyAlignment="1">
      <alignment horizontal="right"/>
    </xf>
    <xf numFmtId="49" fontId="78" fillId="2" borderId="64" xfId="0" applyNumberFormat="1" applyFont="1" applyFill="1" applyBorder="1" applyAlignment="1">
      <alignment horizontal="left"/>
    </xf>
    <xf numFmtId="49" fontId="78" fillId="2" borderId="65" xfId="0" applyNumberFormat="1" applyFont="1" applyFill="1" applyBorder="1" applyAlignment="1">
      <alignment horizontal="left"/>
    </xf>
    <xf numFmtId="0" fontId="78" fillId="0" borderId="64" xfId="0" applyFont="1" applyBorder="1" applyAlignment="1"/>
    <xf numFmtId="0" fontId="38" fillId="0" borderId="38" xfId="0" applyFont="1" applyBorder="1" applyAlignment="1">
      <alignment horizontal="center"/>
    </xf>
    <xf numFmtId="0" fontId="38" fillId="0" borderId="32" xfId="0" applyFont="1" applyBorder="1" applyAlignment="1">
      <alignment horizontal="center" vertical="center" wrapText="1"/>
    </xf>
    <xf numFmtId="0" fontId="38" fillId="0" borderId="96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6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83" fillId="0" borderId="64" xfId="0" applyFont="1" applyBorder="1" applyAlignment="1">
      <alignment horizontal="center" vertical="center"/>
    </xf>
    <xf numFmtId="0" fontId="83" fillId="0" borderId="86" xfId="0" applyFont="1" applyBorder="1" applyAlignment="1">
      <alignment horizontal="center" vertical="center"/>
    </xf>
    <xf numFmtId="0" fontId="83" fillId="0" borderId="65" xfId="0" applyFont="1" applyBorder="1" applyAlignment="1">
      <alignment horizontal="center" vertical="center"/>
    </xf>
    <xf numFmtId="0" fontId="83" fillId="0" borderId="67" xfId="0" applyFont="1" applyBorder="1" applyAlignment="1">
      <alignment horizontal="center" vertical="center"/>
    </xf>
    <xf numFmtId="0" fontId="83" fillId="0" borderId="67" xfId="0" applyFont="1" applyBorder="1" applyAlignment="1">
      <alignment horizontal="center"/>
    </xf>
    <xf numFmtId="0" fontId="84" fillId="0" borderId="67" xfId="0" applyFont="1" applyBorder="1" applyAlignment="1">
      <alignment horizontal="center" vertical="center"/>
    </xf>
    <xf numFmtId="0" fontId="83" fillId="0" borderId="67" xfId="0" applyFont="1" applyBorder="1" applyAlignment="1">
      <alignment horizontal="right"/>
    </xf>
    <xf numFmtId="0" fontId="83" fillId="0" borderId="37" xfId="0" applyFont="1" applyBorder="1" applyAlignment="1">
      <alignment horizontal="center" vertical="center" wrapText="1"/>
    </xf>
    <xf numFmtId="0" fontId="83" fillId="0" borderId="71" xfId="0" applyFont="1" applyBorder="1" applyAlignment="1">
      <alignment horizontal="center" vertical="center" wrapText="1"/>
    </xf>
    <xf numFmtId="0" fontId="83" fillId="0" borderId="70" xfId="0" applyFont="1" applyBorder="1" applyAlignment="1">
      <alignment horizontal="center" vertical="center" wrapText="1"/>
    </xf>
    <xf numFmtId="0" fontId="83" fillId="0" borderId="67" xfId="0" applyFont="1" applyBorder="1" applyAlignment="1">
      <alignment horizontal="center" vertical="center" wrapText="1"/>
    </xf>
    <xf numFmtId="9" fontId="83" fillId="0" borderId="0" xfId="0" applyNumberFormat="1" applyFont="1" applyAlignment="1">
      <alignment horizontal="center" wrapText="1"/>
    </xf>
    <xf numFmtId="0" fontId="83" fillId="0" borderId="0" xfId="0" applyFont="1" applyAlignment="1">
      <alignment horizontal="center" wrapText="1"/>
    </xf>
    <xf numFmtId="0" fontId="83" fillId="0" borderId="0" xfId="0" applyFont="1" applyAlignment="1">
      <alignment horizontal="center" vertical="center"/>
    </xf>
    <xf numFmtId="0" fontId="83" fillId="0" borderId="47" xfId="0" applyFont="1" applyBorder="1" applyAlignment="1">
      <alignment horizontal="center" vertical="center" wrapText="1"/>
    </xf>
    <xf numFmtId="0" fontId="83" fillId="0" borderId="49" xfId="0" applyFont="1" applyBorder="1" applyAlignment="1">
      <alignment horizontal="center" vertical="center" wrapText="1"/>
    </xf>
    <xf numFmtId="0" fontId="83" fillId="0" borderId="107" xfId="0" applyFont="1" applyBorder="1" applyAlignment="1">
      <alignment horizontal="center" vertical="center"/>
    </xf>
    <xf numFmtId="0" fontId="83" fillId="0" borderId="104" xfId="0" applyFont="1" applyBorder="1" applyAlignment="1">
      <alignment horizontal="center" vertical="center"/>
    </xf>
    <xf numFmtId="0" fontId="83" fillId="0" borderId="107" xfId="0" applyFont="1" applyBorder="1" applyAlignment="1">
      <alignment horizontal="center" vertical="center" wrapText="1"/>
    </xf>
    <xf numFmtId="0" fontId="83" fillId="0" borderId="105" xfId="0" applyFont="1" applyBorder="1" applyAlignment="1">
      <alignment horizontal="center" vertical="center" wrapText="1"/>
    </xf>
    <xf numFmtId="0" fontId="83" fillId="0" borderId="37" xfId="0" applyFont="1" applyBorder="1" applyAlignment="1">
      <alignment horizontal="center"/>
    </xf>
    <xf numFmtId="0" fontId="83" fillId="0" borderId="71" xfId="0" applyFont="1" applyBorder="1" applyAlignment="1">
      <alignment horizontal="center"/>
    </xf>
    <xf numFmtId="0" fontId="83" fillId="0" borderId="70" xfId="0" applyFont="1" applyBorder="1" applyAlignment="1">
      <alignment horizontal="center"/>
    </xf>
    <xf numFmtId="0" fontId="83" fillId="0" borderId="36" xfId="0" applyFont="1" applyBorder="1" applyAlignment="1">
      <alignment horizontal="center" vertical="center"/>
    </xf>
    <xf numFmtId="0" fontId="83" fillId="0" borderId="69" xfId="0" applyFont="1" applyBorder="1" applyAlignment="1">
      <alignment horizontal="center" vertical="center"/>
    </xf>
    <xf numFmtId="0" fontId="84" fillId="0" borderId="64" xfId="0" applyFont="1" applyBorder="1" applyAlignment="1"/>
    <xf numFmtId="0" fontId="84" fillId="0" borderId="66" xfId="0" applyFont="1" applyBorder="1" applyAlignment="1"/>
    <xf numFmtId="0" fontId="83" fillId="2" borderId="64" xfId="0" applyFont="1" applyFill="1" applyBorder="1" applyAlignment="1">
      <alignment horizontal="right"/>
    </xf>
    <xf numFmtId="0" fontId="83" fillId="2" borderId="65" xfId="0" applyFont="1" applyFill="1" applyBorder="1" applyAlignment="1">
      <alignment horizontal="right"/>
    </xf>
    <xf numFmtId="49" fontId="84" fillId="2" borderId="64" xfId="0" applyNumberFormat="1" applyFont="1" applyFill="1" applyBorder="1" applyAlignment="1">
      <alignment horizontal="left"/>
    </xf>
    <xf numFmtId="49" fontId="84" fillId="2" borderId="66" xfId="0" applyNumberFormat="1" applyFont="1" applyFill="1" applyBorder="1" applyAlignment="1">
      <alignment horizontal="left"/>
    </xf>
    <xf numFmtId="49" fontId="84" fillId="2" borderId="65" xfId="0" applyNumberFormat="1" applyFont="1" applyFill="1" applyBorder="1" applyAlignment="1">
      <alignment horizontal="left"/>
    </xf>
    <xf numFmtId="0" fontId="83" fillId="0" borderId="105" xfId="0" applyFont="1" applyBorder="1" applyAlignment="1">
      <alignment horizontal="center" vertical="center"/>
    </xf>
    <xf numFmtId="49" fontId="84" fillId="2" borderId="40" xfId="0" applyNumberFormat="1" applyFont="1" applyFill="1" applyBorder="1" applyAlignment="1">
      <alignment horizontal="left"/>
    </xf>
    <xf numFmtId="49" fontId="84" fillId="2" borderId="41" xfId="0" applyNumberFormat="1" applyFont="1" applyFill="1" applyBorder="1" applyAlignment="1">
      <alignment horizontal="left"/>
    </xf>
    <xf numFmtId="49" fontId="84" fillId="2" borderId="95" xfId="0" applyNumberFormat="1" applyFont="1" applyFill="1" applyBorder="1" applyAlignment="1">
      <alignment horizontal="left"/>
    </xf>
    <xf numFmtId="0" fontId="84" fillId="0" borderId="40" xfId="0" applyFont="1" applyBorder="1" applyAlignment="1"/>
    <xf numFmtId="0" fontId="84" fillId="0" borderId="41" xfId="0" applyFont="1" applyBorder="1" applyAlignment="1"/>
    <xf numFmtId="0" fontId="84" fillId="2" borderId="30" xfId="0" applyFont="1" applyFill="1" applyBorder="1" applyAlignment="1">
      <alignment horizontal="center"/>
    </xf>
    <xf numFmtId="0" fontId="84" fillId="2" borderId="35" xfId="0" applyFont="1" applyFill="1" applyBorder="1" applyAlignment="1">
      <alignment horizontal="center"/>
    </xf>
    <xf numFmtId="0" fontId="83" fillId="2" borderId="30" xfId="0" applyFont="1" applyFill="1" applyBorder="1" applyAlignment="1">
      <alignment horizontal="center"/>
    </xf>
    <xf numFmtId="0" fontId="83" fillId="2" borderId="31" xfId="0" applyFont="1" applyFill="1" applyBorder="1" applyAlignment="1">
      <alignment horizontal="center"/>
    </xf>
    <xf numFmtId="0" fontId="83" fillId="2" borderId="35" xfId="0" applyFont="1" applyFill="1" applyBorder="1" applyAlignment="1">
      <alignment horizontal="center"/>
    </xf>
    <xf numFmtId="0" fontId="83" fillId="0" borderId="30" xfId="0" applyFont="1" applyBorder="1" applyAlignment="1">
      <alignment horizontal="center"/>
    </xf>
    <xf numFmtId="0" fontId="83" fillId="0" borderId="31" xfId="0" applyFont="1" applyBorder="1" applyAlignment="1">
      <alignment horizontal="center"/>
    </xf>
    <xf numFmtId="0" fontId="83" fillId="2" borderId="88" xfId="0" applyFont="1" applyFill="1" applyBorder="1" applyAlignment="1">
      <alignment horizontal="right"/>
    </xf>
    <xf numFmtId="0" fontId="83" fillId="2" borderId="87" xfId="0" applyFont="1" applyFill="1" applyBorder="1" applyAlignment="1">
      <alignment horizontal="right"/>
    </xf>
    <xf numFmtId="49" fontId="84" fillId="2" borderId="88" xfId="0" applyNumberFormat="1" applyFont="1" applyFill="1" applyBorder="1" applyAlignment="1">
      <alignment horizontal="left"/>
    </xf>
    <xf numFmtId="49" fontId="84" fillId="2" borderId="86" xfId="0" applyNumberFormat="1" applyFont="1" applyFill="1" applyBorder="1" applyAlignment="1">
      <alignment horizontal="left"/>
    </xf>
    <xf numFmtId="49" fontId="84" fillId="2" borderId="87" xfId="0" applyNumberFormat="1" applyFont="1" applyFill="1" applyBorder="1" applyAlignment="1">
      <alignment horizontal="left"/>
    </xf>
    <xf numFmtId="0" fontId="84" fillId="0" borderId="88" xfId="0" applyFont="1" applyBorder="1" applyAlignment="1"/>
    <xf numFmtId="0" fontId="84" fillId="0" borderId="86" xfId="0" applyFont="1" applyBorder="1" applyAlignment="1"/>
    <xf numFmtId="0" fontId="83" fillId="0" borderId="38" xfId="0" applyFont="1" applyBorder="1" applyAlignment="1">
      <alignment horizontal="center"/>
    </xf>
    <xf numFmtId="0" fontId="83" fillId="0" borderId="50" xfId="0" applyFont="1" applyBorder="1" applyAlignment="1">
      <alignment horizontal="center" vertical="center" wrapText="1"/>
    </xf>
    <xf numFmtId="0" fontId="83" fillId="0" borderId="52" xfId="0" applyFont="1" applyBorder="1" applyAlignment="1">
      <alignment horizontal="center" vertical="center" wrapText="1"/>
    </xf>
    <xf numFmtId="0" fontId="83" fillId="0" borderId="115" xfId="0" applyFont="1" applyBorder="1" applyAlignment="1">
      <alignment horizontal="center" vertical="center" wrapText="1"/>
    </xf>
    <xf numFmtId="0" fontId="83" fillId="0" borderId="90" xfId="0" applyFont="1" applyBorder="1" applyAlignment="1">
      <alignment horizontal="center" vertical="center" wrapText="1"/>
    </xf>
    <xf numFmtId="0" fontId="83" fillId="0" borderId="114" xfId="0" applyFont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0" fontId="80" fillId="0" borderId="0" xfId="0" applyFont="1" applyAlignment="1">
      <alignment horizontal="left" vertical="center"/>
    </xf>
    <xf numFmtId="0" fontId="83" fillId="0" borderId="88" xfId="0" applyFont="1" applyBorder="1" applyAlignment="1">
      <alignment horizontal="center"/>
    </xf>
    <xf numFmtId="0" fontId="83" fillId="0" borderId="86" xfId="0" applyFont="1" applyBorder="1" applyAlignment="1">
      <alignment horizontal="center"/>
    </xf>
    <xf numFmtId="0" fontId="83" fillId="0" borderId="87" xfId="0" applyFont="1" applyBorder="1" applyAlignment="1">
      <alignment horizontal="center"/>
    </xf>
    <xf numFmtId="0" fontId="83" fillId="0" borderId="88" xfId="0" applyFont="1" applyBorder="1" applyAlignment="1">
      <alignment horizontal="center" vertical="center"/>
    </xf>
    <xf numFmtId="0" fontId="83" fillId="0" borderId="87" xfId="0" applyFont="1" applyBorder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84" fillId="0" borderId="0" xfId="0" applyFont="1" applyAlignment="1">
      <alignment horizontal="center"/>
    </xf>
    <xf numFmtId="0" fontId="83" fillId="0" borderId="0" xfId="0" applyFont="1" applyAlignment="1">
      <alignment horizontal="left"/>
    </xf>
    <xf numFmtId="0" fontId="84" fillId="0" borderId="0" xfId="0" applyFont="1" applyAlignment="1">
      <alignment horizontal="left" wrapText="1"/>
    </xf>
    <xf numFmtId="0" fontId="84" fillId="0" borderId="0" xfId="0" applyFont="1" applyAlignment="1">
      <alignment horizontal="left"/>
    </xf>
    <xf numFmtId="0" fontId="83" fillId="0" borderId="64" xfId="0" applyFont="1" applyBorder="1" applyAlignment="1">
      <alignment horizontal="center"/>
    </xf>
    <xf numFmtId="0" fontId="83" fillId="0" borderId="65" xfId="0" applyFont="1" applyBorder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84" fillId="0" borderId="86" xfId="0" applyFont="1" applyBorder="1" applyAlignment="1">
      <alignment horizontal="center" vertical="center"/>
    </xf>
    <xf numFmtId="0" fontId="84" fillId="0" borderId="99" xfId="0" applyFont="1" applyBorder="1" applyAlignment="1">
      <alignment horizontal="center" vertical="center"/>
    </xf>
    <xf numFmtId="0" fontId="125" fillId="0" borderId="64" xfId="0" applyFont="1" applyBorder="1" applyAlignment="1">
      <alignment horizontal="center" vertical="center"/>
    </xf>
    <xf numFmtId="0" fontId="125" fillId="0" borderId="65" xfId="0" applyFont="1" applyBorder="1" applyAlignment="1">
      <alignment horizontal="center" vertical="center"/>
    </xf>
    <xf numFmtId="0" fontId="83" fillId="0" borderId="99" xfId="0" applyFont="1" applyBorder="1" applyAlignment="1">
      <alignment horizontal="center" vertical="center"/>
    </xf>
    <xf numFmtId="0" fontId="84" fillId="0" borderId="127" xfId="0" applyFont="1" applyBorder="1" applyAlignment="1">
      <alignment horizontal="center" vertical="center"/>
    </xf>
    <xf numFmtId="1" fontId="84" fillId="0" borderId="0" xfId="0" applyNumberFormat="1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4" fillId="0" borderId="64" xfId="0" applyFont="1" applyBorder="1" applyAlignment="1">
      <alignment horizontal="center" vertical="center"/>
    </xf>
    <xf numFmtId="0" fontId="83" fillId="0" borderId="48" xfId="0" applyFont="1" applyBorder="1" applyAlignment="1">
      <alignment horizontal="center" vertical="center" wrapText="1"/>
    </xf>
    <xf numFmtId="0" fontId="83" fillId="0" borderId="104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3" fillId="0" borderId="99" xfId="0" applyFont="1" applyBorder="1" applyAlignment="1">
      <alignment horizontal="center" vertical="center" wrapText="1"/>
    </xf>
    <xf numFmtId="0" fontId="83" fillId="0" borderId="60" xfId="0" applyFont="1" applyBorder="1" applyAlignment="1">
      <alignment horizontal="center" vertical="center"/>
    </xf>
    <xf numFmtId="0" fontId="83" fillId="0" borderId="53" xfId="0" applyFont="1" applyBorder="1" applyAlignment="1">
      <alignment horizontal="center" vertical="center"/>
    </xf>
    <xf numFmtId="0" fontId="83" fillId="0" borderId="36" xfId="0" applyFont="1" applyBorder="1" applyAlignment="1">
      <alignment horizontal="center" vertical="center" wrapText="1"/>
    </xf>
    <xf numFmtId="0" fontId="83" fillId="0" borderId="6" xfId="0" applyFont="1" applyBorder="1" applyAlignment="1">
      <alignment horizontal="center" vertical="center" wrapText="1"/>
    </xf>
    <xf numFmtId="0" fontId="83" fillId="0" borderId="69" xfId="0" applyFont="1" applyBorder="1" applyAlignment="1">
      <alignment horizontal="center" vertical="center" wrapText="1"/>
    </xf>
    <xf numFmtId="0" fontId="83" fillId="0" borderId="157" xfId="0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4" fillId="0" borderId="64" xfId="0" applyFont="1" applyBorder="1" applyAlignment="1">
      <alignment horizontal="center"/>
    </xf>
    <xf numFmtId="0" fontId="84" fillId="0" borderId="65" xfId="0" applyFont="1" applyBorder="1" applyAlignment="1">
      <alignment horizontal="center"/>
    </xf>
    <xf numFmtId="2" fontId="2" fillId="0" borderId="86" xfId="0" applyNumberFormat="1" applyFont="1" applyBorder="1" applyAlignment="1">
      <alignment horizontal="center"/>
    </xf>
    <xf numFmtId="0" fontId="6" fillId="0" borderId="92" xfId="0" applyFont="1" applyBorder="1" applyAlignment="1">
      <alignment horizontal="center" vertical="center" wrapText="1"/>
    </xf>
    <xf numFmtId="0" fontId="6" fillId="0" borderId="91" xfId="0" applyFont="1" applyBorder="1" applyAlignment="1">
      <alignment horizontal="center" vertical="center" wrapText="1"/>
    </xf>
    <xf numFmtId="0" fontId="5" fillId="0" borderId="86" xfId="0" applyFont="1" applyBorder="1" applyAlignment="1"/>
    <xf numFmtId="0" fontId="5" fillId="0" borderId="40" xfId="0" applyFont="1" applyBorder="1" applyAlignment="1"/>
    <xf numFmtId="0" fontId="5" fillId="0" borderId="41" xfId="0" applyFont="1" applyBorder="1" applyAlignment="1"/>
    <xf numFmtId="49" fontId="78" fillId="2" borderId="66" xfId="0" applyNumberFormat="1" applyFont="1" applyFill="1" applyBorder="1" applyAlignment="1">
      <alignment horizontal="left"/>
    </xf>
    <xf numFmtId="0" fontId="78" fillId="0" borderId="66" xfId="0" applyFont="1" applyBorder="1" applyAlignment="1"/>
    <xf numFmtId="49" fontId="78" fillId="2" borderId="171" xfId="0" applyNumberFormat="1" applyFont="1" applyFill="1" applyBorder="1" applyAlignment="1">
      <alignment horizontal="left"/>
    </xf>
    <xf numFmtId="49" fontId="78" fillId="2" borderId="172" xfId="0" applyNumberFormat="1" applyFont="1" applyFill="1" applyBorder="1" applyAlignment="1">
      <alignment horizontal="left"/>
    </xf>
    <xf numFmtId="49" fontId="78" fillId="2" borderId="173" xfId="0" applyNumberFormat="1" applyFont="1" applyFill="1" applyBorder="1" applyAlignment="1">
      <alignment horizontal="left"/>
    </xf>
    <xf numFmtId="0" fontId="67" fillId="2" borderId="31" xfId="0" applyFont="1" applyFill="1" applyBorder="1" applyAlignment="1">
      <alignment horizontal="center"/>
    </xf>
    <xf numFmtId="0" fontId="66" fillId="2" borderId="32" xfId="0" applyFont="1" applyFill="1" applyBorder="1" applyAlignment="1">
      <alignment horizontal="center"/>
    </xf>
    <xf numFmtId="0" fontId="66" fillId="2" borderId="33" xfId="0" applyFont="1" applyFill="1" applyBorder="1" applyAlignment="1">
      <alignment horizontal="center"/>
    </xf>
    <xf numFmtId="0" fontId="66" fillId="2" borderId="96" xfId="0" applyFont="1" applyFill="1" applyBorder="1" applyAlignment="1">
      <alignment horizontal="center"/>
    </xf>
    <xf numFmtId="0" fontId="66" fillId="0" borderId="131" xfId="0" applyFont="1" applyBorder="1" applyAlignment="1">
      <alignment horizontal="center" vertical="center" wrapText="1"/>
    </xf>
    <xf numFmtId="0" fontId="66" fillId="0" borderId="133" xfId="0" applyFont="1" applyBorder="1" applyAlignment="1">
      <alignment horizontal="center" vertical="center" wrapText="1"/>
    </xf>
    <xf numFmtId="0" fontId="66" fillId="0" borderId="98" xfId="0" applyFont="1" applyBorder="1" applyAlignment="1">
      <alignment horizontal="center" vertical="center" wrapText="1"/>
    </xf>
    <xf numFmtId="0" fontId="66" fillId="0" borderId="130" xfId="0" applyFont="1" applyBorder="1" applyAlignment="1">
      <alignment horizontal="center" vertical="center" wrapText="1"/>
    </xf>
    <xf numFmtId="0" fontId="66" fillId="0" borderId="132" xfId="0" applyFont="1" applyBorder="1" applyAlignment="1">
      <alignment horizontal="center" vertical="center" wrapText="1"/>
    </xf>
    <xf numFmtId="0" fontId="66" fillId="0" borderId="97" xfId="0" applyFont="1" applyBorder="1" applyAlignment="1">
      <alignment horizontal="center" vertical="center" wrapText="1"/>
    </xf>
    <xf numFmtId="0" fontId="66" fillId="0" borderId="36" xfId="0" applyFont="1" applyBorder="1" applyAlignment="1">
      <alignment horizontal="center" wrapText="1"/>
    </xf>
    <xf numFmtId="0" fontId="66" fillId="0" borderId="6" xfId="0" applyFont="1" applyBorder="1" applyAlignment="1">
      <alignment horizontal="center" wrapText="1"/>
    </xf>
    <xf numFmtId="0" fontId="66" fillId="0" borderId="69" xfId="0" applyFont="1" applyBorder="1" applyAlignment="1">
      <alignment horizontal="center" wrapText="1"/>
    </xf>
    <xf numFmtId="0" fontId="66" fillId="0" borderId="105" xfId="0" applyFont="1" applyBorder="1" applyAlignment="1">
      <alignment horizontal="center" vertical="center" wrapText="1"/>
    </xf>
    <xf numFmtId="0" fontId="66" fillId="0" borderId="50" xfId="0" applyFont="1" applyBorder="1" applyAlignment="1">
      <alignment horizontal="center" vertical="center" wrapText="1"/>
    </xf>
    <xf numFmtId="0" fontId="66" fillId="0" borderId="52" xfId="0" applyFont="1" applyBorder="1" applyAlignment="1">
      <alignment horizontal="center" vertical="center" wrapText="1"/>
    </xf>
    <xf numFmtId="0" fontId="66" fillId="0" borderId="115" xfId="0" applyFont="1" applyBorder="1" applyAlignment="1">
      <alignment horizontal="center" vertical="center" wrapText="1"/>
    </xf>
    <xf numFmtId="0" fontId="66" fillId="0" borderId="67" xfId="0" applyFont="1" applyBorder="1" applyAlignment="1">
      <alignment horizontal="center" vertical="center"/>
    </xf>
    <xf numFmtId="0" fontId="66" fillId="0" borderId="36" xfId="0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0" fontId="66" fillId="0" borderId="69" xfId="0" applyFont="1" applyBorder="1" applyAlignment="1">
      <alignment horizontal="center"/>
    </xf>
    <xf numFmtId="0" fontId="66" fillId="0" borderId="50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60" xfId="0" applyFont="1" applyBorder="1" applyAlignment="1">
      <alignment horizontal="center" vertical="center" wrapText="1"/>
    </xf>
    <xf numFmtId="0" fontId="66" fillId="0" borderId="53" xfId="0" applyFont="1" applyBorder="1" applyAlignment="1">
      <alignment horizontal="center" vertical="center" wrapText="1"/>
    </xf>
    <xf numFmtId="0" fontId="67" fillId="0" borderId="64" xfId="0" applyFont="1" applyBorder="1" applyAlignment="1">
      <alignment horizontal="center" vertical="center"/>
    </xf>
    <xf numFmtId="0" fontId="67" fillId="0" borderId="67" xfId="0" applyFont="1" applyBorder="1" applyAlignment="1">
      <alignment horizontal="center"/>
    </xf>
    <xf numFmtId="0" fontId="66" fillId="0" borderId="6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65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/>
    </xf>
    <xf numFmtId="0" fontId="66" fillId="0" borderId="66" xfId="0" applyFont="1" applyBorder="1" applyAlignment="1">
      <alignment horizontal="center"/>
    </xf>
    <xf numFmtId="0" fontId="66" fillId="0" borderId="67" xfId="0" applyFont="1" applyBorder="1" applyAlignment="1">
      <alignment horizontal="center"/>
    </xf>
    <xf numFmtId="0" fontId="84" fillId="0" borderId="67" xfId="0" applyFont="1" applyBorder="1" applyAlignment="1">
      <alignment horizontal="center"/>
    </xf>
    <xf numFmtId="0" fontId="83" fillId="0" borderId="130" xfId="0" applyFont="1" applyBorder="1" applyAlignment="1">
      <alignment horizontal="center" vertical="center" wrapText="1"/>
    </xf>
    <xf numFmtId="0" fontId="83" fillId="0" borderId="132" xfId="0" applyFont="1" applyBorder="1" applyAlignment="1">
      <alignment horizontal="center" vertical="center" wrapText="1"/>
    </xf>
    <xf numFmtId="0" fontId="83" fillId="0" borderId="97" xfId="0" applyFont="1" applyBorder="1" applyAlignment="1">
      <alignment horizontal="center" vertical="center" wrapText="1"/>
    </xf>
    <xf numFmtId="0" fontId="83" fillId="0" borderId="36" xfId="0" applyFont="1" applyBorder="1" applyAlignment="1">
      <alignment horizontal="center" wrapText="1"/>
    </xf>
    <xf numFmtId="0" fontId="83" fillId="0" borderId="6" xfId="0" applyFont="1" applyBorder="1" applyAlignment="1">
      <alignment horizontal="center" wrapText="1"/>
    </xf>
    <xf numFmtId="0" fontId="83" fillId="0" borderId="69" xfId="0" applyFont="1" applyBorder="1" applyAlignment="1">
      <alignment horizontal="center" wrapText="1"/>
    </xf>
    <xf numFmtId="0" fontId="83" fillId="0" borderId="131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 wrapText="1"/>
    </xf>
    <xf numFmtId="0" fontId="83" fillId="0" borderId="98" xfId="0" applyFont="1" applyBorder="1" applyAlignment="1">
      <alignment horizontal="center" vertical="center" wrapText="1"/>
    </xf>
    <xf numFmtId="0" fontId="83" fillId="0" borderId="38" xfId="0" applyFont="1" applyBorder="1" applyAlignment="1">
      <alignment horizontal="center" vertical="center" wrapText="1"/>
    </xf>
    <xf numFmtId="49" fontId="84" fillId="2" borderId="121" xfId="0" applyNumberFormat="1" applyFont="1" applyFill="1" applyBorder="1" applyAlignment="1">
      <alignment horizontal="left"/>
    </xf>
    <xf numFmtId="49" fontId="84" fillId="2" borderId="127" xfId="0" applyNumberFormat="1" applyFont="1" applyFill="1" applyBorder="1" applyAlignment="1">
      <alignment horizontal="left"/>
    </xf>
    <xf numFmtId="49" fontId="84" fillId="2" borderId="126" xfId="0" applyNumberFormat="1" applyFont="1" applyFill="1" applyBorder="1" applyAlignment="1">
      <alignment horizontal="left"/>
    </xf>
    <xf numFmtId="0" fontId="84" fillId="2" borderId="31" xfId="0" applyFont="1" applyFill="1" applyBorder="1" applyAlignment="1">
      <alignment horizontal="center"/>
    </xf>
    <xf numFmtId="0" fontId="83" fillId="2" borderId="32" xfId="0" applyFont="1" applyFill="1" applyBorder="1" applyAlignment="1">
      <alignment horizontal="center"/>
    </xf>
    <xf numFmtId="0" fontId="83" fillId="2" borderId="33" xfId="0" applyFont="1" applyFill="1" applyBorder="1" applyAlignment="1">
      <alignment horizontal="center"/>
    </xf>
    <xf numFmtId="0" fontId="83" fillId="2" borderId="96" xfId="0" applyFont="1" applyFill="1" applyBorder="1" applyAlignment="1">
      <alignment horizontal="center"/>
    </xf>
    <xf numFmtId="0" fontId="83" fillId="0" borderId="36" xfId="0" applyFont="1" applyBorder="1" applyAlignment="1">
      <alignment horizontal="center"/>
    </xf>
    <xf numFmtId="0" fontId="83" fillId="0" borderId="6" xfId="0" applyFont="1" applyBorder="1" applyAlignment="1">
      <alignment horizontal="center"/>
    </xf>
    <xf numFmtId="0" fontId="83" fillId="0" borderId="69" xfId="0" applyFont="1" applyBorder="1" applyAlignment="1">
      <alignment horizontal="center"/>
    </xf>
    <xf numFmtId="0" fontId="83" fillId="0" borderId="50" xfId="0" applyFont="1" applyBorder="1" applyAlignment="1">
      <alignment horizontal="center" vertical="center"/>
    </xf>
    <xf numFmtId="0" fontId="83" fillId="0" borderId="115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83" fillId="0" borderId="60" xfId="0" applyFont="1" applyBorder="1" applyAlignment="1">
      <alignment horizontal="center" vertical="center" wrapText="1"/>
    </xf>
    <xf numFmtId="0" fontId="83" fillId="0" borderId="53" xfId="0" applyFont="1" applyBorder="1" applyAlignment="1">
      <alignment horizontal="center" vertical="center" wrapText="1"/>
    </xf>
    <xf numFmtId="0" fontId="43" fillId="0" borderId="67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 wrapText="1"/>
    </xf>
    <xf numFmtId="49" fontId="43" fillId="2" borderId="145" xfId="0" applyNumberFormat="1" applyFont="1" applyFill="1" applyBorder="1" applyAlignment="1">
      <alignment horizontal="left"/>
    </xf>
    <xf numFmtId="49" fontId="43" fillId="2" borderId="146" xfId="0" applyNumberFormat="1" applyFont="1" applyFill="1" applyBorder="1" applyAlignment="1">
      <alignment horizontal="left"/>
    </xf>
    <xf numFmtId="49" fontId="43" fillId="2" borderId="150" xfId="0" applyNumberFormat="1" applyFont="1" applyFill="1" applyBorder="1" applyAlignment="1">
      <alignment horizontal="left"/>
    </xf>
    <xf numFmtId="0" fontId="43" fillId="0" borderId="40" xfId="0" applyFont="1" applyBorder="1"/>
    <xf numFmtId="0" fontId="43" fillId="0" borderId="41" xfId="0" applyFont="1" applyBorder="1"/>
    <xf numFmtId="0" fontId="1" fillId="2" borderId="96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3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9" xfId="0" applyFont="1" applyBorder="1" applyAlignment="1">
      <alignment horizontal="center" wrapText="1"/>
    </xf>
    <xf numFmtId="0" fontId="1" fillId="0" borderId="131" xfId="0" applyFont="1" applyBorder="1" applyAlignment="1">
      <alignment horizontal="center" vertical="center" wrapText="1"/>
    </xf>
    <xf numFmtId="0" fontId="1" fillId="0" borderId="133" xfId="0" applyFont="1" applyBorder="1" applyAlignment="1">
      <alignment horizontal="center" vertical="center" wrapText="1"/>
    </xf>
    <xf numFmtId="0" fontId="1" fillId="0" borderId="98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97" xfId="0" applyFont="1" applyBorder="1" applyAlignment="1">
      <alignment horizontal="center" vertical="center" wrapText="1"/>
    </xf>
    <xf numFmtId="0" fontId="1" fillId="0" borderId="107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 wrapText="1"/>
    </xf>
    <xf numFmtId="0" fontId="1" fillId="0" borderId="114" xfId="0" applyFont="1" applyBorder="1" applyAlignment="1">
      <alignment horizontal="center" vertical="center" wrapText="1"/>
    </xf>
    <xf numFmtId="0" fontId="1" fillId="0" borderId="130" xfId="0" applyFont="1" applyBorder="1" applyAlignment="1">
      <alignment horizontal="center" vertical="center" wrapText="1"/>
    </xf>
    <xf numFmtId="0" fontId="1" fillId="0" borderId="132" xfId="0" applyFont="1" applyBorder="1" applyAlignment="1">
      <alignment horizontal="center" vertical="center" wrapText="1"/>
    </xf>
    <xf numFmtId="0" fontId="38" fillId="0" borderId="64" xfId="0" applyFont="1" applyBorder="1" applyAlignment="1">
      <alignment horizontal="center"/>
    </xf>
    <xf numFmtId="0" fontId="38" fillId="0" borderId="65" xfId="0" applyFont="1" applyBorder="1" applyAlignment="1">
      <alignment horizontal="center"/>
    </xf>
    <xf numFmtId="0" fontId="38" fillId="0" borderId="92" xfId="0" applyFont="1" applyBorder="1" applyAlignment="1">
      <alignment horizontal="center" vertical="center" wrapText="1"/>
    </xf>
    <xf numFmtId="0" fontId="38" fillId="0" borderId="157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38" fillId="0" borderId="157" xfId="0" applyFont="1" applyBorder="1" applyAlignment="1">
      <alignment horizontal="center" vertical="center"/>
    </xf>
    <xf numFmtId="0" fontId="38" fillId="0" borderId="91" xfId="0" applyFont="1" applyBorder="1" applyAlignment="1">
      <alignment horizontal="center" vertical="center" wrapText="1"/>
    </xf>
    <xf numFmtId="0" fontId="38" fillId="0" borderId="105" xfId="0" applyFont="1" applyBorder="1" applyAlignment="1">
      <alignment horizontal="center" vertical="center" wrapText="1"/>
    </xf>
    <xf numFmtId="2" fontId="6" fillId="0" borderId="64" xfId="0" applyNumberFormat="1" applyFont="1" applyBorder="1" applyAlignment="1">
      <alignment horizontal="center" vertical="center"/>
    </xf>
    <xf numFmtId="2" fontId="6" fillId="0" borderId="86" xfId="0" applyNumberFormat="1" applyFont="1" applyBorder="1" applyAlignment="1">
      <alignment horizontal="center" vertical="center"/>
    </xf>
    <xf numFmtId="2" fontId="6" fillId="0" borderId="65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69" xfId="0" applyFont="1" applyBorder="1" applyAlignment="1">
      <alignment horizontal="center" wrapText="1"/>
    </xf>
    <xf numFmtId="9" fontId="6" fillId="0" borderId="114" xfId="0" applyNumberFormat="1" applyFont="1" applyBorder="1" applyAlignment="1">
      <alignment horizontal="center" wrapText="1"/>
    </xf>
    <xf numFmtId="0" fontId="6" fillId="0" borderId="114" xfId="0" applyFont="1" applyBorder="1" applyAlignment="1">
      <alignment horizontal="center" wrapText="1"/>
    </xf>
    <xf numFmtId="0" fontId="6" fillId="0" borderId="130" xfId="0" applyFont="1" applyBorder="1" applyAlignment="1">
      <alignment horizontal="center" vertical="center" wrapText="1"/>
    </xf>
    <xf numFmtId="0" fontId="6" fillId="0" borderId="132" xfId="0" applyFont="1" applyBorder="1" applyAlignment="1">
      <alignment horizontal="center" vertical="center" wrapText="1"/>
    </xf>
    <xf numFmtId="0" fontId="6" fillId="0" borderId="97" xfId="0" applyFont="1" applyBorder="1" applyAlignment="1">
      <alignment horizontal="center" vertical="center" wrapText="1"/>
    </xf>
    <xf numFmtId="0" fontId="6" fillId="0" borderId="131" xfId="0" applyFont="1" applyBorder="1" applyAlignment="1">
      <alignment horizontal="center" vertical="center" wrapText="1"/>
    </xf>
    <xf numFmtId="0" fontId="6" fillId="0" borderId="133" xfId="0" applyFont="1" applyBorder="1" applyAlignment="1">
      <alignment horizontal="center" vertical="center" wrapText="1"/>
    </xf>
    <xf numFmtId="0" fontId="6" fillId="0" borderId="98" xfId="0" applyFont="1" applyBorder="1" applyAlignment="1">
      <alignment horizontal="center" vertical="center" wrapText="1"/>
    </xf>
    <xf numFmtId="0" fontId="6" fillId="0" borderId="115" xfId="0" applyFont="1" applyBorder="1" applyAlignment="1">
      <alignment horizontal="center" vertical="center" wrapText="1"/>
    </xf>
    <xf numFmtId="0" fontId="6" fillId="0" borderId="131" xfId="0" applyFont="1" applyBorder="1" applyAlignment="1">
      <alignment horizontal="center"/>
    </xf>
    <xf numFmtId="0" fontId="6" fillId="0" borderId="133" xfId="0" applyFont="1" applyBorder="1" applyAlignment="1">
      <alignment horizontal="center"/>
    </xf>
    <xf numFmtId="0" fontId="6" fillId="0" borderId="98" xfId="0" applyFont="1" applyBorder="1" applyAlignment="1">
      <alignment horizontal="center"/>
    </xf>
    <xf numFmtId="0" fontId="6" fillId="0" borderId="50" xfId="0" applyFont="1" applyBorder="1" applyAlignment="1">
      <alignment horizontal="center" vertical="center"/>
    </xf>
    <xf numFmtId="0" fontId="6" fillId="0" borderId="1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/>
    </xf>
    <xf numFmtId="0" fontId="15" fillId="0" borderId="86" xfId="0" applyFont="1" applyBorder="1" applyAlignment="1">
      <alignment horizontal="center"/>
    </xf>
    <xf numFmtId="0" fontId="15" fillId="0" borderId="65" xfId="0" applyFont="1" applyBorder="1" applyAlignment="1">
      <alignment horizontal="center"/>
    </xf>
  </cellXfs>
  <cellStyles count="72">
    <cellStyle name="20% - Accent1 2" xfId="8"/>
    <cellStyle name="20% - Accent2 2" xfId="9"/>
    <cellStyle name="20% - Accent3 2" xfId="10"/>
    <cellStyle name="20% - Accent4 2" xfId="11"/>
    <cellStyle name="20% - Accent5 2" xfId="12"/>
    <cellStyle name="20% - Accent6 2" xfId="13"/>
    <cellStyle name="40% - Accent1 2" xfId="14"/>
    <cellStyle name="40% - Accent2 2" xfId="15"/>
    <cellStyle name="40% - Accent3 2" xfId="16"/>
    <cellStyle name="40% - Accent4 2" xfId="17"/>
    <cellStyle name="40% - Accent5 2" xfId="18"/>
    <cellStyle name="40% - Accent6 2" xfId="19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Accent1 2" xfId="26"/>
    <cellStyle name="Accent2 2" xfId="27"/>
    <cellStyle name="Accent3 2" xfId="28"/>
    <cellStyle name="Accent4 2" xfId="29"/>
    <cellStyle name="Accent5 2" xfId="30"/>
    <cellStyle name="Accent6 2" xfId="31"/>
    <cellStyle name="Bad 2" xfId="32"/>
    <cellStyle name="Calculation 2" xfId="33"/>
    <cellStyle name="Calculation 2 2" xfId="51"/>
    <cellStyle name="Calculation 2 2 2" xfId="67"/>
    <cellStyle name="Calculation 2 3" xfId="62"/>
    <cellStyle name="Check Cell 2" xfId="34"/>
    <cellStyle name="Explanatory Text 2" xfId="35"/>
    <cellStyle name="Good 2" xfId="36"/>
    <cellStyle name="Heading 1 2" xfId="37"/>
    <cellStyle name="Heading 2 2" xfId="38"/>
    <cellStyle name="Heading 3 2" xfId="39"/>
    <cellStyle name="Heading 4 2" xfId="40"/>
    <cellStyle name="Input 2" xfId="41"/>
    <cellStyle name="Input 2 2" xfId="52"/>
    <cellStyle name="Input 2 2 2" xfId="68"/>
    <cellStyle name="Input 2 3" xfId="63"/>
    <cellStyle name="Linked Cell 2" xfId="42"/>
    <cellStyle name="Neutral 2" xfId="43"/>
    <cellStyle name="Normal" xfId="0" builtinId="0"/>
    <cellStyle name="Normal 2" xfId="2"/>
    <cellStyle name="Normal 2 2" xfId="3"/>
    <cellStyle name="Normal 2 3" xfId="60"/>
    <cellStyle name="Normal 2 4" xfId="6"/>
    <cellStyle name="Normal 3" xfId="1"/>
    <cellStyle name="Normal 3 2" xfId="50"/>
    <cellStyle name="Normal 3 2 2" xfId="61"/>
    <cellStyle name="Normal 4" xfId="4"/>
    <cellStyle name="Normal 5" xfId="7"/>
    <cellStyle name="Normal 5 2" xfId="49"/>
    <cellStyle name="Normal 6" xfId="5"/>
    <cellStyle name="Normal 7" xfId="59"/>
    <cellStyle name="Note 2" xfId="44"/>
    <cellStyle name="Note 2 2" xfId="53"/>
    <cellStyle name="Note 2 2 2" xfId="69"/>
    <cellStyle name="Note 2 3" xfId="56"/>
    <cellStyle name="Note 2 4" xfId="64"/>
    <cellStyle name="Output 2" xfId="45"/>
    <cellStyle name="Output 2 2" xfId="54"/>
    <cellStyle name="Output 2 2 2" xfId="70"/>
    <cellStyle name="Output 2 3" xfId="57"/>
    <cellStyle name="Output 2 4" xfId="65"/>
    <cellStyle name="Title 2" xfId="46"/>
    <cellStyle name="Total 2" xfId="47"/>
    <cellStyle name="Total 2 2" xfId="55"/>
    <cellStyle name="Total 2 2 2" xfId="71"/>
    <cellStyle name="Total 2 3" xfId="58"/>
    <cellStyle name="Total 2 4" xfId="66"/>
    <cellStyle name="Warning Text 2" xfId="48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Mapping - Attainment for POs-PSOs</a:t>
            </a:r>
            <a:endParaRPr lang="en-I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094396219903899E-2"/>
          <c:y val="0.13357550250897424"/>
          <c:w val="0.82352915151354289"/>
          <c:h val="0.64661500212735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Attainments!$R$124</c:f>
              <c:strCache>
                <c:ptCount val="1"/>
                <c:pt idx="0">
                  <c:v>MAPPING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Attainments!$U$123:$AI$123</c:f>
              <c:strCache>
                <c:ptCount val="15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  <c:pt idx="12">
                  <c:v>PSO1</c:v>
                </c:pt>
                <c:pt idx="13">
                  <c:v>PSO2</c:v>
                </c:pt>
                <c:pt idx="14">
                  <c:v>PSO3</c:v>
                </c:pt>
              </c:strCache>
            </c:strRef>
          </c:cat>
          <c:val>
            <c:numRef>
              <c:f>Attainments!$U$124:$AI$124</c:f>
              <c:numCache>
                <c:formatCode>0.00</c:formatCode>
                <c:ptCount val="15"/>
                <c:pt idx="0">
                  <c:v>2.8002777777777776</c:v>
                </c:pt>
                <c:pt idx="1">
                  <c:v>2.5602339181286546</c:v>
                </c:pt>
                <c:pt idx="2">
                  <c:v>2.1222222222222227</c:v>
                </c:pt>
                <c:pt idx="3">
                  <c:v>2.0559748427672959</c:v>
                </c:pt>
                <c:pt idx="4">
                  <c:v>2.2179245283018871</c:v>
                </c:pt>
                <c:pt idx="5">
                  <c:v>1.9481981981981984</c:v>
                </c:pt>
                <c:pt idx="6">
                  <c:v>2.2392857142857143</c:v>
                </c:pt>
                <c:pt idx="7">
                  <c:v>2.246031746031746</c:v>
                </c:pt>
                <c:pt idx="8">
                  <c:v>2.8275862068965516</c:v>
                </c:pt>
                <c:pt idx="9">
                  <c:v>2.3846153846153846</c:v>
                </c:pt>
                <c:pt idx="10">
                  <c:v>2.0579710144927539</c:v>
                </c:pt>
                <c:pt idx="11">
                  <c:v>2.3330459770114942</c:v>
                </c:pt>
                <c:pt idx="12">
                  <c:v>2.6802777777777775</c:v>
                </c:pt>
                <c:pt idx="13">
                  <c:v>2.3420903954802261</c:v>
                </c:pt>
                <c:pt idx="14">
                  <c:v>1.9149122807017545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C-4359-99C3-0167870E1DA2}"/>
            </c:ext>
          </c:extLst>
        </c:ser>
        <c:ser>
          <c:idx val="1"/>
          <c:order val="1"/>
          <c:tx>
            <c:strRef>
              <c:f>Attainments!$R$125</c:f>
              <c:strCache>
                <c:ptCount val="1"/>
                <c:pt idx="0">
                  <c:v>ATTAINMENT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Attainments!$U$123:$AI$123</c:f>
              <c:strCache>
                <c:ptCount val="15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  <c:pt idx="12">
                  <c:v>PSO1</c:v>
                </c:pt>
                <c:pt idx="13">
                  <c:v>PSO2</c:v>
                </c:pt>
                <c:pt idx="14">
                  <c:v>PSO3</c:v>
                </c:pt>
              </c:strCache>
            </c:strRef>
          </c:cat>
          <c:val>
            <c:numRef>
              <c:f>Attainments!$U$125:$AI$125</c:f>
              <c:numCache>
                <c:formatCode>0.00</c:formatCode>
                <c:ptCount val="15"/>
                <c:pt idx="0">
                  <c:v>2.4482222222222227</c:v>
                </c:pt>
                <c:pt idx="1">
                  <c:v>2.2873333333333332</c:v>
                </c:pt>
                <c:pt idx="2">
                  <c:v>1.9172046783625731</c:v>
                </c:pt>
                <c:pt idx="3">
                  <c:v>1.8982893081761008</c:v>
                </c:pt>
                <c:pt idx="4">
                  <c:v>1.9732704402515722</c:v>
                </c:pt>
                <c:pt idx="5">
                  <c:v>1.7743703703703702</c:v>
                </c:pt>
                <c:pt idx="6">
                  <c:v>2.0185238095238094</c:v>
                </c:pt>
                <c:pt idx="7">
                  <c:v>2.0564</c:v>
                </c:pt>
                <c:pt idx="8">
                  <c:v>2.4948275862068963</c:v>
                </c:pt>
                <c:pt idx="9">
                  <c:v>2.1636923076923078</c:v>
                </c:pt>
                <c:pt idx="10">
                  <c:v>1.9419420289855074</c:v>
                </c:pt>
                <c:pt idx="11">
                  <c:v>2.1168505747126436</c:v>
                </c:pt>
                <c:pt idx="12">
                  <c:v>2.400177777777778</c:v>
                </c:pt>
                <c:pt idx="13">
                  <c:v>2.0921807909604522</c:v>
                </c:pt>
                <c:pt idx="14">
                  <c:v>1.7806783625731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C-4359-99C3-0167870E1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22406880"/>
        <c:axId val="-1922408512"/>
      </c:barChart>
      <c:catAx>
        <c:axId val="-192240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2408512"/>
        <c:crosses val="autoZero"/>
        <c:auto val="1"/>
        <c:lblAlgn val="ctr"/>
        <c:lblOffset val="100"/>
        <c:noMultiLvlLbl val="0"/>
      </c:catAx>
      <c:valAx>
        <c:axId val="-1922408512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240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Attainments!$D$152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Attainments!$E$150:$U$151</c:f>
              <c:strCache>
                <c:ptCount val="17"/>
                <c:pt idx="2">
                  <c:v>PO1</c:v>
                </c:pt>
                <c:pt idx="3">
                  <c:v>PO2</c:v>
                </c:pt>
                <c:pt idx="4">
                  <c:v>PO3</c:v>
                </c:pt>
                <c:pt idx="5">
                  <c:v>PO4</c:v>
                </c:pt>
                <c:pt idx="6">
                  <c:v>PO5</c:v>
                </c:pt>
                <c:pt idx="7">
                  <c:v>PO6</c:v>
                </c:pt>
                <c:pt idx="8">
                  <c:v>PO7</c:v>
                </c:pt>
                <c:pt idx="9">
                  <c:v>PO8</c:v>
                </c:pt>
                <c:pt idx="10">
                  <c:v>PO9</c:v>
                </c:pt>
                <c:pt idx="11">
                  <c:v>PO10</c:v>
                </c:pt>
                <c:pt idx="12">
                  <c:v>PO11</c:v>
                </c:pt>
                <c:pt idx="13">
                  <c:v>PO12</c:v>
                </c:pt>
                <c:pt idx="14">
                  <c:v>PSO1</c:v>
                </c:pt>
                <c:pt idx="15">
                  <c:v>PSO2</c:v>
                </c:pt>
                <c:pt idx="16">
                  <c:v>PSO3</c:v>
                </c:pt>
              </c:strCache>
            </c:strRef>
          </c:cat>
          <c:val>
            <c:numRef>
              <c:f>Attainments!$E$152:$U$152</c:f>
              <c:numCache>
                <c:formatCode>General</c:formatCode>
                <c:ptCount val="17"/>
                <c:pt idx="2" formatCode="0.00">
                  <c:v>2.2402222222222221</c:v>
                </c:pt>
                <c:pt idx="3" formatCode="0.00">
                  <c:v>2.0481871345029239</c:v>
                </c:pt>
                <c:pt idx="4" formatCode="0.00">
                  <c:v>1.6977777777777783</c:v>
                </c:pt>
                <c:pt idx="5" formatCode="0.00">
                  <c:v>1.6447798742138369</c:v>
                </c:pt>
                <c:pt idx="6" formatCode="0.00">
                  <c:v>1.7743396226415098</c:v>
                </c:pt>
                <c:pt idx="7" formatCode="0.00">
                  <c:v>1.5585585585585588</c:v>
                </c:pt>
                <c:pt idx="8" formatCode="0.00">
                  <c:v>1.7914285714285716</c:v>
                </c:pt>
                <c:pt idx="9" formatCode="0.00">
                  <c:v>1.7968253968253969</c:v>
                </c:pt>
                <c:pt idx="10" formatCode="0.00">
                  <c:v>2.2620689655172415</c:v>
                </c:pt>
                <c:pt idx="11" formatCode="0.00">
                  <c:v>1.9076923076923078</c:v>
                </c:pt>
                <c:pt idx="12" formatCode="0.00">
                  <c:v>1.6463768115942032</c:v>
                </c:pt>
                <c:pt idx="13" formatCode="0.00">
                  <c:v>1.8664367816091954</c:v>
                </c:pt>
                <c:pt idx="14" formatCode="0.00">
                  <c:v>2.144222222222222</c:v>
                </c:pt>
                <c:pt idx="15" formatCode="0.00">
                  <c:v>1.8736723163841811</c:v>
                </c:pt>
                <c:pt idx="16" formatCode="0.00">
                  <c:v>1.5319298245614037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3-4103-B748-282E8EB6C842}"/>
            </c:ext>
          </c:extLst>
        </c:ser>
        <c:ser>
          <c:idx val="1"/>
          <c:order val="1"/>
          <c:tx>
            <c:strRef>
              <c:f>Attainments!$D$153</c:f>
              <c:strCache>
                <c:ptCount val="1"/>
                <c:pt idx="0">
                  <c:v> ACHIEVED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Attainments!$E$150:$U$151</c:f>
              <c:strCache>
                <c:ptCount val="17"/>
                <c:pt idx="2">
                  <c:v>PO1</c:v>
                </c:pt>
                <c:pt idx="3">
                  <c:v>PO2</c:v>
                </c:pt>
                <c:pt idx="4">
                  <c:v>PO3</c:v>
                </c:pt>
                <c:pt idx="5">
                  <c:v>PO4</c:v>
                </c:pt>
                <c:pt idx="6">
                  <c:v>PO5</c:v>
                </c:pt>
                <c:pt idx="7">
                  <c:v>PO6</c:v>
                </c:pt>
                <c:pt idx="8">
                  <c:v>PO7</c:v>
                </c:pt>
                <c:pt idx="9">
                  <c:v>PO8</c:v>
                </c:pt>
                <c:pt idx="10">
                  <c:v>PO9</c:v>
                </c:pt>
                <c:pt idx="11">
                  <c:v>PO10</c:v>
                </c:pt>
                <c:pt idx="12">
                  <c:v>PO11</c:v>
                </c:pt>
                <c:pt idx="13">
                  <c:v>PO12</c:v>
                </c:pt>
                <c:pt idx="14">
                  <c:v>PSO1</c:v>
                </c:pt>
                <c:pt idx="15">
                  <c:v>PSO2</c:v>
                </c:pt>
                <c:pt idx="16">
                  <c:v>PSO3</c:v>
                </c:pt>
              </c:strCache>
            </c:strRef>
          </c:cat>
          <c:val>
            <c:numRef>
              <c:f>Attainments!$E$153:$U$153</c:f>
              <c:numCache>
                <c:formatCode>General</c:formatCode>
                <c:ptCount val="17"/>
                <c:pt idx="2" formatCode="0.00">
                  <c:v>2.4482222222222227</c:v>
                </c:pt>
                <c:pt idx="3" formatCode="0.00">
                  <c:v>2.2873333333333332</c:v>
                </c:pt>
                <c:pt idx="4" formatCode="0.00">
                  <c:v>1.9172046783625731</c:v>
                </c:pt>
                <c:pt idx="5" formatCode="0.00">
                  <c:v>1.8982893081761008</c:v>
                </c:pt>
                <c:pt idx="6" formatCode="0.00">
                  <c:v>1.9732704402515722</c:v>
                </c:pt>
                <c:pt idx="7" formatCode="0.00">
                  <c:v>1.7743703703703702</c:v>
                </c:pt>
                <c:pt idx="8" formatCode="0.00">
                  <c:v>2.0185238095238094</c:v>
                </c:pt>
                <c:pt idx="9" formatCode="0.00">
                  <c:v>2.0564</c:v>
                </c:pt>
                <c:pt idx="10" formatCode="0.00">
                  <c:v>2.4948275862068963</c:v>
                </c:pt>
                <c:pt idx="11" formatCode="0.00">
                  <c:v>2.1636923076923078</c:v>
                </c:pt>
                <c:pt idx="12" formatCode="0.00">
                  <c:v>1.9419420289855074</c:v>
                </c:pt>
                <c:pt idx="13" formatCode="0.00">
                  <c:v>2.1168505747126436</c:v>
                </c:pt>
                <c:pt idx="14" formatCode="0.00">
                  <c:v>2.400177777777778</c:v>
                </c:pt>
                <c:pt idx="15" formatCode="0.00">
                  <c:v>2.0921807909604522</c:v>
                </c:pt>
                <c:pt idx="16" formatCode="0.00">
                  <c:v>1.7806783625731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3-4103-B748-282E8EB6C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22401984"/>
        <c:axId val="-1922409600"/>
      </c:barChart>
      <c:catAx>
        <c:axId val="-1922401984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2409600"/>
        <c:crosses val="autoZero"/>
        <c:auto val="1"/>
        <c:lblAlgn val="ctr"/>
        <c:lblOffset val="100"/>
        <c:noMultiLvlLbl val="0"/>
      </c:catAx>
      <c:valAx>
        <c:axId val="-19224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  <a:r>
                  <a:rPr lang="en-US" baseline="0"/>
                  <a:t> of Attainment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24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190500</xdr:colOff>
      <xdr:row>126</xdr:row>
      <xdr:rowOff>206826</xdr:rowOff>
    </xdr:from>
    <xdr:to>
      <xdr:col>33</xdr:col>
      <xdr:colOff>156380</xdr:colOff>
      <xdr:row>140</xdr:row>
      <xdr:rowOff>113730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535957</xdr:colOff>
      <xdr:row>153</xdr:row>
      <xdr:rowOff>305937</xdr:rowOff>
    </xdr:from>
    <xdr:to>
      <xdr:col>17</xdr:col>
      <xdr:colOff>284328</xdr:colOff>
      <xdr:row>161</xdr:row>
      <xdr:rowOff>142164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8CF2B-42D5-40C3-B8F4-D29F4DC18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I171"/>
  <sheetViews>
    <sheetView tabSelected="1" view="pageBreakPreview" topLeftCell="A141" zoomScale="70" zoomScaleNormal="55" zoomScaleSheetLayoutView="70" workbookViewId="0">
      <selection activeCell="E147" sqref="E147:S147"/>
    </sheetView>
  </sheetViews>
  <sheetFormatPr defaultColWidth="9.140625" defaultRowHeight="15.75" x14ac:dyDescent="0.25"/>
  <cols>
    <col min="1" max="1" width="9.140625" style="25"/>
    <col min="2" max="2" width="18.28515625" style="25" customWidth="1"/>
    <col min="3" max="8" width="10.7109375" style="25" customWidth="1"/>
    <col min="9" max="9" width="9.140625" style="25" customWidth="1"/>
    <col min="10" max="10" width="14.5703125" style="25" customWidth="1"/>
    <col min="11" max="15" width="10.7109375" style="25" customWidth="1"/>
    <col min="16" max="16" width="18.140625" style="25" customWidth="1"/>
    <col min="17" max="17" width="10.7109375" style="25" customWidth="1"/>
    <col min="18" max="18" width="13.42578125" style="25" customWidth="1"/>
    <col min="19" max="25" width="10.7109375" style="25" customWidth="1"/>
    <col min="26" max="26" width="16.28515625" style="25" customWidth="1"/>
    <col min="27" max="32" width="10.7109375" style="25" customWidth="1"/>
    <col min="33" max="16384" width="9.140625" style="25"/>
  </cols>
  <sheetData>
    <row r="2" spans="2:28" ht="35.1" customHeight="1" x14ac:dyDescent="0.25">
      <c r="B2" s="2654" t="s">
        <v>90</v>
      </c>
      <c r="C2" s="2654"/>
      <c r="D2" s="2654"/>
      <c r="E2" s="2654"/>
      <c r="F2" s="2654"/>
      <c r="G2" s="2654"/>
      <c r="H2" s="2654"/>
      <c r="I2" s="2654"/>
      <c r="J2" s="2654"/>
      <c r="K2" s="2654"/>
      <c r="L2" s="2654"/>
      <c r="M2" s="2654"/>
      <c r="N2" s="2654"/>
      <c r="O2" s="2654"/>
      <c r="P2" s="2654"/>
      <c r="Q2" s="2654"/>
      <c r="R2" s="2654"/>
      <c r="S2" s="2654"/>
      <c r="T2" s="2654"/>
      <c r="U2" s="2654"/>
      <c r="V2" s="2654"/>
      <c r="W2" s="2654"/>
      <c r="X2" s="2654"/>
      <c r="Y2" s="2654"/>
      <c r="Z2" s="2654"/>
      <c r="AA2" s="2654"/>
      <c r="AB2" s="2654"/>
    </row>
    <row r="3" spans="2:28" ht="35.1" customHeight="1" x14ac:dyDescent="0.25"/>
    <row r="4" spans="2:28" ht="35.1" customHeight="1" x14ac:dyDescent="0.25">
      <c r="B4" s="45" t="s">
        <v>86</v>
      </c>
      <c r="C4" s="45" t="s">
        <v>46</v>
      </c>
      <c r="D4" s="45" t="s">
        <v>47</v>
      </c>
      <c r="E4" s="45" t="s">
        <v>48</v>
      </c>
      <c r="F4" s="45" t="s">
        <v>49</v>
      </c>
      <c r="G4" s="45" t="s">
        <v>50</v>
      </c>
      <c r="H4" s="45" t="s">
        <v>51</v>
      </c>
      <c r="I4" s="45" t="s">
        <v>52</v>
      </c>
      <c r="J4" s="45" t="s">
        <v>53</v>
      </c>
      <c r="K4" s="45" t="s">
        <v>54</v>
      </c>
      <c r="L4" s="45" t="s">
        <v>55</v>
      </c>
      <c r="M4" s="45" t="s">
        <v>56</v>
      </c>
      <c r="N4" s="45" t="s">
        <v>57</v>
      </c>
      <c r="P4" s="45" t="s">
        <v>86</v>
      </c>
      <c r="Q4" s="45" t="s">
        <v>46</v>
      </c>
      <c r="R4" s="45" t="s">
        <v>47</v>
      </c>
      <c r="S4" s="45" t="s">
        <v>48</v>
      </c>
      <c r="T4" s="45" t="s">
        <v>49</v>
      </c>
      <c r="U4" s="45" t="s">
        <v>50</v>
      </c>
      <c r="V4" s="45" t="s">
        <v>51</v>
      </c>
      <c r="W4" s="45" t="s">
        <v>52</v>
      </c>
      <c r="X4" s="45" t="s">
        <v>53</v>
      </c>
      <c r="Y4" s="45" t="s">
        <v>54</v>
      </c>
      <c r="Z4" s="45" t="s">
        <v>55</v>
      </c>
      <c r="AA4" s="45" t="s">
        <v>56</v>
      </c>
      <c r="AB4" s="45" t="s">
        <v>57</v>
      </c>
    </row>
    <row r="5" spans="2:28" ht="35.1" customHeight="1" x14ac:dyDescent="0.25">
      <c r="B5" s="2665" t="s">
        <v>96</v>
      </c>
      <c r="C5" s="2666"/>
      <c r="D5" s="2666"/>
      <c r="E5" s="2666"/>
      <c r="F5" s="2666"/>
      <c r="G5" s="2666"/>
      <c r="H5" s="2666"/>
      <c r="I5" s="2666"/>
      <c r="J5" s="2666"/>
      <c r="K5" s="2666"/>
      <c r="L5" s="2666"/>
      <c r="M5" s="2666"/>
      <c r="N5" s="2667"/>
      <c r="P5" s="2665" t="s">
        <v>97</v>
      </c>
      <c r="Q5" s="2666"/>
      <c r="R5" s="2666"/>
      <c r="S5" s="2666"/>
      <c r="T5" s="2666"/>
      <c r="U5" s="2666"/>
      <c r="V5" s="2666"/>
      <c r="W5" s="2666"/>
      <c r="X5" s="2666"/>
      <c r="Y5" s="2666"/>
      <c r="Z5" s="2666"/>
      <c r="AA5" s="2666"/>
      <c r="AB5" s="2667"/>
    </row>
    <row r="6" spans="2:28" ht="35.1" customHeight="1" x14ac:dyDescent="0.25">
      <c r="B6" s="46" t="s">
        <v>103</v>
      </c>
      <c r="C6" s="47">
        <f>'M-I'!C82</f>
        <v>3</v>
      </c>
      <c r="D6" s="47">
        <f>'M-I'!D82</f>
        <v>3</v>
      </c>
      <c r="E6" s="47"/>
      <c r="F6" s="47"/>
      <c r="G6" s="47"/>
      <c r="H6" s="47"/>
      <c r="I6" s="47"/>
      <c r="J6" s="47"/>
      <c r="K6" s="47"/>
      <c r="L6" s="47"/>
      <c r="M6" s="47"/>
      <c r="N6" s="47">
        <f>'M-I'!N82</f>
        <v>3</v>
      </c>
      <c r="P6" s="2484" t="s">
        <v>402</v>
      </c>
      <c r="Q6" s="356">
        <f>'M-IV'!C88</f>
        <v>3</v>
      </c>
      <c r="R6" s="356">
        <f>'M-IV'!D88</f>
        <v>3</v>
      </c>
      <c r="S6" s="356">
        <f>'M-IV'!E88</f>
        <v>1.75</v>
      </c>
      <c r="T6" s="356">
        <f>'M-IV'!F88</f>
        <v>2.25</v>
      </c>
      <c r="U6" s="356">
        <f>'M-IV'!G88</f>
        <v>1</v>
      </c>
      <c r="V6" s="356"/>
      <c r="W6" s="356"/>
      <c r="X6" s="356"/>
      <c r="Y6" s="356"/>
      <c r="Z6" s="356"/>
      <c r="AA6" s="356"/>
      <c r="AB6" s="356">
        <f>'M-IV'!N88</f>
        <v>2</v>
      </c>
    </row>
    <row r="7" spans="2:28" ht="35.1" customHeight="1" x14ac:dyDescent="0.25">
      <c r="B7" s="46" t="s">
        <v>104</v>
      </c>
      <c r="C7" s="47">
        <f>'M-II'!D83</f>
        <v>3</v>
      </c>
      <c r="D7" s="47">
        <f>'M-II'!E83</f>
        <v>3</v>
      </c>
      <c r="E7" s="47">
        <f>'M-II'!F83</f>
        <v>1.8</v>
      </c>
      <c r="F7" s="47">
        <f>'M-II'!G83</f>
        <v>2.2000000000000002</v>
      </c>
      <c r="G7" s="47">
        <f>'M-II'!H83</f>
        <v>1</v>
      </c>
      <c r="H7" s="47"/>
      <c r="I7" s="47"/>
      <c r="J7" s="47"/>
      <c r="K7" s="47"/>
      <c r="L7" s="47"/>
      <c r="M7" s="47"/>
      <c r="N7" s="47">
        <f>'M-II'!O83</f>
        <v>2</v>
      </c>
      <c r="P7" s="46" t="s">
        <v>114</v>
      </c>
      <c r="Q7" s="38">
        <f>NT!C88</f>
        <v>2.75</v>
      </c>
      <c r="R7" s="356">
        <f>NT!D88</f>
        <v>2.75</v>
      </c>
      <c r="S7" s="356">
        <f>NT!E88</f>
        <v>2.5</v>
      </c>
      <c r="T7" s="356">
        <f>NT!F88</f>
        <v>1</v>
      </c>
      <c r="U7" s="356">
        <f>NT!G88</f>
        <v>2</v>
      </c>
      <c r="V7" s="356">
        <f>NT!H88</f>
        <v>1.5</v>
      </c>
      <c r="W7" s="356"/>
      <c r="X7" s="356"/>
      <c r="Y7" s="356"/>
      <c r="Z7" s="356"/>
      <c r="AA7" s="356"/>
      <c r="AB7" s="356">
        <f>NT!N88</f>
        <v>2</v>
      </c>
    </row>
    <row r="8" spans="2:28" ht="35.1" customHeight="1" x14ac:dyDescent="0.25">
      <c r="B8" s="46" t="s">
        <v>106</v>
      </c>
      <c r="C8" s="47">
        <f>'PHY '!C80</f>
        <v>3</v>
      </c>
      <c r="D8" s="47">
        <f>'PHY '!D80</f>
        <v>3</v>
      </c>
      <c r="E8" s="47">
        <f>'PHY '!E80</f>
        <v>3</v>
      </c>
      <c r="F8" s="47">
        <f>'PHY '!F80</f>
        <v>2.4</v>
      </c>
      <c r="G8" s="47">
        <f>'PHY '!G80</f>
        <v>1.8</v>
      </c>
      <c r="H8" s="47">
        <f>'PHY '!H80</f>
        <v>3</v>
      </c>
      <c r="I8" s="47">
        <f>'PHY '!I80</f>
        <v>2</v>
      </c>
      <c r="J8" s="47">
        <f>'PHY '!J80</f>
        <v>2</v>
      </c>
      <c r="K8" s="47">
        <f>'PHY '!K80</f>
        <v>2</v>
      </c>
      <c r="L8" s="47">
        <f>'PHY '!L80</f>
        <v>2.6</v>
      </c>
      <c r="M8" s="47">
        <f>'PHY '!M80</f>
        <v>2</v>
      </c>
      <c r="N8" s="47">
        <f>'PHY '!N80</f>
        <v>3</v>
      </c>
      <c r="P8" s="42" t="s">
        <v>115</v>
      </c>
      <c r="Q8" s="38">
        <f>EM!C88</f>
        <v>2.75</v>
      </c>
      <c r="R8" s="356">
        <f>EM!D88</f>
        <v>2.75</v>
      </c>
      <c r="S8" s="356">
        <f>EM!E88</f>
        <v>2.5</v>
      </c>
      <c r="T8" s="356">
        <f>EM!F88</f>
        <v>1</v>
      </c>
      <c r="U8" s="356">
        <f>EM!G88</f>
        <v>2</v>
      </c>
      <c r="V8" s="356">
        <f>EM!H88</f>
        <v>1.5</v>
      </c>
      <c r="W8" s="356"/>
      <c r="X8" s="356"/>
      <c r="Y8" s="356"/>
      <c r="Z8" s="356"/>
      <c r="AA8" s="356"/>
      <c r="AB8" s="356">
        <f>EM!N88</f>
        <v>2</v>
      </c>
    </row>
    <row r="9" spans="2:28" ht="35.1" customHeight="1" x14ac:dyDescent="0.25">
      <c r="B9" s="46" t="s">
        <v>138</v>
      </c>
      <c r="C9" s="47">
        <f>EG!B85</f>
        <v>2.5</v>
      </c>
      <c r="D9" s="47"/>
      <c r="E9" s="47">
        <f>EG!D85</f>
        <v>2.6666666666666665</v>
      </c>
      <c r="F9" s="47"/>
      <c r="G9" s="47">
        <f>EG!F85</f>
        <v>2</v>
      </c>
      <c r="H9" s="47">
        <f>EG!G85</f>
        <v>2</v>
      </c>
      <c r="I9" s="47"/>
      <c r="J9" s="47"/>
      <c r="K9" s="47"/>
      <c r="L9" s="47">
        <f>EG!K85</f>
        <v>2.25</v>
      </c>
      <c r="M9" s="47"/>
      <c r="N9" s="47">
        <f>EG!M85</f>
        <v>2.25</v>
      </c>
      <c r="P9" s="42" t="s">
        <v>116</v>
      </c>
      <c r="Q9" s="38">
        <f>EDC!C86</f>
        <v>3</v>
      </c>
      <c r="R9" s="356">
        <f>EDC!D86</f>
        <v>3</v>
      </c>
      <c r="S9" s="356">
        <f>EDC!E86</f>
        <v>2.5</v>
      </c>
      <c r="T9" s="356">
        <f>EDC!F86</f>
        <v>1.5</v>
      </c>
      <c r="U9" s="356">
        <f>EDC!G86</f>
        <v>1.75</v>
      </c>
      <c r="V9" s="356">
        <f>EDC!H86</f>
        <v>1</v>
      </c>
      <c r="W9" s="356"/>
      <c r="X9" s="356">
        <f>EDC!J86</f>
        <v>1.5</v>
      </c>
      <c r="Y9" s="356"/>
      <c r="Z9" s="356"/>
      <c r="AA9" s="356"/>
      <c r="AB9" s="356">
        <f>EDC!N86</f>
        <v>2</v>
      </c>
    </row>
    <row r="10" spans="2:28" ht="35.1" customHeight="1" x14ac:dyDescent="0.25">
      <c r="B10" s="41" t="s">
        <v>359</v>
      </c>
      <c r="C10" s="47">
        <f>PHYLAB!D73</f>
        <v>3</v>
      </c>
      <c r="D10" s="47">
        <f>PHYLAB!E73</f>
        <v>3</v>
      </c>
      <c r="E10" s="47">
        <f>PHYLAB!F73</f>
        <v>1</v>
      </c>
      <c r="F10" s="47">
        <f>PHYLAB!G73</f>
        <v>3</v>
      </c>
      <c r="G10" s="47">
        <f>PHYLAB!H73</f>
        <v>1</v>
      </c>
      <c r="H10" s="47">
        <f>PHYLAB!I73</f>
        <v>3</v>
      </c>
      <c r="I10" s="47">
        <f>PHYLAB!J73</f>
        <v>2</v>
      </c>
      <c r="J10" s="47">
        <f>PHYLAB!K73</f>
        <v>3</v>
      </c>
      <c r="K10" s="47">
        <f>PHYLAB!L73</f>
        <v>3</v>
      </c>
      <c r="L10" s="47">
        <f>PHYLAB!M73</f>
        <v>3</v>
      </c>
      <c r="M10" s="47">
        <f>PHYLAB!N73</f>
        <v>2</v>
      </c>
      <c r="N10" s="47">
        <f>PHYLAB!O73</f>
        <v>3</v>
      </c>
      <c r="P10" s="42" t="s">
        <v>112</v>
      </c>
      <c r="Q10" s="38">
        <f>SS!C88</f>
        <v>3</v>
      </c>
      <c r="R10" s="356">
        <f>SS!D88</f>
        <v>2</v>
      </c>
      <c r="S10" s="356">
        <f>SS!E88</f>
        <v>2</v>
      </c>
      <c r="T10" s="356">
        <f>SS!F88</f>
        <v>2</v>
      </c>
      <c r="U10" s="356">
        <f>SS!G88</f>
        <v>3</v>
      </c>
      <c r="V10" s="356"/>
      <c r="W10" s="356"/>
      <c r="X10" s="356"/>
      <c r="Y10" s="356">
        <f>SS!K88</f>
        <v>3</v>
      </c>
      <c r="Z10" s="356">
        <f>SS!L88</f>
        <v>2</v>
      </c>
      <c r="AA10" s="356"/>
      <c r="AB10" s="356">
        <f>SS!N88</f>
        <v>2</v>
      </c>
    </row>
    <row r="11" spans="2:28" ht="35.1" customHeight="1" x14ac:dyDescent="0.25">
      <c r="B11" s="46" t="s">
        <v>360</v>
      </c>
      <c r="C11" s="47">
        <f>WSLAB!D72</f>
        <v>1</v>
      </c>
      <c r="D11" s="47"/>
      <c r="E11" s="47"/>
      <c r="F11" s="47"/>
      <c r="G11" s="47"/>
      <c r="H11" s="47">
        <f>WSLAB!I72</f>
        <v>2</v>
      </c>
      <c r="I11" s="47"/>
      <c r="J11" s="47"/>
      <c r="K11" s="47">
        <f>WSLAB!L72</f>
        <v>3</v>
      </c>
      <c r="L11" s="47">
        <f>WSLAB!M72</f>
        <v>2</v>
      </c>
      <c r="M11" s="47">
        <f>WSLAB!N72</f>
        <v>3</v>
      </c>
      <c r="N11" s="47">
        <f>WSLAB!O72</f>
        <v>3</v>
      </c>
      <c r="P11" s="42" t="s">
        <v>118</v>
      </c>
      <c r="Q11" s="38">
        <f>DS!C88</f>
        <v>3</v>
      </c>
      <c r="R11" s="356">
        <f>DS!D88</f>
        <v>2</v>
      </c>
      <c r="S11" s="356">
        <f>DS!E88</f>
        <v>2</v>
      </c>
      <c r="T11" s="356"/>
      <c r="U11" s="356"/>
      <c r="V11" s="356">
        <f>DS!H88</f>
        <v>1</v>
      </c>
      <c r="W11" s="356"/>
      <c r="X11" s="356"/>
      <c r="Y11" s="356"/>
      <c r="Z11" s="356"/>
      <c r="AA11" s="356"/>
      <c r="AB11" s="356">
        <f>DS!N88</f>
        <v>2</v>
      </c>
    </row>
    <row r="12" spans="2:28" ht="35.1" customHeight="1" x14ac:dyDescent="0.25">
      <c r="B12" s="46" t="s">
        <v>107</v>
      </c>
      <c r="C12" s="47">
        <f>'M-III1.2'!F81</f>
        <v>3</v>
      </c>
      <c r="D12" s="47">
        <f>'M-III1.2'!G81</f>
        <v>2.75</v>
      </c>
      <c r="E12" s="47">
        <f>'M-III1.2'!H81</f>
        <v>1.5</v>
      </c>
      <c r="F12" s="47">
        <f>'M-III1.2'!I81</f>
        <v>2</v>
      </c>
      <c r="G12" s="47"/>
      <c r="H12" s="47"/>
      <c r="I12" s="47"/>
      <c r="J12" s="47"/>
      <c r="K12" s="47"/>
      <c r="L12" s="47"/>
      <c r="M12" s="47"/>
      <c r="N12" s="47">
        <f>'M-III1.2'!Q81</f>
        <v>2</v>
      </c>
      <c r="P12" s="352" t="s">
        <v>358</v>
      </c>
      <c r="Q12" s="38">
        <f>NTMLAB!C88</f>
        <v>3</v>
      </c>
      <c r="R12" s="356">
        <f>NTMLAB!D88</f>
        <v>3</v>
      </c>
      <c r="S12" s="356">
        <f>NTMLAB!E88</f>
        <v>3</v>
      </c>
      <c r="T12" s="356">
        <f>NTMLAB!F88</f>
        <v>2</v>
      </c>
      <c r="U12" s="356">
        <f>NTMLAB!G88</f>
        <v>1</v>
      </c>
      <c r="V12" s="356"/>
      <c r="W12" s="356">
        <f>NTMLAB!I88</f>
        <v>2</v>
      </c>
      <c r="X12" s="356">
        <f>NTMLAB!J88</f>
        <v>2</v>
      </c>
      <c r="Y12" s="356">
        <f>NTMLAB!K88</f>
        <v>3</v>
      </c>
      <c r="Z12" s="356">
        <f>NTMLAB!L88</f>
        <v>3</v>
      </c>
      <c r="AA12" s="356">
        <f>NTMLAB!M88</f>
        <v>1</v>
      </c>
      <c r="AB12" s="356">
        <f>NTMLAB!N88</f>
        <v>3</v>
      </c>
    </row>
    <row r="13" spans="2:28" ht="35.1" customHeight="1" x14ac:dyDescent="0.25">
      <c r="B13" s="46" t="s">
        <v>102</v>
      </c>
      <c r="C13" s="38">
        <f>BEE!D83</f>
        <v>3</v>
      </c>
      <c r="D13" s="356">
        <f>BEE!E83</f>
        <v>1.6</v>
      </c>
      <c r="E13" s="356">
        <f>BEE!F83</f>
        <v>2.25</v>
      </c>
      <c r="F13" s="356">
        <f>BEE!G83</f>
        <v>2</v>
      </c>
      <c r="G13" s="356">
        <f>BEE!H83</f>
        <v>3</v>
      </c>
      <c r="H13" s="356"/>
      <c r="I13" s="356"/>
      <c r="J13" s="356"/>
      <c r="K13" s="356"/>
      <c r="L13" s="356"/>
      <c r="M13" s="356"/>
      <c r="N13" s="356">
        <f>BEE!O83</f>
        <v>2.4</v>
      </c>
      <c r="P13" s="352" t="s">
        <v>344</v>
      </c>
      <c r="Q13" s="38">
        <f>EDCLAB!C88</f>
        <v>3</v>
      </c>
      <c r="R13" s="356">
        <f>EDCLAB!D88</f>
        <v>2</v>
      </c>
      <c r="S13" s="356">
        <f>EDCLAB!E88</f>
        <v>3</v>
      </c>
      <c r="T13" s="356">
        <f>EDCLAB!F88</f>
        <v>3</v>
      </c>
      <c r="U13" s="356">
        <f>EDCLAB!G88</f>
        <v>3</v>
      </c>
      <c r="V13" s="356">
        <f>EDCLAB!H88</f>
        <v>2</v>
      </c>
      <c r="W13" s="356">
        <f>EDCLAB!I88</f>
        <v>2.75</v>
      </c>
      <c r="X13" s="356"/>
      <c r="Y13" s="356"/>
      <c r="Z13" s="356"/>
      <c r="AA13" s="356"/>
      <c r="AB13" s="356">
        <f>EDCLAB!N88</f>
        <v>2.75</v>
      </c>
    </row>
    <row r="14" spans="2:28" ht="35.1" customHeight="1" x14ac:dyDescent="0.25">
      <c r="B14" s="46" t="s">
        <v>105</v>
      </c>
      <c r="C14" s="47">
        <f>CHE!D85</f>
        <v>2.6666666666666665</v>
      </c>
      <c r="D14" s="47">
        <f>CHE!E85</f>
        <v>2.1666666666666665</v>
      </c>
      <c r="E14" s="47">
        <f>CHE!F85</f>
        <v>1.1666666666666667</v>
      </c>
      <c r="F14" s="47">
        <f>CHE!G85</f>
        <v>1.8333333333333333</v>
      </c>
      <c r="G14" s="47">
        <f>CHE!H85</f>
        <v>1</v>
      </c>
      <c r="H14" s="47">
        <f>CHE!I85</f>
        <v>1.8333333333333333</v>
      </c>
      <c r="I14" s="47">
        <f>CHE!J85</f>
        <v>2</v>
      </c>
      <c r="J14" s="47">
        <f>CHE!K85</f>
        <v>1.5</v>
      </c>
      <c r="K14" s="47"/>
      <c r="L14" s="47"/>
      <c r="M14" s="47"/>
      <c r="N14" s="47">
        <f>CHE!O85</f>
        <v>2.1666666666666665</v>
      </c>
      <c r="P14" s="2484" t="s">
        <v>410</v>
      </c>
      <c r="Q14" s="356">
        <f>'M-V'!C88</f>
        <v>3</v>
      </c>
      <c r="R14" s="356">
        <f>'M-V'!D88</f>
        <v>3</v>
      </c>
      <c r="S14" s="356">
        <f>'M-V'!E88</f>
        <v>1.75</v>
      </c>
      <c r="T14" s="356">
        <f>'M-V'!F88</f>
        <v>2.5</v>
      </c>
      <c r="U14" s="356">
        <f>'M-V'!G88</f>
        <v>1.25</v>
      </c>
      <c r="V14" s="356"/>
      <c r="W14" s="356"/>
      <c r="X14" s="356"/>
      <c r="Y14" s="356"/>
      <c r="Z14" s="356"/>
      <c r="AA14" s="356"/>
      <c r="AB14" s="356">
        <f>'M-V'!N88</f>
        <v>2</v>
      </c>
    </row>
    <row r="15" spans="2:28" ht="35.1" customHeight="1" x14ac:dyDescent="0.25">
      <c r="B15" s="46" t="s">
        <v>101</v>
      </c>
      <c r="C15" s="47">
        <f>CPNM!D81</f>
        <v>3</v>
      </c>
      <c r="D15" s="47">
        <f>CPNM!E81</f>
        <v>2.75</v>
      </c>
      <c r="E15" s="47">
        <f>CPNM!F81</f>
        <v>2</v>
      </c>
      <c r="F15" s="47">
        <f>CPNM!G81</f>
        <v>2</v>
      </c>
      <c r="G15" s="47">
        <f>CPNM!H81</f>
        <v>2.5</v>
      </c>
      <c r="H15" s="47"/>
      <c r="I15" s="47"/>
      <c r="J15" s="47"/>
      <c r="K15" s="47">
        <f>CPNM!L81</f>
        <v>1</v>
      </c>
      <c r="L15" s="47">
        <f>CPNM!M81</f>
        <v>1</v>
      </c>
      <c r="M15" s="47">
        <f>CPNM!N81</f>
        <v>1</v>
      </c>
      <c r="N15" s="47">
        <f>CPNM!O81</f>
        <v>2</v>
      </c>
      <c r="P15" s="42" t="s">
        <v>108</v>
      </c>
      <c r="Q15" s="38">
        <f>EMFTL!C88</f>
        <v>2.5</v>
      </c>
      <c r="R15" s="356">
        <f>EMFTL!D88</f>
        <v>2.5</v>
      </c>
      <c r="S15" s="356">
        <f>EMFTL!E88</f>
        <v>1</v>
      </c>
      <c r="T15" s="356">
        <f>EMFTL!F88</f>
        <v>1.5</v>
      </c>
      <c r="U15" s="356"/>
      <c r="V15" s="356">
        <f>EMFTL!H88</f>
        <v>1</v>
      </c>
      <c r="W15" s="356"/>
      <c r="X15" s="356"/>
      <c r="Y15" s="356"/>
      <c r="Z15" s="356"/>
      <c r="AA15" s="356"/>
      <c r="AB15" s="356">
        <f>EMFTL!N88</f>
        <v>2</v>
      </c>
    </row>
    <row r="16" spans="2:28" ht="35.1" customHeight="1" x14ac:dyDescent="0.25">
      <c r="B16" s="46" t="s">
        <v>375</v>
      </c>
      <c r="C16" s="47">
        <f>ENGLISH1.1!C79</f>
        <v>3</v>
      </c>
      <c r="D16" s="47">
        <f>ENGLISH1.1!D79</f>
        <v>2</v>
      </c>
      <c r="E16" s="47">
        <f>ENGLISH1.1!E79</f>
        <v>3</v>
      </c>
      <c r="F16" s="47">
        <f>ENGLISH1.1!F79</f>
        <v>1.4</v>
      </c>
      <c r="G16" s="47">
        <f>ENGLISH1.1!G79</f>
        <v>1</v>
      </c>
      <c r="H16" s="47">
        <f>ENGLISH1.1!H79</f>
        <v>3</v>
      </c>
      <c r="I16" s="47">
        <f>ENGLISH1.1!I79</f>
        <v>3</v>
      </c>
      <c r="J16" s="47">
        <f>ENGLISH1.1!J79</f>
        <v>3</v>
      </c>
      <c r="K16" s="47">
        <f>ENGLISH1.1!K79</f>
        <v>3</v>
      </c>
      <c r="L16" s="47">
        <f>ENGLISH1.1!L79</f>
        <v>2.6</v>
      </c>
      <c r="M16" s="47">
        <f>ENGLISH1.1!M79</f>
        <v>3</v>
      </c>
      <c r="N16" s="47">
        <f>ENGLISH1.1!N79</f>
        <v>3</v>
      </c>
      <c r="P16" s="46" t="s">
        <v>109</v>
      </c>
      <c r="Q16" s="38">
        <f>AEC!C90</f>
        <v>3</v>
      </c>
      <c r="R16" s="356">
        <f>AEC!D90</f>
        <v>3</v>
      </c>
      <c r="S16" s="356">
        <f>AEC!E90</f>
        <v>2</v>
      </c>
      <c r="T16" s="356"/>
      <c r="U16" s="356">
        <f>AEC!G90</f>
        <v>3</v>
      </c>
      <c r="V16" s="356">
        <f>AEC!H90</f>
        <v>2</v>
      </c>
      <c r="W16" s="356">
        <f>AEC!I90</f>
        <v>2</v>
      </c>
      <c r="X16" s="356">
        <f>AEC!J90</f>
        <v>2</v>
      </c>
      <c r="Y16" s="356">
        <f>AEC!K90</f>
        <v>3</v>
      </c>
      <c r="Z16" s="356">
        <f>AEC!L90</f>
        <v>2</v>
      </c>
      <c r="AA16" s="356"/>
      <c r="AB16" s="356">
        <f>AEC!N90</f>
        <v>3</v>
      </c>
    </row>
    <row r="17" spans="1:29" ht="35.1" customHeight="1" x14ac:dyDescent="0.25">
      <c r="B17" s="46" t="s">
        <v>362</v>
      </c>
      <c r="C17" s="38">
        <f>CHELAB!D73</f>
        <v>3</v>
      </c>
      <c r="D17" s="38">
        <f>CHELAB!E73</f>
        <v>3</v>
      </c>
      <c r="E17" s="38">
        <f>CHELAB!F73</f>
        <v>1</v>
      </c>
      <c r="F17" s="38">
        <f>CHELAB!G73</f>
        <v>3</v>
      </c>
      <c r="G17" s="38">
        <f>CHELAB!H73</f>
        <v>1</v>
      </c>
      <c r="H17" s="38">
        <f>CHELAB!I73</f>
        <v>3</v>
      </c>
      <c r="I17" s="38">
        <f>CHELAB!J73</f>
        <v>3</v>
      </c>
      <c r="J17" s="38">
        <f>CHELAB!K73</f>
        <v>3</v>
      </c>
      <c r="K17" s="38">
        <f>CHELAB!L73</f>
        <v>3</v>
      </c>
      <c r="L17" s="38">
        <f>CHELAB!M73</f>
        <v>3</v>
      </c>
      <c r="M17" s="38">
        <f>CHELAB!N73</f>
        <v>2</v>
      </c>
      <c r="N17" s="38">
        <f>CHELAB!O73</f>
        <v>3</v>
      </c>
      <c r="P17" s="46" t="s">
        <v>117</v>
      </c>
      <c r="Q17" s="38">
        <f>STLD!C88</f>
        <v>3</v>
      </c>
      <c r="R17" s="356">
        <f>STLD!D88</f>
        <v>2.6666666666666665</v>
      </c>
      <c r="S17" s="356">
        <f>STLD!E88</f>
        <v>2.3333333333333335</v>
      </c>
      <c r="T17" s="356">
        <f>STLD!F88</f>
        <v>2.6666666666666665</v>
      </c>
      <c r="U17" s="356">
        <f>STLD!G88</f>
        <v>2.3333333333333335</v>
      </c>
      <c r="V17" s="356"/>
      <c r="W17" s="356">
        <f>STLD!I88</f>
        <v>3</v>
      </c>
      <c r="X17" s="356"/>
      <c r="Y17" s="356">
        <f>STLD!K88</f>
        <v>3</v>
      </c>
      <c r="Z17" s="356"/>
      <c r="AA17" s="356"/>
      <c r="AB17" s="356">
        <f>STLD!N88</f>
        <v>2</v>
      </c>
    </row>
    <row r="18" spans="1:29" s="43" customFormat="1" ht="35.1" customHeight="1" x14ac:dyDescent="0.25">
      <c r="B18" s="46" t="s">
        <v>361</v>
      </c>
      <c r="C18" s="38">
        <f>CPNMLAB!I14</f>
        <v>3</v>
      </c>
      <c r="D18" s="356">
        <f>CPNMLAB!J14</f>
        <v>3</v>
      </c>
      <c r="E18" s="356">
        <f>CPNMLAB!K14</f>
        <v>3</v>
      </c>
      <c r="F18" s="356">
        <f>CPNMLAB!L14</f>
        <v>3</v>
      </c>
      <c r="G18" s="356">
        <f>CPNMLAB!M14</f>
        <v>2</v>
      </c>
      <c r="H18" s="356">
        <f>CPNMLAB!N14</f>
        <v>2</v>
      </c>
      <c r="I18" s="356"/>
      <c r="J18" s="356">
        <f>CPNMLAB!P14</f>
        <v>2</v>
      </c>
      <c r="K18" s="356"/>
      <c r="L18" s="356"/>
      <c r="M18" s="356">
        <f>CPNMLAB!S14</f>
        <v>2</v>
      </c>
      <c r="N18" s="356">
        <f>CPNMLAB!T14</f>
        <v>2</v>
      </c>
      <c r="P18" s="46" t="s">
        <v>111</v>
      </c>
      <c r="Q18" s="38">
        <f>PTRP!C88</f>
        <v>2.75</v>
      </c>
      <c r="R18" s="356">
        <f>PTRP!D88</f>
        <v>2.75</v>
      </c>
      <c r="S18" s="356">
        <f>PTRP!E88</f>
        <v>2.5</v>
      </c>
      <c r="T18" s="356">
        <f>PTRP!F88</f>
        <v>1</v>
      </c>
      <c r="U18" s="356">
        <f>PTRP!G88</f>
        <v>2</v>
      </c>
      <c r="V18" s="356">
        <f>PTRP!H88</f>
        <v>1.5</v>
      </c>
      <c r="W18" s="356"/>
      <c r="X18" s="356"/>
      <c r="Y18" s="356"/>
      <c r="Z18" s="356"/>
      <c r="AA18" s="356"/>
      <c r="AB18" s="356">
        <f>PTRP!N88</f>
        <v>2</v>
      </c>
      <c r="AC18" s="954"/>
    </row>
    <row r="19" spans="1:29" s="43" customFormat="1" ht="35.1" customHeight="1" x14ac:dyDescent="0.25">
      <c r="P19" s="46" t="s">
        <v>113</v>
      </c>
      <c r="Q19" s="38">
        <f>ES!C90</f>
        <v>2.6</v>
      </c>
      <c r="R19" s="356">
        <f>ES!D90</f>
        <v>2.6</v>
      </c>
      <c r="S19" s="356">
        <f>ES!E90</f>
        <v>2.6</v>
      </c>
      <c r="T19" s="356">
        <f>ES!F90</f>
        <v>1</v>
      </c>
      <c r="U19" s="356">
        <f>ES!G90</f>
        <v>2.2000000000000002</v>
      </c>
      <c r="V19" s="356">
        <f>ES!H90</f>
        <v>1.5</v>
      </c>
      <c r="W19" s="356"/>
      <c r="X19" s="356"/>
      <c r="Y19" s="356"/>
      <c r="Z19" s="356"/>
      <c r="AA19" s="356"/>
      <c r="AB19" s="356">
        <f>ES!N90</f>
        <v>1.8</v>
      </c>
    </row>
    <row r="20" spans="1:29" s="43" customFormat="1" ht="35.1" customHeight="1" x14ac:dyDescent="0.25">
      <c r="P20" s="972" t="s">
        <v>348</v>
      </c>
      <c r="Q20" s="911">
        <f>UHV!C90</f>
        <v>2.6</v>
      </c>
      <c r="R20" s="911">
        <f>UHV!D90</f>
        <v>2.6</v>
      </c>
      <c r="S20" s="911">
        <f>UHV!E90</f>
        <v>2.6</v>
      </c>
      <c r="T20" s="911">
        <f>UHV!F90</f>
        <v>1</v>
      </c>
      <c r="U20" s="911">
        <f>UHV!G90</f>
        <v>2.2000000000000002</v>
      </c>
      <c r="V20" s="911">
        <f>UHV!H90</f>
        <v>1.5</v>
      </c>
      <c r="W20" s="911"/>
      <c r="X20" s="911"/>
      <c r="Y20" s="911"/>
      <c r="Z20" s="911"/>
      <c r="AA20" s="911"/>
      <c r="AB20" s="911">
        <f>UHV!N90</f>
        <v>1.8</v>
      </c>
    </row>
    <row r="21" spans="1:29" s="2490" customFormat="1" ht="35.1" customHeight="1" x14ac:dyDescent="0.25">
      <c r="P21" s="46" t="s">
        <v>317</v>
      </c>
      <c r="Q21" s="76">
        <f>DICLAB!C88</f>
        <v>3</v>
      </c>
      <c r="R21" s="349">
        <f>DICLAB!D88</f>
        <v>2</v>
      </c>
      <c r="S21" s="349">
        <f>DICLAB!E88</f>
        <v>3</v>
      </c>
      <c r="T21" s="349">
        <f>DICLAB!F88</f>
        <v>3</v>
      </c>
      <c r="U21" s="349">
        <f>DICLAB!G88</f>
        <v>3</v>
      </c>
      <c r="V21" s="349">
        <f>DICLAB!H88</f>
        <v>3</v>
      </c>
      <c r="W21" s="349">
        <f>DICLAB!I88</f>
        <v>2.75</v>
      </c>
      <c r="X21" s="349"/>
      <c r="Y21" s="349"/>
      <c r="Z21" s="349"/>
      <c r="AA21" s="349"/>
      <c r="AB21" s="349">
        <f>DICLAB!N88</f>
        <v>2.75</v>
      </c>
    </row>
    <row r="22" spans="1:29" s="2490" customFormat="1" ht="35.1" customHeight="1" x14ac:dyDescent="0.25">
      <c r="P22" s="46" t="s">
        <v>347</v>
      </c>
      <c r="Q22" s="76">
        <f>AECLAB!C88</f>
        <v>3</v>
      </c>
      <c r="R22" s="349">
        <f>AECLAB!D88</f>
        <v>2</v>
      </c>
      <c r="S22" s="349">
        <f>AECLAB!E88</f>
        <v>1</v>
      </c>
      <c r="T22" s="349">
        <f>AECLAB!F88</f>
        <v>2</v>
      </c>
      <c r="U22" s="349">
        <f>AECLAB!G88</f>
        <v>1</v>
      </c>
      <c r="V22" s="349">
        <f>AECLAB!H88</f>
        <v>2</v>
      </c>
      <c r="W22" s="349">
        <f>AECLAB!I88</f>
        <v>2</v>
      </c>
      <c r="X22" s="349">
        <f>AECLAB!J88</f>
        <v>3</v>
      </c>
      <c r="Y22" s="349">
        <f>AECLAB!K88</f>
        <v>3</v>
      </c>
      <c r="Z22" s="349">
        <f>AECLAB!L88</f>
        <v>2</v>
      </c>
      <c r="AA22" s="349">
        <f>AECLAB!M88</f>
        <v>2</v>
      </c>
      <c r="AB22" s="349">
        <f>AECLAB!N88</f>
        <v>2</v>
      </c>
    </row>
    <row r="23" spans="1:29" s="43" customFormat="1" ht="35.1" customHeight="1" x14ac:dyDescent="0.25">
      <c r="B23" s="51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spans="1:29" s="43" customFormat="1" ht="35.1" customHeight="1" x14ac:dyDescent="0.25">
      <c r="A24" s="28"/>
      <c r="B24" s="49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29" s="43" customFormat="1" ht="35.1" customHeight="1" x14ac:dyDescent="0.25">
      <c r="B25" s="45" t="s">
        <v>86</v>
      </c>
      <c r="C25" s="45" t="s">
        <v>46</v>
      </c>
      <c r="D25" s="45" t="s">
        <v>47</v>
      </c>
      <c r="E25" s="45" t="s">
        <v>48</v>
      </c>
      <c r="F25" s="45" t="s">
        <v>49</v>
      </c>
      <c r="G25" s="45" t="s">
        <v>50</v>
      </c>
      <c r="H25" s="45" t="s">
        <v>51</v>
      </c>
      <c r="I25" s="45" t="s">
        <v>52</v>
      </c>
      <c r="J25" s="45" t="s">
        <v>53</v>
      </c>
      <c r="K25" s="45" t="s">
        <v>54</v>
      </c>
      <c r="L25" s="45" t="s">
        <v>55</v>
      </c>
      <c r="M25" s="45" t="s">
        <v>56</v>
      </c>
      <c r="N25" s="45" t="s">
        <v>57</v>
      </c>
      <c r="P25" s="2398" t="s">
        <v>86</v>
      </c>
      <c r="Q25" s="2398" t="s">
        <v>46</v>
      </c>
      <c r="R25" s="2398" t="s">
        <v>47</v>
      </c>
      <c r="S25" s="2398" t="s">
        <v>48</v>
      </c>
      <c r="T25" s="2398" t="s">
        <v>49</v>
      </c>
      <c r="U25" s="2398" t="s">
        <v>50</v>
      </c>
      <c r="V25" s="2398" t="s">
        <v>51</v>
      </c>
      <c r="W25" s="2398" t="s">
        <v>52</v>
      </c>
      <c r="X25" s="2398" t="s">
        <v>53</v>
      </c>
      <c r="Y25" s="2398" t="s">
        <v>54</v>
      </c>
      <c r="Z25" s="2398" t="s">
        <v>55</v>
      </c>
      <c r="AA25" s="2398" t="s">
        <v>56</v>
      </c>
      <c r="AB25" s="2398" t="s">
        <v>57</v>
      </c>
    </row>
    <row r="26" spans="1:29" s="43" customFormat="1" ht="35.1" customHeight="1" x14ac:dyDescent="0.25">
      <c r="B26" s="2665" t="s">
        <v>98</v>
      </c>
      <c r="C26" s="2666"/>
      <c r="D26" s="2666"/>
      <c r="E26" s="2666"/>
      <c r="F26" s="2666"/>
      <c r="G26" s="2666"/>
      <c r="H26" s="2666"/>
      <c r="I26" s="2666"/>
      <c r="J26" s="2666"/>
      <c r="K26" s="2666"/>
      <c r="L26" s="2666"/>
      <c r="M26" s="2666"/>
      <c r="N26" s="2667"/>
      <c r="P26" s="2641" t="s">
        <v>99</v>
      </c>
      <c r="Q26" s="2642"/>
      <c r="R26" s="2642"/>
      <c r="S26" s="2642"/>
      <c r="T26" s="2642"/>
      <c r="U26" s="2642"/>
      <c r="V26" s="2642"/>
      <c r="W26" s="2642"/>
      <c r="X26" s="2642"/>
      <c r="Y26" s="2642"/>
      <c r="Z26" s="2642"/>
      <c r="AA26" s="2642"/>
      <c r="AB26" s="2643"/>
    </row>
    <row r="27" spans="1:29" s="43" customFormat="1" ht="35.1" customHeight="1" x14ac:dyDescent="0.25">
      <c r="B27" s="46" t="s">
        <v>124</v>
      </c>
      <c r="C27" s="38">
        <f>LICA3.1!C90</f>
        <v>3</v>
      </c>
      <c r="D27" s="356">
        <f>LICA3.1!D90</f>
        <v>2</v>
      </c>
      <c r="E27" s="356">
        <f>LICA3.1!E90</f>
        <v>1.5</v>
      </c>
      <c r="F27" s="356">
        <f>LICA3.1!F90</f>
        <v>2</v>
      </c>
      <c r="G27" s="356">
        <f>LICA3.1!G90</f>
        <v>3</v>
      </c>
      <c r="H27" s="356">
        <f>LICA3.1!H90</f>
        <v>2</v>
      </c>
      <c r="I27" s="356">
        <f>LICA3.1!I90</f>
        <v>2.75</v>
      </c>
      <c r="J27" s="356">
        <f>LICA3.1!J90</f>
        <v>2.3333333333333335</v>
      </c>
      <c r="K27" s="356">
        <f>LICA3.1!K90</f>
        <v>3</v>
      </c>
      <c r="L27" s="356">
        <f>LICA3.1!L90</f>
        <v>2</v>
      </c>
      <c r="M27" s="356">
        <f>LICA3.1!M90</f>
        <v>2.25</v>
      </c>
      <c r="N27" s="356">
        <f>LICA3.1!N90</f>
        <v>2.25</v>
      </c>
      <c r="P27" s="46" t="s">
        <v>413</v>
      </c>
      <c r="Q27" s="356">
        <f>PEM!C90</f>
        <v>1.4</v>
      </c>
      <c r="R27" s="356">
        <f>PEM!D90</f>
        <v>2.4</v>
      </c>
      <c r="S27" s="356">
        <f>PEM!E90</f>
        <v>1.8</v>
      </c>
      <c r="T27" s="356">
        <f>PEM!F90</f>
        <v>1.2</v>
      </c>
      <c r="U27" s="356"/>
      <c r="V27" s="356">
        <f>PEM!H90</f>
        <v>1.6</v>
      </c>
      <c r="W27" s="356">
        <f>PEM!I90</f>
        <v>1.2</v>
      </c>
      <c r="X27" s="356">
        <f>PEM!J90</f>
        <v>2</v>
      </c>
      <c r="Y27" s="356">
        <f>PEM!K90</f>
        <v>1.6666666666666667</v>
      </c>
      <c r="Z27" s="356">
        <f>PEM!L90</f>
        <v>1.6666666666666667</v>
      </c>
      <c r="AA27" s="356">
        <f>PEM!M90</f>
        <v>3</v>
      </c>
      <c r="AB27" s="356">
        <f>PEM!N90</f>
        <v>2.2000000000000002</v>
      </c>
    </row>
    <row r="28" spans="1:29" s="43" customFormat="1" ht="35.1" customHeight="1" x14ac:dyDescent="0.25">
      <c r="B28" s="46" t="s">
        <v>349</v>
      </c>
      <c r="C28" s="38">
        <f>'AC&amp;DC'!D93</f>
        <v>3</v>
      </c>
      <c r="D28" s="356">
        <f>'AC&amp;DC'!E93</f>
        <v>3</v>
      </c>
      <c r="E28" s="356">
        <f>'AC&amp;DC'!F93</f>
        <v>2</v>
      </c>
      <c r="F28" s="356"/>
      <c r="G28" s="356">
        <f>'AC&amp;DC'!H93</f>
        <v>3</v>
      </c>
      <c r="H28" s="356">
        <f>'AC&amp;DC'!I93</f>
        <v>2</v>
      </c>
      <c r="I28" s="356">
        <f>'AC&amp;DC'!J93</f>
        <v>2</v>
      </c>
      <c r="J28" s="356">
        <f>'AC&amp;DC'!K93</f>
        <v>2</v>
      </c>
      <c r="K28" s="356">
        <f>'AC&amp;DC'!L93</f>
        <v>3</v>
      </c>
      <c r="L28" s="356">
        <f>'AC&amp;DC'!M93</f>
        <v>2</v>
      </c>
      <c r="M28" s="356"/>
      <c r="N28" s="356">
        <f>'AC&amp;DC'!O93</f>
        <v>3</v>
      </c>
      <c r="P28" s="46" t="s">
        <v>119</v>
      </c>
      <c r="Q28" s="356">
        <f>RE!C90</f>
        <v>2</v>
      </c>
      <c r="R28" s="356">
        <f>RE!D90</f>
        <v>3</v>
      </c>
      <c r="S28" s="356">
        <f>RE!E90</f>
        <v>2</v>
      </c>
      <c r="T28" s="356">
        <f>RE!F90</f>
        <v>2</v>
      </c>
      <c r="U28" s="356"/>
      <c r="V28" s="356">
        <f>RE!H90</f>
        <v>2</v>
      </c>
      <c r="W28" s="356"/>
      <c r="X28" s="356"/>
      <c r="Y28" s="356"/>
      <c r="Z28" s="356"/>
      <c r="AA28" s="356"/>
      <c r="AB28" s="356">
        <f>RE!N90</f>
        <v>1</v>
      </c>
    </row>
    <row r="29" spans="1:29" ht="35.1" customHeight="1" x14ac:dyDescent="0.25">
      <c r="B29" s="46" t="s">
        <v>378</v>
      </c>
      <c r="C29" s="38">
        <f>CNE!C61</f>
        <v>3</v>
      </c>
      <c r="D29" s="356">
        <f>CNE!D61</f>
        <v>2.75</v>
      </c>
      <c r="E29" s="356">
        <f>CNE!E61</f>
        <v>2.5</v>
      </c>
      <c r="F29" s="356">
        <f>CNE!F61</f>
        <v>2</v>
      </c>
      <c r="G29" s="356">
        <f>CNE!G61</f>
        <v>1</v>
      </c>
      <c r="H29" s="356">
        <f>CNE!H61</f>
        <v>2</v>
      </c>
      <c r="I29" s="356"/>
      <c r="J29" s="356">
        <f>CNE!J61</f>
        <v>3</v>
      </c>
      <c r="K29" s="356"/>
      <c r="L29" s="356"/>
      <c r="M29" s="356"/>
      <c r="N29" s="356">
        <f>CNE!N61</f>
        <v>2</v>
      </c>
      <c r="P29" s="2399" t="s">
        <v>120</v>
      </c>
      <c r="Q29" s="356">
        <f>FOC!C54</f>
        <v>2.5</v>
      </c>
      <c r="R29" s="356">
        <f>FOC!D54</f>
        <v>2.75</v>
      </c>
      <c r="S29" s="356">
        <f>FOC!E54</f>
        <v>2.75</v>
      </c>
      <c r="T29" s="356">
        <f>FOC!F54</f>
        <v>1</v>
      </c>
      <c r="U29" s="356">
        <f>FOC!G54</f>
        <v>2.25</v>
      </c>
      <c r="V29" s="356"/>
      <c r="W29" s="356">
        <f>FOC!I54</f>
        <v>2</v>
      </c>
      <c r="X29" s="356"/>
      <c r="Y29" s="356"/>
      <c r="Z29" s="356"/>
      <c r="AA29" s="356"/>
      <c r="AB29" s="356"/>
      <c r="AC29" s="43"/>
    </row>
    <row r="30" spans="1:29" ht="35.1" customHeight="1" x14ac:dyDescent="0.25">
      <c r="B30" s="46" t="s">
        <v>125</v>
      </c>
      <c r="C30" s="38">
        <f>AWP!C90</f>
        <v>3</v>
      </c>
      <c r="D30" s="356">
        <f>AWP!D90</f>
        <v>2.8</v>
      </c>
      <c r="E30" s="356">
        <f>AWP!E90</f>
        <v>2.5</v>
      </c>
      <c r="F30" s="356">
        <f>AWP!F90</f>
        <v>2.5</v>
      </c>
      <c r="G30" s="356">
        <f>AWP!G90</f>
        <v>2.6</v>
      </c>
      <c r="H30" s="356">
        <f>AWP!H90</f>
        <v>2</v>
      </c>
      <c r="I30" s="356"/>
      <c r="J30" s="356"/>
      <c r="K30" s="356"/>
      <c r="L30" s="356"/>
      <c r="M30" s="356"/>
      <c r="N30" s="356">
        <f>AWP!N90</f>
        <v>3</v>
      </c>
      <c r="P30" s="2399" t="s">
        <v>310</v>
      </c>
      <c r="Q30" s="356">
        <f>'IOT1'!C66</f>
        <v>3</v>
      </c>
      <c r="R30" s="356">
        <f>'IOT1'!D66</f>
        <v>2.6</v>
      </c>
      <c r="S30" s="356">
        <f>'IOT1'!E66</f>
        <v>2.2000000000000002</v>
      </c>
      <c r="T30" s="356">
        <f>'IOT1'!F66</f>
        <v>2.25</v>
      </c>
      <c r="U30" s="356">
        <f>'IOT1'!G66</f>
        <v>3</v>
      </c>
      <c r="V30" s="356"/>
      <c r="W30" s="356">
        <f>'IOT1'!I66</f>
        <v>2.4</v>
      </c>
      <c r="X30" s="356"/>
      <c r="Y30" s="356">
        <f>'IOT1'!K66</f>
        <v>3</v>
      </c>
      <c r="Z30" s="356">
        <f>'IOT1'!L66</f>
        <v>2.25</v>
      </c>
      <c r="AA30" s="356"/>
      <c r="AB30" s="356">
        <f>'IOT1'!N66</f>
        <v>2.25</v>
      </c>
    </row>
    <row r="31" spans="1:29" ht="35.1" customHeight="1" x14ac:dyDescent="0.25">
      <c r="B31" s="46" t="s">
        <v>100</v>
      </c>
      <c r="C31" s="38">
        <f>CS!C88</f>
        <v>2.75</v>
      </c>
      <c r="D31" s="356">
        <f>CS!D88</f>
        <v>2.75</v>
      </c>
      <c r="E31" s="356">
        <f>CS!E88</f>
        <v>2.5</v>
      </c>
      <c r="F31" s="356">
        <f>CS!F88</f>
        <v>1</v>
      </c>
      <c r="G31" s="356">
        <f>CS!G88</f>
        <v>2</v>
      </c>
      <c r="H31" s="356">
        <f>CS!H88</f>
        <v>1.5</v>
      </c>
      <c r="I31" s="356"/>
      <c r="J31" s="356"/>
      <c r="K31" s="356"/>
      <c r="L31" s="356"/>
      <c r="M31" s="356"/>
      <c r="N31" s="356">
        <f>CS!N88</f>
        <v>2</v>
      </c>
      <c r="P31" s="2399" t="s">
        <v>121</v>
      </c>
      <c r="Q31" s="356">
        <f>MWE!C90</f>
        <v>3</v>
      </c>
      <c r="R31" s="356">
        <f>MWE!D90</f>
        <v>2.6</v>
      </c>
      <c r="S31" s="356">
        <f>MWE!E90</f>
        <v>2.2000000000000002</v>
      </c>
      <c r="T31" s="356">
        <f>MWE!F90</f>
        <v>3</v>
      </c>
      <c r="U31" s="356">
        <f>MWE!G90</f>
        <v>1.6666666666666667</v>
      </c>
      <c r="V31" s="356"/>
      <c r="W31" s="356"/>
      <c r="X31" s="356"/>
      <c r="Y31" s="356">
        <f>MWE!K90</f>
        <v>3</v>
      </c>
      <c r="Z31" s="356"/>
      <c r="AA31" s="356"/>
      <c r="AB31" s="356">
        <f>MWE!N90</f>
        <v>3</v>
      </c>
    </row>
    <row r="32" spans="1:29" ht="35.1" customHeight="1" x14ac:dyDescent="0.25">
      <c r="B32" s="972" t="s">
        <v>110</v>
      </c>
      <c r="C32" s="911">
        <f>PDC!C90</f>
        <v>2.5</v>
      </c>
      <c r="D32" s="911">
        <f>PDC!D90</f>
        <v>2.8</v>
      </c>
      <c r="E32" s="911">
        <f>PDC!E90</f>
        <v>2.5</v>
      </c>
      <c r="F32" s="911">
        <f>PDC!F90</f>
        <v>3</v>
      </c>
      <c r="G32" s="911">
        <f>PDC!G90</f>
        <v>3</v>
      </c>
      <c r="H32" s="911">
        <f>PDC!H90</f>
        <v>2</v>
      </c>
      <c r="I32" s="911"/>
      <c r="J32" s="911"/>
      <c r="K32" s="911"/>
      <c r="L32" s="911"/>
      <c r="M32" s="911"/>
      <c r="N32" s="911">
        <f>PDC!N90</f>
        <v>2</v>
      </c>
      <c r="P32" s="2400" t="s">
        <v>354</v>
      </c>
      <c r="Q32" s="911">
        <f>EMBEDDEDSYS!C54</f>
        <v>2.2000000000000002</v>
      </c>
      <c r="R32" s="911">
        <f>EMBEDDEDSYS!D54</f>
        <v>2.2000000000000002</v>
      </c>
      <c r="S32" s="911">
        <f>EMBEDDEDSYS!E54</f>
        <v>2.4</v>
      </c>
      <c r="T32" s="911">
        <f>EMBEDDEDSYS!F54</f>
        <v>2.5</v>
      </c>
      <c r="U32" s="911">
        <f>EMBEDDEDSYS!G54</f>
        <v>3</v>
      </c>
      <c r="V32" s="911">
        <f>EMBEDDEDSYS!H54</f>
        <v>3</v>
      </c>
      <c r="W32" s="911"/>
      <c r="X32" s="911"/>
      <c r="Y32" s="911">
        <f>EMBEDDEDSYS!K54</f>
        <v>3</v>
      </c>
      <c r="Z32" s="911"/>
      <c r="AA32" s="911">
        <f>EMBEDDEDSYS!M54</f>
        <v>2</v>
      </c>
      <c r="AB32" s="911">
        <f>EMBEDDEDSYS!N54</f>
        <v>3</v>
      </c>
    </row>
    <row r="33" spans="2:29" ht="35.1" customHeight="1" x14ac:dyDescent="0.25">
      <c r="B33" s="46" t="s">
        <v>379</v>
      </c>
      <c r="C33" s="356">
        <f>'MOOCs-1'!C88</f>
        <v>2.75</v>
      </c>
      <c r="D33" s="356">
        <f>'MOOCs-1'!D88</f>
        <v>2.75</v>
      </c>
      <c r="E33" s="356">
        <f>'MOOCs-1'!E88</f>
        <v>2.5</v>
      </c>
      <c r="F33" s="356">
        <f>'MOOCs-1'!F88</f>
        <v>1</v>
      </c>
      <c r="G33" s="356">
        <f>'MOOCs-1'!G88</f>
        <v>2</v>
      </c>
      <c r="H33" s="356">
        <f>'MOOCs-1'!H88</f>
        <v>1.5</v>
      </c>
      <c r="I33" s="356"/>
      <c r="J33" s="356"/>
      <c r="K33" s="356"/>
      <c r="L33" s="356"/>
      <c r="M33" s="356"/>
      <c r="N33" s="356">
        <f>'MOOCs-1'!N88</f>
        <v>2</v>
      </c>
      <c r="P33" s="2399" t="s">
        <v>219</v>
      </c>
      <c r="Q33" s="356">
        <f>GPS!C68</f>
        <v>3</v>
      </c>
      <c r="R33" s="356">
        <f>GPS!D68</f>
        <v>3</v>
      </c>
      <c r="S33" s="356">
        <f>GPS!E68</f>
        <v>1.6</v>
      </c>
      <c r="T33" s="356">
        <f>GPS!F68</f>
        <v>2.6</v>
      </c>
      <c r="U33" s="356">
        <f>GPS!G68</f>
        <v>2.5</v>
      </c>
      <c r="V33" s="356">
        <f>GPS!H68</f>
        <v>3</v>
      </c>
      <c r="W33" s="356">
        <f>GPS!I68</f>
        <v>2.8</v>
      </c>
      <c r="X33" s="356">
        <f>GPS!J68</f>
        <v>2</v>
      </c>
      <c r="Y33" s="356">
        <f>GPS!K68</f>
        <v>3</v>
      </c>
      <c r="Z33" s="356">
        <f>GPS!L68</f>
        <v>2.8</v>
      </c>
      <c r="AA33" s="356">
        <f>GPS!M68</f>
        <v>2</v>
      </c>
      <c r="AB33" s="356">
        <f>GPS!N68</f>
        <v>2.4</v>
      </c>
    </row>
    <row r="34" spans="2:29" ht="35.1" customHeight="1" x14ac:dyDescent="0.25">
      <c r="B34" s="46" t="s">
        <v>357</v>
      </c>
      <c r="C34" s="38">
        <f>LICLAB!C88</f>
        <v>3</v>
      </c>
      <c r="D34" s="356">
        <f>LICLAB!D88</f>
        <v>2</v>
      </c>
      <c r="E34" s="356">
        <f>LICLAB!E88</f>
        <v>1.5</v>
      </c>
      <c r="F34" s="356">
        <f>LICLAB!F88</f>
        <v>2</v>
      </c>
      <c r="G34" s="356">
        <f>LICLAB!G88</f>
        <v>3</v>
      </c>
      <c r="H34" s="356">
        <f>LICLAB!H88</f>
        <v>2</v>
      </c>
      <c r="I34" s="356">
        <f>LICLAB!I88</f>
        <v>2.75</v>
      </c>
      <c r="J34" s="356">
        <f>LICLAB!J88</f>
        <v>2.3333333333333335</v>
      </c>
      <c r="K34" s="356">
        <f>LICLAB!K88</f>
        <v>3</v>
      </c>
      <c r="L34" s="356">
        <f>LICLAB!L88</f>
        <v>2</v>
      </c>
      <c r="M34" s="356">
        <f>LICLAB!M88</f>
        <v>2.25</v>
      </c>
      <c r="N34" s="356">
        <f>LICLAB!N88</f>
        <v>2.25</v>
      </c>
      <c r="P34" s="2399" t="s">
        <v>122</v>
      </c>
      <c r="Q34" s="356">
        <f>MWELAB!C87</f>
        <v>3</v>
      </c>
      <c r="R34" s="356">
        <f>MWELAB!D87</f>
        <v>2</v>
      </c>
      <c r="S34" s="356">
        <f>MWELAB!E87</f>
        <v>1</v>
      </c>
      <c r="T34" s="356">
        <f>MWELAB!F87</f>
        <v>2</v>
      </c>
      <c r="U34" s="356">
        <f>MWELAB!G87</f>
        <v>2</v>
      </c>
      <c r="V34" s="356"/>
      <c r="W34" s="356"/>
      <c r="X34" s="356">
        <f>MWELAB!J87</f>
        <v>2</v>
      </c>
      <c r="Y34" s="356">
        <f>MWELAB!K87</f>
        <v>3</v>
      </c>
      <c r="Z34" s="356">
        <f>MWELAB!L87</f>
        <v>3</v>
      </c>
      <c r="AA34" s="356">
        <f>MWELAB!M87</f>
        <v>2</v>
      </c>
      <c r="AB34" s="356">
        <f>MWELAB!N87</f>
        <v>3</v>
      </c>
    </row>
    <row r="35" spans="2:29" ht="35.1" customHeight="1" x14ac:dyDescent="0.25">
      <c r="B35" s="46" t="s">
        <v>356</v>
      </c>
      <c r="C35" s="38">
        <f>'ACDC-LAB'!C88</f>
        <v>3</v>
      </c>
      <c r="D35" s="356">
        <f>'ACDC-LAB'!D88</f>
        <v>2</v>
      </c>
      <c r="E35" s="356">
        <f>'ACDC-LAB'!E88</f>
        <v>1</v>
      </c>
      <c r="F35" s="356">
        <f>'ACDC-LAB'!F88</f>
        <v>2</v>
      </c>
      <c r="G35" s="356">
        <f>'ACDC-LAB'!G88</f>
        <v>1</v>
      </c>
      <c r="H35" s="356">
        <f>'ACDC-LAB'!H88</f>
        <v>2</v>
      </c>
      <c r="I35" s="356">
        <f>'ACDC-LAB'!I88</f>
        <v>2</v>
      </c>
      <c r="J35" s="356">
        <f>'ACDC-LAB'!J88</f>
        <v>3</v>
      </c>
      <c r="K35" s="356">
        <f>'ACDC-LAB'!K88</f>
        <v>3</v>
      </c>
      <c r="L35" s="356">
        <f>'ACDC-LAB'!L88</f>
        <v>2</v>
      </c>
      <c r="M35" s="356">
        <f>'ACDC-LAB'!M88</f>
        <v>2</v>
      </c>
      <c r="N35" s="356">
        <f>'ACDC-LAB'!N88</f>
        <v>2</v>
      </c>
      <c r="P35" s="2399" t="s">
        <v>355</v>
      </c>
      <c r="Q35" s="356">
        <f>'SKILL LAB'!C88</f>
        <v>3</v>
      </c>
      <c r="R35" s="356">
        <f>'SKILL LAB'!D88</f>
        <v>2.5</v>
      </c>
      <c r="S35" s="356">
        <f>'SKILL LAB'!E88</f>
        <v>2.25</v>
      </c>
      <c r="T35" s="356">
        <f>'SKILL LAB'!F88</f>
        <v>2.6666666666666665</v>
      </c>
      <c r="U35" s="356">
        <f>'SKILL LAB'!G88</f>
        <v>3</v>
      </c>
      <c r="V35" s="356"/>
      <c r="W35" s="356">
        <f>'SKILL LAB'!I88</f>
        <v>2.5</v>
      </c>
      <c r="X35" s="356"/>
      <c r="Y35" s="356">
        <f>'SKILL LAB'!K88</f>
        <v>3</v>
      </c>
      <c r="Z35" s="356">
        <f>'SKILL LAB'!L88</f>
        <v>2</v>
      </c>
      <c r="AA35" s="356">
        <f>'SKILL LAB'!M88</f>
        <v>1</v>
      </c>
      <c r="AB35" s="356">
        <f>'SKILL LAB'!N88</f>
        <v>2</v>
      </c>
    </row>
    <row r="36" spans="2:29" ht="35.1" customHeight="1" x14ac:dyDescent="0.25">
      <c r="B36" s="46" t="s">
        <v>350</v>
      </c>
      <c r="C36" s="38">
        <f>VLSI3.2!C90</f>
        <v>2.8</v>
      </c>
      <c r="D36" s="356">
        <f>VLSI3.2!D90</f>
        <v>2.75</v>
      </c>
      <c r="E36" s="356">
        <f>VLSI3.2!E90</f>
        <v>2.5</v>
      </c>
      <c r="F36" s="356">
        <f>VLSI3.2!F90</f>
        <v>1</v>
      </c>
      <c r="G36" s="356">
        <f>VLSI3.2!G90</f>
        <v>2</v>
      </c>
      <c r="H36" s="356">
        <f>VLSI3.2!H90</f>
        <v>1.5</v>
      </c>
      <c r="I36" s="356"/>
      <c r="J36" s="356"/>
      <c r="K36" s="356"/>
      <c r="L36" s="356"/>
      <c r="M36" s="356"/>
      <c r="N36" s="356">
        <f>VLSI3.2!N90</f>
        <v>2</v>
      </c>
      <c r="P36" s="2399" t="s">
        <v>401</v>
      </c>
      <c r="Q36" s="356">
        <f>INTERNSHIP!C88</f>
        <v>2</v>
      </c>
      <c r="R36" s="356">
        <f>INTERNSHIP!D88</f>
        <v>2.25</v>
      </c>
      <c r="S36" s="356">
        <f>INTERNSHIP!E88</f>
        <v>1.5</v>
      </c>
      <c r="T36" s="356">
        <f>INTERNSHIP!F88</f>
        <v>2</v>
      </c>
      <c r="U36" s="356">
        <f>INTERNSHIP!G88</f>
        <v>2.25</v>
      </c>
      <c r="V36" s="356">
        <f>INTERNSHIP!H88</f>
        <v>1.75</v>
      </c>
      <c r="W36" s="356">
        <f>INTERNSHIP!I88</f>
        <v>1</v>
      </c>
      <c r="X36" s="356">
        <f>INTERNSHIP!J88</f>
        <v>1.5</v>
      </c>
      <c r="Y36" s="356">
        <f>INTERNSHIP!K88</f>
        <v>2.25</v>
      </c>
      <c r="Z36" s="356">
        <f>INTERNSHIP!L88</f>
        <v>2.25</v>
      </c>
      <c r="AA36" s="356">
        <f>INTERNSHIP!M88</f>
        <v>1.5</v>
      </c>
      <c r="AB36" s="356">
        <f>INTERNSHIP!N88</f>
        <v>2.25</v>
      </c>
    </row>
    <row r="37" spans="2:29" ht="35.1" customHeight="1" x14ac:dyDescent="0.25">
      <c r="B37" s="46" t="s">
        <v>128</v>
      </c>
      <c r="C37" s="38">
        <f>MPMC!C90</f>
        <v>2.5</v>
      </c>
      <c r="D37" s="356">
        <f>MPMC!D90</f>
        <v>2</v>
      </c>
      <c r="E37" s="356">
        <f>MPMC!E90</f>
        <v>1.75</v>
      </c>
      <c r="F37" s="356">
        <f>MPMC!F90</f>
        <v>2.6666666666666665</v>
      </c>
      <c r="G37" s="356">
        <f>MPMC!G90</f>
        <v>3</v>
      </c>
      <c r="H37" s="356"/>
      <c r="I37" s="356">
        <f>MPMC!I90</f>
        <v>2</v>
      </c>
      <c r="J37" s="356"/>
      <c r="K37" s="356">
        <f>MPMC!K90</f>
        <v>3</v>
      </c>
      <c r="L37" s="356"/>
      <c r="M37" s="356">
        <f>MPMC!M90</f>
        <v>3</v>
      </c>
      <c r="N37" s="356">
        <f>MPMC!N90</f>
        <v>2.5</v>
      </c>
      <c r="P37" s="2399" t="s">
        <v>381</v>
      </c>
      <c r="Q37" s="356">
        <f>PROJECT4.2!C88</f>
        <v>2.75</v>
      </c>
      <c r="R37" s="356">
        <f>PROJECT4.2!D88</f>
        <v>2.75</v>
      </c>
      <c r="S37" s="356">
        <f>PROJECT4.2!E88</f>
        <v>2.5</v>
      </c>
      <c r="T37" s="356">
        <f>PROJECT4.2!F88</f>
        <v>2.5</v>
      </c>
      <c r="U37" s="356">
        <f>PROJECT4.2!G88</f>
        <v>2.5</v>
      </c>
      <c r="V37" s="356">
        <f>PROJECT4.2!H88</f>
        <v>1</v>
      </c>
      <c r="W37" s="356">
        <f>PROJECT4.2!I88</f>
        <v>1</v>
      </c>
      <c r="X37" s="356"/>
      <c r="Y37" s="356">
        <f>PROJECT4.2!K88</f>
        <v>1.75</v>
      </c>
      <c r="Z37" s="356">
        <f>PROJECT4.2!L88</f>
        <v>2.25</v>
      </c>
      <c r="AA37" s="356">
        <f>PROJECT4.2!M88</f>
        <v>2.3333333333333335</v>
      </c>
      <c r="AB37" s="356">
        <f>PROJECT4.2!N88</f>
        <v>2.25</v>
      </c>
    </row>
    <row r="38" spans="2:29" ht="35.1" customHeight="1" x14ac:dyDescent="0.25">
      <c r="B38" s="46" t="s">
        <v>126</v>
      </c>
      <c r="C38" s="38">
        <f>DSP!C90</f>
        <v>3</v>
      </c>
      <c r="D38" s="356">
        <f>DSP!D90</f>
        <v>2.75</v>
      </c>
      <c r="E38" s="356">
        <f>DSP!E90</f>
        <v>3</v>
      </c>
      <c r="F38" s="356">
        <f>DSP!F90</f>
        <v>1</v>
      </c>
      <c r="G38" s="356">
        <f>DSP!G90</f>
        <v>2.75</v>
      </c>
      <c r="H38" s="356">
        <f>DSP!H90</f>
        <v>2</v>
      </c>
      <c r="I38" s="356"/>
      <c r="J38" s="356"/>
      <c r="K38" s="356"/>
      <c r="L38" s="356"/>
      <c r="M38" s="356"/>
      <c r="N38" s="356">
        <f>DSP!N90</f>
        <v>2</v>
      </c>
      <c r="P38" s="2265" t="s">
        <v>382</v>
      </c>
      <c r="Q38" s="356">
        <f>'MOOCs-II'!C88</f>
        <v>3</v>
      </c>
      <c r="R38" s="356">
        <f>'MOOCs-II'!D88</f>
        <v>2.5</v>
      </c>
      <c r="S38" s="356">
        <f>'MOOCs-II'!E88</f>
        <v>2.25</v>
      </c>
      <c r="T38" s="356">
        <f>'MOOCs-II'!F88</f>
        <v>2.6666666666666665</v>
      </c>
      <c r="U38" s="356">
        <f>'MOOCs-II'!G88</f>
        <v>3</v>
      </c>
      <c r="V38" s="356"/>
      <c r="W38" s="356">
        <f>'MOOCs-II'!I88</f>
        <v>2.5</v>
      </c>
      <c r="X38" s="356"/>
      <c r="Y38" s="356">
        <f>'MOOCs-II'!K88</f>
        <v>3</v>
      </c>
      <c r="Z38" s="356">
        <f>'MOOCs-II'!L88</f>
        <v>2</v>
      </c>
      <c r="AA38" s="356">
        <f>'MOOCs-II'!M88</f>
        <v>1</v>
      </c>
      <c r="AB38" s="356">
        <f>'MOOCs-II'!N88</f>
        <v>2</v>
      </c>
    </row>
    <row r="39" spans="2:29" ht="35.1" customHeight="1" x14ac:dyDescent="0.25">
      <c r="B39" s="41" t="s">
        <v>129</v>
      </c>
      <c r="C39" s="38">
        <f>CMC!C63</f>
        <v>3</v>
      </c>
      <c r="D39" s="356">
        <f>CMC!D63</f>
        <v>2</v>
      </c>
      <c r="E39" s="356">
        <f>CMC!E63</f>
        <v>2</v>
      </c>
      <c r="F39" s="356">
        <f>CMC!F63</f>
        <v>2</v>
      </c>
      <c r="G39" s="356">
        <f>CMC!G63</f>
        <v>3</v>
      </c>
      <c r="H39" s="356"/>
      <c r="I39" s="356">
        <f>CMC!I63</f>
        <v>2</v>
      </c>
      <c r="J39" s="356"/>
      <c r="K39" s="356">
        <f>CMC!K63</f>
        <v>3</v>
      </c>
      <c r="L39" s="356">
        <f>CMC!L63</f>
        <v>3</v>
      </c>
      <c r="M39" s="356"/>
      <c r="N39" s="356">
        <f>CMC!N63</f>
        <v>3</v>
      </c>
      <c r="P39" s="54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 spans="2:29" s="325" customFormat="1" ht="35.1" customHeight="1" x14ac:dyDescent="0.25">
      <c r="B40" s="324" t="s">
        <v>351</v>
      </c>
      <c r="C40" s="38">
        <f>ITC!C61</f>
        <v>3</v>
      </c>
      <c r="D40" s="356">
        <f>ITC!D61</f>
        <v>1.8</v>
      </c>
      <c r="E40" s="356">
        <f>ITC!E61</f>
        <v>1.4</v>
      </c>
      <c r="F40" s="356">
        <f>ITC!F61</f>
        <v>2.2000000000000002</v>
      </c>
      <c r="G40" s="356">
        <f>ITC!G61</f>
        <v>3</v>
      </c>
      <c r="H40" s="356"/>
      <c r="I40" s="356">
        <f>ITC!I61</f>
        <v>2</v>
      </c>
      <c r="J40" s="356"/>
      <c r="K40" s="356"/>
      <c r="L40" s="356"/>
      <c r="M40" s="356"/>
      <c r="N40" s="356">
        <f>ITC!N61</f>
        <v>2</v>
      </c>
      <c r="P40" s="54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25"/>
    </row>
    <row r="41" spans="2:29" ht="35.1" customHeight="1" x14ac:dyDescent="0.25">
      <c r="B41" s="41" t="s">
        <v>352</v>
      </c>
      <c r="C41" s="38">
        <f>SC!C55</f>
        <v>3</v>
      </c>
      <c r="D41" s="356">
        <f>SC!D55</f>
        <v>3</v>
      </c>
      <c r="E41" s="356">
        <f>SC!E55</f>
        <v>1.75</v>
      </c>
      <c r="F41" s="356">
        <f>SC!F55</f>
        <v>3</v>
      </c>
      <c r="G41" s="356">
        <f>SC!G55</f>
        <v>3</v>
      </c>
      <c r="H41" s="356"/>
      <c r="I41" s="356">
        <f>SC!I55</f>
        <v>2.5</v>
      </c>
      <c r="J41" s="356">
        <f>SC!J55</f>
        <v>2</v>
      </c>
      <c r="K41" s="356">
        <f>SC!K55</f>
        <v>3</v>
      </c>
      <c r="L41" s="356">
        <f>SC!L55</f>
        <v>3</v>
      </c>
      <c r="M41" s="356">
        <f>SC!M55</f>
        <v>2</v>
      </c>
      <c r="N41" s="356">
        <f>SC!N55</f>
        <v>3</v>
      </c>
      <c r="P41" s="49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325"/>
    </row>
    <row r="42" spans="2:29" ht="35.1" customHeight="1" x14ac:dyDescent="0.25">
      <c r="B42" s="41" t="s">
        <v>218</v>
      </c>
      <c r="C42" s="38">
        <f>EMI!C60</f>
        <v>2.75</v>
      </c>
      <c r="D42" s="356">
        <f>EMI!D60</f>
        <v>2.75</v>
      </c>
      <c r="E42" s="356">
        <f>EMI!E60</f>
        <v>2.5</v>
      </c>
      <c r="F42" s="356">
        <f>EMI!F60</f>
        <v>1</v>
      </c>
      <c r="G42" s="356">
        <f>EMI!G60</f>
        <v>2</v>
      </c>
      <c r="H42" s="356">
        <f>EMI!H60</f>
        <v>1.5</v>
      </c>
      <c r="I42" s="356"/>
      <c r="J42" s="356"/>
      <c r="K42" s="356"/>
      <c r="L42" s="356"/>
      <c r="M42" s="356"/>
      <c r="N42" s="356">
        <f>EMI!N60</f>
        <v>2</v>
      </c>
      <c r="P42" s="49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 spans="2:29" ht="35.1" customHeight="1" x14ac:dyDescent="0.25">
      <c r="B43" s="41" t="s">
        <v>332</v>
      </c>
      <c r="C43" s="38">
        <f>DSPLAB!C87</f>
        <v>3</v>
      </c>
      <c r="D43" s="356">
        <f>DSPLAB!D87</f>
        <v>2.5</v>
      </c>
      <c r="E43" s="356">
        <f>DSPLAB!E87</f>
        <v>2</v>
      </c>
      <c r="F43" s="356">
        <f>DSPLAB!F87</f>
        <v>2.6666666666666665</v>
      </c>
      <c r="G43" s="356">
        <f>DSPLAB!G87</f>
        <v>3</v>
      </c>
      <c r="H43" s="356"/>
      <c r="I43" s="356">
        <f>DSPLAB!I87</f>
        <v>2</v>
      </c>
      <c r="J43" s="356">
        <f>DSPLAB!J87</f>
        <v>2</v>
      </c>
      <c r="K43" s="356">
        <f>DSPLAB!K87</f>
        <v>3</v>
      </c>
      <c r="L43" s="356">
        <f>DSPLAB!L87</f>
        <v>3</v>
      </c>
      <c r="M43" s="356">
        <f>DSPLAB!M87</f>
        <v>3</v>
      </c>
      <c r="N43" s="356">
        <f>DSPLAB!N87</f>
        <v>2.5</v>
      </c>
      <c r="P43" s="49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 spans="2:29" s="2273" customFormat="1" ht="35.1" customHeight="1" x14ac:dyDescent="0.25">
      <c r="B44" s="41" t="s">
        <v>353</v>
      </c>
      <c r="C44" s="38">
        <f>MPMCLAB!C87</f>
        <v>3</v>
      </c>
      <c r="D44" s="356">
        <f>MPMCLAB!D87</f>
        <v>2.5</v>
      </c>
      <c r="E44" s="356">
        <f>MPMCLAB!E87</f>
        <v>2.5</v>
      </c>
      <c r="F44" s="356">
        <f>MPMCLAB!F87</f>
        <v>2.5</v>
      </c>
      <c r="G44" s="356">
        <f>MPMCLAB!G87</f>
        <v>3</v>
      </c>
      <c r="H44" s="356"/>
      <c r="I44" s="356">
        <f>MPMCLAB!I87</f>
        <v>2</v>
      </c>
      <c r="J44" s="356">
        <f>MPMCLAB!J87</f>
        <v>2</v>
      </c>
      <c r="K44" s="356">
        <f>MPMCLAB!K87</f>
        <v>3</v>
      </c>
      <c r="L44" s="356">
        <f>MPMCLAB!L87</f>
        <v>3</v>
      </c>
      <c r="M44" s="356">
        <f>MPMCLAB!M87</f>
        <v>3</v>
      </c>
      <c r="N44" s="356">
        <f>MPMCLAB!N87</f>
        <v>2.75</v>
      </c>
      <c r="P44" s="49"/>
      <c r="Q44" s="2285"/>
      <c r="R44" s="2285"/>
      <c r="S44" s="2285"/>
      <c r="T44" s="2285"/>
      <c r="U44" s="2285"/>
      <c r="V44" s="2285"/>
      <c r="W44" s="2285"/>
      <c r="X44" s="2285"/>
      <c r="Y44" s="2285"/>
      <c r="Z44" s="2285"/>
      <c r="AA44" s="2285"/>
      <c r="AB44" s="2285"/>
    </row>
    <row r="45" spans="2:29" ht="35.1" customHeight="1" x14ac:dyDescent="0.25">
      <c r="P45" s="49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</row>
    <row r="46" spans="2:29" ht="35.1" customHeight="1" x14ac:dyDescent="0.25">
      <c r="F46" s="2664" t="s">
        <v>86</v>
      </c>
      <c r="G46" s="2664"/>
      <c r="H46" s="2664"/>
      <c r="I46" s="2664"/>
      <c r="J46" s="45" t="s">
        <v>46</v>
      </c>
      <c r="K46" s="45" t="s">
        <v>47</v>
      </c>
      <c r="L46" s="45" t="s">
        <v>48</v>
      </c>
      <c r="M46" s="45" t="s">
        <v>49</v>
      </c>
      <c r="N46" s="45" t="s">
        <v>50</v>
      </c>
      <c r="O46" s="45" t="s">
        <v>51</v>
      </c>
      <c r="P46" s="45" t="s">
        <v>52</v>
      </c>
      <c r="Q46" s="45" t="s">
        <v>53</v>
      </c>
      <c r="R46" s="45" t="s">
        <v>54</v>
      </c>
      <c r="S46" s="45" t="s">
        <v>55</v>
      </c>
      <c r="T46" s="45" t="s">
        <v>56</v>
      </c>
      <c r="U46" s="45" t="s">
        <v>57</v>
      </c>
    </row>
    <row r="47" spans="2:29" ht="35.1" customHeight="1" x14ac:dyDescent="0.25">
      <c r="F47" s="2651" t="s">
        <v>131</v>
      </c>
      <c r="G47" s="2651"/>
      <c r="H47" s="2651"/>
      <c r="I47" s="2651"/>
      <c r="J47" s="55">
        <f>AVERAGE(C6:C18,Q6:Q22,C27:C44,Q27:Q38)</f>
        <v>2.8002777777777776</v>
      </c>
      <c r="K47" s="55">
        <f t="shared" ref="K47:U47" si="0">AVERAGE(D6:D18,R6:R22,D27:D44,R28:R38)</f>
        <v>2.5602339181286546</v>
      </c>
      <c r="L47" s="55">
        <f t="shared" si="0"/>
        <v>2.1222222222222227</v>
      </c>
      <c r="M47" s="55">
        <f t="shared" si="0"/>
        <v>2.0559748427672959</v>
      </c>
      <c r="N47" s="55">
        <f t="shared" si="0"/>
        <v>2.2179245283018871</v>
      </c>
      <c r="O47" s="55">
        <f t="shared" si="0"/>
        <v>1.9481981981981984</v>
      </c>
      <c r="P47" s="55">
        <f t="shared" si="0"/>
        <v>2.2392857142857143</v>
      </c>
      <c r="Q47" s="55">
        <f t="shared" si="0"/>
        <v>2.246031746031746</v>
      </c>
      <c r="R47" s="55">
        <f t="shared" si="0"/>
        <v>2.8275862068965516</v>
      </c>
      <c r="S47" s="55">
        <f t="shared" si="0"/>
        <v>2.3846153846153846</v>
      </c>
      <c r="T47" s="55">
        <f t="shared" si="0"/>
        <v>2.0579710144927539</v>
      </c>
      <c r="U47" s="55">
        <f t="shared" si="0"/>
        <v>2.3330459770114942</v>
      </c>
    </row>
    <row r="48" spans="2:29" ht="35.1" customHeight="1" x14ac:dyDescent="0.25">
      <c r="B48" s="50"/>
      <c r="C48" s="50"/>
      <c r="D48" s="50"/>
      <c r="E48" s="50"/>
      <c r="F48" s="50"/>
      <c r="G48" s="50"/>
      <c r="H48" s="54"/>
      <c r="I48" s="54"/>
      <c r="J48" s="54"/>
      <c r="K48" s="54"/>
      <c r="L48" s="54"/>
      <c r="M48" s="54"/>
      <c r="N48" s="54"/>
      <c r="P48" s="345"/>
      <c r="Q48" s="345"/>
      <c r="R48" s="345"/>
      <c r="S48" s="345"/>
      <c r="T48" s="345"/>
      <c r="U48" s="345"/>
    </row>
    <row r="49" spans="2:28" ht="35.1" customHeight="1" x14ac:dyDescent="0.25">
      <c r="B49" s="2654" t="s">
        <v>91</v>
      </c>
      <c r="C49" s="2654"/>
      <c r="D49" s="2654"/>
      <c r="E49" s="2654"/>
      <c r="F49" s="2654"/>
      <c r="G49" s="2654"/>
      <c r="H49" s="2654"/>
      <c r="I49" s="2654"/>
      <c r="J49" s="2654"/>
      <c r="K49" s="2654"/>
      <c r="L49" s="2654"/>
      <c r="M49" s="2654"/>
      <c r="N49" s="2654"/>
      <c r="O49" s="2654"/>
      <c r="P49" s="2654"/>
      <c r="Q49" s="2654"/>
      <c r="R49" s="2654"/>
      <c r="S49" s="2654"/>
      <c r="T49" s="2654"/>
      <c r="U49" s="2654"/>
      <c r="V49" s="2654"/>
      <c r="W49" s="2654"/>
      <c r="X49" s="2654"/>
      <c r="Y49" s="2654"/>
      <c r="Z49" s="2654"/>
      <c r="AA49" s="2654"/>
      <c r="AB49" s="2654"/>
    </row>
    <row r="50" spans="2:28" ht="35.1" customHeight="1" x14ac:dyDescent="0.25">
      <c r="O50" s="345"/>
    </row>
    <row r="51" spans="2:28" ht="35.1" customHeight="1" x14ac:dyDescent="0.25">
      <c r="B51" s="45" t="s">
        <v>86</v>
      </c>
      <c r="C51" s="45" t="s">
        <v>46</v>
      </c>
      <c r="D51" s="45" t="s">
        <v>47</v>
      </c>
      <c r="E51" s="45" t="s">
        <v>48</v>
      </c>
      <c r="F51" s="45" t="s">
        <v>49</v>
      </c>
      <c r="G51" s="45" t="s">
        <v>50</v>
      </c>
      <c r="H51" s="45" t="s">
        <v>51</v>
      </c>
      <c r="I51" s="45" t="s">
        <v>52</v>
      </c>
      <c r="J51" s="45" t="s">
        <v>53</v>
      </c>
      <c r="K51" s="45" t="s">
        <v>54</v>
      </c>
      <c r="L51" s="45" t="s">
        <v>55</v>
      </c>
      <c r="M51" s="45" t="s">
        <v>56</v>
      </c>
      <c r="N51" s="45" t="s">
        <v>57</v>
      </c>
      <c r="P51" s="45" t="s">
        <v>86</v>
      </c>
      <c r="Q51" s="45" t="s">
        <v>46</v>
      </c>
      <c r="R51" s="45" t="s">
        <v>47</v>
      </c>
      <c r="S51" s="45" t="s">
        <v>48</v>
      </c>
      <c r="T51" s="45" t="s">
        <v>49</v>
      </c>
      <c r="U51" s="45" t="s">
        <v>50</v>
      </c>
      <c r="V51" s="45" t="s">
        <v>51</v>
      </c>
      <c r="W51" s="45" t="s">
        <v>52</v>
      </c>
      <c r="X51" s="45" t="s">
        <v>53</v>
      </c>
      <c r="Y51" s="45" t="s">
        <v>54</v>
      </c>
      <c r="Z51" s="45" t="s">
        <v>55</v>
      </c>
      <c r="AA51" s="45" t="s">
        <v>56</v>
      </c>
      <c r="AB51" s="45" t="s">
        <v>57</v>
      </c>
    </row>
    <row r="52" spans="2:28" ht="35.1" customHeight="1" x14ac:dyDescent="0.25">
      <c r="B52" s="2641" t="s">
        <v>96</v>
      </c>
      <c r="C52" s="2663"/>
      <c r="D52" s="2663"/>
      <c r="E52" s="2663"/>
      <c r="F52" s="2663"/>
      <c r="G52" s="2663"/>
      <c r="H52" s="2663"/>
      <c r="I52" s="2663"/>
      <c r="J52" s="2663"/>
      <c r="K52" s="2663"/>
      <c r="L52" s="2663"/>
      <c r="M52" s="2663"/>
      <c r="N52" s="2643"/>
      <c r="P52" s="2641" t="s">
        <v>97</v>
      </c>
      <c r="Q52" s="2642"/>
      <c r="R52" s="2642"/>
      <c r="S52" s="2642"/>
      <c r="T52" s="2642"/>
      <c r="U52" s="2642"/>
      <c r="V52" s="2642"/>
      <c r="W52" s="2642"/>
      <c r="X52" s="2642"/>
      <c r="Y52" s="2642"/>
      <c r="Z52" s="2642"/>
      <c r="AA52" s="2642"/>
      <c r="AB52" s="2643"/>
    </row>
    <row r="53" spans="2:28" ht="35.1" customHeight="1" x14ac:dyDescent="0.25">
      <c r="B53" s="46" t="s">
        <v>103</v>
      </c>
      <c r="C53" s="47">
        <f>'M-I'!C93</f>
        <v>2.9999999999999996</v>
      </c>
      <c r="D53" s="47">
        <f>'M-I'!D93</f>
        <v>2.9999999999999996</v>
      </c>
      <c r="E53" s="47"/>
      <c r="F53" s="47"/>
      <c r="G53" s="47"/>
      <c r="H53" s="47"/>
      <c r="I53" s="47"/>
      <c r="J53" s="47"/>
      <c r="K53" s="47"/>
      <c r="L53" s="47"/>
      <c r="M53" s="47"/>
      <c r="N53" s="47">
        <f>'M-I'!N93</f>
        <v>2.9999999999999996</v>
      </c>
      <c r="P53" s="2484" t="s">
        <v>402</v>
      </c>
      <c r="Q53" s="356">
        <f>'M-IV'!C99</f>
        <v>2.9999999999999996</v>
      </c>
      <c r="R53" s="356">
        <f>'M-IV'!D99</f>
        <v>2.9999999999999996</v>
      </c>
      <c r="S53" s="356">
        <f>'M-IV'!E99</f>
        <v>1.7499999999999998</v>
      </c>
      <c r="T53" s="356">
        <f>'M-IV'!F99</f>
        <v>2.2499999999999996</v>
      </c>
      <c r="U53" s="356">
        <f>'M-IV'!G99</f>
        <v>0.99999999999999989</v>
      </c>
      <c r="V53" s="356"/>
      <c r="W53" s="356"/>
      <c r="X53" s="356"/>
      <c r="Y53" s="356"/>
      <c r="Z53" s="356"/>
      <c r="AA53" s="356"/>
      <c r="AB53" s="356">
        <f>'M-IV'!N99</f>
        <v>1.9999999999999998</v>
      </c>
    </row>
    <row r="54" spans="2:28" ht="35.1" customHeight="1" x14ac:dyDescent="0.25">
      <c r="B54" s="46" t="s">
        <v>104</v>
      </c>
      <c r="C54" s="47">
        <f>'M-II'!D94</f>
        <v>2.9999999999999996</v>
      </c>
      <c r="D54" s="47">
        <f>'M-II'!E94</f>
        <v>2.9999999999999996</v>
      </c>
      <c r="E54" s="47">
        <f>'M-II'!F94</f>
        <v>1.7999999999999996</v>
      </c>
      <c r="F54" s="47">
        <f>'M-II'!G94</f>
        <v>2.1999999999999997</v>
      </c>
      <c r="G54" s="47">
        <f>'M-II'!H94</f>
        <v>0.99999999999999978</v>
      </c>
      <c r="H54" s="47"/>
      <c r="I54" s="47"/>
      <c r="J54" s="47"/>
      <c r="K54" s="47"/>
      <c r="L54" s="47"/>
      <c r="M54" s="47"/>
      <c r="N54" s="47">
        <f>'M-II'!O94</f>
        <v>1.9999999999999996</v>
      </c>
      <c r="P54" s="46" t="s">
        <v>114</v>
      </c>
      <c r="Q54" s="38">
        <f>NT!C99</f>
        <v>2.2249999999999996</v>
      </c>
      <c r="R54" s="356">
        <f>NT!D99</f>
        <v>2.2249999999999996</v>
      </c>
      <c r="S54" s="356">
        <f>NT!E99</f>
        <v>2.0749999999999997</v>
      </c>
      <c r="T54" s="356">
        <f>NT!F99</f>
        <v>0.82499999999999984</v>
      </c>
      <c r="U54" s="356">
        <f>NT!G99</f>
        <v>1.5749999999999997</v>
      </c>
      <c r="V54" s="356">
        <f>NT!H99</f>
        <v>1.0999999999999996</v>
      </c>
      <c r="W54" s="356"/>
      <c r="X54" s="356"/>
      <c r="Y54" s="356"/>
      <c r="Z54" s="356"/>
      <c r="AA54" s="356"/>
      <c r="AB54" s="356">
        <f>NT!N99</f>
        <v>1.6499999999999997</v>
      </c>
    </row>
    <row r="55" spans="2:28" ht="35.1" customHeight="1" x14ac:dyDescent="0.25">
      <c r="B55" s="46" t="s">
        <v>106</v>
      </c>
      <c r="C55" s="47">
        <f>'PHY '!C91</f>
        <v>2.9999999999999996</v>
      </c>
      <c r="D55" s="47">
        <f>'PHY '!D91</f>
        <v>2.9999999999999996</v>
      </c>
      <c r="E55" s="47">
        <f>'PHY '!E91</f>
        <v>2.9999999999999996</v>
      </c>
      <c r="F55" s="47">
        <f>'PHY '!F91</f>
        <v>2.3999999999999995</v>
      </c>
      <c r="G55" s="47">
        <f>'PHY '!G91</f>
        <v>1.7999999999999996</v>
      </c>
      <c r="H55" s="47">
        <f>'PHY '!H91</f>
        <v>2.9999999999999996</v>
      </c>
      <c r="I55" s="47">
        <f>'PHY '!I91</f>
        <v>1.9999999999999996</v>
      </c>
      <c r="J55" s="47">
        <f>'PHY '!J91</f>
        <v>1.9999999999999996</v>
      </c>
      <c r="K55" s="47">
        <f>'PHY '!K91</f>
        <v>1.9999999999999998</v>
      </c>
      <c r="L55" s="47">
        <f>'PHY '!L91</f>
        <v>2.5999999999999996</v>
      </c>
      <c r="M55" s="47">
        <f>'PHY '!M91</f>
        <v>1.9999999999999996</v>
      </c>
      <c r="N55" s="47">
        <f>'PHY '!N91</f>
        <v>2.9999999999999996</v>
      </c>
      <c r="P55" s="948" t="s">
        <v>115</v>
      </c>
      <c r="Q55" s="38">
        <f>EM!C97</f>
        <v>2.1999999999999997</v>
      </c>
      <c r="R55" s="356">
        <f>EM!D97</f>
        <v>2.1999999999999997</v>
      </c>
      <c r="S55" s="356">
        <f>EM!E97</f>
        <v>1.9749999999999996</v>
      </c>
      <c r="T55" s="356">
        <f>EM!F97</f>
        <v>0.79999999999999982</v>
      </c>
      <c r="U55" s="356">
        <f>EM!G97</f>
        <v>1.5749999999999997</v>
      </c>
      <c r="V55" s="356">
        <f>EM!H97</f>
        <v>1.1499999999999999</v>
      </c>
      <c r="W55" s="356"/>
      <c r="X55" s="356"/>
      <c r="Y55" s="356"/>
      <c r="Z55" s="356"/>
      <c r="AA55" s="356"/>
      <c r="AB55" s="356">
        <f>EM!N97</f>
        <v>1.5999999999999996</v>
      </c>
    </row>
    <row r="56" spans="2:28" ht="35.1" customHeight="1" x14ac:dyDescent="0.25">
      <c r="B56" s="46" t="s">
        <v>138</v>
      </c>
      <c r="C56" s="47">
        <f>EG!B91</f>
        <v>2.3249999999999997</v>
      </c>
      <c r="D56" s="47"/>
      <c r="E56" s="47">
        <f>EG!D91</f>
        <v>1.7999999999999998</v>
      </c>
      <c r="F56" s="47"/>
      <c r="G56" s="47">
        <f>EG!F91</f>
        <v>1.8499999999999999</v>
      </c>
      <c r="H56" s="47">
        <f>EG!G91</f>
        <v>1.8499999999999999</v>
      </c>
      <c r="I56" s="47"/>
      <c r="J56" s="47"/>
      <c r="K56" s="47"/>
      <c r="L56" s="47">
        <f>EG!K91</f>
        <v>2.0999999999999996</v>
      </c>
      <c r="M56" s="47"/>
      <c r="N56" s="47">
        <f>EG!M91</f>
        <v>2.0999999999999996</v>
      </c>
      <c r="P56" s="948" t="s">
        <v>116</v>
      </c>
      <c r="Q56" s="38">
        <f>EDC!C96</f>
        <v>2</v>
      </c>
      <c r="R56" s="356">
        <f>EDC!D96</f>
        <v>2</v>
      </c>
      <c r="S56" s="356">
        <f>EDC!E96</f>
        <v>1.6416666666666666</v>
      </c>
      <c r="T56" s="356">
        <f>EDC!F96</f>
        <v>0.97499999999999987</v>
      </c>
      <c r="U56" s="356">
        <f>EDC!G96</f>
        <v>1.1916666666666664</v>
      </c>
      <c r="V56" s="356">
        <f>EDC!H96</f>
        <v>0.66666666666666663</v>
      </c>
      <c r="W56" s="356"/>
      <c r="X56" s="356">
        <f>EDC!J96</f>
        <v>0.99999999999999989</v>
      </c>
      <c r="Y56" s="356"/>
      <c r="Z56" s="356"/>
      <c r="AA56" s="356"/>
      <c r="AB56" s="356">
        <f>EDC!N96</f>
        <v>1.3333333333333333</v>
      </c>
    </row>
    <row r="57" spans="2:28" ht="35.1" customHeight="1" x14ac:dyDescent="0.25">
      <c r="B57" s="41" t="s">
        <v>359</v>
      </c>
      <c r="C57" s="47">
        <f>PHYLAB!D80</f>
        <v>3</v>
      </c>
      <c r="D57" s="47">
        <f>PHYLAB!E80</f>
        <v>3</v>
      </c>
      <c r="E57" s="47">
        <f>PHYLAB!F80</f>
        <v>1</v>
      </c>
      <c r="F57" s="47">
        <f>PHYLAB!G80</f>
        <v>3</v>
      </c>
      <c r="G57" s="47">
        <f>PHYLAB!H80</f>
        <v>1</v>
      </c>
      <c r="H57" s="47">
        <f>PHYLAB!I80</f>
        <v>3</v>
      </c>
      <c r="I57" s="47">
        <f>PHYLAB!J80</f>
        <v>2</v>
      </c>
      <c r="J57" s="47">
        <f>PHYLAB!K80</f>
        <v>3</v>
      </c>
      <c r="K57" s="47">
        <f>PHYLAB!L80</f>
        <v>3</v>
      </c>
      <c r="L57" s="47">
        <f>PHYLAB!M80</f>
        <v>3</v>
      </c>
      <c r="M57" s="47">
        <f>PHYLAB!N80</f>
        <v>2</v>
      </c>
      <c r="N57" s="47">
        <f>PHYLAB!O80</f>
        <v>3</v>
      </c>
      <c r="P57" s="948" t="s">
        <v>112</v>
      </c>
      <c r="Q57" s="38">
        <f>SS!C98</f>
        <v>2.3999999999999995</v>
      </c>
      <c r="R57" s="356">
        <f>SS!D98</f>
        <v>1.5999999999999996</v>
      </c>
      <c r="S57" s="356">
        <f>SS!E98</f>
        <v>1.5999999999999996</v>
      </c>
      <c r="T57" s="356">
        <f>SS!F98</f>
        <v>1.5999999999999996</v>
      </c>
      <c r="U57" s="356">
        <f>SS!G98</f>
        <v>2.3999999999999995</v>
      </c>
      <c r="V57" s="356" t="str">
        <f>SS!H98</f>
        <v xml:space="preserve"> </v>
      </c>
      <c r="W57" s="356" t="str">
        <f>SS!I98</f>
        <v xml:space="preserve"> </v>
      </c>
      <c r="X57" s="356" t="str">
        <f>SS!J98</f>
        <v xml:space="preserve"> </v>
      </c>
      <c r="Y57" s="356">
        <f>SS!K98</f>
        <v>2.0999999999999996</v>
      </c>
      <c r="Z57" s="356">
        <f>SS!L98</f>
        <v>1.5999999999999996</v>
      </c>
      <c r="AA57" s="356" t="str">
        <f>SS!M98</f>
        <v xml:space="preserve"> </v>
      </c>
      <c r="AB57" s="356">
        <f>SS!N98</f>
        <v>1.5999999999999996</v>
      </c>
    </row>
    <row r="58" spans="2:28" ht="35.1" customHeight="1" x14ac:dyDescent="0.25">
      <c r="B58" s="46" t="s">
        <v>360</v>
      </c>
      <c r="C58" s="47">
        <f>WSLAB!D79</f>
        <v>1</v>
      </c>
      <c r="D58" s="47"/>
      <c r="E58" s="47"/>
      <c r="F58" s="47"/>
      <c r="G58" s="47"/>
      <c r="H58" s="47">
        <f>WSLAB!I79</f>
        <v>2</v>
      </c>
      <c r="I58" s="47"/>
      <c r="J58" s="47"/>
      <c r="K58" s="47">
        <f>WSLAB!L79</f>
        <v>3</v>
      </c>
      <c r="L58" s="47">
        <f>WSLAB!M79</f>
        <v>2</v>
      </c>
      <c r="M58" s="47">
        <f>WSLAB!N79</f>
        <v>3</v>
      </c>
      <c r="N58" s="47">
        <f>WSLAB!O79</f>
        <v>3</v>
      </c>
      <c r="P58" s="948" t="s">
        <v>118</v>
      </c>
      <c r="Q58" s="38">
        <f>DS!C99</f>
        <v>2.6999999999999993</v>
      </c>
      <c r="R58" s="356">
        <f>DS!D99</f>
        <v>1.7999999999999998</v>
      </c>
      <c r="S58" s="356">
        <f>DS!E99</f>
        <v>1.7999999999999998</v>
      </c>
      <c r="T58" s="356"/>
      <c r="U58" s="356"/>
      <c r="V58" s="356">
        <f>DS!H99</f>
        <v>0.89999999999999991</v>
      </c>
      <c r="W58" s="356"/>
      <c r="X58" s="356"/>
      <c r="Y58" s="356"/>
      <c r="Z58" s="356"/>
      <c r="AA58" s="356"/>
      <c r="AB58" s="356">
        <f>DS!N99</f>
        <v>1.7999999999999998</v>
      </c>
    </row>
    <row r="59" spans="2:28" ht="35.1" customHeight="1" x14ac:dyDescent="0.25">
      <c r="B59" s="46" t="s">
        <v>107</v>
      </c>
      <c r="C59" s="47">
        <f>'M-III1.2'!F93</f>
        <v>2.9999999999999996</v>
      </c>
      <c r="D59" s="47">
        <f>'M-III1.2'!G93</f>
        <v>2.7499999999999996</v>
      </c>
      <c r="E59" s="47">
        <f>'M-III1.2'!H93</f>
        <v>1.4999999999999998</v>
      </c>
      <c r="F59" s="47">
        <f>'M-III1.2'!I93</f>
        <v>1.9999999999999996</v>
      </c>
      <c r="G59" s="47"/>
      <c r="H59" s="47"/>
      <c r="I59" s="47"/>
      <c r="J59" s="47"/>
      <c r="K59" s="47"/>
      <c r="L59" s="47"/>
      <c r="M59" s="47"/>
      <c r="N59" s="47">
        <f>'M-III1.2'!Q93</f>
        <v>1.9999999999999998</v>
      </c>
      <c r="P59" s="948" t="s">
        <v>358</v>
      </c>
      <c r="Q59" s="38">
        <f>NTMLAB!C98</f>
        <v>3</v>
      </c>
      <c r="R59" s="356">
        <f>NTMLAB!D98</f>
        <v>3</v>
      </c>
      <c r="S59" s="356">
        <f>NTMLAB!E98</f>
        <v>3</v>
      </c>
      <c r="T59" s="356">
        <f>NTMLAB!F98</f>
        <v>2</v>
      </c>
      <c r="U59" s="356">
        <f>NTMLAB!G98</f>
        <v>1</v>
      </c>
      <c r="V59" s="356"/>
      <c r="W59" s="356">
        <f>NTMLAB!I98</f>
        <v>2</v>
      </c>
      <c r="X59" s="356">
        <f>NTMLAB!J98</f>
        <v>2</v>
      </c>
      <c r="Y59" s="356">
        <f>NTMLAB!K98</f>
        <v>3</v>
      </c>
      <c r="Z59" s="356">
        <f>NTMLAB!L98</f>
        <v>3</v>
      </c>
      <c r="AA59" s="356">
        <f>NTMLAB!M98</f>
        <v>1</v>
      </c>
      <c r="AB59" s="356">
        <f>NTMLAB!N98</f>
        <v>3</v>
      </c>
    </row>
    <row r="60" spans="2:28" ht="35.1" customHeight="1" x14ac:dyDescent="0.25">
      <c r="B60" s="46" t="s">
        <v>102</v>
      </c>
      <c r="C60" s="38">
        <f>BEE!D94</f>
        <v>2.6999999999999993</v>
      </c>
      <c r="D60" s="356">
        <f>BEE!E94</f>
        <v>1.46</v>
      </c>
      <c r="E60" s="356">
        <f>BEE!F94</f>
        <v>1.9749999999999996</v>
      </c>
      <c r="F60" s="356">
        <f>BEE!G94</f>
        <v>1.8</v>
      </c>
      <c r="G60" s="356">
        <f>BEE!H94</f>
        <v>2.625</v>
      </c>
      <c r="H60" s="356"/>
      <c r="I60" s="356"/>
      <c r="J60" s="356"/>
      <c r="K60" s="356"/>
      <c r="L60" s="356"/>
      <c r="M60" s="356"/>
      <c r="N60" s="356">
        <f>BEE!O94</f>
        <v>2.1599999999999997</v>
      </c>
      <c r="P60" s="948" t="s">
        <v>344</v>
      </c>
      <c r="Q60" s="38">
        <f>EDCLAB!C98</f>
        <v>3</v>
      </c>
      <c r="R60" s="356">
        <f>EDCLAB!D98</f>
        <v>2</v>
      </c>
      <c r="S60" s="356">
        <f>EDCLAB!E98</f>
        <v>3</v>
      </c>
      <c r="T60" s="356">
        <f>EDCLAB!F98</f>
        <v>3</v>
      </c>
      <c r="U60" s="356">
        <f>EDCLAB!G98</f>
        <v>3</v>
      </c>
      <c r="V60" s="356">
        <f>EDCLAB!H98</f>
        <v>2</v>
      </c>
      <c r="W60" s="356">
        <f>EDCLAB!I98</f>
        <v>2.75</v>
      </c>
      <c r="X60" s="356"/>
      <c r="Y60" s="356"/>
      <c r="Z60" s="356"/>
      <c r="AA60" s="356"/>
      <c r="AB60" s="356">
        <f>EDCLAB!N98</f>
        <v>2.75</v>
      </c>
    </row>
    <row r="61" spans="2:28" ht="35.1" customHeight="1" x14ac:dyDescent="0.25">
      <c r="B61" s="46" t="s">
        <v>105</v>
      </c>
      <c r="C61" s="47">
        <f>CHE!D97</f>
        <v>2.6666666666666665</v>
      </c>
      <c r="D61" s="47">
        <f>CHE!E97</f>
        <v>2.1666666666666665</v>
      </c>
      <c r="E61" s="47">
        <f>CHE!F97</f>
        <v>1.1666666666666665</v>
      </c>
      <c r="F61" s="47">
        <f>CHE!G97</f>
        <v>1.833333333333333</v>
      </c>
      <c r="G61" s="47">
        <f>CHE!H97</f>
        <v>0.99999999999999989</v>
      </c>
      <c r="H61" s="47">
        <f>CHE!I97</f>
        <v>1.833333333333333</v>
      </c>
      <c r="I61" s="47">
        <f>CHE!J97</f>
        <v>1.9999999999999998</v>
      </c>
      <c r="J61" s="47">
        <f>CHE!K97</f>
        <v>1.4999999999999998</v>
      </c>
      <c r="K61" s="47"/>
      <c r="L61" s="47"/>
      <c r="M61" s="47"/>
      <c r="N61" s="47">
        <f>CHE!O97</f>
        <v>2.1666666666666665</v>
      </c>
      <c r="P61" s="2484" t="s">
        <v>410</v>
      </c>
      <c r="Q61" s="356">
        <f>'M-V'!C99</f>
        <v>2.9999999999999996</v>
      </c>
      <c r="R61" s="356">
        <f>'M-V'!D99</f>
        <v>2.9999999999999996</v>
      </c>
      <c r="S61" s="356">
        <f>'M-V'!E99</f>
        <v>1.7499999999999998</v>
      </c>
      <c r="T61" s="356">
        <f>'M-V'!F99</f>
        <v>2.4999999999999996</v>
      </c>
      <c r="U61" s="356">
        <f>'M-V'!G99</f>
        <v>1.2499999999999998</v>
      </c>
      <c r="V61" s="356"/>
      <c r="W61" s="356"/>
      <c r="X61" s="356"/>
      <c r="Y61" s="356"/>
      <c r="Z61" s="356"/>
      <c r="AA61" s="356"/>
      <c r="AB61" s="356">
        <f>'M-V'!N99</f>
        <v>1.9999999999999998</v>
      </c>
    </row>
    <row r="62" spans="2:28" ht="35.1" customHeight="1" x14ac:dyDescent="0.25">
      <c r="B62" s="46" t="s">
        <v>101</v>
      </c>
      <c r="C62" s="47">
        <f>CPNM!D91</f>
        <v>2.6999999999999997</v>
      </c>
      <c r="D62" s="47">
        <f>CPNM!E91</f>
        <v>2.4999999999999996</v>
      </c>
      <c r="E62" s="47">
        <f>CPNM!F91</f>
        <v>1.8499999999999996</v>
      </c>
      <c r="F62" s="47">
        <f>CPNM!G91</f>
        <v>1.8249999999999997</v>
      </c>
      <c r="G62" s="47">
        <f>CPNM!H91</f>
        <v>2.2499999999999996</v>
      </c>
      <c r="H62" s="47"/>
      <c r="I62" s="47"/>
      <c r="J62" s="47"/>
      <c r="K62" s="47">
        <f>CPNM!L91</f>
        <v>0.94999999999999984</v>
      </c>
      <c r="L62" s="47">
        <f>CPNM!M91</f>
        <v>0.94999999999999984</v>
      </c>
      <c r="M62" s="47">
        <f>CPNM!N91</f>
        <v>0.99999999999999978</v>
      </c>
      <c r="N62" s="47">
        <f>CPNM!O91</f>
        <v>1.7999999999999998</v>
      </c>
      <c r="P62" s="948" t="s">
        <v>108</v>
      </c>
      <c r="Q62" s="38">
        <f>EMFTL!C98</f>
        <v>2.2499999999999996</v>
      </c>
      <c r="R62" s="356">
        <f>EMFTL!D98</f>
        <v>2.1249999999999996</v>
      </c>
      <c r="S62" s="356">
        <f>EMFTL!E98</f>
        <v>0.74999999999999978</v>
      </c>
      <c r="T62" s="356">
        <f>EMFTL!F98</f>
        <v>1.3749999999999998</v>
      </c>
      <c r="U62" s="356"/>
      <c r="V62" s="356">
        <f>EMFTL!H98</f>
        <v>0.74999999999999978</v>
      </c>
      <c r="W62" s="356"/>
      <c r="X62" s="356"/>
      <c r="Y62" s="356"/>
      <c r="Z62" s="356"/>
      <c r="AA62" s="356"/>
      <c r="AB62" s="356">
        <f>EMFTL!N98</f>
        <v>1.7499999999999998</v>
      </c>
    </row>
    <row r="63" spans="2:28" ht="35.1" customHeight="1" x14ac:dyDescent="0.25">
      <c r="B63" s="46" t="s">
        <v>140</v>
      </c>
      <c r="C63" s="47">
        <f>ENGLISH1.1!C89</f>
        <v>2.9999999999999996</v>
      </c>
      <c r="D63" s="47">
        <f>ENGLISH1.1!D89</f>
        <v>1.9999999999999996</v>
      </c>
      <c r="E63" s="47">
        <f>ENGLISH1.1!E89</f>
        <v>2.9999999999999996</v>
      </c>
      <c r="F63" s="47">
        <f>ENGLISH1.1!F89</f>
        <v>1.4</v>
      </c>
      <c r="G63" s="47">
        <f>ENGLISH1.1!G89</f>
        <v>0.99999999999999989</v>
      </c>
      <c r="H63" s="47">
        <f>ENGLISH1.1!H89</f>
        <v>2.9999999999999996</v>
      </c>
      <c r="I63" s="47">
        <f>ENGLISH1.1!I89</f>
        <v>2.9999999999999996</v>
      </c>
      <c r="J63" s="47">
        <f>ENGLISH1.1!J89</f>
        <v>2.9999999999999996</v>
      </c>
      <c r="K63" s="47">
        <f>ENGLISH1.1!K89</f>
        <v>2.9999999999999996</v>
      </c>
      <c r="L63" s="47">
        <f>ENGLISH1.1!L89</f>
        <v>2.5999999999999996</v>
      </c>
      <c r="M63" s="47">
        <f>ENGLISH1.1!M89</f>
        <v>2.9999999999999996</v>
      </c>
      <c r="N63" s="47">
        <f>ENGLISH1.1!N89</f>
        <v>2.9999999999999996</v>
      </c>
      <c r="P63" s="46" t="s">
        <v>109</v>
      </c>
      <c r="Q63" s="38">
        <f>AEC!C101</f>
        <v>2.3249999999999993</v>
      </c>
      <c r="R63" s="356">
        <f>AEC!D101</f>
        <v>2.3249999999999993</v>
      </c>
      <c r="S63" s="356">
        <f>AEC!E101</f>
        <v>1.5499999999999996</v>
      </c>
      <c r="T63" s="356"/>
      <c r="U63" s="356">
        <f>AEC!G101</f>
        <v>2.3249999999999993</v>
      </c>
      <c r="V63" s="356">
        <f>AEC!H101</f>
        <v>1.5499999999999996</v>
      </c>
      <c r="W63" s="356">
        <f>AEC!I101</f>
        <v>1.5499999999999996</v>
      </c>
      <c r="X63" s="356">
        <f>AEC!J101</f>
        <v>1.5499999999999996</v>
      </c>
      <c r="Y63" s="356">
        <f>AEC!K101</f>
        <v>2.3249999999999993</v>
      </c>
      <c r="Z63" s="356">
        <f>AEC!L101</f>
        <v>1.5499999999999996</v>
      </c>
      <c r="AA63" s="356"/>
      <c r="AB63" s="356">
        <f>AEC!N101</f>
        <v>2.3249999999999993</v>
      </c>
    </row>
    <row r="64" spans="2:28" ht="35.1" customHeight="1" x14ac:dyDescent="0.25">
      <c r="B64" s="46" t="s">
        <v>362</v>
      </c>
      <c r="C64" s="38">
        <f>CHELAB!D80</f>
        <v>3</v>
      </c>
      <c r="D64" s="356">
        <f>CHELAB!E80</f>
        <v>3</v>
      </c>
      <c r="E64" s="356">
        <f>CHELAB!F80</f>
        <v>1</v>
      </c>
      <c r="F64" s="356">
        <f>CHELAB!G80</f>
        <v>3</v>
      </c>
      <c r="G64" s="356">
        <f>CHELAB!H80</f>
        <v>1</v>
      </c>
      <c r="H64" s="356">
        <f>CHELAB!I80</f>
        <v>3</v>
      </c>
      <c r="I64" s="356">
        <f>CHELAB!J80</f>
        <v>3</v>
      </c>
      <c r="J64" s="356">
        <f>CHELAB!K80</f>
        <v>3</v>
      </c>
      <c r="K64" s="356">
        <f>CHELAB!L80</f>
        <v>3</v>
      </c>
      <c r="L64" s="356">
        <f>CHELAB!M80</f>
        <v>3</v>
      </c>
      <c r="M64" s="356">
        <f>CHELAB!N80</f>
        <v>2</v>
      </c>
      <c r="N64" s="356">
        <f>CHELAB!O80</f>
        <v>3</v>
      </c>
      <c r="P64" s="46" t="s">
        <v>117</v>
      </c>
      <c r="Q64" s="38">
        <f>STLD!C99</f>
        <v>2.6249999999999996</v>
      </c>
      <c r="R64" s="356">
        <f>STLD!D99</f>
        <v>2.1666666666666665</v>
      </c>
      <c r="S64" s="356">
        <f>STLD!E99</f>
        <v>1.833333333333333</v>
      </c>
      <c r="T64" s="356">
        <f>STLD!F99</f>
        <v>2.1666666666666665</v>
      </c>
      <c r="U64" s="356">
        <f>STLD!G99</f>
        <v>1.833333333333333</v>
      </c>
      <c r="V64" s="356"/>
      <c r="W64" s="356">
        <f>STLD!I99</f>
        <v>2.2499999999999996</v>
      </c>
      <c r="X64" s="356"/>
      <c r="Y64" s="356">
        <f>STLD!K99</f>
        <v>2.4999999999999996</v>
      </c>
      <c r="Z64" s="356"/>
      <c r="AA64" s="356"/>
      <c r="AB64" s="356">
        <f>STLD!N99</f>
        <v>1.6666666666666663</v>
      </c>
    </row>
    <row r="65" spans="2:30" ht="35.1" customHeight="1" x14ac:dyDescent="0.25">
      <c r="B65" s="46" t="s">
        <v>361</v>
      </c>
      <c r="C65" s="38">
        <f>CPNMLAB!I21</f>
        <v>3</v>
      </c>
      <c r="D65" s="356">
        <f>CPNMLAB!J21</f>
        <v>3</v>
      </c>
      <c r="E65" s="356">
        <f>CPNMLAB!K21</f>
        <v>3</v>
      </c>
      <c r="F65" s="356">
        <f>CPNMLAB!L21</f>
        <v>3</v>
      </c>
      <c r="G65" s="356">
        <f>CPNMLAB!M21</f>
        <v>2</v>
      </c>
      <c r="H65" s="356">
        <f>CPNMLAB!N21</f>
        <v>2</v>
      </c>
      <c r="I65" s="356"/>
      <c r="J65" s="356">
        <f>CPNMLAB!P21</f>
        <v>2</v>
      </c>
      <c r="K65" s="356"/>
      <c r="L65" s="356"/>
      <c r="M65" s="356">
        <f>CPNMLAB!S21</f>
        <v>2</v>
      </c>
      <c r="N65" s="356">
        <f>CPNMLAB!T21</f>
        <v>2</v>
      </c>
      <c r="P65" s="46" t="s">
        <v>111</v>
      </c>
      <c r="Q65" s="38">
        <f>PTRP!C99</f>
        <v>2.625</v>
      </c>
      <c r="R65" s="356">
        <f>PTRP!D99</f>
        <v>2.625</v>
      </c>
      <c r="S65" s="356">
        <f>PTRP!E99</f>
        <v>2.3499999999999996</v>
      </c>
      <c r="T65" s="356">
        <f>PTRP!F99</f>
        <v>0.94999999999999984</v>
      </c>
      <c r="U65" s="356">
        <f>PTRP!G99</f>
        <v>1.9</v>
      </c>
      <c r="V65" s="356">
        <f>PTRP!H99</f>
        <v>1.4</v>
      </c>
      <c r="W65" s="356"/>
      <c r="X65" s="356"/>
      <c r="Y65" s="356"/>
      <c r="Z65" s="356"/>
      <c r="AA65" s="356"/>
      <c r="AB65" s="356">
        <f>PTRP!N99</f>
        <v>1.8999999999999997</v>
      </c>
    </row>
    <row r="66" spans="2:30" ht="35.1" customHeight="1" x14ac:dyDescent="0.25">
      <c r="O66" s="43"/>
      <c r="P66" s="46" t="s">
        <v>113</v>
      </c>
      <c r="Q66" s="38">
        <f>ES!C102</f>
        <v>2.2999999999999998</v>
      </c>
      <c r="R66" s="356">
        <f>ES!D102</f>
        <v>2.2999999999999998</v>
      </c>
      <c r="S66" s="356">
        <f>ES!E102</f>
        <v>2.1999999999999997</v>
      </c>
      <c r="T66" s="356">
        <f>ES!F102</f>
        <v>0.86</v>
      </c>
      <c r="U66" s="356">
        <f>ES!G102</f>
        <v>1.9199999999999995</v>
      </c>
      <c r="V66" s="356">
        <f>ES!H102</f>
        <v>1.4499999999999997</v>
      </c>
      <c r="W66" s="356"/>
      <c r="X66" s="356"/>
      <c r="Y66" s="356"/>
      <c r="Z66" s="356"/>
      <c r="AA66" s="356"/>
      <c r="AB66" s="356">
        <f>ES!N102</f>
        <v>1.5799999999999998</v>
      </c>
      <c r="AD66" s="43"/>
    </row>
    <row r="67" spans="2:30" ht="35.1" customHeight="1" x14ac:dyDescent="0.25">
      <c r="O67" s="43"/>
      <c r="P67" s="972" t="s">
        <v>348</v>
      </c>
      <c r="Q67" s="76">
        <f>UHV!C102</f>
        <v>2.36</v>
      </c>
      <c r="R67" s="349">
        <f>UHV!D102</f>
        <v>2.36</v>
      </c>
      <c r="S67" s="349">
        <f>UHV!E102</f>
        <v>2.2399999999999993</v>
      </c>
      <c r="T67" s="349">
        <f>UHV!F102</f>
        <v>0.87999999999999989</v>
      </c>
      <c r="U67" s="349">
        <f>UHV!G102</f>
        <v>1.9599999999999997</v>
      </c>
      <c r="V67" s="349">
        <f>UHV!H102</f>
        <v>1.4999999999999998</v>
      </c>
      <c r="W67" s="349"/>
      <c r="X67" s="349"/>
      <c r="Y67" s="349"/>
      <c r="Z67" s="349"/>
      <c r="AA67" s="349"/>
      <c r="AB67" s="349">
        <f>UHV!N102</f>
        <v>1.6199999999999997</v>
      </c>
      <c r="AC67" s="43"/>
      <c r="AD67" s="43"/>
    </row>
    <row r="68" spans="2:30" s="2482" customFormat="1" ht="35.1" customHeight="1" x14ac:dyDescent="0.25">
      <c r="O68" s="2490"/>
      <c r="P68" s="46" t="s">
        <v>317</v>
      </c>
      <c r="Q68" s="76">
        <f>DICLAB!C98</f>
        <v>3</v>
      </c>
      <c r="R68" s="349">
        <f>DICLAB!D98</f>
        <v>2</v>
      </c>
      <c r="S68" s="349">
        <f>DICLAB!E98</f>
        <v>3</v>
      </c>
      <c r="T68" s="349">
        <f>DICLAB!F98</f>
        <v>3</v>
      </c>
      <c r="U68" s="349">
        <f>DICLAB!G98</f>
        <v>3</v>
      </c>
      <c r="V68" s="349">
        <f>DICLAB!H98</f>
        <v>3</v>
      </c>
      <c r="W68" s="349">
        <f>DICLAB!I98</f>
        <v>2.75</v>
      </c>
      <c r="X68" s="349"/>
      <c r="Y68" s="349"/>
      <c r="Z68" s="349"/>
      <c r="AA68" s="349"/>
      <c r="AB68" s="349">
        <f>DICLAB!N98</f>
        <v>2.75</v>
      </c>
      <c r="AC68" s="2490"/>
      <c r="AD68" s="2490"/>
    </row>
    <row r="69" spans="2:30" s="2482" customFormat="1" ht="35.1" customHeight="1" x14ac:dyDescent="0.25">
      <c r="O69" s="2490"/>
      <c r="P69" s="46" t="s">
        <v>347</v>
      </c>
      <c r="Q69" s="981">
        <f>AECLAB!C98</f>
        <v>3</v>
      </c>
      <c r="R69" s="981">
        <f>AECLAB!D98</f>
        <v>2</v>
      </c>
      <c r="S69" s="981">
        <f>AECLAB!E98</f>
        <v>1</v>
      </c>
      <c r="T69" s="981">
        <f>AECLAB!F98</f>
        <v>2</v>
      </c>
      <c r="U69" s="981">
        <f>AECLAB!G98</f>
        <v>1</v>
      </c>
      <c r="V69" s="981">
        <f>AECLAB!H98</f>
        <v>2</v>
      </c>
      <c r="W69" s="981">
        <f>AECLAB!I98</f>
        <v>2</v>
      </c>
      <c r="X69" s="981">
        <f>AECLAB!J98</f>
        <v>3</v>
      </c>
      <c r="Y69" s="981">
        <f>AECLAB!K98</f>
        <v>3</v>
      </c>
      <c r="Z69" s="981">
        <f>AECLAB!L98</f>
        <v>2</v>
      </c>
      <c r="AA69" s="981">
        <f>AECLAB!M98</f>
        <v>2</v>
      </c>
      <c r="AB69" s="981">
        <f>AECLAB!N98</f>
        <v>2</v>
      </c>
      <c r="AC69" s="2490"/>
      <c r="AD69" s="2490"/>
    </row>
    <row r="70" spans="2:30" ht="35.1" customHeight="1" x14ac:dyDescent="0.25">
      <c r="B70" s="51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3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43"/>
      <c r="AD70" s="43"/>
    </row>
    <row r="71" spans="2:30" ht="35.1" customHeight="1" x14ac:dyDescent="0.25">
      <c r="B71" s="49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3"/>
      <c r="AC71" s="43"/>
      <c r="AD71" s="43"/>
    </row>
    <row r="72" spans="2:30" ht="35.1" customHeight="1" x14ac:dyDescent="0.25">
      <c r="B72" s="45" t="s">
        <v>86</v>
      </c>
      <c r="C72" s="45" t="s">
        <v>46</v>
      </c>
      <c r="D72" s="45" t="s">
        <v>47</v>
      </c>
      <c r="E72" s="45" t="s">
        <v>48</v>
      </c>
      <c r="F72" s="45" t="s">
        <v>49</v>
      </c>
      <c r="G72" s="45" t="s">
        <v>50</v>
      </c>
      <c r="H72" s="45" t="s">
        <v>51</v>
      </c>
      <c r="I72" s="45" t="s">
        <v>52</v>
      </c>
      <c r="J72" s="45" t="s">
        <v>53</v>
      </c>
      <c r="K72" s="45" t="s">
        <v>54</v>
      </c>
      <c r="L72" s="45" t="s">
        <v>55</v>
      </c>
      <c r="M72" s="45" t="s">
        <v>56</v>
      </c>
      <c r="N72" s="45" t="s">
        <v>57</v>
      </c>
      <c r="O72" s="43"/>
      <c r="P72" s="970" t="s">
        <v>86</v>
      </c>
      <c r="Q72" s="970" t="s">
        <v>46</v>
      </c>
      <c r="R72" s="970" t="s">
        <v>47</v>
      </c>
      <c r="S72" s="970" t="s">
        <v>48</v>
      </c>
      <c r="T72" s="970" t="s">
        <v>49</v>
      </c>
      <c r="U72" s="970" t="s">
        <v>50</v>
      </c>
      <c r="V72" s="970" t="s">
        <v>51</v>
      </c>
      <c r="W72" s="970" t="s">
        <v>52</v>
      </c>
      <c r="X72" s="970" t="s">
        <v>53</v>
      </c>
      <c r="Y72" s="970" t="s">
        <v>54</v>
      </c>
      <c r="Z72" s="970" t="s">
        <v>55</v>
      </c>
      <c r="AA72" s="970" t="s">
        <v>56</v>
      </c>
      <c r="AB72" s="970" t="s">
        <v>57</v>
      </c>
      <c r="AC72" s="43"/>
      <c r="AD72" s="43"/>
    </row>
    <row r="73" spans="2:30" ht="35.1" customHeight="1" x14ac:dyDescent="0.25">
      <c r="B73" s="2641" t="s">
        <v>98</v>
      </c>
      <c r="C73" s="2663"/>
      <c r="D73" s="2663"/>
      <c r="E73" s="2663"/>
      <c r="F73" s="2663"/>
      <c r="G73" s="2663"/>
      <c r="H73" s="2663"/>
      <c r="I73" s="2663"/>
      <c r="J73" s="2663"/>
      <c r="K73" s="2663"/>
      <c r="L73" s="2663"/>
      <c r="M73" s="2663"/>
      <c r="N73" s="2643"/>
      <c r="O73" s="43"/>
      <c r="P73" s="2641" t="s">
        <v>99</v>
      </c>
      <c r="Q73" s="2642"/>
      <c r="R73" s="2642"/>
      <c r="S73" s="2642"/>
      <c r="T73" s="2642"/>
      <c r="U73" s="2642"/>
      <c r="V73" s="2642"/>
      <c r="W73" s="2642"/>
      <c r="X73" s="2642"/>
      <c r="Y73" s="2642"/>
      <c r="Z73" s="2642"/>
      <c r="AA73" s="2642"/>
      <c r="AB73" s="2643"/>
      <c r="AC73" s="43"/>
      <c r="AD73" s="43"/>
    </row>
    <row r="74" spans="2:30" ht="35.1" customHeight="1" x14ac:dyDescent="0.25">
      <c r="B74" s="46" t="s">
        <v>124</v>
      </c>
      <c r="C74" s="38">
        <f>LICA3.1!C102</f>
        <v>2.7749999999999995</v>
      </c>
      <c r="D74" s="356">
        <f>LICA3.1!D102</f>
        <v>1.8499999999999999</v>
      </c>
      <c r="E74" s="356">
        <f>LICA3.1!E102</f>
        <v>1.375</v>
      </c>
      <c r="F74" s="356">
        <f>LICA3.1!F102</f>
        <v>1.8666666666666665</v>
      </c>
      <c r="G74" s="356">
        <f>LICA3.1!G102</f>
        <v>2.7749999999999995</v>
      </c>
      <c r="H74" s="356">
        <f>LICA3.1!H102</f>
        <v>1.8499999999999999</v>
      </c>
      <c r="I74" s="356">
        <f>LICA3.1!I102</f>
        <v>2.5249999999999995</v>
      </c>
      <c r="J74" s="356">
        <f>LICA3.1!J102</f>
        <v>2.0666666666666664</v>
      </c>
      <c r="K74" s="356">
        <f>LICA3.1!K102</f>
        <v>2.7749999999999995</v>
      </c>
      <c r="L74" s="356">
        <f>LICA3.1!L102</f>
        <v>1.7999999999999998</v>
      </c>
      <c r="M74" s="356">
        <f>LICA3.1!M102</f>
        <v>2.0999999999999996</v>
      </c>
      <c r="N74" s="356">
        <f>LICA3.1!N102</f>
        <v>2.0749999999999997</v>
      </c>
      <c r="O74" s="43"/>
      <c r="P74" s="46" t="s">
        <v>413</v>
      </c>
      <c r="Q74" s="356">
        <f>PEM!C102</f>
        <v>1.3799999999999997</v>
      </c>
      <c r="R74" s="356">
        <f>PEM!D102</f>
        <v>2.36</v>
      </c>
      <c r="S74" s="356">
        <f>PEM!E102</f>
        <v>1.7599999999999998</v>
      </c>
      <c r="T74" s="356">
        <f>PEM!F102</f>
        <v>1.18</v>
      </c>
      <c r="U74" s="356"/>
      <c r="V74" s="356">
        <f>PEM!H102</f>
        <v>1.5599999999999998</v>
      </c>
      <c r="W74" s="356">
        <f>PEM!I102</f>
        <v>1.18</v>
      </c>
      <c r="X74" s="356">
        <f>PEM!J102</f>
        <v>1.9333333333333333</v>
      </c>
      <c r="Y74" s="356">
        <f>PEM!K102</f>
        <v>1.5999999999999999</v>
      </c>
      <c r="Z74" s="356">
        <f>PEM!L102</f>
        <v>1.5999999999999999</v>
      </c>
      <c r="AA74" s="356">
        <f>PEM!M102</f>
        <v>2.9</v>
      </c>
      <c r="AB74" s="356">
        <f>PEM!N102</f>
        <v>2.1599999999999997</v>
      </c>
      <c r="AC74" s="43"/>
      <c r="AD74" s="43"/>
    </row>
    <row r="75" spans="2:30" ht="35.1" customHeight="1" x14ac:dyDescent="0.25">
      <c r="B75" s="46" t="s">
        <v>349</v>
      </c>
      <c r="C75" s="38">
        <f>'AC&amp;DC'!D105</f>
        <v>2.34</v>
      </c>
      <c r="D75" s="356">
        <f>'AC&amp;DC'!E105</f>
        <v>2.34</v>
      </c>
      <c r="E75" s="356">
        <f>'AC&amp;DC'!F105</f>
        <v>1.5599999999999998</v>
      </c>
      <c r="F75" s="356"/>
      <c r="G75" s="356">
        <f>'AC&amp;DC'!H105</f>
        <v>2.34</v>
      </c>
      <c r="H75" s="356">
        <f>'AC&amp;DC'!I105</f>
        <v>1.5599999999999998</v>
      </c>
      <c r="I75" s="356">
        <f>'AC&amp;DC'!J105</f>
        <v>1.5599999999999998</v>
      </c>
      <c r="J75" s="356">
        <f>'AC&amp;DC'!K105</f>
        <v>1.5599999999999998</v>
      </c>
      <c r="K75" s="356">
        <f>'AC&amp;DC'!L105</f>
        <v>2.34</v>
      </c>
      <c r="L75" s="356">
        <f>'AC&amp;DC'!M105</f>
        <v>1.5599999999999998</v>
      </c>
      <c r="M75" s="356"/>
      <c r="N75" s="356">
        <f>'AC&amp;DC'!O105</f>
        <v>2.34</v>
      </c>
      <c r="O75" s="43"/>
      <c r="P75" s="46" t="s">
        <v>119</v>
      </c>
      <c r="Q75" s="38">
        <f>RE!C102</f>
        <v>1.9599999999999997</v>
      </c>
      <c r="R75" s="356">
        <f>RE!D102</f>
        <v>2.94</v>
      </c>
      <c r="S75" s="356">
        <f>RE!E102</f>
        <v>1.9599999999999997</v>
      </c>
      <c r="T75" s="356">
        <f>RE!F102</f>
        <v>1.9599999999999997</v>
      </c>
      <c r="U75" s="356"/>
      <c r="V75" s="356">
        <f>RE!H102</f>
        <v>1.9499999999999997</v>
      </c>
      <c r="W75" s="356"/>
      <c r="X75" s="356"/>
      <c r="Y75" s="356"/>
      <c r="Z75" s="356"/>
      <c r="AA75" s="356"/>
      <c r="AB75" s="356">
        <f>RE!N102</f>
        <v>0.97999999999999987</v>
      </c>
      <c r="AC75" s="43"/>
      <c r="AD75" s="43"/>
    </row>
    <row r="76" spans="2:30" ht="35.1" customHeight="1" x14ac:dyDescent="0.25">
      <c r="B76" s="46" t="s">
        <v>127</v>
      </c>
      <c r="C76" s="38">
        <f>CNE!C71</f>
        <v>3</v>
      </c>
      <c r="D76" s="356">
        <f>CNE!D71</f>
        <v>2.75</v>
      </c>
      <c r="E76" s="356">
        <f>CNE!E71</f>
        <v>2.5</v>
      </c>
      <c r="F76" s="356">
        <f>CNE!F71</f>
        <v>2</v>
      </c>
      <c r="G76" s="356">
        <f>CNE!G71</f>
        <v>1</v>
      </c>
      <c r="H76" s="356">
        <f>CNE!H71</f>
        <v>2</v>
      </c>
      <c r="I76" s="356"/>
      <c r="J76" s="356">
        <f>CNE!J71</f>
        <v>3</v>
      </c>
      <c r="K76" s="356"/>
      <c r="L76" s="356"/>
      <c r="M76" s="356"/>
      <c r="N76" s="356">
        <f>CNE!N71</f>
        <v>2</v>
      </c>
      <c r="O76" s="43"/>
      <c r="P76" s="948" t="s">
        <v>120</v>
      </c>
      <c r="Q76" s="38">
        <f>FOC!C65</f>
        <v>1.7166666666666668</v>
      </c>
      <c r="R76" s="356">
        <f>FOC!D65</f>
        <v>1.9083333333333332</v>
      </c>
      <c r="S76" s="356">
        <f>FOC!E65</f>
        <v>1.8833333333333333</v>
      </c>
      <c r="T76" s="356">
        <f>FOC!F65</f>
        <v>0.68333333333333335</v>
      </c>
      <c r="U76" s="356">
        <f>FOC!G65</f>
        <v>1.5999999999999999</v>
      </c>
      <c r="V76" s="356"/>
      <c r="W76" s="356">
        <f>FOC!H65</f>
        <v>1.4833333333333334</v>
      </c>
      <c r="X76" s="356"/>
      <c r="Y76" s="356"/>
      <c r="Z76" s="356"/>
      <c r="AA76" s="356"/>
      <c r="AB76" s="356"/>
      <c r="AC76" s="43"/>
      <c r="AD76" s="43"/>
    </row>
    <row r="77" spans="2:30" ht="35.1" customHeight="1" x14ac:dyDescent="0.25">
      <c r="B77" s="46" t="s">
        <v>125</v>
      </c>
      <c r="C77" s="38">
        <f>AWP!C102</f>
        <v>2.76</v>
      </c>
      <c r="D77" s="356">
        <f>AWP!D102</f>
        <v>2.5599999999999996</v>
      </c>
      <c r="E77" s="356">
        <f>AWP!E102</f>
        <v>2.4249999999999998</v>
      </c>
      <c r="F77" s="356">
        <f>AWP!F102</f>
        <v>2.4249999999999998</v>
      </c>
      <c r="G77" s="356">
        <f>AWP!G102</f>
        <v>2.4799999999999995</v>
      </c>
      <c r="H77" s="356">
        <f>AWP!H102</f>
        <v>1.7999999999999998</v>
      </c>
      <c r="I77" s="356"/>
      <c r="J77" s="356"/>
      <c r="K77" s="356"/>
      <c r="L77" s="356"/>
      <c r="M77" s="356"/>
      <c r="N77" s="356">
        <f>AWP!N102</f>
        <v>2.9249999999999998</v>
      </c>
      <c r="P77" s="948" t="s">
        <v>310</v>
      </c>
      <c r="Q77" s="38">
        <f>'IOT1'!C78</f>
        <v>2.9999999999999996</v>
      </c>
      <c r="R77" s="356">
        <f>'IOT1'!D78</f>
        <v>2.5999999999999996</v>
      </c>
      <c r="S77" s="356">
        <f>'IOT1'!E78</f>
        <v>2.1999999999999997</v>
      </c>
      <c r="T77" s="356">
        <f>'IOT1'!F78</f>
        <v>2.2499999999999996</v>
      </c>
      <c r="U77" s="356">
        <f>'IOT1'!G78</f>
        <v>2.9999999999999996</v>
      </c>
      <c r="V77" s="356"/>
      <c r="W77" s="356">
        <f>'IOT1'!I78</f>
        <v>2.3999999999999995</v>
      </c>
      <c r="X77" s="356"/>
      <c r="Y77" s="356">
        <f>'IOT1'!K78</f>
        <v>2.9999999999999996</v>
      </c>
      <c r="Z77" s="356">
        <f>'IOT1'!L78</f>
        <v>2.2499999999999996</v>
      </c>
      <c r="AA77" s="356"/>
      <c r="AB77" s="356">
        <f>'IOT1'!N78</f>
        <v>2.2499999999999996</v>
      </c>
      <c r="AC77" s="43"/>
    </row>
    <row r="78" spans="2:30" ht="35.1" customHeight="1" x14ac:dyDescent="0.25">
      <c r="B78" s="46" t="s">
        <v>100</v>
      </c>
      <c r="C78" s="38">
        <f>CS!C99</f>
        <v>2.4499999999999997</v>
      </c>
      <c r="D78" s="356">
        <f>CS!D99</f>
        <v>2.4499999999999997</v>
      </c>
      <c r="E78" s="356">
        <f>CS!E99</f>
        <v>2.1249999999999996</v>
      </c>
      <c r="F78" s="356">
        <f>CS!F99</f>
        <v>0.87499999999999989</v>
      </c>
      <c r="G78" s="356">
        <f>CS!G99</f>
        <v>1.7749999999999997</v>
      </c>
      <c r="H78" s="356">
        <f>CS!H99</f>
        <v>1.2999999999999998</v>
      </c>
      <c r="I78" s="356"/>
      <c r="J78" s="356"/>
      <c r="K78" s="356"/>
      <c r="L78" s="356"/>
      <c r="M78" s="356"/>
      <c r="N78" s="356">
        <f>CS!N99</f>
        <v>1.7499999999999998</v>
      </c>
      <c r="P78" s="948" t="s">
        <v>121</v>
      </c>
      <c r="Q78" s="38">
        <f>MWE!C102</f>
        <v>2.9999999999999996</v>
      </c>
      <c r="R78" s="356">
        <f>MWE!D102</f>
        <v>2.5999999999999996</v>
      </c>
      <c r="S78" s="356">
        <f>MWE!E102</f>
        <v>2.1999999999999997</v>
      </c>
      <c r="T78" s="356">
        <f>MWE!F102</f>
        <v>2.9999999999999996</v>
      </c>
      <c r="U78" s="356">
        <f>MWE!G102</f>
        <v>1.6666666666666663</v>
      </c>
      <c r="V78" s="356"/>
      <c r="W78" s="356"/>
      <c r="X78" s="356"/>
      <c r="Y78" s="356">
        <f>MWE!K102</f>
        <v>2.9999999999999996</v>
      </c>
      <c r="Z78" s="356"/>
      <c r="AA78" s="356"/>
      <c r="AB78" s="356">
        <f>MWE!N102</f>
        <v>2.9999999999999996</v>
      </c>
    </row>
    <row r="79" spans="2:30" ht="35.1" customHeight="1" x14ac:dyDescent="0.25">
      <c r="B79" s="972" t="s">
        <v>110</v>
      </c>
      <c r="C79" s="38">
        <f>PDC!C102</f>
        <v>1.9499999999999997</v>
      </c>
      <c r="D79" s="356">
        <f>PDC!D102</f>
        <v>2.2799999999999998</v>
      </c>
      <c r="E79" s="356">
        <f>PDC!E102</f>
        <v>2.0499999999999998</v>
      </c>
      <c r="F79" s="356">
        <f>PDC!F102</f>
        <v>2.3999999999999995</v>
      </c>
      <c r="G79" s="356">
        <f>PDC!G102</f>
        <v>2.46</v>
      </c>
      <c r="H79" s="356">
        <f>PDC!H102</f>
        <v>1.7999999999999998</v>
      </c>
      <c r="I79" s="356"/>
      <c r="J79" s="356"/>
      <c r="K79" s="356"/>
      <c r="L79" s="356"/>
      <c r="M79" s="356"/>
      <c r="N79" s="356">
        <f>PDC!N102</f>
        <v>1.5999999999999996</v>
      </c>
      <c r="P79" s="956" t="s">
        <v>354</v>
      </c>
      <c r="Q79" s="38">
        <f>EMBEDDEDSYS!C65</f>
        <v>2.1999999999999997</v>
      </c>
      <c r="R79" s="356">
        <f>EMBEDDEDSYS!D65</f>
        <v>2.1999999999999997</v>
      </c>
      <c r="S79" s="356">
        <f>EMBEDDEDSYS!E65</f>
        <v>2.3999999999999995</v>
      </c>
      <c r="T79" s="356">
        <f>EMBEDDEDSYS!F65</f>
        <v>2.4999999999999996</v>
      </c>
      <c r="U79" s="356">
        <f>EMBEDDEDSYS!G65</f>
        <v>2.9999999999999996</v>
      </c>
      <c r="V79" s="356">
        <f>EMBEDDEDSYS!H65</f>
        <v>2.9999999999999996</v>
      </c>
      <c r="W79" s="356"/>
      <c r="X79" s="356"/>
      <c r="Y79" s="356">
        <f>EMBEDDEDSYS!K65</f>
        <v>2.9999999999999996</v>
      </c>
      <c r="Z79" s="356"/>
      <c r="AA79" s="356">
        <f>EMBEDDEDSYS!M65</f>
        <v>1.9999999999999998</v>
      </c>
      <c r="AB79" s="356">
        <f>EMBEDDEDSYS!N65</f>
        <v>2.9999999999999996</v>
      </c>
    </row>
    <row r="80" spans="2:30" ht="35.1" customHeight="1" x14ac:dyDescent="0.25">
      <c r="B80" s="46" t="s">
        <v>379</v>
      </c>
      <c r="C80" s="356">
        <f>'MOOCs-1'!C98</f>
        <v>2.75</v>
      </c>
      <c r="D80" s="356">
        <f>'MOOCs-1'!D98</f>
        <v>2.75</v>
      </c>
      <c r="E80" s="356">
        <f>'MOOCs-1'!E98</f>
        <v>2.5</v>
      </c>
      <c r="F80" s="356">
        <f>'MOOCs-1'!F98</f>
        <v>1</v>
      </c>
      <c r="G80" s="356">
        <f>'MOOCs-1'!G98</f>
        <v>2</v>
      </c>
      <c r="H80" s="356">
        <f>'MOOCs-1'!H98</f>
        <v>1.5</v>
      </c>
      <c r="I80" s="356"/>
      <c r="J80" s="356"/>
      <c r="K80" s="356"/>
      <c r="L80" s="356"/>
      <c r="M80" s="356"/>
      <c r="N80" s="356">
        <f>'MOOCs-1'!N98</f>
        <v>2</v>
      </c>
      <c r="P80" s="948" t="s">
        <v>219</v>
      </c>
      <c r="Q80" s="38">
        <f>GPS!C80</f>
        <v>2.9999999999999996</v>
      </c>
      <c r="R80" s="356">
        <f>GPS!D80</f>
        <v>2.9999999999999996</v>
      </c>
      <c r="S80" s="356">
        <f>GPS!E80</f>
        <v>1.5999999999999999</v>
      </c>
      <c r="T80" s="356">
        <f>GPS!F80</f>
        <v>2.5999999999999996</v>
      </c>
      <c r="U80" s="356">
        <f>GPS!G80</f>
        <v>2.4999999999999996</v>
      </c>
      <c r="V80" s="356">
        <f>GPS!H80</f>
        <v>2.9999999999999996</v>
      </c>
      <c r="W80" s="356">
        <f>GPS!I80</f>
        <v>2.8</v>
      </c>
      <c r="X80" s="356">
        <f>GPS!J80</f>
        <v>1.9999999999999996</v>
      </c>
      <c r="Y80" s="356">
        <f>GPS!K80</f>
        <v>2.9999999999999996</v>
      </c>
      <c r="Z80" s="356">
        <f>GPS!L80</f>
        <v>2.8</v>
      </c>
      <c r="AA80" s="356">
        <f>GPS!M80</f>
        <v>1.9999999999999996</v>
      </c>
      <c r="AB80" s="356">
        <f>GPS!N80</f>
        <v>2.3999999999999995</v>
      </c>
    </row>
    <row r="81" spans="2:32" ht="35.1" customHeight="1" x14ac:dyDescent="0.25">
      <c r="B81" s="46" t="s">
        <v>357</v>
      </c>
      <c r="C81" s="38">
        <f>LICLAB!C98</f>
        <v>3</v>
      </c>
      <c r="D81" s="356">
        <f>LICLAB!D98</f>
        <v>2</v>
      </c>
      <c r="E81" s="356">
        <f>LICLAB!E98</f>
        <v>1.5</v>
      </c>
      <c r="F81" s="356">
        <f>LICLAB!F98</f>
        <v>2</v>
      </c>
      <c r="G81" s="356">
        <f>LICLAB!G98</f>
        <v>3</v>
      </c>
      <c r="H81" s="356">
        <f>LICLAB!H98</f>
        <v>2</v>
      </c>
      <c r="I81" s="356">
        <f>LICLAB!I98</f>
        <v>2.75</v>
      </c>
      <c r="J81" s="356">
        <f>LICLAB!J98</f>
        <v>2.3333333333333335</v>
      </c>
      <c r="K81" s="356">
        <f>LICLAB!K98</f>
        <v>3</v>
      </c>
      <c r="L81" s="356">
        <f>LICLAB!L98</f>
        <v>2</v>
      </c>
      <c r="M81" s="356">
        <f>LICLAB!M98</f>
        <v>2.25</v>
      </c>
      <c r="N81" s="356">
        <f>LICLAB!N98</f>
        <v>2.25</v>
      </c>
      <c r="P81" s="948" t="s">
        <v>335</v>
      </c>
      <c r="Q81" s="38">
        <f>MWELAB!C97</f>
        <v>3</v>
      </c>
      <c r="R81" s="356">
        <f>MWELAB!D97</f>
        <v>2</v>
      </c>
      <c r="S81" s="356">
        <f>MWELAB!E97</f>
        <v>1</v>
      </c>
      <c r="T81" s="356">
        <f>MWELAB!F97</f>
        <v>2</v>
      </c>
      <c r="U81" s="356">
        <f>MWELAB!G97</f>
        <v>2</v>
      </c>
      <c r="V81" s="356"/>
      <c r="W81" s="356"/>
      <c r="X81" s="356">
        <f>MWELAB!J97</f>
        <v>2</v>
      </c>
      <c r="Y81" s="356">
        <f>MWELAB!K97</f>
        <v>3</v>
      </c>
      <c r="Z81" s="356">
        <f>MWELAB!L97</f>
        <v>3</v>
      </c>
      <c r="AA81" s="356">
        <f>MWELAB!M97</f>
        <v>2</v>
      </c>
      <c r="AB81" s="356">
        <f>MWELAB!N97</f>
        <v>3</v>
      </c>
    </row>
    <row r="82" spans="2:32" ht="35.1" customHeight="1" x14ac:dyDescent="0.25">
      <c r="B82" s="46" t="s">
        <v>356</v>
      </c>
      <c r="C82" s="38">
        <f>'ACDC-LAB'!C98</f>
        <v>3</v>
      </c>
      <c r="D82" s="356">
        <f>'ACDC-LAB'!D98</f>
        <v>2</v>
      </c>
      <c r="E82" s="356">
        <f>'ACDC-LAB'!E98</f>
        <v>1</v>
      </c>
      <c r="F82" s="356">
        <f>'ACDC-LAB'!F98</f>
        <v>2</v>
      </c>
      <c r="G82" s="356">
        <f>'ACDC-LAB'!G98</f>
        <v>1</v>
      </c>
      <c r="H82" s="356">
        <f>'ACDC-LAB'!H98</f>
        <v>2</v>
      </c>
      <c r="I82" s="356">
        <f>'ACDC-LAB'!I98</f>
        <v>2</v>
      </c>
      <c r="J82" s="356">
        <f>'ACDC-LAB'!J98</f>
        <v>3</v>
      </c>
      <c r="K82" s="356">
        <f>'ACDC-LAB'!K98</f>
        <v>3</v>
      </c>
      <c r="L82" s="356">
        <f>'ACDC-LAB'!L98</f>
        <v>2</v>
      </c>
      <c r="M82" s="356">
        <f>'ACDC-LAB'!M98</f>
        <v>2</v>
      </c>
      <c r="N82" s="356">
        <f>'ACDC-LAB'!N98</f>
        <v>2</v>
      </c>
      <c r="P82" s="2265" t="s">
        <v>355</v>
      </c>
      <c r="Q82" s="356">
        <f>'SKILL LAB'!C98</f>
        <v>3</v>
      </c>
      <c r="R82" s="356">
        <f>'SKILL LAB'!D98</f>
        <v>2.5</v>
      </c>
      <c r="S82" s="356">
        <f>'SKILL LAB'!E98</f>
        <v>2.25</v>
      </c>
      <c r="T82" s="356">
        <f>'SKILL LAB'!F98</f>
        <v>2.6666666666666665</v>
      </c>
      <c r="U82" s="356">
        <f>'SKILL LAB'!G98</f>
        <v>3</v>
      </c>
      <c r="V82" s="356"/>
      <c r="W82" s="356">
        <f>'SKILL LAB'!I98</f>
        <v>2.5</v>
      </c>
      <c r="X82" s="356"/>
      <c r="Y82" s="356">
        <f>'SKILL LAB'!K98</f>
        <v>3</v>
      </c>
      <c r="Z82" s="356">
        <f>'SKILL LAB'!L98</f>
        <v>2</v>
      </c>
      <c r="AA82" s="356">
        <f>'SKILL LAB'!M98</f>
        <v>1</v>
      </c>
      <c r="AB82" s="356">
        <f>'SKILL LAB'!N98</f>
        <v>2</v>
      </c>
    </row>
    <row r="83" spans="2:32" ht="35.1" customHeight="1" x14ac:dyDescent="0.25">
      <c r="B83" s="46" t="s">
        <v>350</v>
      </c>
      <c r="C83" s="38">
        <f>VLSI3.2!C102</f>
        <v>2.38</v>
      </c>
      <c r="D83" s="356">
        <f>VLSI3.2!D102</f>
        <v>2.38</v>
      </c>
      <c r="E83" s="356">
        <f>VLSI3.2!E102</f>
        <v>2.1399999999999997</v>
      </c>
      <c r="F83" s="356">
        <f>VLSI3.2!F102</f>
        <v>1.1199999999999999</v>
      </c>
      <c r="G83" s="356">
        <f>VLSI3.2!G102</f>
        <v>1.86</v>
      </c>
      <c r="H83" s="356">
        <f>VLSI3.2!H102</f>
        <v>1.3499999999999999</v>
      </c>
      <c r="I83" s="356"/>
      <c r="J83" s="356"/>
      <c r="K83" s="356"/>
      <c r="L83" s="356"/>
      <c r="M83" s="356"/>
      <c r="N83" s="356">
        <f>VLSI3.2!N102</f>
        <v>1.7499999999999998</v>
      </c>
      <c r="P83" s="2399" t="s">
        <v>401</v>
      </c>
      <c r="Q83" s="356">
        <f>INTERNSHIP!C98</f>
        <v>2</v>
      </c>
      <c r="R83" s="356">
        <f>INTERNSHIP!D98</f>
        <v>2.25</v>
      </c>
      <c r="S83" s="356">
        <f>INTERNSHIP!E98</f>
        <v>1.5</v>
      </c>
      <c r="T83" s="356">
        <f>INTERNSHIP!F98</f>
        <v>2</v>
      </c>
      <c r="U83" s="356">
        <f>INTERNSHIP!G98</f>
        <v>2.25</v>
      </c>
      <c r="V83" s="356"/>
      <c r="W83" s="356">
        <f>INTERNSHIP!I98</f>
        <v>1</v>
      </c>
      <c r="X83" s="356"/>
      <c r="Y83" s="356">
        <f>INTERNSHIP!K98</f>
        <v>2.25</v>
      </c>
      <c r="Z83" s="356">
        <f>INTERNSHIP!L98</f>
        <v>2.25</v>
      </c>
      <c r="AA83" s="356">
        <f>INTERNSHIP!M98</f>
        <v>1.5</v>
      </c>
      <c r="AB83" s="356">
        <f>INTERNSHIP!N98</f>
        <v>2.25</v>
      </c>
    </row>
    <row r="84" spans="2:32" ht="35.1" customHeight="1" x14ac:dyDescent="0.25">
      <c r="B84" s="46" t="s">
        <v>128</v>
      </c>
      <c r="C84" s="38">
        <f>MPMC!C102</f>
        <v>2.4999999999999996</v>
      </c>
      <c r="D84" s="356">
        <f>MPMC!D102</f>
        <v>1.9999999999999998</v>
      </c>
      <c r="E84" s="356">
        <f>MPMC!E102</f>
        <v>1.7499999999999998</v>
      </c>
      <c r="F84" s="356">
        <f>MPMC!F102</f>
        <v>2.6666666666666665</v>
      </c>
      <c r="G84" s="356">
        <f>MPMC!G102</f>
        <v>2.9999999999999996</v>
      </c>
      <c r="H84" s="356"/>
      <c r="I84" s="356">
        <f>MPMC!I102</f>
        <v>1.9999999999999998</v>
      </c>
      <c r="J84" s="356"/>
      <c r="K84" s="356">
        <f>MPMC!K102</f>
        <v>2.9999999999999996</v>
      </c>
      <c r="L84" s="356"/>
      <c r="M84" s="356">
        <f>MPMC!M102</f>
        <v>2.9999999999999996</v>
      </c>
      <c r="N84" s="356">
        <f>MPMC!N102</f>
        <v>2.4999999999999996</v>
      </c>
      <c r="P84" s="2265" t="s">
        <v>123</v>
      </c>
      <c r="Q84" s="356">
        <f>PROJECT4.2!C88</f>
        <v>2.75</v>
      </c>
      <c r="R84" s="356">
        <f>PROJECT4.2!D88</f>
        <v>2.75</v>
      </c>
      <c r="S84" s="356">
        <f>PROJECT4.2!E88</f>
        <v>2.5</v>
      </c>
      <c r="T84" s="356">
        <f>PROJECT4.2!F88</f>
        <v>2.5</v>
      </c>
      <c r="U84" s="356">
        <f>PROJECT4.2!G88</f>
        <v>2.5</v>
      </c>
      <c r="V84" s="356">
        <f>PROJECT4.2!H88</f>
        <v>1</v>
      </c>
      <c r="W84" s="356">
        <f>PROJECT4.2!I88</f>
        <v>1</v>
      </c>
      <c r="X84" s="356"/>
      <c r="Y84" s="356">
        <f>PROJECT4.2!K88</f>
        <v>1.75</v>
      </c>
      <c r="Z84" s="356">
        <f>PROJECT4.2!L88</f>
        <v>2.25</v>
      </c>
      <c r="AA84" s="356">
        <f>PROJECT4.2!M88</f>
        <v>2.3333333333333335</v>
      </c>
      <c r="AB84" s="356">
        <f>PROJECT4.2!N88</f>
        <v>2.25</v>
      </c>
    </row>
    <row r="85" spans="2:32" ht="35.1" customHeight="1" x14ac:dyDescent="0.25">
      <c r="B85" s="46" t="s">
        <v>126</v>
      </c>
      <c r="C85" s="38">
        <f>DSP!C102</f>
        <v>2.9249999999999998</v>
      </c>
      <c r="D85" s="356">
        <f>DSP!D102</f>
        <v>2.6749999999999998</v>
      </c>
      <c r="E85" s="356">
        <f>DSP!E102</f>
        <v>2.9249999999999998</v>
      </c>
      <c r="F85" s="356">
        <f>DSP!F102</f>
        <v>0.97499999999999998</v>
      </c>
      <c r="G85" s="356">
        <f>DSP!G102</f>
        <v>2.6749999999999998</v>
      </c>
      <c r="H85" s="356">
        <f>DSP!H102</f>
        <v>1.9999999999999998</v>
      </c>
      <c r="I85" s="356"/>
      <c r="J85" s="356"/>
      <c r="K85" s="356"/>
      <c r="L85" s="356"/>
      <c r="M85" s="356"/>
      <c r="N85" s="356">
        <f>DSP!N102</f>
        <v>1.95</v>
      </c>
      <c r="P85" s="2265" t="s">
        <v>382</v>
      </c>
      <c r="Q85" s="356">
        <f>'MOOCs-II'!C98</f>
        <v>3</v>
      </c>
      <c r="R85" s="356">
        <f>'MOOCs-II'!D98</f>
        <v>2.5</v>
      </c>
      <c r="S85" s="356">
        <f>'MOOCs-II'!E98</f>
        <v>2.25</v>
      </c>
      <c r="T85" s="356">
        <f>'MOOCs-II'!F98</f>
        <v>2.6666666666666665</v>
      </c>
      <c r="U85" s="356">
        <f>'MOOCs-II'!G98</f>
        <v>3</v>
      </c>
      <c r="V85" s="356"/>
      <c r="W85" s="356">
        <f>'MOOCs-II'!I98</f>
        <v>2.5</v>
      </c>
      <c r="X85" s="356"/>
      <c r="Y85" s="356">
        <f>'MOOCs-II'!K98</f>
        <v>3</v>
      </c>
      <c r="Z85" s="356">
        <f>'MOOCs-II'!L98</f>
        <v>2</v>
      </c>
      <c r="AA85" s="356">
        <f>'MOOCs-II'!M98</f>
        <v>1</v>
      </c>
      <c r="AB85" s="356">
        <f>'MOOCs-II'!N98</f>
        <v>2</v>
      </c>
    </row>
    <row r="86" spans="2:32" ht="35.1" customHeight="1" x14ac:dyDescent="0.25">
      <c r="B86" s="949" t="s">
        <v>129</v>
      </c>
      <c r="C86" s="38">
        <f>CMC!C74</f>
        <v>2.9999999999999996</v>
      </c>
      <c r="D86" s="356">
        <f>CMC!D74</f>
        <v>2.5999999999999996</v>
      </c>
      <c r="E86" s="356">
        <f>CMC!E74</f>
        <v>1.7999999999999996</v>
      </c>
      <c r="F86" s="356">
        <f>CMC!F74</f>
        <v>2.4999999999999996</v>
      </c>
      <c r="G86" s="356">
        <f>CMC!G74</f>
        <v>2.9999999999999996</v>
      </c>
      <c r="H86" s="356"/>
      <c r="I86" s="356">
        <f>CMC!I74</f>
        <v>2.3999999999999995</v>
      </c>
      <c r="J86" s="356"/>
      <c r="K86" s="356">
        <f>CMC!K74</f>
        <v>2.9999999999999996</v>
      </c>
      <c r="L86" s="356">
        <f>CMC!L74</f>
        <v>2.2499999999999996</v>
      </c>
      <c r="M86" s="356"/>
      <c r="N86" s="356">
        <f>CMC!N74</f>
        <v>2.9999999999999996</v>
      </c>
      <c r="P86" s="49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 spans="2:32" ht="35.1" customHeight="1" x14ac:dyDescent="0.25">
      <c r="B87" s="949" t="s">
        <v>351</v>
      </c>
      <c r="C87" s="38">
        <f>ITC!C73</f>
        <v>2.5199999999999996</v>
      </c>
      <c r="D87" s="356">
        <f>ITC!D73</f>
        <v>1.4999999999999998</v>
      </c>
      <c r="E87" s="356">
        <f>ITC!E73</f>
        <v>1.1599999999999997</v>
      </c>
      <c r="F87" s="356">
        <f>ITC!F73</f>
        <v>1.8399999999999999</v>
      </c>
      <c r="G87" s="356">
        <f>ITC!G73</f>
        <v>2.5199999999999996</v>
      </c>
      <c r="H87" s="356"/>
      <c r="I87" s="356">
        <f>ITC!I73</f>
        <v>1.6999999999999995</v>
      </c>
      <c r="J87" s="356"/>
      <c r="K87" s="356"/>
      <c r="L87" s="356"/>
      <c r="M87" s="356"/>
      <c r="N87" s="356">
        <f>ITC!N73</f>
        <v>1.6799999999999997</v>
      </c>
      <c r="P87" s="49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</row>
    <row r="88" spans="2:32" ht="35.1" customHeight="1" x14ac:dyDescent="0.25">
      <c r="B88" s="949" t="s">
        <v>352</v>
      </c>
      <c r="C88" s="38">
        <f>SC!C66</f>
        <v>2.7749999999999995</v>
      </c>
      <c r="D88" s="356">
        <f>SC!D66</f>
        <v>2.7749999999999995</v>
      </c>
      <c r="E88" s="356">
        <f>SC!E66</f>
        <v>1.625</v>
      </c>
      <c r="F88" s="356">
        <f>SC!F66</f>
        <v>2.7749999999999995</v>
      </c>
      <c r="G88" s="356">
        <f>SC!G66</f>
        <v>2.6999999999999993</v>
      </c>
      <c r="H88" s="356"/>
      <c r="I88" s="356">
        <f>SC!I66</f>
        <v>2.2999999999999998</v>
      </c>
      <c r="J88" s="356">
        <f>SC!J66</f>
        <v>1.8499999999999999</v>
      </c>
      <c r="K88" s="356">
        <f>SC!K66</f>
        <v>2.7749999999999995</v>
      </c>
      <c r="L88" s="356">
        <f>SC!L66</f>
        <v>2.7749999999999995</v>
      </c>
      <c r="M88" s="356">
        <f>SC!M66</f>
        <v>1.8499999999999999</v>
      </c>
      <c r="N88" s="356">
        <f>SC!N66</f>
        <v>2.6999999999999993</v>
      </c>
      <c r="P88" s="49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</row>
    <row r="89" spans="2:32" ht="35.1" customHeight="1" x14ac:dyDescent="0.25">
      <c r="B89" s="949" t="s">
        <v>218</v>
      </c>
      <c r="C89" s="38">
        <f>EMI!C71</f>
        <v>2.1333333333333329</v>
      </c>
      <c r="D89" s="356">
        <f>EMI!D71</f>
        <v>2.1333333333333329</v>
      </c>
      <c r="E89" s="356">
        <f>EMI!E71</f>
        <v>1.8083333333333331</v>
      </c>
      <c r="F89" s="356">
        <f>EMI!F71</f>
        <v>0.75</v>
      </c>
      <c r="G89" s="356">
        <f>EMI!G71</f>
        <v>1.575</v>
      </c>
      <c r="H89" s="356">
        <f>EMI!H71</f>
        <v>1.2666666666666666</v>
      </c>
      <c r="I89" s="356"/>
      <c r="J89" s="356"/>
      <c r="K89" s="356"/>
      <c r="L89" s="356"/>
      <c r="M89" s="356"/>
      <c r="N89" s="356">
        <f>EMI!N71</f>
        <v>1.5</v>
      </c>
    </row>
    <row r="90" spans="2:32" ht="35.1" customHeight="1" x14ac:dyDescent="0.25">
      <c r="B90" s="949" t="s">
        <v>332</v>
      </c>
      <c r="C90" s="38">
        <f>DSPLAB!C97</f>
        <v>3</v>
      </c>
      <c r="D90" s="356">
        <f>DSPLAB!D97</f>
        <v>2.5</v>
      </c>
      <c r="E90" s="356">
        <f>DSPLAB!E97</f>
        <v>2</v>
      </c>
      <c r="F90" s="356">
        <f>DSPLAB!F97</f>
        <v>2.6666666666666665</v>
      </c>
      <c r="G90" s="356">
        <f>DSPLAB!G97</f>
        <v>3</v>
      </c>
      <c r="H90" s="356"/>
      <c r="I90" s="356">
        <f>DSPLAB!I97</f>
        <v>2</v>
      </c>
      <c r="J90" s="356">
        <f>DSPLAB!J97</f>
        <v>2</v>
      </c>
      <c r="K90" s="356">
        <f>DSPLAB!K97</f>
        <v>3</v>
      </c>
      <c r="L90" s="356">
        <f>DSPLAB!L97</f>
        <v>3</v>
      </c>
      <c r="M90" s="356">
        <f>DSPLAB!M97</f>
        <v>3</v>
      </c>
      <c r="N90" s="356">
        <f>DSPLAB!N97</f>
        <v>2.5</v>
      </c>
    </row>
    <row r="91" spans="2:32" s="2273" customFormat="1" ht="35.1" customHeight="1" x14ac:dyDescent="0.25">
      <c r="B91" s="949" t="s">
        <v>353</v>
      </c>
      <c r="C91" s="981">
        <f>MPMCLAB!C97</f>
        <v>3</v>
      </c>
      <c r="D91" s="981">
        <f>MPMCLAB!D97</f>
        <v>2.5</v>
      </c>
      <c r="E91" s="981">
        <f>MPMCLAB!E97</f>
        <v>2.5</v>
      </c>
      <c r="F91" s="981">
        <f>MPMCLAB!F97</f>
        <v>2.5</v>
      </c>
      <c r="G91" s="981">
        <f>MPMCLAB!G97</f>
        <v>3</v>
      </c>
      <c r="H91" s="981"/>
      <c r="I91" s="981">
        <f>MPMCLAB!I97</f>
        <v>2</v>
      </c>
      <c r="J91" s="981">
        <f>MPMCLAB!J97</f>
        <v>2</v>
      </c>
      <c r="K91" s="981">
        <f>MPMCLAB!K97</f>
        <v>3</v>
      </c>
      <c r="L91" s="981">
        <f>MPMCLAB!L97</f>
        <v>3</v>
      </c>
      <c r="M91" s="981">
        <f>MPMCLAB!M97</f>
        <v>3</v>
      </c>
      <c r="N91" s="981">
        <f>MPMCLAB!N97</f>
        <v>2.75</v>
      </c>
    </row>
    <row r="92" spans="2:32" ht="35.1" customHeight="1" x14ac:dyDescent="0.25"/>
    <row r="93" spans="2:32" ht="35.1" customHeight="1" x14ac:dyDescent="0.25">
      <c r="B93" s="50"/>
      <c r="C93" s="50"/>
      <c r="D93" s="50"/>
      <c r="E93" s="50"/>
      <c r="F93" s="2664" t="s">
        <v>86</v>
      </c>
      <c r="G93" s="2664"/>
      <c r="H93" s="2664"/>
      <c r="I93" s="2664"/>
      <c r="J93" s="45" t="s">
        <v>46</v>
      </c>
      <c r="K93" s="45" t="s">
        <v>47</v>
      </c>
      <c r="L93" s="45" t="s">
        <v>48</v>
      </c>
      <c r="M93" s="45" t="s">
        <v>49</v>
      </c>
      <c r="N93" s="45" t="s">
        <v>50</v>
      </c>
      <c r="O93" s="45" t="s">
        <v>51</v>
      </c>
      <c r="P93" s="45" t="s">
        <v>52</v>
      </c>
      <c r="Q93" s="45" t="s">
        <v>53</v>
      </c>
      <c r="R93" s="45" t="s">
        <v>54</v>
      </c>
      <c r="S93" s="45" t="s">
        <v>55</v>
      </c>
      <c r="T93" s="45" t="s">
        <v>56</v>
      </c>
      <c r="U93" s="45" t="s">
        <v>57</v>
      </c>
    </row>
    <row r="94" spans="2:32" ht="35.1" customHeight="1" x14ac:dyDescent="0.25">
      <c r="B94" s="50"/>
      <c r="C94" s="50"/>
      <c r="D94" s="50"/>
      <c r="E94" s="50"/>
      <c r="F94" s="2651" t="s">
        <v>132</v>
      </c>
      <c r="G94" s="2651"/>
      <c r="H94" s="2651"/>
      <c r="I94" s="2651"/>
      <c r="J94" s="55">
        <f>AVERAGE(C53:C65,Q53:Q69,C74:C91,Q74:Q85)</f>
        <v>2.6277777777777782</v>
      </c>
      <c r="K94" s="55">
        <f t="shared" ref="K94:U94" si="1">AVERAGE(D53:D65,R53:R69,D74:D91,R75:R85)</f>
        <v>2.4016666666666664</v>
      </c>
      <c r="L94" s="55">
        <f t="shared" si="1"/>
        <v>1.9490058479532162</v>
      </c>
      <c r="M94" s="55">
        <f t="shared" si="1"/>
        <v>1.9778616352201257</v>
      </c>
      <c r="N94" s="55">
        <f t="shared" si="1"/>
        <v>2.0590880503144651</v>
      </c>
      <c r="O94" s="55">
        <f t="shared" si="1"/>
        <v>1.8479629629629626</v>
      </c>
      <c r="P94" s="55">
        <f t="shared" si="1"/>
        <v>2.1506547619047618</v>
      </c>
      <c r="Q94" s="55">
        <f t="shared" si="1"/>
        <v>2.1930000000000001</v>
      </c>
      <c r="R94" s="55">
        <f t="shared" si="1"/>
        <v>2.7160344827586202</v>
      </c>
      <c r="S94" s="55">
        <f t="shared" si="1"/>
        <v>2.2821153846153845</v>
      </c>
      <c r="T94" s="55">
        <f t="shared" si="1"/>
        <v>2.0449275362318842</v>
      </c>
      <c r="U94" s="55">
        <f t="shared" si="1"/>
        <v>2.2060632183908044</v>
      </c>
      <c r="V94" s="345"/>
      <c r="W94" s="345"/>
      <c r="X94" s="345"/>
      <c r="Y94" s="345"/>
      <c r="Z94" s="345"/>
      <c r="AA94" s="345"/>
      <c r="AB94" s="345"/>
    </row>
    <row r="95" spans="2:32" ht="35.1" customHeight="1" x14ac:dyDescent="0.25"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P95" s="54"/>
      <c r="Q95" s="54"/>
      <c r="R95" s="54"/>
      <c r="S95" s="54"/>
      <c r="T95" s="54"/>
      <c r="U95" s="54"/>
    </row>
    <row r="96" spans="2:32" ht="35.1" customHeight="1" x14ac:dyDescent="0.25">
      <c r="B96" s="2668" t="s">
        <v>92</v>
      </c>
      <c r="C96" s="2669"/>
      <c r="D96" s="2669"/>
      <c r="E96" s="2669"/>
      <c r="F96" s="2669"/>
      <c r="G96" s="2669"/>
      <c r="H96" s="2669"/>
      <c r="I96" s="2669"/>
      <c r="J96" s="2669"/>
      <c r="K96" s="2669"/>
      <c r="L96" s="2669"/>
      <c r="M96" s="2669"/>
      <c r="N96" s="2669"/>
      <c r="O96" s="2669"/>
      <c r="P96" s="2669"/>
      <c r="Q96" s="2669"/>
      <c r="R96" s="2669"/>
      <c r="S96" s="2669"/>
      <c r="T96" s="2669"/>
      <c r="U96" s="2669"/>
      <c r="V96" s="2669"/>
      <c r="W96" s="2669"/>
      <c r="X96" s="2669"/>
      <c r="Y96" s="2669"/>
      <c r="Z96" s="2669"/>
      <c r="AA96" s="2669"/>
      <c r="AB96" s="2669"/>
      <c r="AC96" s="2669"/>
      <c r="AD96" s="2669"/>
      <c r="AE96" s="2669"/>
      <c r="AF96" s="2669"/>
    </row>
    <row r="97" spans="2:32" ht="35.1" customHeight="1" x14ac:dyDescent="0.25"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345"/>
      <c r="Q97" s="40"/>
      <c r="Y97" s="40"/>
      <c r="AD97" s="345"/>
      <c r="AE97" s="345"/>
      <c r="AF97" s="345"/>
    </row>
    <row r="98" spans="2:32" ht="35.1" customHeight="1" x14ac:dyDescent="0.25">
      <c r="B98" s="2661" t="s">
        <v>86</v>
      </c>
      <c r="C98" s="2644" t="s">
        <v>93</v>
      </c>
      <c r="D98" s="2645"/>
      <c r="E98" s="2646"/>
      <c r="F98" s="2632" t="s">
        <v>94</v>
      </c>
      <c r="G98" s="2633"/>
      <c r="H98" s="2634"/>
      <c r="I98" s="40"/>
      <c r="J98" s="2661" t="s">
        <v>86</v>
      </c>
      <c r="K98" s="2644" t="s">
        <v>93</v>
      </c>
      <c r="L98" s="2645"/>
      <c r="M98" s="2646"/>
      <c r="N98" s="2629" t="s">
        <v>94</v>
      </c>
      <c r="O98" s="2631"/>
      <c r="P98" s="2647"/>
      <c r="Q98" s="40"/>
      <c r="R98" s="2661" t="s">
        <v>86</v>
      </c>
      <c r="S98" s="2644" t="s">
        <v>93</v>
      </c>
      <c r="T98" s="2645"/>
      <c r="U98" s="2646"/>
      <c r="V98" s="2632" t="s">
        <v>94</v>
      </c>
      <c r="W98" s="2633"/>
      <c r="X98" s="2634"/>
      <c r="Y98" s="40"/>
      <c r="Z98" s="2661" t="s">
        <v>86</v>
      </c>
      <c r="AA98" s="2679" t="s">
        <v>93</v>
      </c>
      <c r="AB98" s="2679"/>
      <c r="AC98" s="2679"/>
      <c r="AD98" s="2670" t="s">
        <v>94</v>
      </c>
      <c r="AE98" s="2631"/>
      <c r="AF98" s="2671"/>
    </row>
    <row r="99" spans="2:32" ht="35.1" customHeight="1" x14ac:dyDescent="0.25">
      <c r="B99" s="2662"/>
      <c r="C99" s="41" t="s">
        <v>87</v>
      </c>
      <c r="D99" s="41" t="s">
        <v>88</v>
      </c>
      <c r="E99" s="41" t="s">
        <v>85</v>
      </c>
      <c r="F99" s="42" t="s">
        <v>87</v>
      </c>
      <c r="G99" s="42" t="s">
        <v>88</v>
      </c>
      <c r="H99" s="42" t="s">
        <v>85</v>
      </c>
      <c r="I99" s="40"/>
      <c r="J99" s="2662"/>
      <c r="K99" s="41" t="s">
        <v>87</v>
      </c>
      <c r="L99" s="41" t="s">
        <v>88</v>
      </c>
      <c r="M99" s="41" t="s">
        <v>85</v>
      </c>
      <c r="N99" s="42" t="s">
        <v>87</v>
      </c>
      <c r="O99" s="42" t="s">
        <v>88</v>
      </c>
      <c r="P99" s="42" t="s">
        <v>85</v>
      </c>
      <c r="Q99" s="40"/>
      <c r="R99" s="2662"/>
      <c r="S99" s="41" t="s">
        <v>87</v>
      </c>
      <c r="T99" s="41" t="s">
        <v>88</v>
      </c>
      <c r="U99" s="41" t="s">
        <v>85</v>
      </c>
      <c r="V99" s="42" t="s">
        <v>87</v>
      </c>
      <c r="W99" s="42" t="s">
        <v>88</v>
      </c>
      <c r="X99" s="42" t="s">
        <v>85</v>
      </c>
      <c r="Y99" s="40"/>
      <c r="Z99" s="2662"/>
      <c r="AA99" s="41" t="s">
        <v>87</v>
      </c>
      <c r="AB99" s="41" t="s">
        <v>88</v>
      </c>
      <c r="AC99" s="355" t="s">
        <v>85</v>
      </c>
      <c r="AD99" s="352" t="s">
        <v>87</v>
      </c>
      <c r="AE99" s="352" t="s">
        <v>88</v>
      </c>
      <c r="AF99" s="352" t="s">
        <v>85</v>
      </c>
    </row>
    <row r="100" spans="2:32" ht="35.1" customHeight="1" x14ac:dyDescent="0.25">
      <c r="B100" s="2672" t="s">
        <v>96</v>
      </c>
      <c r="C100" s="2673"/>
      <c r="D100" s="2673"/>
      <c r="E100" s="2673"/>
      <c r="F100" s="2673"/>
      <c r="G100" s="2673"/>
      <c r="H100" s="2674"/>
      <c r="I100" s="40"/>
      <c r="J100" s="2672" t="s">
        <v>97</v>
      </c>
      <c r="K100" s="2675"/>
      <c r="L100" s="2675"/>
      <c r="M100" s="2675"/>
      <c r="N100" s="2675"/>
      <c r="O100" s="2675"/>
      <c r="P100" s="2674"/>
      <c r="Q100" s="40"/>
      <c r="R100" s="2676" t="s">
        <v>98</v>
      </c>
      <c r="S100" s="2677"/>
      <c r="T100" s="2677"/>
      <c r="U100" s="2677"/>
      <c r="V100" s="2677"/>
      <c r="W100" s="2677"/>
      <c r="X100" s="2678"/>
      <c r="Y100" s="40"/>
      <c r="Z100" s="2641" t="s">
        <v>99</v>
      </c>
      <c r="AA100" s="2642"/>
      <c r="AB100" s="2642"/>
      <c r="AC100" s="2642"/>
      <c r="AD100" s="2642"/>
      <c r="AE100" s="2642"/>
      <c r="AF100" s="2643"/>
    </row>
    <row r="101" spans="2:32" ht="35.1" customHeight="1" x14ac:dyDescent="0.25">
      <c r="B101" s="46" t="s">
        <v>104</v>
      </c>
      <c r="C101" s="47">
        <f>'M-II'!P83</f>
        <v>2.8</v>
      </c>
      <c r="D101" s="47">
        <f>'M-II'!Q83</f>
        <v>2</v>
      </c>
      <c r="E101" s="47">
        <f>'M-II'!R83</f>
        <v>1</v>
      </c>
      <c r="F101" s="47">
        <f>'M-II'!P94</f>
        <v>2.8</v>
      </c>
      <c r="G101" s="47">
        <f>'M-II'!Q94</f>
        <v>1.9999999999999996</v>
      </c>
      <c r="H101" s="47">
        <f>'M-II'!R94</f>
        <v>0.99999999999999978</v>
      </c>
      <c r="I101" s="40"/>
      <c r="J101" s="2484" t="s">
        <v>402</v>
      </c>
      <c r="K101" s="349">
        <f>'M-IV'!C109</f>
        <v>2.75</v>
      </c>
      <c r="L101" s="349">
        <f>'M-IV'!D109</f>
        <v>2</v>
      </c>
      <c r="M101" s="349">
        <f>'M-IV'!E109</f>
        <v>1</v>
      </c>
      <c r="N101" s="349">
        <f>'M-IV'!L109</f>
        <v>2.7499999999999996</v>
      </c>
      <c r="O101" s="349">
        <f>'M-IV'!M109</f>
        <v>1.9999999999999998</v>
      </c>
      <c r="P101" s="349">
        <f>'M-IV'!N109</f>
        <v>0.99999999999999989</v>
      </c>
      <c r="Q101" s="40"/>
      <c r="R101" s="46" t="s">
        <v>124</v>
      </c>
      <c r="S101" s="76">
        <f>LICA3.1!C113</f>
        <v>3</v>
      </c>
      <c r="T101" s="349">
        <f>LICA3.1!D113</f>
        <v>3</v>
      </c>
      <c r="U101" s="349">
        <f>LICA3.1!E113</f>
        <v>1.5</v>
      </c>
      <c r="V101" s="76">
        <f>LICA3.1!L113</f>
        <v>2.7749999999999995</v>
      </c>
      <c r="W101" s="349">
        <f>LICA3.1!M113</f>
        <v>2.7749999999999995</v>
      </c>
      <c r="X101" s="349">
        <f>LICA3.1!N113</f>
        <v>1.375</v>
      </c>
      <c r="Y101" s="40"/>
      <c r="Z101" s="46" t="s">
        <v>413</v>
      </c>
      <c r="AA101" s="349">
        <f>PEM!C113</f>
        <v>1</v>
      </c>
      <c r="AB101" s="349">
        <f>PEM!D113</f>
        <v>1</v>
      </c>
      <c r="AC101" s="349">
        <f>PEM!E113</f>
        <v>1.8</v>
      </c>
      <c r="AD101" s="349">
        <f>PEM!N113</f>
        <v>0.97999999999999987</v>
      </c>
      <c r="AE101" s="349">
        <f>PEM!O113</f>
        <v>0.97999999999999987</v>
      </c>
      <c r="AF101" s="349">
        <f>PEM!P113</f>
        <v>1.7599999999999998</v>
      </c>
    </row>
    <row r="102" spans="2:32" ht="35.1" customHeight="1" x14ac:dyDescent="0.25">
      <c r="B102" s="46" t="s">
        <v>103</v>
      </c>
      <c r="C102" s="47">
        <f>'M-I'!O82</f>
        <v>1</v>
      </c>
      <c r="D102" s="47">
        <f>'M-I'!P82</f>
        <v>1</v>
      </c>
      <c r="E102" s="47"/>
      <c r="F102" s="47">
        <f>'M-I'!O93</f>
        <v>0.99999999999999978</v>
      </c>
      <c r="G102" s="47">
        <f>'M-I'!P93</f>
        <v>0.99999999999999978</v>
      </c>
      <c r="H102" s="47"/>
      <c r="I102" s="40"/>
      <c r="J102" s="46" t="s">
        <v>114</v>
      </c>
      <c r="K102" s="76">
        <f>NT!C109</f>
        <v>2.75</v>
      </c>
      <c r="L102" s="349">
        <f>NT!D109</f>
        <v>2.25</v>
      </c>
      <c r="M102" s="349">
        <f>NT!E109</f>
        <v>1</v>
      </c>
      <c r="N102" s="349">
        <f>NT!L109</f>
        <v>2.2249999999999996</v>
      </c>
      <c r="O102" s="349">
        <f>NT!M109</f>
        <v>1.8249999999999997</v>
      </c>
      <c r="P102" s="349">
        <f>NT!N109</f>
        <v>0.74999999999999978</v>
      </c>
      <c r="Q102" s="40"/>
      <c r="R102" s="46" t="s">
        <v>349</v>
      </c>
      <c r="S102" s="76">
        <f>'AC&amp;DC'!D116</f>
        <v>3</v>
      </c>
      <c r="T102" s="349">
        <f>'AC&amp;DC'!E116</f>
        <v>3</v>
      </c>
      <c r="U102" s="349">
        <f>'AC&amp;DC'!F116</f>
        <v>2</v>
      </c>
      <c r="V102" s="76">
        <f>'AC&amp;DC'!P116</f>
        <v>2.3249999999999997</v>
      </c>
      <c r="W102" s="349">
        <f>'AC&amp;DC'!Q116</f>
        <v>2.3249999999999997</v>
      </c>
      <c r="X102" s="349">
        <f>'AC&amp;DC'!R116</f>
        <v>1.5499999999999998</v>
      </c>
      <c r="Y102" s="40"/>
      <c r="Z102" s="46" t="s">
        <v>119</v>
      </c>
      <c r="AA102" s="76">
        <f>RE!C113</f>
        <v>3</v>
      </c>
      <c r="AB102" s="349">
        <f>RE!D113</f>
        <v>1</v>
      </c>
      <c r="AC102" s="349">
        <f>RE!E113</f>
        <v>2</v>
      </c>
      <c r="AD102" s="347">
        <f>RE!N113</f>
        <v>2.94</v>
      </c>
      <c r="AE102" s="349">
        <f>RE!O113</f>
        <v>0.97499999999999998</v>
      </c>
      <c r="AF102" s="349">
        <f>RE!P113</f>
        <v>1.9599999999999997</v>
      </c>
    </row>
    <row r="103" spans="2:32" ht="35.1" customHeight="1" x14ac:dyDescent="0.25">
      <c r="B103" s="46" t="s">
        <v>106</v>
      </c>
      <c r="C103" s="47">
        <f>'PHY '!C101</f>
        <v>3</v>
      </c>
      <c r="D103" s="47">
        <f>'PHY '!D101</f>
        <v>1</v>
      </c>
      <c r="E103" s="47">
        <f>'PHY '!E101</f>
        <v>3</v>
      </c>
      <c r="F103" s="47">
        <f>'PHY '!L101</f>
        <v>3</v>
      </c>
      <c r="G103" s="47">
        <f>'PHY '!M101</f>
        <v>1</v>
      </c>
      <c r="H103" s="47">
        <f>'PHY '!N101</f>
        <v>3</v>
      </c>
      <c r="I103" s="40"/>
      <c r="J103" s="968" t="s">
        <v>115</v>
      </c>
      <c r="K103" s="76">
        <f>EM!C107</f>
        <v>2.75</v>
      </c>
      <c r="L103" s="349">
        <f>EM!D107</f>
        <v>2.25</v>
      </c>
      <c r="M103" s="349">
        <f>EM!E107</f>
        <v>1</v>
      </c>
      <c r="N103" s="349">
        <f>EM!N107</f>
        <v>2.1999999999999997</v>
      </c>
      <c r="O103" s="349">
        <f>EM!O107</f>
        <v>1.7749999999999997</v>
      </c>
      <c r="P103" s="349">
        <f>EM!P107</f>
        <v>0.79999999999999982</v>
      </c>
      <c r="Q103" s="40"/>
      <c r="R103" s="46" t="s">
        <v>127</v>
      </c>
      <c r="S103" s="76">
        <f>CNE!C80</f>
        <v>2.5</v>
      </c>
      <c r="T103" s="349">
        <f>CNE!D80</f>
        <v>2.5</v>
      </c>
      <c r="U103" s="349">
        <f>CNE!E80</f>
        <v>2</v>
      </c>
      <c r="V103" s="76">
        <f>CNE!O80</f>
        <v>2.4999999999999996</v>
      </c>
      <c r="W103" s="349">
        <f>CNE!P80</f>
        <v>2.4999999999999996</v>
      </c>
      <c r="X103" s="349">
        <f>CNE!Q80</f>
        <v>1.9999999999999998</v>
      </c>
      <c r="Y103" s="40"/>
      <c r="Z103" s="968" t="s">
        <v>120</v>
      </c>
      <c r="AA103" s="76">
        <f>FOC!C75</f>
        <v>2.5</v>
      </c>
      <c r="AB103" s="349">
        <f>FOC!D75</f>
        <v>2.5</v>
      </c>
      <c r="AC103" s="349">
        <f>FOC!E75</f>
        <v>1</v>
      </c>
      <c r="AD103" s="347">
        <f>FOC!O75</f>
        <v>1.7166666666666668</v>
      </c>
      <c r="AE103" s="349">
        <f>FOC!P75</f>
        <v>1.7416666666666667</v>
      </c>
      <c r="AF103" s="349">
        <f>FOC!Q75</f>
        <v>0.75</v>
      </c>
    </row>
    <row r="104" spans="2:32" ht="35.1" customHeight="1" x14ac:dyDescent="0.25">
      <c r="B104" s="46" t="s">
        <v>138</v>
      </c>
      <c r="C104" s="47">
        <f>EG!N85</f>
        <v>2.5</v>
      </c>
      <c r="D104" s="47">
        <f>EG!O85</f>
        <v>2.5</v>
      </c>
      <c r="E104" s="47">
        <f>EG!P85</f>
        <v>2</v>
      </c>
      <c r="F104" s="47">
        <f>EG!N91</f>
        <v>2.2999999999999998</v>
      </c>
      <c r="G104" s="47">
        <f>EG!O91</f>
        <v>2.2999999999999998</v>
      </c>
      <c r="H104" s="47">
        <f>EG!P91</f>
        <v>1.8249999999999997</v>
      </c>
      <c r="I104" s="40"/>
      <c r="J104" s="968" t="s">
        <v>116</v>
      </c>
      <c r="K104" s="76">
        <f>EDC!C106</f>
        <v>2.75</v>
      </c>
      <c r="L104" s="349">
        <f>EDC!D106</f>
        <v>2.25</v>
      </c>
      <c r="M104" s="349">
        <f>EDC!E106</f>
        <v>1</v>
      </c>
      <c r="N104" s="76">
        <f>EDC!L106</f>
        <v>1.8333333333333333</v>
      </c>
      <c r="O104" s="349">
        <f>EDC!M106</f>
        <v>1.4749999999999999</v>
      </c>
      <c r="P104" s="349">
        <f>EDC!N106</f>
        <v>0.66666666666666663</v>
      </c>
      <c r="Q104" s="40"/>
      <c r="R104" s="46" t="s">
        <v>125</v>
      </c>
      <c r="S104" s="76">
        <f>AWP!C113</f>
        <v>3</v>
      </c>
      <c r="T104" s="349">
        <f>AWP!D113</f>
        <v>3</v>
      </c>
      <c r="U104" s="349">
        <f>AWP!E113</f>
        <v>2.4</v>
      </c>
      <c r="V104" s="76">
        <f>AWP!N113</f>
        <v>2.76</v>
      </c>
      <c r="W104" s="349">
        <f>AWP!O113</f>
        <v>2.76</v>
      </c>
      <c r="X104" s="349">
        <f>AWP!P113</f>
        <v>2.2199999999999998</v>
      </c>
      <c r="Y104" s="40"/>
      <c r="Z104" s="968" t="s">
        <v>310</v>
      </c>
      <c r="AA104" s="76">
        <f>'IOT1'!C89</f>
        <v>3</v>
      </c>
      <c r="AB104" s="349">
        <f>'IOT1'!D89</f>
        <v>2.4</v>
      </c>
      <c r="AC104" s="349">
        <f>'IOT1'!E89</f>
        <v>2.4</v>
      </c>
      <c r="AD104" s="347">
        <f>'IOT1'!O89</f>
        <v>2.9999999999999996</v>
      </c>
      <c r="AE104" s="349">
        <f>'IOT1'!P89</f>
        <v>2.3999999999999995</v>
      </c>
      <c r="AF104" s="349">
        <f>'IOT1'!Q89</f>
        <v>2.3999999999999995</v>
      </c>
    </row>
    <row r="105" spans="2:32" ht="35.1" customHeight="1" x14ac:dyDescent="0.25">
      <c r="B105" s="969" t="s">
        <v>359</v>
      </c>
      <c r="C105" s="47">
        <f>PHYLAB!D87</f>
        <v>3</v>
      </c>
      <c r="D105" s="47">
        <f>PHYLAB!E87</f>
        <v>3</v>
      </c>
      <c r="E105" s="47">
        <f>PHYLAB!F87</f>
        <v>2</v>
      </c>
      <c r="F105" s="47">
        <f>PHYLAB!I87</f>
        <v>2.9999999999999996</v>
      </c>
      <c r="G105" s="47">
        <f>PHYLAB!J87</f>
        <v>2.9999999999999996</v>
      </c>
      <c r="H105" s="47">
        <f>PHYLAB!K87</f>
        <v>1.9999999999999998</v>
      </c>
      <c r="I105" s="40"/>
      <c r="J105" s="968" t="s">
        <v>112</v>
      </c>
      <c r="K105" s="76">
        <f>SS!C108</f>
        <v>3</v>
      </c>
      <c r="L105" s="349">
        <f>SS!D108</f>
        <v>2.5</v>
      </c>
      <c r="M105" s="349">
        <f>SS!E108</f>
        <v>2</v>
      </c>
      <c r="N105" s="76">
        <f>SS!N108</f>
        <v>2.3999999999999995</v>
      </c>
      <c r="O105" s="349">
        <f>SS!O108</f>
        <v>2.0499999999999998</v>
      </c>
      <c r="P105" s="349">
        <f>SS!P108</f>
        <v>1.3999999999999997</v>
      </c>
      <c r="Q105" s="40"/>
      <c r="R105" s="46" t="s">
        <v>100</v>
      </c>
      <c r="S105" s="76">
        <f>CS!C109</f>
        <v>2.75</v>
      </c>
      <c r="T105" s="349">
        <f>CS!D109</f>
        <v>2.25</v>
      </c>
      <c r="U105" s="349">
        <f>CS!E109</f>
        <v>1</v>
      </c>
      <c r="V105" s="76">
        <f>CS!N109</f>
        <v>2.4499999999999997</v>
      </c>
      <c r="W105" s="349">
        <f>CS!O109</f>
        <v>1.9499999999999995</v>
      </c>
      <c r="X105" s="349">
        <f>CS!P109</f>
        <v>0.89999999999999991</v>
      </c>
      <c r="Y105" s="40"/>
      <c r="Z105" s="968" t="s">
        <v>121</v>
      </c>
      <c r="AA105" s="76">
        <f>MWE!C113</f>
        <v>3</v>
      </c>
      <c r="AB105" s="349">
        <f>MWE!D113</f>
        <v>1.8</v>
      </c>
      <c r="AC105" s="349">
        <f>MWE!E113</f>
        <v>2.2000000000000002</v>
      </c>
      <c r="AD105" s="347">
        <f>MWE!N113</f>
        <v>2.9999999999999996</v>
      </c>
      <c r="AE105" s="349">
        <f>MWE!O113</f>
        <v>1.7999999999999996</v>
      </c>
      <c r="AF105" s="349">
        <f>MWE!P113</f>
        <v>2.1999999999999997</v>
      </c>
    </row>
    <row r="106" spans="2:32" ht="35.1" customHeight="1" x14ac:dyDescent="0.25">
      <c r="B106" s="46" t="s">
        <v>360</v>
      </c>
      <c r="C106" s="47">
        <f>WSLAB!P72</f>
        <v>3</v>
      </c>
      <c r="D106" s="47">
        <f>WSLAB!Q72</f>
        <v>3</v>
      </c>
      <c r="E106" s="47">
        <f>WSLAB!R72</f>
        <v>2</v>
      </c>
      <c r="F106" s="47">
        <f>WSLAB!P79</f>
        <v>3</v>
      </c>
      <c r="G106" s="47">
        <f>WSLAB!Q79</f>
        <v>3</v>
      </c>
      <c r="H106" s="47">
        <f>WSLAB!R79</f>
        <v>2</v>
      </c>
      <c r="I106" s="40"/>
      <c r="J106" s="968" t="s">
        <v>118</v>
      </c>
      <c r="K106" s="76">
        <f>DS!C109</f>
        <v>3</v>
      </c>
      <c r="L106" s="349">
        <f>DS!D109</f>
        <v>3</v>
      </c>
      <c r="M106" s="349"/>
      <c r="N106" s="76">
        <f>DS!N109</f>
        <v>2.6999999999999993</v>
      </c>
      <c r="O106" s="349">
        <f>DS!O109</f>
        <v>2.6999999999999993</v>
      </c>
      <c r="P106" s="349"/>
      <c r="Q106" s="40"/>
      <c r="R106" s="972" t="s">
        <v>110</v>
      </c>
      <c r="S106" s="76">
        <f>PDC!C113</f>
        <v>3</v>
      </c>
      <c r="T106" s="349">
        <f>PDC!D113</f>
        <v>2.2000000000000002</v>
      </c>
      <c r="U106" s="349">
        <f>PDC!E113</f>
        <v>2.2000000000000002</v>
      </c>
      <c r="V106" s="76">
        <f>PDC!N113</f>
        <v>2.46</v>
      </c>
      <c r="W106" s="349">
        <f>PDC!O113</f>
        <v>1.7399999999999998</v>
      </c>
      <c r="X106" s="349">
        <f>PDC!P113</f>
        <v>1.8199999999999998</v>
      </c>
      <c r="Y106" s="40"/>
      <c r="Z106" s="971" t="s">
        <v>354</v>
      </c>
      <c r="AA106" s="76">
        <f>EMBEDDEDSYS!C76</f>
        <v>1.8</v>
      </c>
      <c r="AB106" s="349">
        <f>EMBEDDEDSYS!D76</f>
        <v>3</v>
      </c>
      <c r="AC106" s="349">
        <f>EMBEDDEDSYS!E76</f>
        <v>2</v>
      </c>
      <c r="AD106" s="347">
        <f>EMBEDDEDSYS!N76</f>
        <v>1.7999999999999996</v>
      </c>
      <c r="AE106" s="349">
        <f>EMBEDDEDSYS!O76</f>
        <v>2.9999999999999996</v>
      </c>
      <c r="AF106" s="349">
        <f>EMBEDDEDSYS!P76</f>
        <v>1.9999999999999998</v>
      </c>
    </row>
    <row r="107" spans="2:32" ht="35.1" customHeight="1" x14ac:dyDescent="0.25">
      <c r="B107" s="46" t="s">
        <v>107</v>
      </c>
      <c r="C107" s="47">
        <f>'M-III1.2'!R81</f>
        <v>2.75</v>
      </c>
      <c r="D107" s="47">
        <f>'M-III1.2'!S81</f>
        <v>2</v>
      </c>
      <c r="E107" s="47">
        <f>'M-III1.2'!T81</f>
        <v>1</v>
      </c>
      <c r="F107" s="47">
        <f>'M-III1.2'!R93</f>
        <v>2.7499999999999996</v>
      </c>
      <c r="G107" s="47">
        <f>'M-III1.2'!S93</f>
        <v>1.9999999999999998</v>
      </c>
      <c r="H107" s="47">
        <f>'M-III1.2'!T93</f>
        <v>0.99999999999999989</v>
      </c>
      <c r="I107" s="40"/>
      <c r="J107" s="968" t="s">
        <v>358</v>
      </c>
      <c r="K107" s="76">
        <f>NTMLAB!C109</f>
        <v>3</v>
      </c>
      <c r="L107" s="349">
        <f>NTMLAB!D109</f>
        <v>2</v>
      </c>
      <c r="M107" s="349">
        <f>NTMLAB!E109</f>
        <v>2</v>
      </c>
      <c r="N107" s="76">
        <f>NTMLAB!H109</f>
        <v>3</v>
      </c>
      <c r="O107" s="349">
        <f>NTMLAB!I109</f>
        <v>2</v>
      </c>
      <c r="P107" s="349">
        <f>NTMLAB!J109</f>
        <v>2</v>
      </c>
      <c r="Q107" s="40"/>
      <c r="R107" s="46" t="s">
        <v>379</v>
      </c>
      <c r="S107" s="349">
        <f>'MOOCs-1'!C109</f>
        <v>2.75</v>
      </c>
      <c r="T107" s="349">
        <f>'MOOCs-1'!D109</f>
        <v>2.5</v>
      </c>
      <c r="U107" s="349">
        <f>'MOOCs-1'!E109</f>
        <v>2</v>
      </c>
      <c r="V107" s="349">
        <f>'MOOCs-1'!H109</f>
        <v>2.75</v>
      </c>
      <c r="W107" s="349">
        <f>'MOOCs-1'!I109</f>
        <v>2.5</v>
      </c>
      <c r="X107" s="349">
        <f>'MOOCs-1'!J109</f>
        <v>2</v>
      </c>
      <c r="Y107" s="40"/>
      <c r="Z107" s="968" t="s">
        <v>219</v>
      </c>
      <c r="AA107" s="76">
        <f>GPS!C91</f>
        <v>2.6</v>
      </c>
      <c r="AB107" s="349">
        <f>GPS!D91</f>
        <v>2.2000000000000002</v>
      </c>
      <c r="AC107" s="349">
        <f>GPS!E91</f>
        <v>2.25</v>
      </c>
      <c r="AD107" s="347">
        <f>GPS!O91</f>
        <v>2.5999999999999996</v>
      </c>
      <c r="AE107" s="349">
        <f>GPS!P91</f>
        <v>2.1999999999999997</v>
      </c>
      <c r="AF107" s="349">
        <f>GPS!Q91</f>
        <v>2.2499999999999996</v>
      </c>
    </row>
    <row r="108" spans="2:32" ht="35.1" customHeight="1" x14ac:dyDescent="0.25">
      <c r="B108" s="46" t="s">
        <v>102</v>
      </c>
      <c r="C108" s="38">
        <f>BEE!P83</f>
        <v>3</v>
      </c>
      <c r="D108" s="356">
        <f>BEE!Q83</f>
        <v>3</v>
      </c>
      <c r="E108" s="356">
        <f>BEE!R83</f>
        <v>2</v>
      </c>
      <c r="F108" s="38">
        <f>BEE!P94</f>
        <v>2.6550000000000002</v>
      </c>
      <c r="G108" s="356">
        <f>BEE!Q94</f>
        <v>2.6550000000000002</v>
      </c>
      <c r="H108" s="356">
        <f>BEE!R94</f>
        <v>1.7699999999999996</v>
      </c>
      <c r="I108" s="40"/>
      <c r="J108" s="968" t="s">
        <v>344</v>
      </c>
      <c r="K108" s="76">
        <f>EDCLAB!C109</f>
        <v>3</v>
      </c>
      <c r="L108" s="349">
        <f>EDCLAB!D109</f>
        <v>3</v>
      </c>
      <c r="M108" s="349">
        <f>EDCLAB!E109</f>
        <v>2</v>
      </c>
      <c r="N108" s="76">
        <f>EDCLAB!H109</f>
        <v>3</v>
      </c>
      <c r="O108" s="349">
        <f>EDCLAB!I109</f>
        <v>3</v>
      </c>
      <c r="P108" s="349">
        <f>EDCLAB!J109</f>
        <v>2</v>
      </c>
      <c r="Q108" s="40"/>
      <c r="R108" s="46" t="s">
        <v>357</v>
      </c>
      <c r="S108" s="76">
        <f>LICLAB!C109</f>
        <v>2.75</v>
      </c>
      <c r="T108" s="349">
        <f>LICLAB!D109</f>
        <v>2.5</v>
      </c>
      <c r="U108" s="349">
        <f>LICLAB!E109</f>
        <v>2</v>
      </c>
      <c r="V108" s="76">
        <f>LICLAB!H109</f>
        <v>2.75</v>
      </c>
      <c r="W108" s="349">
        <f>LICLAB!I109</f>
        <v>2.5</v>
      </c>
      <c r="X108" s="349">
        <f>LICLAB!J109</f>
        <v>2</v>
      </c>
      <c r="Y108" s="40"/>
      <c r="Z108" s="968" t="s">
        <v>122</v>
      </c>
      <c r="AA108" s="76">
        <f>MWELAB!C108</f>
        <v>3</v>
      </c>
      <c r="AB108" s="349">
        <f>MWELAB!D108</f>
        <v>2.3333333333333335</v>
      </c>
      <c r="AC108" s="349">
        <f>MWELAB!E108</f>
        <v>2</v>
      </c>
      <c r="AD108" s="347">
        <f>MWELAB!H108</f>
        <v>3</v>
      </c>
      <c r="AE108" s="349">
        <f>MWELAB!I108</f>
        <v>2.3333333333333335</v>
      </c>
      <c r="AF108" s="349">
        <f>MWELAB!J108</f>
        <v>2</v>
      </c>
    </row>
    <row r="109" spans="2:32" ht="35.1" customHeight="1" x14ac:dyDescent="0.25">
      <c r="B109" s="46" t="s">
        <v>105</v>
      </c>
      <c r="C109" s="47">
        <f>CHE!P85</f>
        <v>1.6666666666666667</v>
      </c>
      <c r="D109" s="47">
        <f>CHE!Q85</f>
        <v>1.5</v>
      </c>
      <c r="E109" s="47">
        <f>CHE!R85</f>
        <v>1.5</v>
      </c>
      <c r="F109" s="47">
        <f>CHE!P97</f>
        <v>1.6666666666666663</v>
      </c>
      <c r="G109" s="47">
        <f>CHE!Q97</f>
        <v>1.4999999999999998</v>
      </c>
      <c r="H109" s="47">
        <f>CHE!R97</f>
        <v>1.4999999999999998</v>
      </c>
      <c r="I109" s="40"/>
      <c r="J109" s="2484" t="s">
        <v>410</v>
      </c>
      <c r="K109" s="349">
        <f>'M-V'!C109</f>
        <v>2.75</v>
      </c>
      <c r="L109" s="349">
        <f>'M-V'!D109</f>
        <v>2.25</v>
      </c>
      <c r="M109" s="349">
        <f>'M-V'!E109</f>
        <v>1</v>
      </c>
      <c r="N109" s="349">
        <f>'M-V'!L109</f>
        <v>2.7499999999999996</v>
      </c>
      <c r="O109" s="349">
        <f>'M-V'!M109</f>
        <v>2.2499999999999996</v>
      </c>
      <c r="P109" s="349">
        <f>'M-V'!N109</f>
        <v>0.99999999999999989</v>
      </c>
      <c r="Q109" s="40"/>
      <c r="R109" s="46" t="s">
        <v>356</v>
      </c>
      <c r="S109" s="63">
        <f>'ACDC-LAB'!C109</f>
        <v>3</v>
      </c>
      <c r="T109" s="63">
        <f>'ACDC-LAB'!D109</f>
        <v>3</v>
      </c>
      <c r="U109" s="63">
        <f>'ACDC-LAB'!E109</f>
        <v>3</v>
      </c>
      <c r="V109" s="63">
        <f>'ACDC-LAB'!H109</f>
        <v>3</v>
      </c>
      <c r="W109" s="63">
        <f>'ACDC-LAB'!I109</f>
        <v>3</v>
      </c>
      <c r="X109" s="63">
        <f>'ACDC-LAB'!J109</f>
        <v>3</v>
      </c>
      <c r="Y109" s="40"/>
      <c r="Z109" s="73" t="s">
        <v>383</v>
      </c>
      <c r="AA109" s="76">
        <f>'SKILL LAB'!C109</f>
        <v>3</v>
      </c>
      <c r="AB109" s="349">
        <f>'SKILL LAB'!D109</f>
        <v>2.5</v>
      </c>
      <c r="AC109" s="349">
        <f>'SKILL LAB'!E109</f>
        <v>2</v>
      </c>
      <c r="AD109" s="76">
        <f>'SKILL LAB'!H109</f>
        <v>3</v>
      </c>
      <c r="AE109" s="349">
        <f>'SKILL LAB'!I109</f>
        <v>2.5</v>
      </c>
      <c r="AF109" s="349">
        <f>'SKILL LAB'!J109</f>
        <v>2</v>
      </c>
    </row>
    <row r="110" spans="2:32" ht="35.1" customHeight="1" x14ac:dyDescent="0.25">
      <c r="B110" s="46" t="s">
        <v>101</v>
      </c>
      <c r="C110" s="47">
        <f>CPNM!P81</f>
        <v>2.75</v>
      </c>
      <c r="D110" s="47">
        <f>CPNM!Q81</f>
        <v>2.25</v>
      </c>
      <c r="E110" s="47">
        <f>CPNM!R81</f>
        <v>1.75</v>
      </c>
      <c r="F110" s="47">
        <f>CPNM!P91</f>
        <v>2.4999999999999996</v>
      </c>
      <c r="G110" s="47">
        <f>CPNM!Q91</f>
        <v>2.0249999999999999</v>
      </c>
      <c r="H110" s="47">
        <f>CPNM!R91</f>
        <v>1.5999999999999996</v>
      </c>
      <c r="I110" s="40"/>
      <c r="J110" s="968" t="s">
        <v>108</v>
      </c>
      <c r="K110" s="76">
        <f>EMFTL!C108</f>
        <v>2</v>
      </c>
      <c r="L110" s="349"/>
      <c r="M110" s="349"/>
      <c r="N110" s="76">
        <f>EMFTL!O108</f>
        <v>1.7499999999999998</v>
      </c>
      <c r="O110" s="349"/>
      <c r="P110" s="349"/>
      <c r="Q110" s="40"/>
      <c r="R110" s="46" t="s">
        <v>350</v>
      </c>
      <c r="S110" s="63">
        <f>VLSI3.2!C113</f>
        <v>2.8</v>
      </c>
      <c r="T110" s="63">
        <f>VLSI3.2!D113</f>
        <v>2.2000000000000002</v>
      </c>
      <c r="U110" s="63">
        <f>VLSI3.2!E113</f>
        <v>1</v>
      </c>
      <c r="V110" s="63">
        <f>VLSI3.2!O113</f>
        <v>2.4499999999999997</v>
      </c>
      <c r="W110" s="63">
        <f>VLSI3.2!P113</f>
        <v>1.9749999999999999</v>
      </c>
      <c r="X110" s="63">
        <f>VLSI3.2!Q113</f>
        <v>0.89999999999999991</v>
      </c>
      <c r="Y110" s="40"/>
      <c r="Z110" s="73" t="s">
        <v>380</v>
      </c>
      <c r="AA110" s="349">
        <f>INTERNSHIP!C109</f>
        <v>2</v>
      </c>
      <c r="AB110" s="349">
        <f>INTERNSHIP!D109</f>
        <v>2</v>
      </c>
      <c r="AC110" s="349">
        <f>INTERNSHIP!E109</f>
        <v>2.25</v>
      </c>
      <c r="AD110" s="349">
        <f>INTERNSHIP!H109</f>
        <v>2</v>
      </c>
      <c r="AE110" s="349">
        <f>INTERNSHIP!I109</f>
        <v>2</v>
      </c>
      <c r="AF110" s="349">
        <f>INTERNSHIP!J109</f>
        <v>2.25</v>
      </c>
    </row>
    <row r="111" spans="2:32" ht="35.1" customHeight="1" x14ac:dyDescent="0.25">
      <c r="B111" s="46" t="s">
        <v>375</v>
      </c>
      <c r="C111" s="47">
        <f>ENGLISH1.1!C101</f>
        <v>2</v>
      </c>
      <c r="D111" s="47">
        <f>ENGLISH1.1!D101</f>
        <v>2.4</v>
      </c>
      <c r="E111" s="47">
        <f>ENGLISH1.1!E101</f>
        <v>3</v>
      </c>
      <c r="F111" s="47">
        <f>ENGLISH1.1!L101</f>
        <v>1.9999999999999996</v>
      </c>
      <c r="G111" s="47">
        <f>ENGLISH1.1!M101</f>
        <v>2.3999999999999995</v>
      </c>
      <c r="H111" s="47">
        <f>ENGLISH1.1!N101</f>
        <v>2.9999999999999996</v>
      </c>
      <c r="I111" s="40"/>
      <c r="J111" s="46" t="s">
        <v>109</v>
      </c>
      <c r="K111" s="76">
        <f>AEC!C111</f>
        <v>3</v>
      </c>
      <c r="L111" s="349">
        <f>AEC!D111</f>
        <v>1</v>
      </c>
      <c r="M111" s="349">
        <f>AEC!E111</f>
        <v>2</v>
      </c>
      <c r="N111" s="76">
        <f>AEC!N111</f>
        <v>2.3249999999999993</v>
      </c>
      <c r="O111" s="349">
        <f>AEC!O111</f>
        <v>0.7749999999999998</v>
      </c>
      <c r="P111" s="349">
        <f>AEC!P111</f>
        <v>1.5499999999999996</v>
      </c>
      <c r="Q111" s="40"/>
      <c r="R111" s="46" t="s">
        <v>128</v>
      </c>
      <c r="S111" s="63">
        <f>MPMC!C113</f>
        <v>3</v>
      </c>
      <c r="T111" s="63">
        <f>MPMC!D113</f>
        <v>2.5</v>
      </c>
      <c r="U111" s="63">
        <f>MPMC!E113</f>
        <v>2</v>
      </c>
      <c r="V111" s="63">
        <f>MPMC!O113</f>
        <v>2.9999999999999996</v>
      </c>
      <c r="W111" s="63">
        <f>MPMC!P113</f>
        <v>2.4999999999999996</v>
      </c>
      <c r="X111" s="63">
        <f>MPMC!Q113</f>
        <v>1.9999999999999998</v>
      </c>
      <c r="Y111" s="40"/>
      <c r="Z111" s="73" t="s">
        <v>381</v>
      </c>
      <c r="AA111" s="349">
        <v>3</v>
      </c>
      <c r="AB111" s="349">
        <v>4</v>
      </c>
      <c r="AC111" s="349">
        <v>5</v>
      </c>
      <c r="AD111" s="349">
        <v>3</v>
      </c>
      <c r="AE111" s="349">
        <v>4</v>
      </c>
      <c r="AF111" s="349">
        <v>5</v>
      </c>
    </row>
    <row r="112" spans="2:32" ht="35.1" customHeight="1" x14ac:dyDescent="0.25">
      <c r="B112" s="46" t="s">
        <v>362</v>
      </c>
      <c r="C112" s="38">
        <f>CHELAB!P73</f>
        <v>1</v>
      </c>
      <c r="D112" s="356">
        <f>CHELAB!Q73</f>
        <v>3</v>
      </c>
      <c r="E112" s="356">
        <f>CHELAB!R73</f>
        <v>3</v>
      </c>
      <c r="F112" s="38">
        <f>CHELAB!P80</f>
        <v>1</v>
      </c>
      <c r="G112" s="356">
        <f>CHELAB!Q80</f>
        <v>3</v>
      </c>
      <c r="H112" s="356">
        <f>CHELAB!R80</f>
        <v>3</v>
      </c>
      <c r="I112" s="40"/>
      <c r="J112" s="46" t="s">
        <v>117</v>
      </c>
      <c r="K112" s="76">
        <f>STLD!C109</f>
        <v>2.75</v>
      </c>
      <c r="L112" s="349">
        <f>STLD!D109</f>
        <v>2.25</v>
      </c>
      <c r="M112" s="349">
        <f>STLD!E109</f>
        <v>1</v>
      </c>
      <c r="N112" s="76">
        <f>STLD!M109</f>
        <v>2.4499999999999997</v>
      </c>
      <c r="O112" s="349">
        <f>STLD!N109</f>
        <v>1.9499999999999995</v>
      </c>
      <c r="P112" s="349">
        <f>STLD!O109</f>
        <v>0.89999999999999991</v>
      </c>
      <c r="Q112" s="40"/>
      <c r="R112" s="46" t="s">
        <v>126</v>
      </c>
      <c r="S112" s="63">
        <f>DSP!C113</f>
        <v>2.8</v>
      </c>
      <c r="T112" s="63">
        <f>DSP!D113</f>
        <v>2.2000000000000002</v>
      </c>
      <c r="U112" s="63">
        <f>DSP!E113</f>
        <v>1</v>
      </c>
      <c r="V112" s="63">
        <f>DSP!O113</f>
        <v>2.6199999999999997</v>
      </c>
      <c r="W112" s="63">
        <f>DSP!P113</f>
        <v>2.0799999999999996</v>
      </c>
      <c r="X112" s="63">
        <f>DSP!Q113</f>
        <v>0.99999999999999989</v>
      </c>
      <c r="Y112" s="40"/>
      <c r="Z112" s="73" t="s">
        <v>382</v>
      </c>
      <c r="AA112" s="349">
        <f>'MOOCs-II'!C109</f>
        <v>3</v>
      </c>
      <c r="AB112" s="349">
        <f>'MOOCs-II'!D109</f>
        <v>2.5</v>
      </c>
      <c r="AC112" s="349">
        <f>'MOOCs-II'!E109</f>
        <v>2</v>
      </c>
      <c r="AD112" s="349">
        <f>'MOOCs-II'!H109</f>
        <v>3</v>
      </c>
      <c r="AE112" s="349">
        <f>'MOOCs-II'!I109</f>
        <v>2.5</v>
      </c>
      <c r="AF112" s="349">
        <f>'MOOCs-II'!J109</f>
        <v>2</v>
      </c>
    </row>
    <row r="113" spans="2:35" ht="35.1" customHeight="1" x14ac:dyDescent="0.25">
      <c r="B113" s="46" t="s">
        <v>361</v>
      </c>
      <c r="C113" s="38">
        <f>CPNMLAB!U14</f>
        <v>3</v>
      </c>
      <c r="D113" s="356">
        <f>CPNMLAB!V14</f>
        <v>3</v>
      </c>
      <c r="E113" s="356">
        <f>CPNMLAB!W14</f>
        <v>3</v>
      </c>
      <c r="F113" s="38">
        <f>CPNMLAB!U21</f>
        <v>3</v>
      </c>
      <c r="G113" s="356">
        <f>CPNMLAB!V21</f>
        <v>3</v>
      </c>
      <c r="H113" s="356">
        <f>CPNMLAB!W21</f>
        <v>3</v>
      </c>
      <c r="I113" s="40"/>
      <c r="J113" s="46" t="s">
        <v>111</v>
      </c>
      <c r="K113" s="76">
        <f>PTRP!C109</f>
        <v>2.75</v>
      </c>
      <c r="L113" s="349">
        <f>PTRP!D109</f>
        <v>2.25</v>
      </c>
      <c r="M113" s="349">
        <f>PTRP!E109</f>
        <v>1</v>
      </c>
      <c r="N113" s="76">
        <f>PTRP!N109</f>
        <v>2.625</v>
      </c>
      <c r="O113" s="349">
        <f>PTRP!O109</f>
        <v>2.125</v>
      </c>
      <c r="P113" s="349">
        <f>PTRP!P109</f>
        <v>0.95</v>
      </c>
      <c r="Q113" s="40"/>
      <c r="R113" s="969" t="s">
        <v>129</v>
      </c>
      <c r="S113" s="63">
        <f>CMC!C85</f>
        <v>3</v>
      </c>
      <c r="T113" s="63">
        <f>CMC!D85</f>
        <v>2.4</v>
      </c>
      <c r="U113" s="63">
        <f>CMC!E85</f>
        <v>2.4</v>
      </c>
      <c r="V113" s="63">
        <f>CMC!N85</f>
        <v>2.9999999999999996</v>
      </c>
      <c r="W113" s="63">
        <f>CMC!O85</f>
        <v>2.3999999999999995</v>
      </c>
      <c r="X113" s="63">
        <f>CMC!P85</f>
        <v>2.3999999999999995</v>
      </c>
      <c r="Y113" s="40"/>
      <c r="Z113" s="40"/>
      <c r="AA113" s="40"/>
      <c r="AB113" s="40"/>
    </row>
    <row r="114" spans="2:35" ht="35.1" customHeight="1" x14ac:dyDescent="0.25">
      <c r="I114" s="40"/>
      <c r="J114" s="46" t="s">
        <v>113</v>
      </c>
      <c r="K114" s="76">
        <f>ES!C113</f>
        <v>2.8</v>
      </c>
      <c r="L114" s="349">
        <f>ES!D113</f>
        <v>2.4</v>
      </c>
      <c r="M114" s="349">
        <f>ES!E113</f>
        <v>1</v>
      </c>
      <c r="N114" s="76">
        <f>ES!N113</f>
        <v>2.44</v>
      </c>
      <c r="O114" s="349">
        <f>ES!O113</f>
        <v>2.0599999999999996</v>
      </c>
      <c r="P114" s="349">
        <f>ES!P113</f>
        <v>0.95</v>
      </c>
      <c r="Q114" s="40"/>
      <c r="R114" s="969" t="s">
        <v>351</v>
      </c>
      <c r="S114" s="63">
        <f>ITC!C84</f>
        <v>2.5</v>
      </c>
      <c r="T114" s="63">
        <f>ITC!D84</f>
        <v>1</v>
      </c>
      <c r="U114" s="63">
        <f>ITC!E84</f>
        <v>2</v>
      </c>
      <c r="V114" s="63">
        <f>ITC!O84</f>
        <v>2.0999999999999996</v>
      </c>
      <c r="W114" s="63">
        <f>ITC!P84</f>
        <v>0.84999999999999987</v>
      </c>
      <c r="X114" s="63">
        <f>ITC!Q84</f>
        <v>1.6999999999999997</v>
      </c>
      <c r="Y114" s="40"/>
      <c r="Z114" s="40"/>
      <c r="AA114" s="40"/>
      <c r="AB114" s="40"/>
    </row>
    <row r="115" spans="2:35" ht="35.1" customHeight="1" x14ac:dyDescent="0.25">
      <c r="I115" s="40"/>
      <c r="J115" s="972" t="s">
        <v>348</v>
      </c>
      <c r="K115" s="76">
        <f>UHV!C113</f>
        <v>2.8</v>
      </c>
      <c r="L115" s="349">
        <f>UHV!D113</f>
        <v>2.4</v>
      </c>
      <c r="M115" s="349">
        <f>UHV!E113</f>
        <v>1</v>
      </c>
      <c r="N115" s="76">
        <f>UHV!N113</f>
        <v>2.4999999999999996</v>
      </c>
      <c r="O115" s="349">
        <f>UHV!O113</f>
        <v>2.0999999999999996</v>
      </c>
      <c r="P115" s="349">
        <f>UHV!P113</f>
        <v>0.99999999999999989</v>
      </c>
      <c r="Q115" s="40"/>
      <c r="R115" s="969" t="s">
        <v>352</v>
      </c>
      <c r="S115" s="63">
        <f>SC!C76</f>
        <v>3</v>
      </c>
      <c r="T115" s="63">
        <f>SC!D76</f>
        <v>3</v>
      </c>
      <c r="U115" s="63">
        <f>SC!E76</f>
        <v>3</v>
      </c>
      <c r="V115" s="63">
        <f>EMI!O81</f>
        <v>2.1333333333333329</v>
      </c>
      <c r="W115" s="63">
        <f>EMI!P81</f>
        <v>1.6916666666666667</v>
      </c>
      <c r="X115" s="63">
        <f>EMI!Q81</f>
        <v>0.8833333333333333</v>
      </c>
      <c r="Y115" s="40"/>
      <c r="Z115" s="40"/>
      <c r="AA115" s="40"/>
      <c r="AB115" s="40"/>
      <c r="AF115" s="25" t="s">
        <v>84</v>
      </c>
    </row>
    <row r="116" spans="2:35" ht="35.1" customHeight="1" x14ac:dyDescent="0.25">
      <c r="B116" s="51"/>
      <c r="C116" s="48"/>
      <c r="D116" s="48"/>
      <c r="E116" s="48"/>
      <c r="F116" s="48"/>
      <c r="G116" s="48"/>
      <c r="H116" s="48"/>
      <c r="I116" s="2045"/>
      <c r="J116" s="46" t="s">
        <v>317</v>
      </c>
      <c r="K116" s="76">
        <f>DICLAB!C109</f>
        <v>2</v>
      </c>
      <c r="L116" s="349">
        <f>DICLAB!D109</f>
        <v>2</v>
      </c>
      <c r="M116" s="349">
        <f>DICLAB!E109</f>
        <v>2.5</v>
      </c>
      <c r="N116" s="76">
        <f>DICLAB!H109</f>
        <v>2</v>
      </c>
      <c r="O116" s="349">
        <f>DICLAB!I109</f>
        <v>2</v>
      </c>
      <c r="P116" s="349">
        <f>DICLAB!J109</f>
        <v>2.5</v>
      </c>
      <c r="R116" s="969" t="s">
        <v>218</v>
      </c>
      <c r="S116" s="63">
        <f>EMI!C81</f>
        <v>2.75</v>
      </c>
      <c r="T116" s="63">
        <f>EMI!D81</f>
        <v>2.25</v>
      </c>
      <c r="U116" s="63">
        <f>EMI!E81</f>
        <v>1</v>
      </c>
      <c r="V116" s="63">
        <f>EMI!O81</f>
        <v>2.1333333333333329</v>
      </c>
      <c r="W116" s="63">
        <f>EMI!P81</f>
        <v>1.6916666666666667</v>
      </c>
      <c r="X116" s="63">
        <f>EMI!Q81</f>
        <v>0.8833333333333333</v>
      </c>
    </row>
    <row r="117" spans="2:35" ht="35.1" customHeight="1" x14ac:dyDescent="0.25">
      <c r="B117" s="40"/>
      <c r="C117" s="40"/>
      <c r="D117" s="40"/>
      <c r="E117" s="40"/>
      <c r="F117" s="40"/>
      <c r="G117" s="40"/>
      <c r="H117" s="40"/>
      <c r="I117" s="40"/>
      <c r="J117" s="46" t="s">
        <v>347</v>
      </c>
      <c r="K117" s="349">
        <f>AECLAB!C109</f>
        <v>3</v>
      </c>
      <c r="L117" s="349">
        <f>AECLAB!D109</f>
        <v>3</v>
      </c>
      <c r="M117" s="349">
        <f>AECLAB!E109</f>
        <v>3</v>
      </c>
      <c r="N117" s="349">
        <f>AECLAB!H109</f>
        <v>3</v>
      </c>
      <c r="O117" s="349">
        <f>AECLAB!I109</f>
        <v>3</v>
      </c>
      <c r="P117" s="349">
        <f>AECLAB!J109</f>
        <v>3</v>
      </c>
      <c r="Q117" s="40"/>
      <c r="R117" s="969" t="s">
        <v>130</v>
      </c>
      <c r="S117" s="63">
        <f>DSPLAB!C108</f>
        <v>3</v>
      </c>
      <c r="T117" s="63">
        <f>DSPLAB!D108</f>
        <v>2.5</v>
      </c>
      <c r="U117" s="63">
        <f>DSPLAB!E108</f>
        <v>2</v>
      </c>
      <c r="V117" s="63">
        <f>DSPLAB!H108</f>
        <v>3</v>
      </c>
      <c r="W117" s="63">
        <f>DSPLAB!I108</f>
        <v>2.5</v>
      </c>
      <c r="X117" s="63">
        <f>DSPLAB!J108</f>
        <v>2</v>
      </c>
      <c r="Y117" s="346"/>
      <c r="Z117" s="346"/>
      <c r="AA117" s="346"/>
      <c r="AB117" s="346"/>
    </row>
    <row r="118" spans="2:35" s="2273" customFormat="1" ht="35.1" customHeight="1" x14ac:dyDescent="0.25">
      <c r="B118" s="2264"/>
      <c r="C118" s="2264"/>
      <c r="D118" s="2264"/>
      <c r="E118" s="2264"/>
      <c r="F118" s="2264"/>
      <c r="G118" s="2264"/>
      <c r="H118" s="2264"/>
      <c r="I118" s="2264"/>
      <c r="Q118" s="2264"/>
      <c r="R118" s="969" t="s">
        <v>353</v>
      </c>
      <c r="S118" s="837">
        <f>MPMCLAB!C108</f>
        <v>3</v>
      </c>
      <c r="T118" s="2468">
        <f>MPMCLAB!D108</f>
        <v>2.5</v>
      </c>
      <c r="U118" s="2468">
        <f>MPMCLAB!E108</f>
        <v>2</v>
      </c>
      <c r="V118" s="981">
        <f>MPMCLAB!H108</f>
        <v>3</v>
      </c>
      <c r="W118" s="981">
        <f>MPMCLAB!I108</f>
        <v>2.5</v>
      </c>
      <c r="X118" s="981">
        <f>MPMCLAB!J108</f>
        <v>2</v>
      </c>
      <c r="Y118" s="2263"/>
      <c r="Z118" s="2263"/>
      <c r="AA118" s="2263"/>
      <c r="AB118" s="2263"/>
    </row>
    <row r="119" spans="2:35" ht="35.1" customHeight="1" x14ac:dyDescent="0.25">
      <c r="I119" s="40"/>
      <c r="P119" s="40"/>
      <c r="Q119" s="40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spans="2:35" ht="35.1" customHeight="1" x14ac:dyDescent="0.25">
      <c r="I120" s="40"/>
      <c r="J120" s="51"/>
      <c r="K120" s="29"/>
      <c r="L120" s="29"/>
      <c r="M120" s="29"/>
      <c r="N120" s="29"/>
      <c r="Q120" s="40"/>
    </row>
    <row r="121" spans="2:35" ht="35.1" customHeight="1" x14ac:dyDescent="0.25">
      <c r="L121" s="2654" t="s">
        <v>141</v>
      </c>
      <c r="M121" s="2654"/>
      <c r="N121" s="2654"/>
      <c r="O121" s="2654"/>
      <c r="P121" s="2654"/>
      <c r="Q121" s="2654"/>
      <c r="R121" s="2654"/>
      <c r="S121" s="2654"/>
      <c r="T121" s="2654"/>
      <c r="U121" s="2654"/>
      <c r="V121" s="2654"/>
      <c r="W121" s="2654"/>
      <c r="X121" s="2654"/>
      <c r="Y121" s="2654"/>
      <c r="Z121" s="950"/>
      <c r="AA121" s="950"/>
      <c r="AB121" s="950"/>
      <c r="AD121" s="346"/>
      <c r="AE121" s="346"/>
      <c r="AF121" s="346"/>
      <c r="AG121" s="346"/>
      <c r="AH121" s="346"/>
      <c r="AI121" s="346"/>
    </row>
    <row r="122" spans="2:35" ht="35.1" customHeight="1" x14ac:dyDescent="0.25">
      <c r="AC122" s="346"/>
      <c r="AD122" s="56"/>
      <c r="AE122" s="56"/>
      <c r="AF122" s="56"/>
      <c r="AG122" s="56"/>
      <c r="AH122" s="56"/>
      <c r="AI122" s="56"/>
    </row>
    <row r="123" spans="2:35" ht="35.1" customHeight="1" x14ac:dyDescent="0.25">
      <c r="F123" s="2655" t="s">
        <v>86</v>
      </c>
      <c r="G123" s="2656"/>
      <c r="H123" s="2656"/>
      <c r="I123" s="2657"/>
      <c r="J123" s="2626" t="s">
        <v>93</v>
      </c>
      <c r="K123" s="2628"/>
      <c r="L123" s="2639"/>
      <c r="M123" s="2629" t="s">
        <v>94</v>
      </c>
      <c r="N123" s="2631"/>
      <c r="O123" s="2647"/>
      <c r="U123" s="57" t="s">
        <v>46</v>
      </c>
      <c r="V123" s="57" t="s">
        <v>47</v>
      </c>
      <c r="W123" s="57" t="s">
        <v>48</v>
      </c>
      <c r="X123" s="57" t="s">
        <v>49</v>
      </c>
      <c r="Y123" s="57" t="s">
        <v>50</v>
      </c>
      <c r="Z123" s="57" t="s">
        <v>51</v>
      </c>
      <c r="AA123" s="57" t="s">
        <v>52</v>
      </c>
      <c r="AB123" s="57" t="s">
        <v>53</v>
      </c>
      <c r="AC123" s="57" t="s">
        <v>54</v>
      </c>
      <c r="AD123" s="57" t="s">
        <v>55</v>
      </c>
      <c r="AE123" s="57" t="s">
        <v>56</v>
      </c>
      <c r="AF123" s="57" t="s">
        <v>57</v>
      </c>
      <c r="AG123" s="57" t="s">
        <v>87</v>
      </c>
      <c r="AH123" s="57" t="s">
        <v>88</v>
      </c>
      <c r="AI123" s="57" t="s">
        <v>85</v>
      </c>
    </row>
    <row r="124" spans="2:35" ht="35.1" customHeight="1" x14ac:dyDescent="0.25">
      <c r="F124" s="2658"/>
      <c r="G124" s="2659"/>
      <c r="H124" s="2659"/>
      <c r="I124" s="2660"/>
      <c r="J124" s="2397" t="s">
        <v>87</v>
      </c>
      <c r="K124" s="2397" t="s">
        <v>88</v>
      </c>
      <c r="L124" s="2397" t="s">
        <v>85</v>
      </c>
      <c r="M124" s="2399" t="s">
        <v>87</v>
      </c>
      <c r="N124" s="2399" t="s">
        <v>88</v>
      </c>
      <c r="O124" s="2399" t="s">
        <v>85</v>
      </c>
      <c r="R124" s="2644" t="s">
        <v>223</v>
      </c>
      <c r="S124" s="2645"/>
      <c r="T124" s="2646"/>
      <c r="U124" s="32">
        <f>J47</f>
        <v>2.8002777777777776</v>
      </c>
      <c r="V124" s="32">
        <f>K47</f>
        <v>2.5602339181286546</v>
      </c>
      <c r="W124" s="32">
        <f>L47</f>
        <v>2.1222222222222227</v>
      </c>
      <c r="X124" s="32">
        <f>M47</f>
        <v>2.0559748427672959</v>
      </c>
      <c r="Y124" s="32">
        <f>N47</f>
        <v>2.2179245283018871</v>
      </c>
      <c r="Z124" s="32">
        <f t="shared" ref="Z124:AB124" si="2">O47</f>
        <v>1.9481981981981984</v>
      </c>
      <c r="AA124" s="32">
        <f t="shared" si="2"/>
        <v>2.2392857142857143</v>
      </c>
      <c r="AB124" s="32">
        <f t="shared" si="2"/>
        <v>2.246031746031746</v>
      </c>
      <c r="AC124" s="32">
        <f>R47</f>
        <v>2.8275862068965516</v>
      </c>
      <c r="AD124" s="32">
        <f>S47</f>
        <v>2.3846153846153846</v>
      </c>
      <c r="AE124" s="32">
        <f>T47</f>
        <v>2.0579710144927539</v>
      </c>
      <c r="AF124" s="32">
        <f>U47</f>
        <v>2.3330459770114942</v>
      </c>
      <c r="AG124" s="38">
        <f>J126</f>
        <v>2.6802777777777775</v>
      </c>
      <c r="AH124" s="38">
        <f>K126</f>
        <v>2.3420903954802261</v>
      </c>
      <c r="AI124" s="38">
        <f>L126</f>
        <v>1.9149122807017545</v>
      </c>
    </row>
    <row r="125" spans="2:35" ht="35.1" customHeight="1" x14ac:dyDescent="0.25">
      <c r="F125" s="2651" t="s">
        <v>89</v>
      </c>
      <c r="G125" s="2651"/>
      <c r="H125" s="2651"/>
      <c r="I125" s="2651"/>
      <c r="J125" s="32">
        <f>AVERAGE(C101:C113,K101:K117,S101:S118,AA101:AA112)</f>
        <v>2.6802777777777775</v>
      </c>
      <c r="K125" s="32">
        <f t="shared" ref="K125:O125" si="3">AVERAGE(D101:D113,L101:L117,T101:T118,AB101:AB112)</f>
        <v>2.3420903954802261</v>
      </c>
      <c r="L125" s="32">
        <f t="shared" si="3"/>
        <v>1.9149122807017545</v>
      </c>
      <c r="M125" s="32">
        <f t="shared" si="3"/>
        <v>2.4977222222222224</v>
      </c>
      <c r="N125" s="32">
        <f t="shared" si="3"/>
        <v>2.1802259887005651</v>
      </c>
      <c r="O125" s="32">
        <f t="shared" si="3"/>
        <v>1.7958479532163747</v>
      </c>
      <c r="P125" s="346"/>
      <c r="Q125" s="346"/>
      <c r="R125" s="2632" t="s">
        <v>94</v>
      </c>
      <c r="S125" s="2633"/>
      <c r="T125" s="2634"/>
      <c r="U125" s="38">
        <f t="shared" ref="U125:AD125" si="4">E139</f>
        <v>2.4482222222222227</v>
      </c>
      <c r="V125" s="356">
        <f t="shared" si="4"/>
        <v>2.2873333333333332</v>
      </c>
      <c r="W125" s="356">
        <f t="shared" si="4"/>
        <v>1.9172046783625731</v>
      </c>
      <c r="X125" s="356">
        <f t="shared" si="4"/>
        <v>1.8982893081761008</v>
      </c>
      <c r="Y125" s="356">
        <f t="shared" si="4"/>
        <v>1.9732704402515722</v>
      </c>
      <c r="Z125" s="356">
        <f t="shared" si="4"/>
        <v>1.7743703703703702</v>
      </c>
      <c r="AA125" s="356">
        <f t="shared" si="4"/>
        <v>2.0185238095238094</v>
      </c>
      <c r="AB125" s="356">
        <f t="shared" si="4"/>
        <v>2.0564</v>
      </c>
      <c r="AC125" s="356">
        <f t="shared" si="4"/>
        <v>2.4948275862068963</v>
      </c>
      <c r="AD125" s="356">
        <f t="shared" si="4"/>
        <v>2.1636923076923078</v>
      </c>
      <c r="AE125" s="356">
        <f t="shared" ref="AE125" si="5">O139</f>
        <v>1.9419420289855074</v>
      </c>
      <c r="AF125" s="356">
        <f>P139</f>
        <v>2.1168505747126436</v>
      </c>
      <c r="AG125" s="356">
        <f>Q139</f>
        <v>2.400177777777778</v>
      </c>
      <c r="AH125" s="356">
        <f>R139</f>
        <v>2.0921807909604522</v>
      </c>
      <c r="AI125" s="356">
        <f>S139</f>
        <v>1.7806783625731</v>
      </c>
    </row>
    <row r="126" spans="2:35" ht="35.1" customHeight="1" x14ac:dyDescent="0.25">
      <c r="F126" s="2651" t="s">
        <v>89</v>
      </c>
      <c r="G126" s="2651"/>
      <c r="H126" s="2651"/>
      <c r="I126" s="2651"/>
      <c r="J126" s="32">
        <f>AVERAGE(C101:C113,K101:K117,S101:S118,AA101:AA112)</f>
        <v>2.6802777777777775</v>
      </c>
      <c r="K126" s="32">
        <f t="shared" ref="K126:O126" si="6">AVERAGE(D101:D113,L101:L117,T101:T118,AB101:AB112)</f>
        <v>2.3420903954802261</v>
      </c>
      <c r="L126" s="32">
        <f t="shared" si="6"/>
        <v>1.9149122807017545</v>
      </c>
      <c r="M126" s="32">
        <f t="shared" si="6"/>
        <v>2.4977222222222224</v>
      </c>
      <c r="N126" s="32">
        <f t="shared" si="6"/>
        <v>2.1802259887005651</v>
      </c>
      <c r="O126" s="32">
        <f t="shared" si="6"/>
        <v>1.7958479532163747</v>
      </c>
      <c r="AD126" s="13"/>
      <c r="AE126" s="13"/>
      <c r="AF126" s="13"/>
    </row>
    <row r="127" spans="2:35" ht="35.1" customHeight="1" x14ac:dyDescent="0.25">
      <c r="B127" s="346" t="s">
        <v>95</v>
      </c>
      <c r="C127" s="346"/>
      <c r="D127" s="346"/>
      <c r="E127" s="346"/>
      <c r="F127" s="50"/>
      <c r="G127" s="50"/>
      <c r="H127" s="50"/>
      <c r="I127" s="50"/>
      <c r="J127" s="50"/>
      <c r="K127" s="50"/>
      <c r="L127" s="50"/>
      <c r="M127" s="50"/>
      <c r="N127" s="50"/>
      <c r="AC127" s="13"/>
      <c r="AD127" s="13"/>
      <c r="AE127" s="13"/>
      <c r="AF127" s="13"/>
    </row>
    <row r="128" spans="2:35" ht="35.1" customHeight="1" x14ac:dyDescent="0.25">
      <c r="AC128" s="13"/>
    </row>
    <row r="129" spans="2:31" ht="35.1" customHeight="1" x14ac:dyDescent="0.25">
      <c r="B129" s="2652"/>
      <c r="C129" s="2652"/>
      <c r="D129" s="2653"/>
      <c r="E129" s="57" t="s">
        <v>46</v>
      </c>
      <c r="F129" s="57" t="s">
        <v>47</v>
      </c>
      <c r="G129" s="57" t="s">
        <v>48</v>
      </c>
      <c r="H129" s="57" t="s">
        <v>49</v>
      </c>
      <c r="I129" s="57" t="s">
        <v>50</v>
      </c>
      <c r="J129" s="57" t="s">
        <v>51</v>
      </c>
      <c r="K129" s="57" t="s">
        <v>52</v>
      </c>
      <c r="L129" s="57" t="s">
        <v>53</v>
      </c>
      <c r="M129" s="57" t="s">
        <v>54</v>
      </c>
      <c r="N129" s="57" t="s">
        <v>55</v>
      </c>
      <c r="O129" s="57" t="s">
        <v>56</v>
      </c>
      <c r="P129" s="57" t="s">
        <v>57</v>
      </c>
      <c r="Q129" s="57" t="s">
        <v>87</v>
      </c>
      <c r="R129" s="57" t="s">
        <v>88</v>
      </c>
      <c r="S129" s="57" t="s">
        <v>85</v>
      </c>
    </row>
    <row r="130" spans="2:31" ht="35.1" customHeight="1" x14ac:dyDescent="0.25">
      <c r="B130" s="2626" t="s">
        <v>223</v>
      </c>
      <c r="C130" s="2627"/>
      <c r="D130" s="2639"/>
      <c r="E130" s="55">
        <f>J47</f>
        <v>2.8002777777777776</v>
      </c>
      <c r="F130" s="55">
        <f t="shared" ref="F130:I130" si="7">K47</f>
        <v>2.5602339181286546</v>
      </c>
      <c r="G130" s="55">
        <f t="shared" si="7"/>
        <v>2.1222222222222227</v>
      </c>
      <c r="H130" s="55">
        <f t="shared" si="7"/>
        <v>2.0559748427672959</v>
      </c>
      <c r="I130" s="55">
        <f t="shared" si="7"/>
        <v>2.2179245283018871</v>
      </c>
      <c r="J130" s="55">
        <f>O47</f>
        <v>1.9481981981981984</v>
      </c>
      <c r="K130" s="55">
        <f>P47</f>
        <v>2.2392857142857143</v>
      </c>
      <c r="L130" s="55">
        <f>Q47</f>
        <v>2.246031746031746</v>
      </c>
      <c r="M130" s="55">
        <f>R47</f>
        <v>2.8275862068965516</v>
      </c>
      <c r="N130" s="55">
        <f>S47</f>
        <v>2.3846153846153846</v>
      </c>
      <c r="O130" s="55">
        <f t="shared" ref="O130" si="8">T47</f>
        <v>2.0579710144927539</v>
      </c>
      <c r="P130" s="55">
        <f t="shared" ref="P130" si="9">U47</f>
        <v>2.3330459770114942</v>
      </c>
      <c r="Q130" s="73">
        <f>J126</f>
        <v>2.6802777777777775</v>
      </c>
      <c r="R130" s="73">
        <f>K126</f>
        <v>2.3420903954802261</v>
      </c>
      <c r="S130" s="73">
        <f>L126</f>
        <v>1.9149122807017545</v>
      </c>
    </row>
    <row r="131" spans="2:31" ht="35.1" customHeight="1" x14ac:dyDescent="0.25">
      <c r="B131" s="2629" t="s">
        <v>224</v>
      </c>
      <c r="C131" s="2630"/>
      <c r="D131" s="2647"/>
      <c r="E131" s="58">
        <f>J94</f>
        <v>2.6277777777777782</v>
      </c>
      <c r="F131" s="73">
        <f t="shared" ref="F131:I131" si="10">K94</f>
        <v>2.4016666666666664</v>
      </c>
      <c r="G131" s="73">
        <f t="shared" si="10"/>
        <v>1.9490058479532162</v>
      </c>
      <c r="H131" s="73">
        <f t="shared" si="10"/>
        <v>1.9778616352201257</v>
      </c>
      <c r="I131" s="73">
        <f t="shared" si="10"/>
        <v>2.0590880503144651</v>
      </c>
      <c r="J131" s="73">
        <f>O94</f>
        <v>1.8479629629629626</v>
      </c>
      <c r="K131" s="73">
        <f>P94</f>
        <v>2.1506547619047618</v>
      </c>
      <c r="L131" s="73">
        <f>Q94</f>
        <v>2.1930000000000001</v>
      </c>
      <c r="M131" s="73">
        <f>R94</f>
        <v>2.7160344827586202</v>
      </c>
      <c r="N131" s="73">
        <f>S94</f>
        <v>2.2821153846153845</v>
      </c>
      <c r="O131" s="73">
        <f t="shared" ref="O131" si="11">T94</f>
        <v>2.0449275362318842</v>
      </c>
      <c r="P131" s="73">
        <f t="shared" ref="P131" si="12">U94</f>
        <v>2.2060632183908044</v>
      </c>
      <c r="Q131" s="73">
        <f>M126</f>
        <v>2.4977222222222224</v>
      </c>
      <c r="R131" s="73">
        <f>N126</f>
        <v>2.1802259887005651</v>
      </c>
      <c r="S131" s="73">
        <f>O126</f>
        <v>1.7958479532163747</v>
      </c>
    </row>
    <row r="132" spans="2:31" s="2501" customFormat="1" ht="35.1" customHeight="1" x14ac:dyDescent="0.25">
      <c r="B132" s="2630" t="s">
        <v>420</v>
      </c>
      <c r="C132" s="2630"/>
      <c r="D132" s="2630"/>
      <c r="E132" s="62">
        <f>(E130-E131)/E130*100</f>
        <v>6.1601031643685946</v>
      </c>
      <c r="F132" s="62">
        <f t="shared" ref="F132:S132" si="13">(F130-F131)/F130*100</f>
        <v>6.1934673366834154</v>
      </c>
      <c r="G132" s="62">
        <f t="shared" si="13"/>
        <v>8.1620281069165337</v>
      </c>
      <c r="H132" s="62">
        <f t="shared" si="13"/>
        <v>3.7993270113184652</v>
      </c>
      <c r="I132" s="62">
        <f t="shared" si="13"/>
        <v>7.1614915638735583</v>
      </c>
      <c r="J132" s="62">
        <f t="shared" si="13"/>
        <v>5.1450224791265544</v>
      </c>
      <c r="K132" s="62">
        <f t="shared" si="13"/>
        <v>3.958001063264228</v>
      </c>
      <c r="L132" s="62">
        <f t="shared" si="13"/>
        <v>2.3611307420494678</v>
      </c>
      <c r="M132" s="62">
        <f t="shared" si="13"/>
        <v>3.9451219512195235</v>
      </c>
      <c r="N132" s="62">
        <f t="shared" si="13"/>
        <v>4.2983870967741948</v>
      </c>
      <c r="O132" s="62">
        <f t="shared" si="13"/>
        <v>0.63380281690141549</v>
      </c>
      <c r="P132" s="62">
        <f t="shared" si="13"/>
        <v>5.4427885207537923</v>
      </c>
      <c r="Q132" s="62">
        <f t="shared" si="13"/>
        <v>6.8110685045082251</v>
      </c>
      <c r="R132" s="62">
        <f t="shared" si="13"/>
        <v>6.9111084308286106</v>
      </c>
      <c r="S132" s="62">
        <f t="shared" si="13"/>
        <v>6.2177431668956906</v>
      </c>
    </row>
    <row r="133" spans="2:31" s="2501" customFormat="1" ht="35.1" customHeight="1" x14ac:dyDescent="0.25">
      <c r="B133" s="2608"/>
      <c r="C133" s="2608"/>
      <c r="D133" s="2608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</row>
    <row r="134" spans="2:31" s="2501" customFormat="1" ht="35.1" customHeight="1" x14ac:dyDescent="0.25">
      <c r="B134" s="2626" t="s">
        <v>223</v>
      </c>
      <c r="C134" s="2627"/>
      <c r="D134" s="2639"/>
      <c r="E134" s="2532">
        <f>E130</f>
        <v>2.8002777777777776</v>
      </c>
      <c r="F134" s="2532">
        <f t="shared" ref="F134:S134" si="14">F130</f>
        <v>2.5602339181286546</v>
      </c>
      <c r="G134" s="2532">
        <f t="shared" si="14"/>
        <v>2.1222222222222227</v>
      </c>
      <c r="H134" s="2532">
        <f t="shared" si="14"/>
        <v>2.0559748427672959</v>
      </c>
      <c r="I134" s="2532">
        <f t="shared" si="14"/>
        <v>2.2179245283018871</v>
      </c>
      <c r="J134" s="2532">
        <f t="shared" si="14"/>
        <v>1.9481981981981984</v>
      </c>
      <c r="K134" s="2532">
        <f t="shared" si="14"/>
        <v>2.2392857142857143</v>
      </c>
      <c r="L134" s="2532">
        <f t="shared" si="14"/>
        <v>2.246031746031746</v>
      </c>
      <c r="M134" s="2532">
        <f t="shared" si="14"/>
        <v>2.8275862068965516</v>
      </c>
      <c r="N134" s="2532">
        <f t="shared" si="14"/>
        <v>2.3846153846153846</v>
      </c>
      <c r="O134" s="2532">
        <f t="shared" si="14"/>
        <v>2.0579710144927539</v>
      </c>
      <c r="P134" s="2532">
        <f t="shared" si="14"/>
        <v>2.3330459770114942</v>
      </c>
      <c r="Q134" s="2532">
        <f t="shared" si="14"/>
        <v>2.6802777777777775</v>
      </c>
      <c r="R134" s="2532">
        <f t="shared" si="14"/>
        <v>2.3420903954802261</v>
      </c>
      <c r="S134" s="2532">
        <f t="shared" si="14"/>
        <v>1.9149122807017545</v>
      </c>
    </row>
    <row r="135" spans="2:31" ht="35.1" customHeight="1" x14ac:dyDescent="0.25">
      <c r="B135" s="2629" t="s">
        <v>224</v>
      </c>
      <c r="C135" s="2630"/>
      <c r="D135" s="2647"/>
      <c r="E135" s="2532">
        <f>E131</f>
        <v>2.6277777777777782</v>
      </c>
      <c r="F135" s="2532">
        <f t="shared" ref="F135:S135" si="15">F131</f>
        <v>2.4016666666666664</v>
      </c>
      <c r="G135" s="2532">
        <f t="shared" si="15"/>
        <v>1.9490058479532162</v>
      </c>
      <c r="H135" s="2532">
        <f t="shared" si="15"/>
        <v>1.9778616352201257</v>
      </c>
      <c r="I135" s="2532">
        <f t="shared" si="15"/>
        <v>2.0590880503144651</v>
      </c>
      <c r="J135" s="2532">
        <f t="shared" si="15"/>
        <v>1.8479629629629626</v>
      </c>
      <c r="K135" s="2532">
        <f t="shared" si="15"/>
        <v>2.1506547619047618</v>
      </c>
      <c r="L135" s="2532">
        <f t="shared" si="15"/>
        <v>2.1930000000000001</v>
      </c>
      <c r="M135" s="2532">
        <f t="shared" si="15"/>
        <v>2.7160344827586202</v>
      </c>
      <c r="N135" s="2532">
        <f t="shared" si="15"/>
        <v>2.2821153846153845</v>
      </c>
      <c r="O135" s="2532">
        <f t="shared" si="15"/>
        <v>2.0449275362318842</v>
      </c>
      <c r="P135" s="2532">
        <f t="shared" si="15"/>
        <v>2.2060632183908044</v>
      </c>
      <c r="Q135" s="2532">
        <f t="shared" si="15"/>
        <v>2.4977222222222224</v>
      </c>
      <c r="R135" s="2532">
        <f t="shared" si="15"/>
        <v>2.1802259887005651</v>
      </c>
      <c r="S135" s="2532">
        <f t="shared" si="15"/>
        <v>1.7958479532163747</v>
      </c>
      <c r="T135" s="29"/>
      <c r="U135" s="29"/>
      <c r="V135" s="29"/>
      <c r="W135" s="29"/>
      <c r="X135" s="29"/>
      <c r="Y135" s="29"/>
      <c r="Z135" s="29"/>
      <c r="AA135" s="29"/>
      <c r="AB135" s="29"/>
    </row>
    <row r="136" spans="2:31" ht="35.1" customHeight="1" x14ac:dyDescent="0.25">
      <c r="B136" s="2648" t="s">
        <v>142</v>
      </c>
      <c r="C136" s="2649"/>
      <c r="D136" s="2650"/>
      <c r="E136" s="38">
        <f>E131*0.8</f>
        <v>2.1022222222222227</v>
      </c>
      <c r="F136" s="38">
        <f t="shared" ref="F136:N136" si="16">F131*0.8</f>
        <v>1.9213333333333331</v>
      </c>
      <c r="G136" s="38">
        <f t="shared" si="16"/>
        <v>1.559204678362573</v>
      </c>
      <c r="H136" s="38">
        <f t="shared" si="16"/>
        <v>1.5822893081761007</v>
      </c>
      <c r="I136" s="38">
        <f t="shared" si="16"/>
        <v>1.6472704402515721</v>
      </c>
      <c r="J136" s="38">
        <f t="shared" si="16"/>
        <v>1.4783703703703701</v>
      </c>
      <c r="K136" s="38">
        <f t="shared" si="16"/>
        <v>1.7205238095238096</v>
      </c>
      <c r="L136" s="38">
        <f t="shared" si="16"/>
        <v>1.7544000000000002</v>
      </c>
      <c r="M136" s="38">
        <f t="shared" si="16"/>
        <v>2.1728275862068962</v>
      </c>
      <c r="N136" s="38">
        <f t="shared" si="16"/>
        <v>1.8256923076923077</v>
      </c>
      <c r="O136" s="38">
        <f>O131*0.8</f>
        <v>1.6359420289855073</v>
      </c>
      <c r="P136" s="38">
        <f>P131*0.8</f>
        <v>1.7648505747126437</v>
      </c>
      <c r="Q136" s="38">
        <f t="shared" ref="Q136:S136" si="17">Q131*0.8</f>
        <v>1.9981777777777781</v>
      </c>
      <c r="R136" s="38">
        <f t="shared" si="17"/>
        <v>1.7441807909604521</v>
      </c>
      <c r="S136" s="38">
        <f t="shared" si="17"/>
        <v>1.4366783625730999</v>
      </c>
      <c r="T136" s="52"/>
      <c r="U136" s="52"/>
      <c r="V136" s="52"/>
      <c r="W136" s="52"/>
      <c r="X136" s="52"/>
      <c r="Y136" s="52"/>
      <c r="Z136" s="52"/>
      <c r="AA136" s="52"/>
      <c r="AB136" s="52"/>
    </row>
    <row r="137" spans="2:31" s="2482" customFormat="1" ht="35.1" customHeight="1" x14ac:dyDescent="0.25">
      <c r="B137" s="2636" t="s">
        <v>411</v>
      </c>
      <c r="C137" s="2637"/>
      <c r="D137" s="2638"/>
      <c r="E137" s="2609">
        <v>1.73</v>
      </c>
      <c r="F137" s="2609">
        <v>1.83</v>
      </c>
      <c r="G137" s="2609">
        <v>1.79</v>
      </c>
      <c r="H137" s="2609">
        <v>1.58</v>
      </c>
      <c r="I137" s="2609">
        <v>1.63</v>
      </c>
      <c r="J137" s="2609">
        <v>1.48</v>
      </c>
      <c r="K137" s="2609">
        <v>1.49</v>
      </c>
      <c r="L137" s="2609">
        <v>1.51</v>
      </c>
      <c r="M137" s="2609">
        <v>1.61</v>
      </c>
      <c r="N137" s="2609">
        <v>1.69</v>
      </c>
      <c r="O137" s="2609">
        <v>1.53</v>
      </c>
      <c r="P137" s="2609">
        <v>1.76</v>
      </c>
      <c r="Q137" s="2609">
        <v>2.0099999999999998</v>
      </c>
      <c r="R137" s="2609">
        <v>1.74</v>
      </c>
      <c r="S137" s="2609">
        <v>1.72</v>
      </c>
      <c r="T137" s="52"/>
      <c r="U137" s="52"/>
      <c r="V137" s="52"/>
      <c r="W137" s="52"/>
      <c r="X137" s="52"/>
      <c r="Y137" s="52"/>
      <c r="Z137" s="52"/>
      <c r="AA137" s="52"/>
      <c r="AB137" s="52"/>
    </row>
    <row r="138" spans="2:31" ht="35.1" customHeight="1" x14ac:dyDescent="0.25">
      <c r="B138" s="2636" t="s">
        <v>143</v>
      </c>
      <c r="C138" s="2637"/>
      <c r="D138" s="2638"/>
      <c r="E138" s="2609">
        <f>E137*0.2</f>
        <v>0.34600000000000003</v>
      </c>
      <c r="F138" s="2609">
        <f t="shared" ref="F138:S138" si="18">F137*0.2</f>
        <v>0.36600000000000005</v>
      </c>
      <c r="G138" s="2609">
        <f t="shared" si="18"/>
        <v>0.35800000000000004</v>
      </c>
      <c r="H138" s="2609">
        <f t="shared" si="18"/>
        <v>0.31600000000000006</v>
      </c>
      <c r="I138" s="2609">
        <f t="shared" si="18"/>
        <v>0.32600000000000001</v>
      </c>
      <c r="J138" s="2609">
        <f t="shared" si="18"/>
        <v>0.29599999999999999</v>
      </c>
      <c r="K138" s="2609">
        <f t="shared" si="18"/>
        <v>0.29799999999999999</v>
      </c>
      <c r="L138" s="2609">
        <f t="shared" si="18"/>
        <v>0.30200000000000005</v>
      </c>
      <c r="M138" s="2609">
        <f t="shared" si="18"/>
        <v>0.32200000000000006</v>
      </c>
      <c r="N138" s="2609">
        <f t="shared" si="18"/>
        <v>0.33800000000000002</v>
      </c>
      <c r="O138" s="2609">
        <f t="shared" si="18"/>
        <v>0.30600000000000005</v>
      </c>
      <c r="P138" s="2609">
        <f t="shared" si="18"/>
        <v>0.35200000000000004</v>
      </c>
      <c r="Q138" s="2609">
        <f t="shared" si="18"/>
        <v>0.40199999999999997</v>
      </c>
      <c r="R138" s="2609">
        <f t="shared" si="18"/>
        <v>0.34800000000000003</v>
      </c>
      <c r="S138" s="2609">
        <f t="shared" si="18"/>
        <v>0.34400000000000003</v>
      </c>
      <c r="T138" s="48"/>
      <c r="U138" s="48"/>
      <c r="V138" s="48"/>
      <c r="W138" s="48"/>
      <c r="X138" s="48"/>
      <c r="Y138" s="48"/>
      <c r="Z138" s="48"/>
      <c r="AA138" s="48"/>
      <c r="AB138" s="48"/>
    </row>
    <row r="139" spans="2:31" ht="35.1" customHeight="1" x14ac:dyDescent="0.25">
      <c r="B139" s="2626" t="s">
        <v>144</v>
      </c>
      <c r="C139" s="2627"/>
      <c r="D139" s="2639"/>
      <c r="E139" s="2531">
        <f>E136+E138</f>
        <v>2.4482222222222227</v>
      </c>
      <c r="F139" s="2531">
        <f t="shared" ref="F139:S139" si="19">F136+F138</f>
        <v>2.2873333333333332</v>
      </c>
      <c r="G139" s="2531">
        <f t="shared" si="19"/>
        <v>1.9172046783625731</v>
      </c>
      <c r="H139" s="2531">
        <f t="shared" si="19"/>
        <v>1.8982893081761008</v>
      </c>
      <c r="I139" s="2531">
        <f t="shared" si="19"/>
        <v>1.9732704402515722</v>
      </c>
      <c r="J139" s="2531">
        <f t="shared" si="19"/>
        <v>1.7743703703703702</v>
      </c>
      <c r="K139" s="2531">
        <f t="shared" si="19"/>
        <v>2.0185238095238094</v>
      </c>
      <c r="L139" s="2531">
        <f t="shared" si="19"/>
        <v>2.0564</v>
      </c>
      <c r="M139" s="2531">
        <f t="shared" si="19"/>
        <v>2.4948275862068963</v>
      </c>
      <c r="N139" s="2531">
        <f t="shared" si="19"/>
        <v>2.1636923076923078</v>
      </c>
      <c r="O139" s="2531">
        <f t="shared" si="19"/>
        <v>1.9419420289855074</v>
      </c>
      <c r="P139" s="2531">
        <f t="shared" si="19"/>
        <v>2.1168505747126436</v>
      </c>
      <c r="Q139" s="2531">
        <f t="shared" si="19"/>
        <v>2.400177777777778</v>
      </c>
      <c r="R139" s="2531">
        <f t="shared" si="19"/>
        <v>2.0921807909604522</v>
      </c>
      <c r="S139" s="2531">
        <f t="shared" si="19"/>
        <v>1.7806783625731</v>
      </c>
      <c r="T139" s="48"/>
      <c r="U139" s="48"/>
      <c r="V139" s="48"/>
      <c r="W139" s="48"/>
      <c r="X139" s="48"/>
      <c r="Y139" s="48"/>
      <c r="Z139" s="48"/>
      <c r="AA139" s="48"/>
      <c r="AB139" s="48"/>
      <c r="AD139" s="29"/>
      <c r="AE139" s="29"/>
    </row>
    <row r="140" spans="2:31" ht="35.1" customHeight="1" x14ac:dyDescent="0.25">
      <c r="B140" s="2626" t="s">
        <v>222</v>
      </c>
      <c r="C140" s="2627"/>
      <c r="D140" s="2639"/>
      <c r="E140" s="38">
        <f>E130-E139</f>
        <v>0.3520555555555549</v>
      </c>
      <c r="F140" s="356">
        <f t="shared" ref="F140:S140" si="20">F130-F139</f>
        <v>0.27290058479532142</v>
      </c>
      <c r="G140" s="356">
        <f t="shared" si="20"/>
        <v>0.20501754385964954</v>
      </c>
      <c r="H140" s="356">
        <f t="shared" si="20"/>
        <v>0.15768553459119516</v>
      </c>
      <c r="I140" s="356">
        <f t="shared" si="20"/>
        <v>0.24465408805031497</v>
      </c>
      <c r="J140" s="356">
        <f t="shared" si="20"/>
        <v>0.17382782782782824</v>
      </c>
      <c r="K140" s="356">
        <f t="shared" si="20"/>
        <v>0.22076190476190494</v>
      </c>
      <c r="L140" s="356">
        <f t="shared" si="20"/>
        <v>0.18963174603174604</v>
      </c>
      <c r="M140" s="356">
        <f t="shared" si="20"/>
        <v>0.33275862068965534</v>
      </c>
      <c r="N140" s="356">
        <f t="shared" si="20"/>
        <v>0.22092307692307678</v>
      </c>
      <c r="O140" s="356">
        <f t="shared" si="20"/>
        <v>0.1160289855072465</v>
      </c>
      <c r="P140" s="356">
        <f t="shared" si="20"/>
        <v>0.21619540229885059</v>
      </c>
      <c r="Q140" s="356">
        <f t="shared" si="20"/>
        <v>0.28009999999999957</v>
      </c>
      <c r="R140" s="356">
        <f t="shared" si="20"/>
        <v>0.24990960451977395</v>
      </c>
      <c r="S140" s="356">
        <f t="shared" si="20"/>
        <v>0.13423391812865448</v>
      </c>
      <c r="T140" s="53"/>
      <c r="U140" s="53"/>
      <c r="V140" s="53"/>
      <c r="W140" s="53"/>
      <c r="X140" s="53"/>
      <c r="Y140" s="53"/>
      <c r="Z140" s="53"/>
      <c r="AA140" s="53"/>
      <c r="AB140" s="53"/>
      <c r="AC140" s="29"/>
      <c r="AD140" s="48"/>
      <c r="AE140" s="48"/>
    </row>
    <row r="141" spans="2:31" ht="35.1" customHeight="1" x14ac:dyDescent="0.25">
      <c r="B141" s="2626" t="s">
        <v>145</v>
      </c>
      <c r="C141" s="2627"/>
      <c r="D141" s="2639"/>
      <c r="E141" s="73">
        <f>(E140/E130)*100</f>
        <v>12.572165459775794</v>
      </c>
      <c r="F141" s="73">
        <f t="shared" ref="F141:N141" si="21">(F140/F130)*100</f>
        <v>10.659205116491542</v>
      </c>
      <c r="G141" s="73">
        <f t="shared" si="21"/>
        <v>9.6605125378892431</v>
      </c>
      <c r="H141" s="73">
        <f t="shared" si="21"/>
        <v>7.6696237381462309</v>
      </c>
      <c r="I141" s="73">
        <f t="shared" si="21"/>
        <v>11.030767049482511</v>
      </c>
      <c r="J141" s="73">
        <f t="shared" si="21"/>
        <v>8.9224919717405466</v>
      </c>
      <c r="K141" s="73">
        <f t="shared" si="21"/>
        <v>9.858585858585867</v>
      </c>
      <c r="L141" s="73">
        <f t="shared" si="21"/>
        <v>8.4429681978798587</v>
      </c>
      <c r="M141" s="73">
        <f t="shared" si="21"/>
        <v>11.768292682926836</v>
      </c>
      <c r="N141" s="73">
        <f t="shared" si="21"/>
        <v>9.264516129032252</v>
      </c>
      <c r="O141" s="73">
        <f>(O140/O130)*100</f>
        <v>5.6380281690140892</v>
      </c>
      <c r="P141" s="73">
        <f>(P140/P130)*100</f>
        <v>9.266658455474813</v>
      </c>
      <c r="Q141" s="73">
        <f t="shared" ref="Q141:S141" si="22">(Q140/Q130)*100</f>
        <v>10.450409368846497</v>
      </c>
      <c r="R141" s="73">
        <f t="shared" si="22"/>
        <v>10.670365456519114</v>
      </c>
      <c r="S141" s="73">
        <f t="shared" si="22"/>
        <v>7.0099251794166788</v>
      </c>
      <c r="T141" s="44"/>
      <c r="U141" s="44"/>
      <c r="V141" s="44"/>
      <c r="W141" s="44"/>
      <c r="X141" s="44"/>
      <c r="Y141" s="44"/>
      <c r="Z141" s="44"/>
      <c r="AA141" s="44"/>
      <c r="AB141" s="44"/>
      <c r="AC141" s="48"/>
      <c r="AD141" s="48"/>
      <c r="AE141" s="48"/>
    </row>
    <row r="142" spans="2:31" ht="35.1" customHeight="1" x14ac:dyDescent="0.25">
      <c r="B142" s="2626" t="s">
        <v>392</v>
      </c>
      <c r="C142" s="2627"/>
      <c r="D142" s="2639"/>
      <c r="E142" s="73">
        <f>E130*0.8</f>
        <v>2.2402222222222221</v>
      </c>
      <c r="F142" s="73">
        <f t="shared" ref="F142:S142" si="23">F130*0.8</f>
        <v>2.0481871345029239</v>
      </c>
      <c r="G142" s="73">
        <f t="shared" si="23"/>
        <v>1.6977777777777783</v>
      </c>
      <c r="H142" s="73">
        <f t="shared" si="23"/>
        <v>1.6447798742138369</v>
      </c>
      <c r="I142" s="73">
        <f t="shared" si="23"/>
        <v>1.7743396226415098</v>
      </c>
      <c r="J142" s="73">
        <f t="shared" si="23"/>
        <v>1.5585585585585588</v>
      </c>
      <c r="K142" s="73">
        <f t="shared" si="23"/>
        <v>1.7914285714285716</v>
      </c>
      <c r="L142" s="73">
        <f t="shared" si="23"/>
        <v>1.7968253968253969</v>
      </c>
      <c r="M142" s="73">
        <f t="shared" si="23"/>
        <v>2.2620689655172415</v>
      </c>
      <c r="N142" s="73">
        <f t="shared" si="23"/>
        <v>1.9076923076923078</v>
      </c>
      <c r="O142" s="73">
        <f t="shared" si="23"/>
        <v>1.6463768115942032</v>
      </c>
      <c r="P142" s="73">
        <f t="shared" si="23"/>
        <v>1.8664367816091954</v>
      </c>
      <c r="Q142" s="73">
        <f t="shared" si="23"/>
        <v>2.144222222222222</v>
      </c>
      <c r="R142" s="73">
        <f t="shared" si="23"/>
        <v>1.8736723163841811</v>
      </c>
      <c r="S142" s="73">
        <f t="shared" si="23"/>
        <v>1.5319298245614037</v>
      </c>
      <c r="T142" s="44"/>
      <c r="U142" s="44"/>
      <c r="V142" s="44"/>
      <c r="W142" s="44"/>
      <c r="X142" s="44"/>
      <c r="Y142" s="44"/>
      <c r="Z142" s="44"/>
      <c r="AA142" s="44"/>
      <c r="AB142" s="44"/>
      <c r="AC142" s="48"/>
      <c r="AD142" s="48"/>
      <c r="AE142" s="48"/>
    </row>
    <row r="143" spans="2:31" ht="35.1" customHeight="1" x14ac:dyDescent="0.25">
      <c r="B143" s="2626" t="s">
        <v>220</v>
      </c>
      <c r="C143" s="2627"/>
      <c r="D143" s="2639"/>
      <c r="E143" s="73">
        <f>E139</f>
        <v>2.4482222222222227</v>
      </c>
      <c r="F143" s="73">
        <f t="shared" ref="F143:S143" si="24">F139</f>
        <v>2.2873333333333332</v>
      </c>
      <c r="G143" s="73">
        <f t="shared" si="24"/>
        <v>1.9172046783625731</v>
      </c>
      <c r="H143" s="73">
        <f t="shared" si="24"/>
        <v>1.8982893081761008</v>
      </c>
      <c r="I143" s="73">
        <f t="shared" si="24"/>
        <v>1.9732704402515722</v>
      </c>
      <c r="J143" s="73">
        <f t="shared" si="24"/>
        <v>1.7743703703703702</v>
      </c>
      <c r="K143" s="73">
        <f t="shared" si="24"/>
        <v>2.0185238095238094</v>
      </c>
      <c r="L143" s="73">
        <f t="shared" si="24"/>
        <v>2.0564</v>
      </c>
      <c r="M143" s="73">
        <f t="shared" si="24"/>
        <v>2.4948275862068963</v>
      </c>
      <c r="N143" s="73">
        <f t="shared" si="24"/>
        <v>2.1636923076923078</v>
      </c>
      <c r="O143" s="73">
        <f t="shared" si="24"/>
        <v>1.9419420289855074</v>
      </c>
      <c r="P143" s="73">
        <f t="shared" si="24"/>
        <v>2.1168505747126436</v>
      </c>
      <c r="Q143" s="73">
        <f t="shared" si="24"/>
        <v>2.400177777777778</v>
      </c>
      <c r="R143" s="73">
        <f t="shared" si="24"/>
        <v>2.0921807909604522</v>
      </c>
      <c r="S143" s="73">
        <f t="shared" si="24"/>
        <v>1.7806783625731</v>
      </c>
      <c r="T143" s="44"/>
      <c r="U143" s="44"/>
      <c r="V143" s="44"/>
      <c r="W143" s="44"/>
      <c r="X143" s="44"/>
      <c r="Y143" s="44"/>
      <c r="Z143" s="44"/>
      <c r="AA143" s="44"/>
      <c r="AB143" s="44"/>
      <c r="AC143" s="48"/>
      <c r="AD143" s="53"/>
      <c r="AE143" s="53"/>
    </row>
    <row r="144" spans="2:31" s="2482" customFormat="1" ht="35.1" customHeight="1" x14ac:dyDescent="0.25">
      <c r="B144" s="2472"/>
      <c r="C144" s="2473"/>
      <c r="D144" s="2475"/>
      <c r="E144" s="2532"/>
      <c r="F144" s="2532"/>
      <c r="G144" s="2532"/>
      <c r="H144" s="2532"/>
      <c r="I144" s="2532"/>
      <c r="J144" s="2532"/>
      <c r="K144" s="2532"/>
      <c r="L144" s="2532"/>
      <c r="M144" s="2532"/>
      <c r="N144" s="2532"/>
      <c r="O144" s="2532"/>
      <c r="P144" s="2532"/>
      <c r="Q144" s="2532"/>
      <c r="R144" s="2532"/>
      <c r="S144" s="2532"/>
      <c r="T144" s="386"/>
      <c r="U144" s="386"/>
      <c r="V144" s="386"/>
      <c r="W144" s="386"/>
      <c r="X144" s="386"/>
      <c r="Y144" s="386"/>
      <c r="Z144" s="386"/>
      <c r="AA144" s="386"/>
      <c r="AB144" s="386"/>
      <c r="AC144" s="2285"/>
      <c r="AD144" s="53"/>
      <c r="AE144" s="53"/>
    </row>
    <row r="145" spans="2:31" s="2482" customFormat="1" ht="35.1" customHeight="1" x14ac:dyDescent="0.25">
      <c r="B145" s="2626" t="s">
        <v>412</v>
      </c>
      <c r="C145" s="2627"/>
      <c r="D145" s="2639"/>
      <c r="E145" s="2476" t="s">
        <v>46</v>
      </c>
      <c r="F145" s="2476" t="s">
        <v>47</v>
      </c>
      <c r="G145" s="2476" t="s">
        <v>48</v>
      </c>
      <c r="H145" s="2476" t="s">
        <v>49</v>
      </c>
      <c r="I145" s="2476" t="s">
        <v>50</v>
      </c>
      <c r="J145" s="2476" t="s">
        <v>51</v>
      </c>
      <c r="K145" s="2476" t="s">
        <v>52</v>
      </c>
      <c r="L145" s="2476" t="s">
        <v>53</v>
      </c>
      <c r="M145" s="2476" t="s">
        <v>54</v>
      </c>
      <c r="N145" s="2476" t="s">
        <v>55</v>
      </c>
      <c r="O145" s="2476" t="s">
        <v>56</v>
      </c>
      <c r="P145" s="2476" t="s">
        <v>57</v>
      </c>
      <c r="Q145" s="2476" t="s">
        <v>87</v>
      </c>
      <c r="R145" s="2476" t="s">
        <v>88</v>
      </c>
      <c r="S145" s="2476" t="s">
        <v>85</v>
      </c>
      <c r="T145" s="386"/>
      <c r="U145" s="386"/>
      <c r="V145" s="386"/>
      <c r="W145" s="386"/>
      <c r="X145" s="386"/>
      <c r="Y145" s="386"/>
      <c r="Z145" s="386"/>
      <c r="AA145" s="386"/>
      <c r="AB145" s="386"/>
      <c r="AC145" s="2285"/>
      <c r="AD145" s="53"/>
      <c r="AE145" s="53"/>
    </row>
    <row r="146" spans="2:31" s="44" customFormat="1" ht="35.1" customHeight="1" x14ac:dyDescent="0.25">
      <c r="B146" s="2640" t="s">
        <v>145</v>
      </c>
      <c r="C146" s="2640"/>
      <c r="D146" s="2640"/>
      <c r="E146" s="2607">
        <f>E141</f>
        <v>12.572165459775794</v>
      </c>
      <c r="F146" s="2607">
        <f t="shared" ref="F146:S146" si="25">F141</f>
        <v>10.659205116491542</v>
      </c>
      <c r="G146" s="2607">
        <f t="shared" si="25"/>
        <v>9.6605125378892431</v>
      </c>
      <c r="H146" s="2607">
        <f t="shared" si="25"/>
        <v>7.6696237381462309</v>
      </c>
      <c r="I146" s="2607">
        <f t="shared" si="25"/>
        <v>11.030767049482511</v>
      </c>
      <c r="J146" s="2607">
        <f t="shared" si="25"/>
        <v>8.9224919717405466</v>
      </c>
      <c r="K146" s="2607">
        <f t="shared" si="25"/>
        <v>9.858585858585867</v>
      </c>
      <c r="L146" s="2607">
        <f t="shared" si="25"/>
        <v>8.4429681978798587</v>
      </c>
      <c r="M146" s="2607">
        <f t="shared" si="25"/>
        <v>11.768292682926836</v>
      </c>
      <c r="N146" s="2607">
        <f t="shared" si="25"/>
        <v>9.264516129032252</v>
      </c>
      <c r="O146" s="2607">
        <f t="shared" si="25"/>
        <v>5.6380281690140892</v>
      </c>
      <c r="P146" s="2607">
        <f t="shared" si="25"/>
        <v>9.266658455474813</v>
      </c>
      <c r="Q146" s="2607">
        <f t="shared" si="25"/>
        <v>10.450409368846497</v>
      </c>
      <c r="R146" s="2607">
        <f t="shared" si="25"/>
        <v>10.670365456519114</v>
      </c>
      <c r="S146" s="2607">
        <f t="shared" si="25"/>
        <v>7.0099251794166788</v>
      </c>
      <c r="AC146" s="53"/>
    </row>
    <row r="147" spans="2:31" s="386" customFormat="1" ht="35.1" customHeight="1" x14ac:dyDescent="0.25">
      <c r="B147" s="31"/>
      <c r="C147" s="6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AC147" s="53"/>
    </row>
    <row r="148" spans="2:31" s="386" customFormat="1" ht="35.1" customHeight="1" x14ac:dyDescent="0.25">
      <c r="B148" s="31"/>
      <c r="C148" s="6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AC148" s="53"/>
    </row>
    <row r="149" spans="2:31" s="44" customFormat="1" ht="61.5" customHeight="1" x14ac:dyDescent="0.25">
      <c r="B149" s="31"/>
      <c r="C149" s="31"/>
      <c r="D149" s="2635" t="s">
        <v>141</v>
      </c>
      <c r="E149" s="2635"/>
      <c r="F149" s="2635"/>
      <c r="G149" s="2635"/>
      <c r="H149" s="2635"/>
      <c r="I149" s="2635"/>
      <c r="J149" s="2635"/>
      <c r="K149" s="2635"/>
      <c r="L149" s="2635"/>
      <c r="M149" s="2635"/>
      <c r="N149" s="2635"/>
      <c r="O149" s="358"/>
      <c r="P149" s="358"/>
      <c r="Q149" s="358"/>
      <c r="R149" s="358"/>
      <c r="S149" s="358"/>
      <c r="T149" s="358"/>
      <c r="U149" s="358"/>
    </row>
    <row r="150" spans="2:31" s="44" customFormat="1" ht="35.1" customHeight="1" x14ac:dyDescent="0.25">
      <c r="B150" s="59"/>
      <c r="C150" s="5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59"/>
      <c r="P150" s="359"/>
      <c r="Q150" s="359"/>
      <c r="R150" s="359"/>
      <c r="S150" s="359"/>
      <c r="T150" s="359"/>
      <c r="U150" s="359"/>
    </row>
    <row r="151" spans="2:31" s="44" customFormat="1" ht="49.5" customHeight="1" x14ac:dyDescent="0.25">
      <c r="B151" s="25"/>
      <c r="C151" s="25"/>
      <c r="D151" s="360"/>
      <c r="E151" s="360"/>
      <c r="F151" s="360"/>
      <c r="G151" s="357" t="s">
        <v>46</v>
      </c>
      <c r="H151" s="357" t="s">
        <v>47</v>
      </c>
      <c r="I151" s="357" t="s">
        <v>48</v>
      </c>
      <c r="J151" s="357" t="s">
        <v>49</v>
      </c>
      <c r="K151" s="357" t="s">
        <v>50</v>
      </c>
      <c r="L151" s="357" t="s">
        <v>51</v>
      </c>
      <c r="M151" s="357" t="s">
        <v>52</v>
      </c>
      <c r="N151" s="357" t="s">
        <v>53</v>
      </c>
      <c r="O151" s="357" t="s">
        <v>54</v>
      </c>
      <c r="P151" s="357" t="s">
        <v>55</v>
      </c>
      <c r="Q151" s="357" t="s">
        <v>56</v>
      </c>
      <c r="R151" s="357" t="s">
        <v>57</v>
      </c>
      <c r="S151" s="357" t="s">
        <v>87</v>
      </c>
      <c r="T151" s="357" t="s">
        <v>88</v>
      </c>
      <c r="U151" s="357" t="s">
        <v>85</v>
      </c>
      <c r="V151" s="25"/>
      <c r="W151" s="25"/>
      <c r="X151" s="25"/>
      <c r="Y151" s="25"/>
      <c r="Z151" s="25"/>
      <c r="AA151" s="25"/>
      <c r="AB151" s="25"/>
    </row>
    <row r="152" spans="2:31" s="44" customFormat="1" ht="35.1" customHeight="1" x14ac:dyDescent="0.25">
      <c r="B152" s="25"/>
      <c r="C152" s="25"/>
      <c r="D152" s="2644" t="s">
        <v>221</v>
      </c>
      <c r="E152" s="2645"/>
      <c r="F152" s="2646"/>
      <c r="G152" s="32">
        <f>E142</f>
        <v>2.2402222222222221</v>
      </c>
      <c r="H152" s="32">
        <f t="shared" ref="H152:U152" si="26">F142</f>
        <v>2.0481871345029239</v>
      </c>
      <c r="I152" s="32">
        <f t="shared" si="26"/>
        <v>1.6977777777777783</v>
      </c>
      <c r="J152" s="32">
        <f t="shared" si="26"/>
        <v>1.6447798742138369</v>
      </c>
      <c r="K152" s="32">
        <f t="shared" si="26"/>
        <v>1.7743396226415098</v>
      </c>
      <c r="L152" s="32">
        <f t="shared" si="26"/>
        <v>1.5585585585585588</v>
      </c>
      <c r="M152" s="32">
        <f t="shared" si="26"/>
        <v>1.7914285714285716</v>
      </c>
      <c r="N152" s="32">
        <f t="shared" si="26"/>
        <v>1.7968253968253969</v>
      </c>
      <c r="O152" s="32">
        <f>M142</f>
        <v>2.2620689655172415</v>
      </c>
      <c r="P152" s="32">
        <f>N142</f>
        <v>1.9076923076923078</v>
      </c>
      <c r="Q152" s="32">
        <f t="shared" ref="Q152:Q153" si="27">O142</f>
        <v>1.6463768115942032</v>
      </c>
      <c r="R152" s="32">
        <f t="shared" si="26"/>
        <v>1.8664367816091954</v>
      </c>
      <c r="S152" s="32">
        <f t="shared" si="26"/>
        <v>2.144222222222222</v>
      </c>
      <c r="T152" s="32">
        <f t="shared" si="26"/>
        <v>1.8736723163841811</v>
      </c>
      <c r="U152" s="32">
        <f t="shared" si="26"/>
        <v>1.5319298245614037</v>
      </c>
      <c r="V152" s="25"/>
      <c r="W152" s="25"/>
      <c r="X152" s="25"/>
      <c r="Y152" s="25"/>
      <c r="Z152" s="25"/>
      <c r="AA152" s="25"/>
      <c r="AB152" s="25"/>
    </row>
    <row r="153" spans="2:31" s="44" customFormat="1" ht="35.1" customHeight="1" x14ac:dyDescent="0.25">
      <c r="B153" s="25"/>
      <c r="C153" s="25"/>
      <c r="D153" s="2632" t="s">
        <v>225</v>
      </c>
      <c r="E153" s="2633"/>
      <c r="F153" s="2634"/>
      <c r="G153" s="356">
        <f>E143</f>
        <v>2.4482222222222227</v>
      </c>
      <c r="H153" s="356">
        <f t="shared" ref="H153:U153" si="28">F143</f>
        <v>2.2873333333333332</v>
      </c>
      <c r="I153" s="356">
        <f t="shared" si="28"/>
        <v>1.9172046783625731</v>
      </c>
      <c r="J153" s="356">
        <f t="shared" si="28"/>
        <v>1.8982893081761008</v>
      </c>
      <c r="K153" s="356">
        <f t="shared" si="28"/>
        <v>1.9732704402515722</v>
      </c>
      <c r="L153" s="356">
        <f t="shared" si="28"/>
        <v>1.7743703703703702</v>
      </c>
      <c r="M153" s="356">
        <f t="shared" si="28"/>
        <v>2.0185238095238094</v>
      </c>
      <c r="N153" s="356">
        <f t="shared" si="28"/>
        <v>2.0564</v>
      </c>
      <c r="O153" s="356">
        <f>M143</f>
        <v>2.4948275862068963</v>
      </c>
      <c r="P153" s="356">
        <f>N143</f>
        <v>2.1636923076923078</v>
      </c>
      <c r="Q153" s="356">
        <f t="shared" si="27"/>
        <v>1.9419420289855074</v>
      </c>
      <c r="R153" s="356">
        <f t="shared" si="28"/>
        <v>2.1168505747126436</v>
      </c>
      <c r="S153" s="356">
        <f t="shared" si="28"/>
        <v>2.400177777777778</v>
      </c>
      <c r="T153" s="356">
        <f t="shared" si="28"/>
        <v>2.0921807909604522</v>
      </c>
      <c r="U153" s="356">
        <f t="shared" si="28"/>
        <v>1.7806783625731</v>
      </c>
      <c r="V153" s="25"/>
      <c r="W153" s="25"/>
      <c r="X153" s="25"/>
      <c r="Y153" s="25"/>
      <c r="Z153" s="25"/>
      <c r="AA153" s="25"/>
      <c r="AB153" s="25"/>
    </row>
    <row r="154" spans="2:31" ht="35.1" customHeight="1" x14ac:dyDescent="0.25">
      <c r="AC154" s="44"/>
    </row>
    <row r="155" spans="2:31" ht="35.1" customHeight="1" x14ac:dyDescent="0.25"/>
    <row r="156" spans="2:31" ht="35.1" customHeight="1" x14ac:dyDescent="0.25">
      <c r="P156" s="50"/>
      <c r="Q156" s="50"/>
      <c r="R156" s="54"/>
    </row>
    <row r="157" spans="2:31" ht="35.1" customHeight="1" x14ac:dyDescent="0.25">
      <c r="P157" s="48"/>
      <c r="Q157" s="48"/>
      <c r="R157" s="54"/>
    </row>
    <row r="158" spans="2:31" ht="35.1" customHeight="1" x14ac:dyDescent="0.25">
      <c r="M158" s="54"/>
      <c r="N158" s="54"/>
      <c r="P158" s="53"/>
      <c r="Q158" s="53"/>
      <c r="R158" s="54"/>
    </row>
    <row r="159" spans="2:31" ht="35.1" customHeight="1" x14ac:dyDescent="0.25">
      <c r="M159" s="54"/>
      <c r="N159" s="54"/>
      <c r="O159" s="50"/>
    </row>
    <row r="160" spans="2:31" ht="35.1" customHeight="1" x14ac:dyDescent="0.25">
      <c r="M160" s="54"/>
      <c r="N160" s="54"/>
      <c r="O160" s="48"/>
    </row>
    <row r="161" spans="4:22" ht="35.1" customHeight="1" x14ac:dyDescent="0.25">
      <c r="O161" s="53"/>
    </row>
    <row r="162" spans="4:22" ht="35.1" customHeight="1" x14ac:dyDescent="0.25"/>
    <row r="163" spans="4:22" ht="35.1" customHeight="1" x14ac:dyDescent="0.25">
      <c r="G163" s="980" t="str">
        <f>E129</f>
        <v>PO1</v>
      </c>
      <c r="H163" s="980" t="str">
        <f t="shared" ref="H163:U163" si="29">F129</f>
        <v>PO2</v>
      </c>
      <c r="I163" s="980" t="str">
        <f t="shared" si="29"/>
        <v>PO3</v>
      </c>
      <c r="J163" s="980" t="str">
        <f t="shared" si="29"/>
        <v>PO4</v>
      </c>
      <c r="K163" s="980" t="str">
        <f t="shared" si="29"/>
        <v>PO5</v>
      </c>
      <c r="L163" s="980" t="str">
        <f t="shared" si="29"/>
        <v>PO6</v>
      </c>
      <c r="M163" s="980" t="str">
        <f t="shared" si="29"/>
        <v>PO7</v>
      </c>
      <c r="N163" s="980" t="str">
        <f t="shared" si="29"/>
        <v>PO8</v>
      </c>
      <c r="O163" s="980" t="str">
        <f>M129</f>
        <v>PO9</v>
      </c>
      <c r="P163" s="980" t="str">
        <f>N129</f>
        <v>PO10</v>
      </c>
      <c r="Q163" s="980" t="str">
        <f t="shared" si="29"/>
        <v>PO11</v>
      </c>
      <c r="R163" s="980" t="str">
        <f t="shared" si="29"/>
        <v>PO12</v>
      </c>
      <c r="S163" s="980" t="str">
        <f t="shared" si="29"/>
        <v>PSO1</v>
      </c>
      <c r="T163" s="980" t="str">
        <f t="shared" si="29"/>
        <v>PSO2</v>
      </c>
      <c r="U163" s="980" t="str">
        <f t="shared" si="29"/>
        <v>PSO3</v>
      </c>
    </row>
    <row r="164" spans="4:22" ht="24.95" customHeight="1" x14ac:dyDescent="0.25">
      <c r="D164" s="2626" t="s">
        <v>223</v>
      </c>
      <c r="E164" s="2627"/>
      <c r="F164" s="2628"/>
      <c r="G164" s="981">
        <f>E130</f>
        <v>2.8002777777777776</v>
      </c>
      <c r="H164" s="981">
        <f t="shared" ref="H164:T164" si="30">F130</f>
        <v>2.5602339181286546</v>
      </c>
      <c r="I164" s="981">
        <f t="shared" si="30"/>
        <v>2.1222222222222227</v>
      </c>
      <c r="J164" s="981">
        <f t="shared" si="30"/>
        <v>2.0559748427672959</v>
      </c>
      <c r="K164" s="981">
        <f t="shared" si="30"/>
        <v>2.2179245283018871</v>
      </c>
      <c r="L164" s="981">
        <f t="shared" si="30"/>
        <v>1.9481981981981984</v>
      </c>
      <c r="M164" s="981">
        <f t="shared" si="30"/>
        <v>2.2392857142857143</v>
      </c>
      <c r="N164" s="981">
        <f t="shared" si="30"/>
        <v>2.246031746031746</v>
      </c>
      <c r="O164" s="981">
        <f>M130</f>
        <v>2.8275862068965516</v>
      </c>
      <c r="P164" s="981">
        <f>N130</f>
        <v>2.3846153846153846</v>
      </c>
      <c r="Q164" s="981">
        <f t="shared" si="30"/>
        <v>2.0579710144927539</v>
      </c>
      <c r="R164" s="981">
        <f t="shared" si="30"/>
        <v>2.3330459770114942</v>
      </c>
      <c r="S164" s="981">
        <f t="shared" si="30"/>
        <v>2.6802777777777775</v>
      </c>
      <c r="T164" s="981">
        <f t="shared" si="30"/>
        <v>2.3420903954802261</v>
      </c>
      <c r="U164" s="981">
        <f>S130</f>
        <v>1.9149122807017545</v>
      </c>
      <c r="V164" s="974"/>
    </row>
    <row r="165" spans="4:22" ht="24.95" customHeight="1" x14ac:dyDescent="0.25">
      <c r="D165" s="2629" t="s">
        <v>224</v>
      </c>
      <c r="E165" s="2630"/>
      <c r="F165" s="2631"/>
      <c r="G165" s="981">
        <f>E139</f>
        <v>2.4482222222222227</v>
      </c>
      <c r="H165" s="981">
        <f t="shared" ref="H165:U165" si="31">F139</f>
        <v>2.2873333333333332</v>
      </c>
      <c r="I165" s="981">
        <f t="shared" si="31"/>
        <v>1.9172046783625731</v>
      </c>
      <c r="J165" s="981">
        <f t="shared" si="31"/>
        <v>1.8982893081761008</v>
      </c>
      <c r="K165" s="981">
        <f t="shared" si="31"/>
        <v>1.9732704402515722</v>
      </c>
      <c r="L165" s="981">
        <f t="shared" si="31"/>
        <v>1.7743703703703702</v>
      </c>
      <c r="M165" s="981">
        <f t="shared" si="31"/>
        <v>2.0185238095238094</v>
      </c>
      <c r="N165" s="981">
        <f t="shared" si="31"/>
        <v>2.0564</v>
      </c>
      <c r="O165" s="981">
        <f>M139</f>
        <v>2.4948275862068963</v>
      </c>
      <c r="P165" s="981">
        <f>N139</f>
        <v>2.1636923076923078</v>
      </c>
      <c r="Q165" s="981">
        <f t="shared" si="31"/>
        <v>1.9419420289855074</v>
      </c>
      <c r="R165" s="981">
        <f t="shared" si="31"/>
        <v>2.1168505747126436</v>
      </c>
      <c r="S165" s="981">
        <f t="shared" si="31"/>
        <v>2.400177777777778</v>
      </c>
      <c r="T165" s="981">
        <f t="shared" si="31"/>
        <v>2.0921807909604522</v>
      </c>
      <c r="U165" s="981">
        <f t="shared" si="31"/>
        <v>1.7806783625731</v>
      </c>
      <c r="V165" s="974"/>
    </row>
    <row r="166" spans="4:22" ht="24.95" customHeight="1" x14ac:dyDescent="0.25"/>
    <row r="167" spans="4:22" ht="24.95" customHeight="1" x14ac:dyDescent="0.25">
      <c r="H167" s="977"/>
      <c r="I167" s="977"/>
      <c r="J167" s="977"/>
      <c r="K167" s="977"/>
      <c r="L167" s="977"/>
      <c r="M167" s="977"/>
      <c r="N167" s="977"/>
      <c r="O167" s="977"/>
      <c r="P167" s="977"/>
      <c r="Q167" s="977"/>
      <c r="R167" s="977"/>
      <c r="S167" s="977"/>
      <c r="T167" s="977"/>
      <c r="U167" s="977"/>
    </row>
    <row r="168" spans="4:22" ht="24.95" customHeight="1" x14ac:dyDescent="0.25"/>
    <row r="169" spans="4:22" ht="24.95" customHeight="1" x14ac:dyDescent="0.25"/>
    <row r="170" spans="4:22" ht="24.95" customHeight="1" x14ac:dyDescent="0.25"/>
    <row r="171" spans="4:22" ht="24.95" customHeight="1" x14ac:dyDescent="0.25"/>
  </sheetData>
  <mergeCells count="60">
    <mergeCell ref="B132:D132"/>
    <mergeCell ref="B135:D135"/>
    <mergeCell ref="B134:D134"/>
    <mergeCell ref="AD98:AF98"/>
    <mergeCell ref="B100:H100"/>
    <mergeCell ref="S98:U98"/>
    <mergeCell ref="V98:X98"/>
    <mergeCell ref="J100:P100"/>
    <mergeCell ref="R100:X100"/>
    <mergeCell ref="Z100:AF100"/>
    <mergeCell ref="AA98:AC98"/>
    <mergeCell ref="B26:N26"/>
    <mergeCell ref="B52:N52"/>
    <mergeCell ref="B98:B99"/>
    <mergeCell ref="C98:E98"/>
    <mergeCell ref="F98:H98"/>
    <mergeCell ref="P26:AB26"/>
    <mergeCell ref="B2:AB2"/>
    <mergeCell ref="F94:I94"/>
    <mergeCell ref="J98:J99"/>
    <mergeCell ref="K98:M98"/>
    <mergeCell ref="B73:N73"/>
    <mergeCell ref="F47:I47"/>
    <mergeCell ref="F46:I46"/>
    <mergeCell ref="F93:I93"/>
    <mergeCell ref="P5:AB5"/>
    <mergeCell ref="Z98:Z99"/>
    <mergeCell ref="R98:R99"/>
    <mergeCell ref="P73:AB73"/>
    <mergeCell ref="B49:AB49"/>
    <mergeCell ref="B96:AF96"/>
    <mergeCell ref="B5:N5"/>
    <mergeCell ref="P52:AB52"/>
    <mergeCell ref="D152:F152"/>
    <mergeCell ref="B130:D130"/>
    <mergeCell ref="B131:D131"/>
    <mergeCell ref="B136:D136"/>
    <mergeCell ref="R124:T124"/>
    <mergeCell ref="R125:T125"/>
    <mergeCell ref="F126:I126"/>
    <mergeCell ref="B129:D129"/>
    <mergeCell ref="N98:P98"/>
    <mergeCell ref="L121:Y121"/>
    <mergeCell ref="F125:I125"/>
    <mergeCell ref="F123:I124"/>
    <mergeCell ref="J123:L123"/>
    <mergeCell ref="M123:O123"/>
    <mergeCell ref="B137:D137"/>
    <mergeCell ref="D164:F164"/>
    <mergeCell ref="D165:F165"/>
    <mergeCell ref="D153:F153"/>
    <mergeCell ref="D149:N149"/>
    <mergeCell ref="B138:D138"/>
    <mergeCell ref="B139:D139"/>
    <mergeCell ref="B140:D140"/>
    <mergeCell ref="B141:D141"/>
    <mergeCell ref="B143:D143"/>
    <mergeCell ref="B142:D142"/>
    <mergeCell ref="B146:D146"/>
    <mergeCell ref="B145:D145"/>
  </mergeCells>
  <conditionalFormatting sqref="B4:N18 B51:AF52 B53:O67 AC53:AF67 P62:AB69 Q15:AB22 B101:I115 J110:P117 B86:AF100 B70:AF73 B74:O85 AC74:AF85 P75:AB85 Q113:AF115 Q101:Y112 Z102:AF112 Q7:AB13 P54:AB60 J102:P108">
    <cfRule type="cellIs" dxfId="165" priority="14" operator="equal">
      <formula>0</formula>
    </cfRule>
  </conditionalFormatting>
  <conditionalFormatting sqref="C27:N44">
    <cfRule type="cellIs" dxfId="164" priority="12" operator="equal">
      <formula>0</formula>
    </cfRule>
  </conditionalFormatting>
  <conditionalFormatting sqref="Q28:AB38">
    <cfRule type="cellIs" dxfId="163" priority="11" operator="equal">
      <formula>0</formula>
    </cfRule>
  </conditionalFormatting>
  <conditionalFormatting sqref="B68:O69 AC68:AF69 B118:AF118 B116:I117 Q116:AF117">
    <cfRule type="cellIs" dxfId="162" priority="10" operator="equal">
      <formula>0</formula>
    </cfRule>
  </conditionalFormatting>
  <conditionalFormatting sqref="Q14:AB14">
    <cfRule type="cellIs" dxfId="161" priority="9" operator="equal">
      <formula>0</formula>
    </cfRule>
  </conditionalFormatting>
  <conditionalFormatting sqref="Q6:AB6">
    <cfRule type="cellIs" dxfId="160" priority="8" operator="equal">
      <formula>0</formula>
    </cfRule>
  </conditionalFormatting>
  <conditionalFormatting sqref="P61:AB61">
    <cfRule type="cellIs" dxfId="159" priority="7" operator="equal">
      <formula>0</formula>
    </cfRule>
  </conditionalFormatting>
  <conditionalFormatting sqref="P53:AB53">
    <cfRule type="cellIs" dxfId="158" priority="6" operator="equal">
      <formula>0</formula>
    </cfRule>
  </conditionalFormatting>
  <conditionalFormatting sqref="J109:P109">
    <cfRule type="cellIs" dxfId="157" priority="5" operator="equal">
      <formula>0</formula>
    </cfRule>
  </conditionalFormatting>
  <conditionalFormatting sqref="J101:P101">
    <cfRule type="cellIs" dxfId="156" priority="4" operator="equal">
      <formula>0</formula>
    </cfRule>
  </conditionalFormatting>
  <conditionalFormatting sqref="Q27:AB27">
    <cfRule type="cellIs" dxfId="155" priority="3" operator="equal">
      <formula>0</formula>
    </cfRule>
  </conditionalFormatting>
  <conditionalFormatting sqref="P74:AB74">
    <cfRule type="cellIs" dxfId="154" priority="2" operator="equal">
      <formula>0</formula>
    </cfRule>
  </conditionalFormatting>
  <conditionalFormatting sqref="Z101:AF101">
    <cfRule type="cellIs" dxfId="153" priority="1" operator="equal">
      <formula>0</formula>
    </cfRule>
  </conditionalFormatting>
  <pageMargins left="0.7" right="0.7" top="0.75" bottom="0.75" header="0.3" footer="0.3"/>
  <pageSetup paperSize="8" scale="19" orientation="portrait" r:id="rId1"/>
  <rowBreaks count="1" manualBreakCount="1">
    <brk id="95" max="16383" man="1"/>
  </rowBreaks>
  <colBreaks count="1" manualBreakCount="1">
    <brk id="3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K95"/>
  <sheetViews>
    <sheetView view="pageBreakPreview" topLeftCell="A68" zoomScale="90" zoomScaleNormal="70" zoomScaleSheetLayoutView="90" workbookViewId="0">
      <selection activeCell="O77" sqref="O77:P81"/>
    </sheetView>
  </sheetViews>
  <sheetFormatPr defaultRowHeight="18.75" x14ac:dyDescent="0.3"/>
  <cols>
    <col min="1" max="1" width="14.5703125" style="1960" customWidth="1"/>
    <col min="2" max="2" width="20.140625" style="1116" customWidth="1"/>
    <col min="3" max="3" width="17.5703125" style="1116" bestFit="1" customWidth="1"/>
    <col min="4" max="24" width="9.7109375" style="1116" customWidth="1"/>
    <col min="25" max="25" width="15.5703125" style="1831" customWidth="1"/>
    <col min="26" max="26" width="11.85546875" style="1116" customWidth="1"/>
    <col min="27" max="36" width="22.7109375" style="1116" customWidth="1"/>
    <col min="37" max="37" width="14.28515625" style="1116" customWidth="1"/>
    <col min="38" max="16384" width="9.140625" style="322"/>
  </cols>
  <sheetData>
    <row r="1" spans="1:37" ht="20.100000000000001" customHeight="1" x14ac:dyDescent="0.3">
      <c r="A1" s="1957"/>
      <c r="B1" s="1957"/>
      <c r="C1" s="1957"/>
      <c r="D1" s="1957"/>
      <c r="E1" s="1957"/>
      <c r="F1" s="1162"/>
      <c r="G1" s="1162"/>
      <c r="H1" s="1162"/>
      <c r="I1" s="1162"/>
      <c r="J1" s="1162"/>
      <c r="K1" s="1162"/>
      <c r="L1" s="1162"/>
      <c r="M1" s="1162"/>
      <c r="N1" s="1162"/>
      <c r="O1" s="1162"/>
      <c r="P1" s="1162"/>
      <c r="Q1" s="1162"/>
      <c r="R1" s="1162"/>
      <c r="S1" s="1162"/>
      <c r="T1" s="1162"/>
      <c r="U1" s="1162"/>
      <c r="V1" s="1162"/>
      <c r="W1" s="1162"/>
      <c r="X1" s="1162"/>
      <c r="Y1" s="1162"/>
    </row>
    <row r="2" spans="1:37" ht="22.5" customHeight="1" x14ac:dyDescent="0.3">
      <c r="A2" s="2692" t="s">
        <v>0</v>
      </c>
      <c r="B2" s="2693"/>
      <c r="C2" s="2694" t="s">
        <v>170</v>
      </c>
      <c r="D2" s="2695"/>
      <c r="E2" s="2696"/>
      <c r="F2" s="1260"/>
      <c r="G2" s="1959"/>
      <c r="H2" s="1959"/>
      <c r="I2" s="2697" t="s">
        <v>63</v>
      </c>
      <c r="J2" s="2697"/>
      <c r="K2" s="2680" t="s">
        <v>366</v>
      </c>
      <c r="L2" s="2680"/>
      <c r="M2" s="2680"/>
      <c r="N2" s="1959"/>
      <c r="O2" s="1959"/>
      <c r="P2" s="1959"/>
      <c r="Q2" s="1959"/>
      <c r="R2" s="1959"/>
      <c r="S2" s="1959"/>
      <c r="T2" s="1959"/>
      <c r="U2" s="1959"/>
      <c r="V2" s="1959"/>
      <c r="W2" s="1959"/>
      <c r="X2" s="1959"/>
      <c r="Y2" s="1959"/>
      <c r="Z2" s="1959"/>
    </row>
    <row r="3" spans="1:37" ht="22.5" customHeight="1" x14ac:dyDescent="0.3">
      <c r="A3" s="2703" t="s">
        <v>1</v>
      </c>
      <c r="B3" s="2704"/>
      <c r="C3" s="2694" t="s">
        <v>365</v>
      </c>
      <c r="D3" s="2695"/>
      <c r="E3" s="2696"/>
      <c r="F3" s="1260"/>
      <c r="G3" s="1959"/>
      <c r="H3" s="1959"/>
      <c r="I3" s="2698" t="s">
        <v>64</v>
      </c>
      <c r="J3" s="2698"/>
      <c r="K3" s="2699" t="s">
        <v>232</v>
      </c>
      <c r="L3" s="2700"/>
      <c r="M3" s="2701"/>
      <c r="N3" s="2702"/>
      <c r="O3" s="2702"/>
      <c r="P3" s="1959"/>
      <c r="Q3" s="1959"/>
      <c r="R3" s="1959"/>
      <c r="S3" s="1959"/>
      <c r="T3" s="1959"/>
      <c r="U3" s="1959"/>
      <c r="V3" s="1959"/>
      <c r="W3" s="1959"/>
      <c r="X3" s="1959"/>
      <c r="Y3" s="1959"/>
      <c r="Z3" s="1959"/>
    </row>
    <row r="4" spans="1:37" ht="22.5" customHeight="1" x14ac:dyDescent="0.3">
      <c r="A4" s="1992"/>
      <c r="B4" s="1992" t="s">
        <v>2</v>
      </c>
      <c r="C4" s="2705" t="s">
        <v>157</v>
      </c>
      <c r="D4" s="2706"/>
      <c r="E4" s="2707"/>
      <c r="F4" s="1260"/>
      <c r="G4" s="1959"/>
      <c r="H4" s="1959"/>
      <c r="I4" s="2708" t="s">
        <v>65</v>
      </c>
      <c r="J4" s="2708"/>
      <c r="K4" s="2709" t="s">
        <v>66</v>
      </c>
      <c r="L4" s="2709"/>
      <c r="M4" s="2709"/>
      <c r="N4" s="1260"/>
      <c r="O4" s="1260"/>
      <c r="P4" s="1959"/>
      <c r="Q4" s="1959"/>
      <c r="R4" s="1959"/>
      <c r="S4" s="1959"/>
      <c r="T4" s="1959"/>
      <c r="U4" s="1959"/>
      <c r="V4" s="1959"/>
      <c r="W4" s="1959"/>
      <c r="X4" s="1959"/>
      <c r="Y4" s="1959"/>
      <c r="Z4" s="1959"/>
    </row>
    <row r="5" spans="1:37" ht="40.5" customHeight="1" x14ac:dyDescent="0.3">
      <c r="A5" s="1993"/>
      <c r="B5" s="1993"/>
      <c r="C5" s="2697" t="s">
        <v>3</v>
      </c>
      <c r="D5" s="2697"/>
      <c r="E5" s="2697"/>
      <c r="F5" s="2697"/>
      <c r="G5" s="2697"/>
      <c r="H5" s="2710"/>
      <c r="I5" s="2697"/>
      <c r="J5" s="2697"/>
      <c r="K5" s="2697"/>
      <c r="L5" s="2697"/>
      <c r="M5" s="2697"/>
      <c r="N5" s="2680" t="s">
        <v>4</v>
      </c>
      <c r="O5" s="2680"/>
      <c r="P5" s="2680"/>
      <c r="Q5" s="2680"/>
      <c r="R5" s="2680"/>
      <c r="S5" s="2681"/>
      <c r="T5" s="2680"/>
      <c r="U5" s="2681"/>
      <c r="V5" s="2680"/>
      <c r="W5" s="2681"/>
      <c r="X5" s="2680"/>
      <c r="Y5" s="1311"/>
      <c r="Z5" s="1959"/>
    </row>
    <row r="6" spans="1:37" ht="40.5" customHeight="1" x14ac:dyDescent="0.3">
      <c r="A6" s="1258"/>
      <c r="B6" s="2682" t="s">
        <v>5</v>
      </c>
      <c r="C6" s="2682" t="s">
        <v>6</v>
      </c>
      <c r="D6" s="2682"/>
      <c r="E6" s="2682"/>
      <c r="F6" s="2682"/>
      <c r="G6" s="2682"/>
      <c r="H6" s="2689" t="s">
        <v>7</v>
      </c>
      <c r="I6" s="2689"/>
      <c r="J6" s="2689" t="s">
        <v>8</v>
      </c>
      <c r="K6" s="2689"/>
      <c r="L6" s="2689" t="s">
        <v>9</v>
      </c>
      <c r="M6" s="2689"/>
      <c r="N6" s="2683" t="s">
        <v>6</v>
      </c>
      <c r="O6" s="2684"/>
      <c r="P6" s="2684"/>
      <c r="Q6" s="2684"/>
      <c r="R6" s="2685"/>
      <c r="S6" s="2687" t="s">
        <v>7</v>
      </c>
      <c r="T6" s="2688"/>
      <c r="U6" s="2687" t="s">
        <v>8</v>
      </c>
      <c r="V6" s="2688"/>
      <c r="W6" s="2687" t="s">
        <v>9</v>
      </c>
      <c r="X6" s="2688"/>
      <c r="Y6" s="2686" t="s">
        <v>11</v>
      </c>
      <c r="Z6" s="2690" t="s">
        <v>12</v>
      </c>
    </row>
    <row r="7" spans="1:37" ht="40.5" customHeight="1" x14ac:dyDescent="0.3">
      <c r="A7" s="1258"/>
      <c r="B7" s="2682"/>
      <c r="C7" s="1964" t="s">
        <v>13</v>
      </c>
      <c r="D7" s="1964" t="s">
        <v>14</v>
      </c>
      <c r="E7" s="1964" t="s">
        <v>15</v>
      </c>
      <c r="F7" s="1157" t="s">
        <v>16</v>
      </c>
      <c r="G7" s="1157" t="s">
        <v>17</v>
      </c>
      <c r="H7" s="1157" t="s">
        <v>13</v>
      </c>
      <c r="I7" s="1157" t="s">
        <v>14</v>
      </c>
      <c r="J7" s="1157" t="s">
        <v>13</v>
      </c>
      <c r="K7" s="1157" t="s">
        <v>14</v>
      </c>
      <c r="L7" s="1157" t="s">
        <v>13</v>
      </c>
      <c r="M7" s="1157" t="s">
        <v>14</v>
      </c>
      <c r="N7" s="1964" t="s">
        <v>13</v>
      </c>
      <c r="O7" s="1964" t="s">
        <v>14</v>
      </c>
      <c r="P7" s="1964" t="s">
        <v>15</v>
      </c>
      <c r="Q7" s="1157" t="s">
        <v>13</v>
      </c>
      <c r="R7" s="1157" t="s">
        <v>14</v>
      </c>
      <c r="S7" s="1157" t="s">
        <v>13</v>
      </c>
      <c r="T7" s="1157" t="s">
        <v>14</v>
      </c>
      <c r="U7" s="1157" t="s">
        <v>13</v>
      </c>
      <c r="V7" s="1157" t="s">
        <v>14</v>
      </c>
      <c r="W7" s="1157" t="s">
        <v>13</v>
      </c>
      <c r="X7" s="1157" t="s">
        <v>14</v>
      </c>
      <c r="Y7" s="2686"/>
      <c r="Z7" s="2690"/>
    </row>
    <row r="8" spans="1:37" ht="37.5" customHeight="1" x14ac:dyDescent="0.3">
      <c r="A8" s="1258"/>
      <c r="B8" s="1258" t="s">
        <v>19</v>
      </c>
      <c r="C8" s="1964" t="s">
        <v>22</v>
      </c>
      <c r="D8" s="1964" t="s">
        <v>22</v>
      </c>
      <c r="E8" s="1964" t="s">
        <v>40</v>
      </c>
      <c r="F8" s="1958" t="s">
        <v>22</v>
      </c>
      <c r="G8" s="1958" t="s">
        <v>22</v>
      </c>
      <c r="H8" s="1958" t="s">
        <v>22</v>
      </c>
      <c r="I8" s="1958" t="s">
        <v>22</v>
      </c>
      <c r="J8" s="1980" t="s">
        <v>40</v>
      </c>
      <c r="K8" s="1980" t="s">
        <v>40</v>
      </c>
      <c r="L8" s="1980" t="s">
        <v>40</v>
      </c>
      <c r="M8" s="1980" t="s">
        <v>40</v>
      </c>
      <c r="N8" s="1964" t="s">
        <v>41</v>
      </c>
      <c r="O8" s="1964" t="s">
        <v>42</v>
      </c>
      <c r="P8" s="1964" t="s">
        <v>43</v>
      </c>
      <c r="Q8" s="1958" t="s">
        <v>41</v>
      </c>
      <c r="R8" s="1958" t="s">
        <v>41</v>
      </c>
      <c r="S8" s="1958" t="s">
        <v>42</v>
      </c>
      <c r="T8" s="1958" t="s">
        <v>42</v>
      </c>
      <c r="U8" s="1980" t="s">
        <v>43</v>
      </c>
      <c r="V8" s="1980" t="s">
        <v>43</v>
      </c>
      <c r="W8" s="1980" t="s">
        <v>43</v>
      </c>
      <c r="X8" s="1980" t="s">
        <v>43</v>
      </c>
      <c r="Y8" s="2686"/>
      <c r="Z8" s="2690"/>
      <c r="AA8" s="1960"/>
      <c r="AB8" s="322"/>
      <c r="AC8" s="322"/>
      <c r="AD8" s="322"/>
      <c r="AE8" s="322"/>
      <c r="AF8" s="322"/>
      <c r="AG8" s="322"/>
      <c r="AH8" s="322"/>
      <c r="AI8" s="322"/>
      <c r="AJ8" s="322"/>
      <c r="AK8" s="322"/>
    </row>
    <row r="9" spans="1:37" ht="37.5" customHeight="1" x14ac:dyDescent="0.3">
      <c r="A9" s="1258" t="s">
        <v>18</v>
      </c>
      <c r="B9" s="1258" t="s">
        <v>26</v>
      </c>
      <c r="C9" s="1964">
        <v>2</v>
      </c>
      <c r="D9" s="1964">
        <v>2</v>
      </c>
      <c r="E9" s="1964">
        <v>2</v>
      </c>
      <c r="F9" s="1964">
        <v>2</v>
      </c>
      <c r="G9" s="1964">
        <v>2</v>
      </c>
      <c r="H9" s="1994">
        <v>5</v>
      </c>
      <c r="I9" s="1994">
        <v>5</v>
      </c>
      <c r="J9" s="1958">
        <v>5</v>
      </c>
      <c r="K9" s="1995">
        <v>5</v>
      </c>
      <c r="L9" s="1958">
        <v>5</v>
      </c>
      <c r="M9" s="1995">
        <v>5</v>
      </c>
      <c r="N9" s="1964">
        <v>2</v>
      </c>
      <c r="O9" s="1964">
        <v>2</v>
      </c>
      <c r="P9" s="1964">
        <v>2</v>
      </c>
      <c r="Q9" s="1964">
        <v>2</v>
      </c>
      <c r="R9" s="1964">
        <v>2</v>
      </c>
      <c r="S9" s="1958">
        <v>5</v>
      </c>
      <c r="T9" s="1958">
        <v>5</v>
      </c>
      <c r="U9" s="1958">
        <v>5</v>
      </c>
      <c r="V9" s="1958">
        <v>5</v>
      </c>
      <c r="W9" s="1958">
        <v>5</v>
      </c>
      <c r="X9" s="1958">
        <v>5</v>
      </c>
      <c r="Y9" s="2691">
        <v>100</v>
      </c>
      <c r="Z9" s="2691"/>
      <c r="AA9" s="1960"/>
      <c r="AB9" s="322"/>
      <c r="AC9" s="322"/>
      <c r="AD9" s="322"/>
      <c r="AE9" s="322"/>
      <c r="AF9" s="322"/>
      <c r="AG9" s="322"/>
      <c r="AH9" s="322"/>
      <c r="AI9" s="322"/>
      <c r="AJ9" s="322"/>
      <c r="AK9" s="322"/>
    </row>
    <row r="10" spans="1:37" ht="37.5" customHeight="1" x14ac:dyDescent="0.3">
      <c r="A10" s="1258">
        <v>1</v>
      </c>
      <c r="B10" s="1972">
        <v>5191421001</v>
      </c>
      <c r="C10" s="1996">
        <v>1</v>
      </c>
      <c r="D10" s="1996"/>
      <c r="E10" s="1996">
        <v>1</v>
      </c>
      <c r="F10" s="1997">
        <v>1</v>
      </c>
      <c r="G10" s="1998"/>
      <c r="H10" s="1998">
        <v>5</v>
      </c>
      <c r="I10" s="1998">
        <v>2</v>
      </c>
      <c r="J10" s="1958"/>
      <c r="K10" s="1958"/>
      <c r="L10" s="1958">
        <v>5</v>
      </c>
      <c r="M10" s="1958">
        <v>5</v>
      </c>
      <c r="N10" s="1137">
        <v>1</v>
      </c>
      <c r="O10" s="1137"/>
      <c r="P10" s="1137">
        <v>2</v>
      </c>
      <c r="Q10" s="1958">
        <v>2</v>
      </c>
      <c r="R10" s="1958"/>
      <c r="S10" s="1958">
        <v>4</v>
      </c>
      <c r="T10" s="1958"/>
      <c r="U10" s="1958"/>
      <c r="V10" s="1958"/>
      <c r="W10" s="1958">
        <v>5</v>
      </c>
      <c r="X10" s="1958">
        <v>4</v>
      </c>
      <c r="Y10" s="1157" t="s">
        <v>32</v>
      </c>
      <c r="Z10" s="1258">
        <f>IF(Y10="O",100,IF(Y10="A+",90,IF(Y10="A",80,IF(Y10="B+",70,IF(Y10="B",60,IF(Y10="C",55,IF(Y10="P",50,IF(Y10="F",39))))))))</f>
        <v>70</v>
      </c>
      <c r="AA10" s="1960"/>
      <c r="AB10" s="322"/>
      <c r="AC10" s="322"/>
      <c r="AD10" s="322"/>
      <c r="AE10" s="322"/>
      <c r="AF10" s="322"/>
      <c r="AG10" s="322"/>
      <c r="AH10" s="322"/>
      <c r="AI10" s="322"/>
      <c r="AJ10" s="322"/>
      <c r="AK10" s="322"/>
    </row>
    <row r="11" spans="1:37" ht="37.5" customHeight="1" x14ac:dyDescent="0.3">
      <c r="A11" s="1258">
        <v>2</v>
      </c>
      <c r="B11" s="1972">
        <f>+B10+1</f>
        <v>5191421002</v>
      </c>
      <c r="C11" s="1964"/>
      <c r="D11" s="1964">
        <v>2</v>
      </c>
      <c r="E11" s="1964">
        <v>2</v>
      </c>
      <c r="F11" s="1958">
        <v>2</v>
      </c>
      <c r="G11" s="1958">
        <v>2</v>
      </c>
      <c r="H11" s="1958">
        <v>5</v>
      </c>
      <c r="I11" s="1958">
        <v>3</v>
      </c>
      <c r="J11" s="1958"/>
      <c r="K11" s="1958"/>
      <c r="L11" s="1958">
        <v>5</v>
      </c>
      <c r="M11" s="1958">
        <v>5</v>
      </c>
      <c r="N11" s="1137"/>
      <c r="O11" s="1137">
        <v>2</v>
      </c>
      <c r="P11" s="1137">
        <v>2</v>
      </c>
      <c r="Q11" s="1958">
        <v>2</v>
      </c>
      <c r="R11" s="1958"/>
      <c r="S11" s="1958"/>
      <c r="T11" s="1958"/>
      <c r="U11" s="1958">
        <v>4</v>
      </c>
      <c r="V11" s="1958">
        <v>5</v>
      </c>
      <c r="W11" s="1958">
        <v>5</v>
      </c>
      <c r="X11" s="1958">
        <v>3</v>
      </c>
      <c r="Y11" s="1999" t="s">
        <v>30</v>
      </c>
      <c r="Z11" s="1258">
        <f t="shared" ref="Z11:Z58" si="0">IF(Y11="O",100,IF(Y11="A+",90,IF(Y11="A",80,IF(Y11="B+",70,IF(Y11="B",60,IF(Y11="C",55,IF(Y11="P",50,IF(Y11="F",39))))))))</f>
        <v>90</v>
      </c>
      <c r="AA11" s="1960"/>
      <c r="AB11" s="322"/>
      <c r="AC11" s="322"/>
      <c r="AD11" s="322"/>
      <c r="AE11" s="322"/>
      <c r="AF11" s="322"/>
      <c r="AG11" s="322"/>
      <c r="AH11" s="322"/>
      <c r="AI11" s="322"/>
      <c r="AJ11" s="322"/>
      <c r="AK11" s="322"/>
    </row>
    <row r="12" spans="1:37" ht="37.5" customHeight="1" x14ac:dyDescent="0.3">
      <c r="A12" s="1258">
        <v>3</v>
      </c>
      <c r="B12" s="1972">
        <f t="shared" ref="B12:B58" si="1">+B11+1</f>
        <v>5191421003</v>
      </c>
      <c r="C12" s="1137">
        <v>1</v>
      </c>
      <c r="D12" s="1137">
        <v>1</v>
      </c>
      <c r="E12" s="1137">
        <v>2</v>
      </c>
      <c r="F12" s="1958">
        <v>2</v>
      </c>
      <c r="G12" s="1958">
        <v>2</v>
      </c>
      <c r="H12" s="1958">
        <v>5</v>
      </c>
      <c r="I12" s="1958">
        <v>5</v>
      </c>
      <c r="J12" s="1958">
        <v>5</v>
      </c>
      <c r="K12" s="1958">
        <v>5</v>
      </c>
      <c r="L12" s="1958">
        <v>5</v>
      </c>
      <c r="M12" s="1958">
        <v>5</v>
      </c>
      <c r="N12" s="1137">
        <v>1</v>
      </c>
      <c r="O12" s="1137">
        <v>2</v>
      </c>
      <c r="P12" s="1137">
        <v>2</v>
      </c>
      <c r="Q12" s="1958">
        <v>2</v>
      </c>
      <c r="R12" s="1958"/>
      <c r="S12" s="1958">
        <v>5</v>
      </c>
      <c r="T12" s="1958">
        <v>5</v>
      </c>
      <c r="U12" s="1958">
        <v>5</v>
      </c>
      <c r="V12" s="1958">
        <v>5</v>
      </c>
      <c r="W12" s="1958"/>
      <c r="X12" s="1958"/>
      <c r="Y12" s="1157" t="s">
        <v>82</v>
      </c>
      <c r="Z12" s="1258">
        <f t="shared" si="0"/>
        <v>100</v>
      </c>
      <c r="AA12" s="1960"/>
      <c r="AB12" s="322"/>
      <c r="AC12" s="322"/>
      <c r="AD12" s="322"/>
      <c r="AE12" s="322"/>
      <c r="AF12" s="322"/>
      <c r="AG12" s="322"/>
      <c r="AH12" s="322"/>
      <c r="AI12" s="322"/>
      <c r="AJ12" s="322"/>
      <c r="AK12" s="322"/>
    </row>
    <row r="13" spans="1:37" ht="37.5" customHeight="1" x14ac:dyDescent="0.3">
      <c r="A13" s="1258">
        <v>4</v>
      </c>
      <c r="B13" s="1972">
        <f t="shared" si="1"/>
        <v>5191421004</v>
      </c>
      <c r="C13" s="1137">
        <v>1</v>
      </c>
      <c r="D13" s="1137">
        <v>1</v>
      </c>
      <c r="E13" s="1137">
        <v>2</v>
      </c>
      <c r="F13" s="1958"/>
      <c r="G13" s="1958">
        <v>2</v>
      </c>
      <c r="H13" s="1958">
        <v>3</v>
      </c>
      <c r="I13" s="1958">
        <v>1</v>
      </c>
      <c r="J13" s="1958"/>
      <c r="K13" s="1958"/>
      <c r="L13" s="1958"/>
      <c r="M13" s="1958"/>
      <c r="N13" s="1137">
        <v>2</v>
      </c>
      <c r="O13" s="1137">
        <v>1</v>
      </c>
      <c r="P13" s="1137">
        <v>2</v>
      </c>
      <c r="Q13" s="1958"/>
      <c r="R13" s="1958">
        <v>2</v>
      </c>
      <c r="S13" s="1958"/>
      <c r="T13" s="1958">
        <v>5</v>
      </c>
      <c r="U13" s="1958"/>
      <c r="V13" s="1958">
        <v>4</v>
      </c>
      <c r="W13" s="1958"/>
      <c r="X13" s="1958"/>
      <c r="Y13" s="1999" t="s">
        <v>29</v>
      </c>
      <c r="Z13" s="1258">
        <f t="shared" si="0"/>
        <v>39</v>
      </c>
      <c r="AA13" s="1960"/>
      <c r="AB13" s="322"/>
      <c r="AC13" s="322"/>
      <c r="AD13" s="322"/>
      <c r="AE13" s="322"/>
      <c r="AF13" s="322"/>
      <c r="AG13" s="322"/>
      <c r="AH13" s="322"/>
      <c r="AI13" s="322"/>
      <c r="AJ13" s="322"/>
      <c r="AK13" s="322"/>
    </row>
    <row r="14" spans="1:37" ht="37.5" customHeight="1" x14ac:dyDescent="0.3">
      <c r="A14" s="1258">
        <v>5</v>
      </c>
      <c r="B14" s="1972">
        <f t="shared" si="1"/>
        <v>5191421005</v>
      </c>
      <c r="C14" s="1137">
        <v>1</v>
      </c>
      <c r="D14" s="1137"/>
      <c r="E14" s="1137">
        <v>2</v>
      </c>
      <c r="F14" s="1958"/>
      <c r="G14" s="1958">
        <v>2</v>
      </c>
      <c r="H14" s="1958">
        <v>5</v>
      </c>
      <c r="I14" s="1958"/>
      <c r="J14" s="1958">
        <v>5</v>
      </c>
      <c r="K14" s="1958"/>
      <c r="L14" s="1958"/>
      <c r="M14" s="1958"/>
      <c r="N14" s="1137">
        <v>2</v>
      </c>
      <c r="O14" s="1137">
        <v>2</v>
      </c>
      <c r="P14" s="1137">
        <v>2</v>
      </c>
      <c r="Q14" s="1958"/>
      <c r="R14" s="1958"/>
      <c r="S14" s="1958">
        <v>5</v>
      </c>
      <c r="T14" s="1958">
        <v>2</v>
      </c>
      <c r="U14" s="1958">
        <v>5</v>
      </c>
      <c r="V14" s="1958">
        <v>4</v>
      </c>
      <c r="W14" s="1958"/>
      <c r="X14" s="1958"/>
      <c r="Y14" s="1157" t="s">
        <v>32</v>
      </c>
      <c r="Z14" s="1258">
        <f t="shared" si="0"/>
        <v>70</v>
      </c>
      <c r="AA14" s="1960"/>
      <c r="AB14" s="322"/>
      <c r="AC14" s="322"/>
      <c r="AD14" s="322"/>
      <c r="AE14" s="322"/>
      <c r="AF14" s="322"/>
      <c r="AG14" s="322"/>
      <c r="AH14" s="322"/>
      <c r="AI14" s="322"/>
      <c r="AJ14" s="322"/>
      <c r="AK14" s="322"/>
    </row>
    <row r="15" spans="1:37" ht="37.5" customHeight="1" x14ac:dyDescent="0.3">
      <c r="A15" s="1258">
        <v>6</v>
      </c>
      <c r="B15" s="1972">
        <f t="shared" si="1"/>
        <v>5191421006</v>
      </c>
      <c r="C15" s="1137">
        <v>1</v>
      </c>
      <c r="D15" s="1137">
        <v>1</v>
      </c>
      <c r="E15" s="1137">
        <v>2</v>
      </c>
      <c r="F15" s="1958">
        <v>2</v>
      </c>
      <c r="G15" s="1958">
        <v>2</v>
      </c>
      <c r="H15" s="1958">
        <v>5</v>
      </c>
      <c r="I15" s="1958">
        <v>5</v>
      </c>
      <c r="J15" s="1958">
        <v>5</v>
      </c>
      <c r="K15" s="1958"/>
      <c r="L15" s="1958">
        <v>5</v>
      </c>
      <c r="M15" s="1958">
        <v>5</v>
      </c>
      <c r="N15" s="1137">
        <v>2</v>
      </c>
      <c r="O15" s="1137">
        <v>2</v>
      </c>
      <c r="P15" s="1137">
        <v>2</v>
      </c>
      <c r="Q15" s="1958">
        <v>2</v>
      </c>
      <c r="R15" s="1958">
        <v>2</v>
      </c>
      <c r="S15" s="1958">
        <v>5</v>
      </c>
      <c r="T15" s="1958">
        <v>5</v>
      </c>
      <c r="U15" s="1958">
        <v>5</v>
      </c>
      <c r="V15" s="1958">
        <v>5</v>
      </c>
      <c r="W15" s="1958"/>
      <c r="X15" s="1958"/>
      <c r="Y15" s="1999" t="s">
        <v>82</v>
      </c>
      <c r="Z15" s="1258">
        <f t="shared" si="0"/>
        <v>100</v>
      </c>
      <c r="AA15" s="1960"/>
      <c r="AB15" s="322"/>
      <c r="AC15" s="322"/>
      <c r="AD15" s="322"/>
      <c r="AE15" s="322"/>
      <c r="AF15" s="322"/>
      <c r="AG15" s="322"/>
      <c r="AH15" s="322"/>
      <c r="AI15" s="322"/>
      <c r="AJ15" s="322"/>
      <c r="AK15" s="322"/>
    </row>
    <row r="16" spans="1:37" ht="37.5" customHeight="1" x14ac:dyDescent="0.3">
      <c r="A16" s="1258">
        <v>7</v>
      </c>
      <c r="B16" s="1972">
        <f t="shared" si="1"/>
        <v>5191421007</v>
      </c>
      <c r="C16" s="1137">
        <v>1</v>
      </c>
      <c r="D16" s="1137">
        <v>1</v>
      </c>
      <c r="E16" s="1137">
        <v>2</v>
      </c>
      <c r="F16" s="1958">
        <v>2</v>
      </c>
      <c r="G16" s="1958">
        <v>2</v>
      </c>
      <c r="H16" s="1958">
        <v>5</v>
      </c>
      <c r="I16" s="1958">
        <v>3</v>
      </c>
      <c r="J16" s="1958">
        <v>2</v>
      </c>
      <c r="K16" s="1958"/>
      <c r="L16" s="1958">
        <v>5</v>
      </c>
      <c r="M16" s="1958">
        <v>5</v>
      </c>
      <c r="N16" s="1137">
        <v>2</v>
      </c>
      <c r="O16" s="1137"/>
      <c r="P16" s="1137">
        <v>2</v>
      </c>
      <c r="Q16" s="1958">
        <v>2</v>
      </c>
      <c r="R16" s="1958">
        <v>1</v>
      </c>
      <c r="S16" s="1958">
        <v>5</v>
      </c>
      <c r="T16" s="1958">
        <v>5</v>
      </c>
      <c r="U16" s="1958"/>
      <c r="V16" s="1958"/>
      <c r="W16" s="1958">
        <v>5</v>
      </c>
      <c r="X16" s="1958">
        <v>4</v>
      </c>
      <c r="Y16" s="1157" t="s">
        <v>30</v>
      </c>
      <c r="Z16" s="1258">
        <f t="shared" si="0"/>
        <v>90</v>
      </c>
      <c r="AA16" s="1960"/>
      <c r="AB16" s="322"/>
      <c r="AC16" s="322"/>
      <c r="AD16" s="322"/>
      <c r="AE16" s="322"/>
      <c r="AF16" s="322"/>
      <c r="AG16" s="322"/>
      <c r="AH16" s="322"/>
      <c r="AI16" s="322"/>
      <c r="AJ16" s="322"/>
      <c r="AK16" s="322"/>
    </row>
    <row r="17" spans="1:37" ht="37.5" customHeight="1" x14ac:dyDescent="0.3">
      <c r="A17" s="1258">
        <v>8</v>
      </c>
      <c r="B17" s="1972">
        <f t="shared" si="1"/>
        <v>5191421008</v>
      </c>
      <c r="C17" s="1137">
        <v>2</v>
      </c>
      <c r="D17" s="1137">
        <v>1</v>
      </c>
      <c r="E17" s="1137">
        <v>2</v>
      </c>
      <c r="F17" s="1958">
        <v>2</v>
      </c>
      <c r="G17" s="1958"/>
      <c r="H17" s="1958">
        <v>2</v>
      </c>
      <c r="I17" s="1958"/>
      <c r="J17" s="1958">
        <v>3</v>
      </c>
      <c r="K17" s="1958">
        <v>1</v>
      </c>
      <c r="L17" s="1958"/>
      <c r="M17" s="1958"/>
      <c r="N17" s="1137">
        <v>2</v>
      </c>
      <c r="O17" s="1137"/>
      <c r="P17" s="1137">
        <v>2</v>
      </c>
      <c r="Q17" s="1958"/>
      <c r="R17" s="1958"/>
      <c r="S17" s="1958"/>
      <c r="T17" s="1958"/>
      <c r="U17" s="1958">
        <v>5</v>
      </c>
      <c r="V17" s="1958"/>
      <c r="W17" s="1958">
        <v>3</v>
      </c>
      <c r="X17" s="1958">
        <v>2</v>
      </c>
      <c r="Y17" s="1999" t="s">
        <v>33</v>
      </c>
      <c r="Z17" s="1258">
        <f t="shared" si="0"/>
        <v>60</v>
      </c>
      <c r="AA17" s="1961"/>
      <c r="AB17" s="322"/>
      <c r="AC17" s="322"/>
      <c r="AD17" s="322"/>
      <c r="AE17" s="322"/>
      <c r="AF17" s="322"/>
      <c r="AG17" s="322"/>
      <c r="AH17" s="322"/>
      <c r="AI17" s="322"/>
      <c r="AJ17" s="322"/>
      <c r="AK17" s="322"/>
    </row>
    <row r="18" spans="1:37" ht="37.5" customHeight="1" x14ac:dyDescent="0.3">
      <c r="A18" s="1258">
        <v>9</v>
      </c>
      <c r="B18" s="1972">
        <f t="shared" si="1"/>
        <v>5191421009</v>
      </c>
      <c r="C18" s="1137">
        <v>1</v>
      </c>
      <c r="D18" s="1137">
        <v>2</v>
      </c>
      <c r="E18" s="1137">
        <v>2</v>
      </c>
      <c r="F18" s="1958"/>
      <c r="G18" s="1958">
        <v>1</v>
      </c>
      <c r="H18" s="1958">
        <v>3</v>
      </c>
      <c r="I18" s="1958"/>
      <c r="J18" s="1958">
        <v>5</v>
      </c>
      <c r="K18" s="1958">
        <v>1</v>
      </c>
      <c r="L18" s="1958">
        <v>5</v>
      </c>
      <c r="M18" s="1958">
        <v>3</v>
      </c>
      <c r="N18" s="1137">
        <v>2</v>
      </c>
      <c r="O18" s="1137">
        <v>2</v>
      </c>
      <c r="P18" s="1137"/>
      <c r="Q18" s="1958">
        <v>2</v>
      </c>
      <c r="R18" s="1958"/>
      <c r="S18" s="1958">
        <v>2</v>
      </c>
      <c r="T18" s="1958">
        <v>5</v>
      </c>
      <c r="U18" s="1958"/>
      <c r="V18" s="1958"/>
      <c r="W18" s="1958">
        <v>5</v>
      </c>
      <c r="X18" s="1958">
        <v>1</v>
      </c>
      <c r="Y18" s="1157" t="s">
        <v>27</v>
      </c>
      <c r="Z18" s="1258">
        <f t="shared" si="0"/>
        <v>80</v>
      </c>
      <c r="AA18" s="1960"/>
      <c r="AB18" s="322"/>
      <c r="AC18" s="322"/>
      <c r="AD18" s="322"/>
      <c r="AE18" s="322"/>
      <c r="AF18" s="322"/>
      <c r="AG18" s="322"/>
      <c r="AH18" s="322"/>
      <c r="AI18" s="322"/>
      <c r="AJ18" s="322"/>
      <c r="AK18" s="322"/>
    </row>
    <row r="19" spans="1:37" ht="37.5" customHeight="1" x14ac:dyDescent="0.3">
      <c r="A19" s="1258">
        <v>10</v>
      </c>
      <c r="B19" s="1972">
        <f t="shared" si="1"/>
        <v>5191421010</v>
      </c>
      <c r="C19" s="1137">
        <v>1</v>
      </c>
      <c r="D19" s="1137">
        <v>1</v>
      </c>
      <c r="E19" s="1137">
        <v>2</v>
      </c>
      <c r="F19" s="1958"/>
      <c r="G19" s="1958"/>
      <c r="H19" s="1958">
        <v>2</v>
      </c>
      <c r="I19" s="1958"/>
      <c r="J19" s="1958">
        <v>5</v>
      </c>
      <c r="K19" s="1958">
        <v>3</v>
      </c>
      <c r="L19" s="1958">
        <v>5</v>
      </c>
      <c r="M19" s="1958"/>
      <c r="N19" s="1137"/>
      <c r="O19" s="1137">
        <v>2</v>
      </c>
      <c r="P19" s="1137">
        <v>2</v>
      </c>
      <c r="Q19" s="1958">
        <v>2</v>
      </c>
      <c r="R19" s="1958"/>
      <c r="S19" s="1958">
        <v>5</v>
      </c>
      <c r="T19" s="1958"/>
      <c r="U19" s="1958">
        <v>2</v>
      </c>
      <c r="V19" s="1958"/>
      <c r="W19" s="1958">
        <v>3</v>
      </c>
      <c r="X19" s="1958"/>
      <c r="Y19" s="1999" t="s">
        <v>32</v>
      </c>
      <c r="Z19" s="1258">
        <f t="shared" si="0"/>
        <v>70</v>
      </c>
      <c r="AA19" s="1960"/>
      <c r="AB19" s="322"/>
      <c r="AC19" s="322"/>
      <c r="AD19" s="322"/>
      <c r="AE19" s="322"/>
      <c r="AF19" s="322"/>
      <c r="AG19" s="322"/>
      <c r="AH19" s="322"/>
      <c r="AI19" s="322"/>
      <c r="AJ19" s="322"/>
      <c r="AK19" s="322"/>
    </row>
    <row r="20" spans="1:37" ht="37.5" customHeight="1" x14ac:dyDescent="0.3">
      <c r="A20" s="1258">
        <v>11</v>
      </c>
      <c r="B20" s="1972">
        <f t="shared" si="1"/>
        <v>5191421011</v>
      </c>
      <c r="C20" s="1137">
        <v>1</v>
      </c>
      <c r="D20" s="1137">
        <v>2</v>
      </c>
      <c r="E20" s="1137">
        <v>2</v>
      </c>
      <c r="F20" s="1958"/>
      <c r="G20" s="1958">
        <v>2</v>
      </c>
      <c r="H20" s="1958">
        <v>5</v>
      </c>
      <c r="I20" s="1958"/>
      <c r="J20" s="1958">
        <v>5</v>
      </c>
      <c r="K20" s="1958">
        <v>5</v>
      </c>
      <c r="L20" s="1958">
        <v>5</v>
      </c>
      <c r="M20" s="1958">
        <v>5</v>
      </c>
      <c r="N20" s="1137">
        <v>2</v>
      </c>
      <c r="O20" s="1137">
        <v>2</v>
      </c>
      <c r="P20" s="1137">
        <v>1</v>
      </c>
      <c r="Q20" s="1958"/>
      <c r="R20" s="1958">
        <v>1</v>
      </c>
      <c r="S20" s="1958">
        <v>4</v>
      </c>
      <c r="T20" s="1958"/>
      <c r="U20" s="1958"/>
      <c r="V20" s="1958"/>
      <c r="W20" s="1958">
        <v>5</v>
      </c>
      <c r="X20" s="1958">
        <v>5</v>
      </c>
      <c r="Y20" s="1157" t="s">
        <v>30</v>
      </c>
      <c r="Z20" s="1258">
        <f t="shared" si="0"/>
        <v>90</v>
      </c>
      <c r="AA20" s="1960"/>
      <c r="AB20" s="322"/>
      <c r="AC20" s="322"/>
      <c r="AD20" s="322"/>
      <c r="AE20" s="322"/>
      <c r="AF20" s="322"/>
      <c r="AG20" s="322"/>
      <c r="AH20" s="322"/>
      <c r="AI20" s="322"/>
      <c r="AJ20" s="322"/>
      <c r="AK20" s="322"/>
    </row>
    <row r="21" spans="1:37" ht="37.5" customHeight="1" x14ac:dyDescent="0.3">
      <c r="A21" s="1258">
        <v>12</v>
      </c>
      <c r="B21" s="1972">
        <f t="shared" si="1"/>
        <v>5191421012</v>
      </c>
      <c r="C21" s="1137"/>
      <c r="D21" s="1137"/>
      <c r="E21" s="1137"/>
      <c r="F21" s="1958"/>
      <c r="G21" s="1958"/>
      <c r="H21" s="1958"/>
      <c r="I21" s="1958"/>
      <c r="J21" s="1958"/>
      <c r="K21" s="1958">
        <v>1</v>
      </c>
      <c r="L21" s="1958"/>
      <c r="M21" s="1958">
        <v>2</v>
      </c>
      <c r="N21" s="1137"/>
      <c r="O21" s="1137"/>
      <c r="P21" s="1137">
        <v>1</v>
      </c>
      <c r="Q21" s="1958">
        <v>1</v>
      </c>
      <c r="R21" s="1958"/>
      <c r="S21" s="1958">
        <v>3</v>
      </c>
      <c r="T21" s="1958"/>
      <c r="U21" s="1958">
        <v>5</v>
      </c>
      <c r="V21" s="1958"/>
      <c r="W21" s="1958"/>
      <c r="X21" s="1958">
        <v>5</v>
      </c>
      <c r="Y21" s="1999" t="s">
        <v>28</v>
      </c>
      <c r="Z21" s="1258">
        <f t="shared" si="0"/>
        <v>50</v>
      </c>
      <c r="AA21" s="1960"/>
      <c r="AB21" s="322"/>
      <c r="AC21" s="322"/>
      <c r="AD21" s="322"/>
      <c r="AE21" s="322"/>
      <c r="AF21" s="322"/>
      <c r="AG21" s="322"/>
      <c r="AH21" s="322"/>
      <c r="AI21" s="322"/>
      <c r="AJ21" s="322"/>
      <c r="AK21" s="322"/>
    </row>
    <row r="22" spans="1:37" ht="37.5" customHeight="1" x14ac:dyDescent="0.3">
      <c r="A22" s="1258">
        <v>13</v>
      </c>
      <c r="B22" s="1972">
        <f t="shared" si="1"/>
        <v>5191421013</v>
      </c>
      <c r="C22" s="1137">
        <v>1</v>
      </c>
      <c r="D22" s="1137">
        <v>1</v>
      </c>
      <c r="E22" s="1137">
        <v>2</v>
      </c>
      <c r="F22" s="1958">
        <v>1</v>
      </c>
      <c r="G22" s="1958"/>
      <c r="H22" s="1958">
        <v>5</v>
      </c>
      <c r="I22" s="1958"/>
      <c r="J22" s="1958">
        <v>2</v>
      </c>
      <c r="K22" s="1958">
        <v>3</v>
      </c>
      <c r="L22" s="1958"/>
      <c r="M22" s="1958"/>
      <c r="N22" s="1137">
        <v>2</v>
      </c>
      <c r="O22" s="1137">
        <v>2</v>
      </c>
      <c r="P22" s="1137">
        <v>2</v>
      </c>
      <c r="Q22" s="1958">
        <v>2</v>
      </c>
      <c r="R22" s="1958"/>
      <c r="S22" s="1958">
        <v>5</v>
      </c>
      <c r="T22" s="1958">
        <v>3</v>
      </c>
      <c r="U22" s="1958"/>
      <c r="V22" s="1958"/>
      <c r="W22" s="1958">
        <v>5</v>
      </c>
      <c r="X22" s="1958">
        <v>5</v>
      </c>
      <c r="Y22" s="1157" t="s">
        <v>27</v>
      </c>
      <c r="Z22" s="1258">
        <f t="shared" si="0"/>
        <v>80</v>
      </c>
      <c r="AA22" s="1960"/>
      <c r="AB22" s="322"/>
      <c r="AC22" s="322"/>
      <c r="AD22" s="322"/>
      <c r="AE22" s="322"/>
      <c r="AF22" s="322"/>
      <c r="AG22" s="322"/>
      <c r="AH22" s="322"/>
      <c r="AI22" s="322"/>
      <c r="AJ22" s="322"/>
      <c r="AK22" s="322"/>
    </row>
    <row r="23" spans="1:37" ht="37.5" customHeight="1" x14ac:dyDescent="0.3">
      <c r="A23" s="1258">
        <v>14</v>
      </c>
      <c r="B23" s="1972">
        <f t="shared" si="1"/>
        <v>5191421014</v>
      </c>
      <c r="C23" s="1964">
        <v>1</v>
      </c>
      <c r="D23" s="1964">
        <v>2</v>
      </c>
      <c r="E23" s="1964">
        <v>1</v>
      </c>
      <c r="F23" s="1958"/>
      <c r="G23" s="1958"/>
      <c r="H23" s="1958">
        <v>5</v>
      </c>
      <c r="I23" s="1958">
        <v>1</v>
      </c>
      <c r="J23" s="1958">
        <v>2</v>
      </c>
      <c r="K23" s="1958">
        <v>2</v>
      </c>
      <c r="L23" s="1958"/>
      <c r="M23" s="1958"/>
      <c r="N23" s="1137">
        <v>2</v>
      </c>
      <c r="O23" s="1137">
        <v>1</v>
      </c>
      <c r="P23" s="1137">
        <v>1</v>
      </c>
      <c r="Q23" s="1958">
        <v>1</v>
      </c>
      <c r="R23" s="1958">
        <v>1</v>
      </c>
      <c r="S23" s="1958"/>
      <c r="T23" s="1958">
        <v>5</v>
      </c>
      <c r="U23" s="1958"/>
      <c r="V23" s="1958"/>
      <c r="W23" s="1958">
        <v>5</v>
      </c>
      <c r="X23" s="1958">
        <v>5</v>
      </c>
      <c r="Y23" s="1999" t="s">
        <v>27</v>
      </c>
      <c r="Z23" s="1258">
        <f t="shared" si="0"/>
        <v>80</v>
      </c>
      <c r="AA23" s="1960"/>
      <c r="AB23" s="322"/>
      <c r="AC23" s="322"/>
      <c r="AD23" s="322"/>
      <c r="AE23" s="322"/>
      <c r="AF23" s="322"/>
      <c r="AG23" s="322"/>
      <c r="AH23" s="322"/>
      <c r="AI23" s="322"/>
      <c r="AJ23" s="322"/>
      <c r="AK23" s="322"/>
    </row>
    <row r="24" spans="1:37" ht="37.5" customHeight="1" x14ac:dyDescent="0.3">
      <c r="A24" s="1258">
        <v>15</v>
      </c>
      <c r="B24" s="1972">
        <f t="shared" si="1"/>
        <v>5191421015</v>
      </c>
      <c r="C24" s="1137">
        <v>1</v>
      </c>
      <c r="D24" s="1137">
        <v>1</v>
      </c>
      <c r="E24" s="1137">
        <v>1</v>
      </c>
      <c r="F24" s="1958">
        <v>1</v>
      </c>
      <c r="G24" s="1958"/>
      <c r="H24" s="1958">
        <v>3</v>
      </c>
      <c r="I24" s="1958">
        <v>2</v>
      </c>
      <c r="J24" s="1958"/>
      <c r="K24" s="1958"/>
      <c r="L24" s="1958">
        <v>5</v>
      </c>
      <c r="M24" s="1958"/>
      <c r="N24" s="1137">
        <v>2</v>
      </c>
      <c r="O24" s="1137"/>
      <c r="P24" s="1137">
        <v>2</v>
      </c>
      <c r="Q24" s="1958"/>
      <c r="R24" s="1958"/>
      <c r="S24" s="1958"/>
      <c r="T24" s="1958"/>
      <c r="U24" s="1958">
        <v>5</v>
      </c>
      <c r="V24" s="1958">
        <v>3</v>
      </c>
      <c r="W24" s="1958">
        <v>5</v>
      </c>
      <c r="X24" s="1958"/>
      <c r="Y24" s="1157" t="s">
        <v>28</v>
      </c>
      <c r="Z24" s="1258">
        <f t="shared" si="0"/>
        <v>50</v>
      </c>
      <c r="AA24" s="1960"/>
      <c r="AB24" s="322"/>
      <c r="AC24" s="322"/>
      <c r="AD24" s="322"/>
      <c r="AE24" s="322"/>
      <c r="AF24" s="322"/>
      <c r="AG24" s="322"/>
      <c r="AH24" s="322"/>
      <c r="AI24" s="322"/>
      <c r="AJ24" s="322"/>
      <c r="AK24" s="322"/>
    </row>
    <row r="25" spans="1:37" ht="37.5" customHeight="1" x14ac:dyDescent="0.3">
      <c r="A25" s="1258">
        <v>16</v>
      </c>
      <c r="B25" s="1972">
        <f t="shared" si="1"/>
        <v>5191421016</v>
      </c>
      <c r="C25" s="1137"/>
      <c r="D25" s="1137">
        <v>1</v>
      </c>
      <c r="E25" s="1137">
        <v>1</v>
      </c>
      <c r="F25" s="1958">
        <v>1</v>
      </c>
      <c r="G25" s="1958">
        <v>2</v>
      </c>
      <c r="H25" s="1958">
        <v>2</v>
      </c>
      <c r="I25" s="1958"/>
      <c r="J25" s="1958">
        <v>5</v>
      </c>
      <c r="K25" s="1958"/>
      <c r="L25" s="1958"/>
      <c r="M25" s="1958"/>
      <c r="N25" s="1137"/>
      <c r="O25" s="1137"/>
      <c r="P25" s="1137"/>
      <c r="Q25" s="1958"/>
      <c r="R25" s="1958"/>
      <c r="S25" s="1958"/>
      <c r="T25" s="1958"/>
      <c r="U25" s="1958"/>
      <c r="V25" s="1958"/>
      <c r="W25" s="1958"/>
      <c r="X25" s="1958"/>
      <c r="Y25" s="1999" t="s">
        <v>28</v>
      </c>
      <c r="Z25" s="1258">
        <f t="shared" si="0"/>
        <v>50</v>
      </c>
      <c r="AA25" s="1960"/>
      <c r="AB25" s="322"/>
      <c r="AC25" s="322"/>
      <c r="AD25" s="322"/>
      <c r="AE25" s="322"/>
      <c r="AF25" s="322"/>
      <c r="AG25" s="322"/>
      <c r="AH25" s="322"/>
      <c r="AI25" s="322"/>
      <c r="AJ25" s="322"/>
      <c r="AK25" s="322"/>
    </row>
    <row r="26" spans="1:37" ht="37.5" customHeight="1" x14ac:dyDescent="0.3">
      <c r="A26" s="1258">
        <v>17</v>
      </c>
      <c r="B26" s="1972">
        <f t="shared" si="1"/>
        <v>5191421017</v>
      </c>
      <c r="C26" s="1137">
        <v>1</v>
      </c>
      <c r="D26" s="1137">
        <v>1</v>
      </c>
      <c r="E26" s="1137">
        <v>2</v>
      </c>
      <c r="F26" s="1958"/>
      <c r="G26" s="1958">
        <v>2</v>
      </c>
      <c r="H26" s="1958">
        <v>2</v>
      </c>
      <c r="I26" s="1958"/>
      <c r="J26" s="1958">
        <v>2</v>
      </c>
      <c r="K26" s="1958"/>
      <c r="L26" s="1958"/>
      <c r="M26" s="1958"/>
      <c r="N26" s="1137">
        <v>2</v>
      </c>
      <c r="O26" s="1137"/>
      <c r="P26" s="1137"/>
      <c r="Q26" s="1958"/>
      <c r="R26" s="1958"/>
      <c r="S26" s="1958">
        <v>2</v>
      </c>
      <c r="T26" s="1958">
        <v>2</v>
      </c>
      <c r="U26" s="1958"/>
      <c r="V26" s="1958"/>
      <c r="W26" s="1958">
        <v>1</v>
      </c>
      <c r="X26" s="1958">
        <v>5</v>
      </c>
      <c r="Y26" s="1157" t="s">
        <v>33</v>
      </c>
      <c r="Z26" s="1258">
        <f t="shared" si="0"/>
        <v>60</v>
      </c>
      <c r="AA26" s="1960"/>
      <c r="AB26" s="322"/>
      <c r="AC26" s="322"/>
      <c r="AD26" s="322"/>
      <c r="AE26" s="322"/>
      <c r="AF26" s="322"/>
      <c r="AG26" s="322"/>
      <c r="AH26" s="322"/>
      <c r="AI26" s="322"/>
      <c r="AJ26" s="322"/>
      <c r="AK26" s="322"/>
    </row>
    <row r="27" spans="1:37" ht="37.5" customHeight="1" x14ac:dyDescent="0.3">
      <c r="A27" s="1258">
        <v>18</v>
      </c>
      <c r="B27" s="1972">
        <f t="shared" si="1"/>
        <v>5191421018</v>
      </c>
      <c r="C27" s="1137"/>
      <c r="D27" s="1137"/>
      <c r="E27" s="1137">
        <v>2</v>
      </c>
      <c r="F27" s="1958"/>
      <c r="G27" s="1958"/>
      <c r="H27" s="1958"/>
      <c r="I27" s="1958"/>
      <c r="J27" s="1958"/>
      <c r="K27" s="1958"/>
      <c r="L27" s="1958"/>
      <c r="M27" s="1958"/>
      <c r="N27" s="1137"/>
      <c r="O27" s="1137"/>
      <c r="P27" s="1137"/>
      <c r="Q27" s="1958"/>
      <c r="R27" s="1958"/>
      <c r="S27" s="1958"/>
      <c r="T27" s="1958"/>
      <c r="U27" s="1958"/>
      <c r="V27" s="1958"/>
      <c r="W27" s="1958"/>
      <c r="X27" s="1958">
        <v>3</v>
      </c>
      <c r="Y27" s="1999" t="s">
        <v>33</v>
      </c>
      <c r="Z27" s="1258">
        <f t="shared" si="0"/>
        <v>60</v>
      </c>
      <c r="AA27" s="1960"/>
      <c r="AB27" s="322"/>
      <c r="AC27" s="322"/>
      <c r="AD27" s="322"/>
      <c r="AE27" s="322"/>
      <c r="AF27" s="322"/>
      <c r="AG27" s="322"/>
      <c r="AH27" s="322"/>
      <c r="AI27" s="322"/>
      <c r="AJ27" s="322"/>
      <c r="AK27" s="322"/>
    </row>
    <row r="28" spans="1:37" ht="37.5" customHeight="1" x14ac:dyDescent="0.3">
      <c r="A28" s="1258">
        <v>19</v>
      </c>
      <c r="B28" s="1972">
        <f t="shared" si="1"/>
        <v>5191421019</v>
      </c>
      <c r="C28" s="1137">
        <v>2</v>
      </c>
      <c r="D28" s="1964">
        <v>1</v>
      </c>
      <c r="E28" s="1964">
        <v>2</v>
      </c>
      <c r="F28" s="1958">
        <v>2</v>
      </c>
      <c r="G28" s="1958">
        <v>2</v>
      </c>
      <c r="H28" s="1958">
        <v>5</v>
      </c>
      <c r="I28" s="1958"/>
      <c r="J28" s="1958">
        <v>5</v>
      </c>
      <c r="K28" s="1958">
        <v>5</v>
      </c>
      <c r="L28" s="1958">
        <v>5</v>
      </c>
      <c r="M28" s="1958">
        <v>3</v>
      </c>
      <c r="N28" s="1137">
        <v>2</v>
      </c>
      <c r="O28" s="1137"/>
      <c r="P28" s="1137">
        <v>2</v>
      </c>
      <c r="Q28" s="1958">
        <v>2</v>
      </c>
      <c r="R28" s="1958"/>
      <c r="S28" s="1958">
        <v>5</v>
      </c>
      <c r="T28" s="1958">
        <v>5</v>
      </c>
      <c r="U28" s="1958">
        <v>5</v>
      </c>
      <c r="V28" s="1958">
        <v>3</v>
      </c>
      <c r="W28" s="1958"/>
      <c r="X28" s="1958"/>
      <c r="Y28" s="1157" t="s">
        <v>82</v>
      </c>
      <c r="Z28" s="1258">
        <f t="shared" si="0"/>
        <v>100</v>
      </c>
      <c r="AA28" s="2000"/>
      <c r="AB28" s="322"/>
      <c r="AC28" s="322"/>
      <c r="AD28" s="322"/>
      <c r="AE28" s="322"/>
      <c r="AF28" s="322"/>
      <c r="AG28" s="322"/>
      <c r="AH28" s="322"/>
      <c r="AI28" s="322"/>
      <c r="AJ28" s="322"/>
      <c r="AK28" s="322"/>
    </row>
    <row r="29" spans="1:37" ht="37.5" customHeight="1" x14ac:dyDescent="0.3">
      <c r="A29" s="1258">
        <v>20</v>
      </c>
      <c r="B29" s="1972">
        <f t="shared" si="1"/>
        <v>5191421020</v>
      </c>
      <c r="C29" s="1964">
        <v>2</v>
      </c>
      <c r="D29" s="1964">
        <v>2</v>
      </c>
      <c r="E29" s="1964">
        <v>2</v>
      </c>
      <c r="F29" s="1958">
        <v>2</v>
      </c>
      <c r="G29" s="1958"/>
      <c r="H29" s="1958">
        <v>5</v>
      </c>
      <c r="I29" s="1958">
        <v>5</v>
      </c>
      <c r="J29" s="1958">
        <v>5</v>
      </c>
      <c r="K29" s="1958">
        <v>5</v>
      </c>
      <c r="L29" s="1958">
        <v>5</v>
      </c>
      <c r="M29" s="1958">
        <v>2</v>
      </c>
      <c r="N29" s="1964">
        <v>2</v>
      </c>
      <c r="O29" s="1964"/>
      <c r="P29" s="1964">
        <v>2</v>
      </c>
      <c r="Q29" s="1958">
        <v>2</v>
      </c>
      <c r="R29" s="1958"/>
      <c r="S29" s="1958">
        <v>5</v>
      </c>
      <c r="T29" s="1958">
        <v>5</v>
      </c>
      <c r="U29" s="1958">
        <v>5</v>
      </c>
      <c r="V29" s="1958">
        <v>3</v>
      </c>
      <c r="W29" s="1958"/>
      <c r="X29" s="1958"/>
      <c r="Y29" s="1999" t="s">
        <v>82</v>
      </c>
      <c r="Z29" s="1258">
        <f t="shared" si="0"/>
        <v>100</v>
      </c>
      <c r="AA29" s="1960"/>
      <c r="AB29" s="322"/>
      <c r="AC29" s="322"/>
      <c r="AD29" s="322"/>
      <c r="AE29" s="322"/>
      <c r="AF29" s="322"/>
      <c r="AG29" s="322"/>
      <c r="AH29" s="322"/>
      <c r="AI29" s="322"/>
      <c r="AJ29" s="322"/>
      <c r="AK29" s="322"/>
    </row>
    <row r="30" spans="1:37" ht="37.5" customHeight="1" x14ac:dyDescent="0.3">
      <c r="A30" s="1258">
        <v>21</v>
      </c>
      <c r="B30" s="1972">
        <f t="shared" si="1"/>
        <v>5191421021</v>
      </c>
      <c r="C30" s="1964">
        <v>1</v>
      </c>
      <c r="D30" s="1964"/>
      <c r="E30" s="1964">
        <v>2</v>
      </c>
      <c r="F30" s="1958">
        <v>1</v>
      </c>
      <c r="G30" s="1958"/>
      <c r="H30" s="1958">
        <v>5</v>
      </c>
      <c r="I30" s="1958"/>
      <c r="J30" s="1958">
        <v>5</v>
      </c>
      <c r="K30" s="1958">
        <v>5</v>
      </c>
      <c r="L30" s="1958">
        <v>5</v>
      </c>
      <c r="M30" s="1958"/>
      <c r="N30" s="1137">
        <v>2</v>
      </c>
      <c r="O30" s="1964">
        <v>2</v>
      </c>
      <c r="P30" s="1964">
        <v>2</v>
      </c>
      <c r="Q30" s="1958">
        <v>2</v>
      </c>
      <c r="R30" s="1958"/>
      <c r="S30" s="1958">
        <v>5</v>
      </c>
      <c r="T30" s="1958">
        <v>2</v>
      </c>
      <c r="U30" s="1958">
        <v>5</v>
      </c>
      <c r="V30" s="1958">
        <v>2</v>
      </c>
      <c r="W30" s="1958"/>
      <c r="X30" s="1958"/>
      <c r="Y30" s="1157" t="s">
        <v>27</v>
      </c>
      <c r="Z30" s="1258">
        <f t="shared" si="0"/>
        <v>80</v>
      </c>
      <c r="AA30" s="1960"/>
      <c r="AB30" s="322"/>
      <c r="AC30" s="322"/>
      <c r="AD30" s="322"/>
      <c r="AE30" s="322"/>
      <c r="AF30" s="322"/>
      <c r="AG30" s="322"/>
      <c r="AH30" s="322"/>
      <c r="AI30" s="322"/>
      <c r="AJ30" s="322"/>
      <c r="AK30" s="322"/>
    </row>
    <row r="31" spans="1:37" ht="37.5" customHeight="1" x14ac:dyDescent="0.3">
      <c r="A31" s="1258">
        <v>22</v>
      </c>
      <c r="B31" s="1972">
        <f t="shared" si="1"/>
        <v>5191421022</v>
      </c>
      <c r="C31" s="1137">
        <v>1</v>
      </c>
      <c r="D31" s="1964"/>
      <c r="E31" s="1964">
        <v>2</v>
      </c>
      <c r="F31" s="1958"/>
      <c r="G31" s="1958"/>
      <c r="H31" s="1958">
        <v>3</v>
      </c>
      <c r="I31" s="1958"/>
      <c r="J31" s="1958"/>
      <c r="K31" s="1958"/>
      <c r="L31" s="1958"/>
      <c r="M31" s="1958"/>
      <c r="N31" s="1137">
        <v>2</v>
      </c>
      <c r="O31" s="1137">
        <v>1</v>
      </c>
      <c r="P31" s="1137">
        <v>2</v>
      </c>
      <c r="Q31" s="1958"/>
      <c r="R31" s="1958"/>
      <c r="S31" s="1958"/>
      <c r="T31" s="1958">
        <v>3</v>
      </c>
      <c r="U31" s="1958"/>
      <c r="V31" s="1958"/>
      <c r="W31" s="1958"/>
      <c r="X31" s="1958">
        <v>3</v>
      </c>
      <c r="Y31" s="1999" t="s">
        <v>32</v>
      </c>
      <c r="Z31" s="1258">
        <f t="shared" si="0"/>
        <v>70</v>
      </c>
      <c r="AA31" s="1960"/>
      <c r="AB31" s="322"/>
      <c r="AC31" s="322"/>
      <c r="AD31" s="322"/>
      <c r="AE31" s="322"/>
      <c r="AF31" s="322"/>
      <c r="AG31" s="322"/>
      <c r="AH31" s="322"/>
      <c r="AI31" s="322"/>
      <c r="AJ31" s="322"/>
      <c r="AK31" s="322"/>
    </row>
    <row r="32" spans="1:37" ht="37.5" customHeight="1" x14ac:dyDescent="0.3">
      <c r="A32" s="1258">
        <v>23</v>
      </c>
      <c r="B32" s="1972">
        <f t="shared" si="1"/>
        <v>5191421023</v>
      </c>
      <c r="C32" s="1137">
        <v>1</v>
      </c>
      <c r="D32" s="1964"/>
      <c r="E32" s="1964">
        <v>2</v>
      </c>
      <c r="F32" s="1958"/>
      <c r="G32" s="1958"/>
      <c r="H32" s="1958">
        <v>2</v>
      </c>
      <c r="I32" s="1958">
        <v>1</v>
      </c>
      <c r="J32" s="1958"/>
      <c r="K32" s="1958"/>
      <c r="L32" s="1958"/>
      <c r="M32" s="1958"/>
      <c r="N32" s="1137">
        <v>2</v>
      </c>
      <c r="O32" s="1964">
        <v>1</v>
      </c>
      <c r="P32" s="1964">
        <v>2</v>
      </c>
      <c r="Q32" s="1958">
        <v>2</v>
      </c>
      <c r="R32" s="1958">
        <v>1</v>
      </c>
      <c r="S32" s="1958"/>
      <c r="T32" s="1958"/>
      <c r="U32" s="1958"/>
      <c r="V32" s="1958"/>
      <c r="W32" s="1958">
        <v>2</v>
      </c>
      <c r="X32" s="1958">
        <v>2</v>
      </c>
      <c r="Y32" s="1157" t="s">
        <v>28</v>
      </c>
      <c r="Z32" s="1258">
        <f t="shared" si="0"/>
        <v>50</v>
      </c>
      <c r="AA32" s="1960"/>
      <c r="AB32" s="322"/>
      <c r="AC32" s="322"/>
      <c r="AD32" s="322"/>
      <c r="AE32" s="322"/>
      <c r="AF32" s="322"/>
      <c r="AG32" s="322"/>
      <c r="AH32" s="322"/>
      <c r="AI32" s="322"/>
      <c r="AJ32" s="322"/>
      <c r="AK32" s="322"/>
    </row>
    <row r="33" spans="1:37" ht="37.5" customHeight="1" x14ac:dyDescent="0.3">
      <c r="A33" s="1258">
        <v>24</v>
      </c>
      <c r="B33" s="1972">
        <f t="shared" si="1"/>
        <v>5191421024</v>
      </c>
      <c r="C33" s="1137"/>
      <c r="D33" s="1964"/>
      <c r="E33" s="1964">
        <v>1</v>
      </c>
      <c r="F33" s="1958"/>
      <c r="G33" s="1958"/>
      <c r="H33" s="1958">
        <v>2</v>
      </c>
      <c r="I33" s="1958"/>
      <c r="J33" s="1958">
        <v>5</v>
      </c>
      <c r="K33" s="1958">
        <v>2</v>
      </c>
      <c r="L33" s="1958"/>
      <c r="M33" s="1958"/>
      <c r="N33" s="1137"/>
      <c r="O33" s="1137"/>
      <c r="P33" s="1137"/>
      <c r="Q33" s="1958"/>
      <c r="R33" s="1958"/>
      <c r="S33" s="1958"/>
      <c r="T33" s="1958"/>
      <c r="U33" s="1958"/>
      <c r="V33" s="1958"/>
      <c r="W33" s="1958"/>
      <c r="X33" s="1958"/>
      <c r="Y33" s="1999" t="s">
        <v>31</v>
      </c>
      <c r="Z33" s="1258">
        <f t="shared" si="0"/>
        <v>55</v>
      </c>
      <c r="AA33" s="1960"/>
      <c r="AB33" s="322"/>
      <c r="AC33" s="322"/>
      <c r="AD33" s="322"/>
      <c r="AE33" s="322"/>
      <c r="AF33" s="322"/>
      <c r="AG33" s="322"/>
      <c r="AH33" s="322"/>
      <c r="AI33" s="322"/>
      <c r="AJ33" s="322"/>
      <c r="AK33" s="322"/>
    </row>
    <row r="34" spans="1:37" ht="37.5" customHeight="1" x14ac:dyDescent="0.3">
      <c r="A34" s="1258">
        <v>25</v>
      </c>
      <c r="B34" s="1972">
        <f t="shared" si="1"/>
        <v>5191421025</v>
      </c>
      <c r="C34" s="1137">
        <v>2</v>
      </c>
      <c r="D34" s="1964">
        <v>2</v>
      </c>
      <c r="E34" s="1964">
        <v>2</v>
      </c>
      <c r="F34" s="1958">
        <v>2</v>
      </c>
      <c r="G34" s="1958">
        <v>2</v>
      </c>
      <c r="H34" s="1958">
        <v>5</v>
      </c>
      <c r="I34" s="1958">
        <v>5</v>
      </c>
      <c r="J34" s="1958">
        <v>5</v>
      </c>
      <c r="K34" s="1958">
        <v>5</v>
      </c>
      <c r="L34" s="1958">
        <v>5</v>
      </c>
      <c r="M34" s="1958">
        <v>5</v>
      </c>
      <c r="N34" s="1137">
        <v>2</v>
      </c>
      <c r="O34" s="1137">
        <v>2</v>
      </c>
      <c r="P34" s="1137">
        <v>2</v>
      </c>
      <c r="Q34" s="1958">
        <v>2</v>
      </c>
      <c r="R34" s="1958">
        <v>5</v>
      </c>
      <c r="S34" s="1958">
        <v>5</v>
      </c>
      <c r="T34" s="1958"/>
      <c r="U34" s="1958"/>
      <c r="V34" s="1958"/>
      <c r="W34" s="1958">
        <v>5</v>
      </c>
      <c r="X34" s="1958">
        <v>5</v>
      </c>
      <c r="Y34" s="1157" t="s">
        <v>82</v>
      </c>
      <c r="Z34" s="1258">
        <f t="shared" si="0"/>
        <v>100</v>
      </c>
      <c r="AA34" s="1960"/>
      <c r="AB34" s="322"/>
      <c r="AC34" s="322"/>
      <c r="AD34" s="322"/>
      <c r="AE34" s="322"/>
      <c r="AF34" s="322"/>
      <c r="AG34" s="322"/>
      <c r="AH34" s="322"/>
      <c r="AI34" s="322"/>
      <c r="AJ34" s="322"/>
      <c r="AK34" s="322"/>
    </row>
    <row r="35" spans="1:37" ht="37.5" customHeight="1" x14ac:dyDescent="0.3">
      <c r="A35" s="1258">
        <v>26</v>
      </c>
      <c r="B35" s="1972">
        <f t="shared" si="1"/>
        <v>5191421026</v>
      </c>
      <c r="C35" s="1137">
        <v>1</v>
      </c>
      <c r="D35" s="1964">
        <v>1</v>
      </c>
      <c r="E35" s="1964">
        <v>2</v>
      </c>
      <c r="F35" s="1958">
        <v>2</v>
      </c>
      <c r="G35" s="1958"/>
      <c r="H35" s="1958">
        <v>5</v>
      </c>
      <c r="I35" s="1958">
        <v>5</v>
      </c>
      <c r="J35" s="1958">
        <v>4</v>
      </c>
      <c r="K35" s="1958">
        <v>1</v>
      </c>
      <c r="L35" s="1958"/>
      <c r="M35" s="1958"/>
      <c r="N35" s="1137"/>
      <c r="O35" s="1137"/>
      <c r="P35" s="1137"/>
      <c r="Q35" s="1958"/>
      <c r="R35" s="1958"/>
      <c r="S35" s="1958"/>
      <c r="T35" s="1958"/>
      <c r="U35" s="1958"/>
      <c r="V35" s="1958"/>
      <c r="W35" s="1958"/>
      <c r="X35" s="1958"/>
      <c r="Y35" s="1999" t="s">
        <v>27</v>
      </c>
      <c r="Z35" s="1258">
        <f t="shared" si="0"/>
        <v>80</v>
      </c>
      <c r="AA35" s="1960"/>
      <c r="AB35" s="322"/>
      <c r="AC35" s="322"/>
      <c r="AD35" s="322"/>
      <c r="AE35" s="322"/>
      <c r="AF35" s="322"/>
      <c r="AG35" s="322"/>
      <c r="AH35" s="322"/>
      <c r="AI35" s="322"/>
      <c r="AJ35" s="322"/>
      <c r="AK35" s="322"/>
    </row>
    <row r="36" spans="1:37" ht="37.5" customHeight="1" x14ac:dyDescent="0.3">
      <c r="A36" s="1258">
        <v>27</v>
      </c>
      <c r="B36" s="1972">
        <f t="shared" si="1"/>
        <v>5191421027</v>
      </c>
      <c r="C36" s="1137"/>
      <c r="D36" s="1964"/>
      <c r="E36" s="1964"/>
      <c r="F36" s="1958"/>
      <c r="G36" s="1958"/>
      <c r="H36" s="1958"/>
      <c r="I36" s="1958"/>
      <c r="J36" s="1958"/>
      <c r="K36" s="1958"/>
      <c r="L36" s="1958"/>
      <c r="M36" s="1958"/>
      <c r="N36" s="1137">
        <v>2</v>
      </c>
      <c r="O36" s="1964">
        <v>2</v>
      </c>
      <c r="P36" s="1964">
        <v>2</v>
      </c>
      <c r="Q36" s="1958">
        <v>2</v>
      </c>
      <c r="R36" s="1958">
        <v>1</v>
      </c>
      <c r="S36" s="1958">
        <v>5</v>
      </c>
      <c r="T36" s="1958">
        <v>5</v>
      </c>
      <c r="U36" s="1958"/>
      <c r="V36" s="1958"/>
      <c r="W36" s="1958">
        <v>5</v>
      </c>
      <c r="X36" s="1958">
        <v>5</v>
      </c>
      <c r="Y36" s="1157" t="s">
        <v>82</v>
      </c>
      <c r="Z36" s="1258">
        <f t="shared" si="0"/>
        <v>100</v>
      </c>
      <c r="AA36" s="1960"/>
      <c r="AB36" s="322"/>
      <c r="AC36" s="322"/>
      <c r="AD36" s="322"/>
      <c r="AE36" s="322"/>
      <c r="AF36" s="322"/>
      <c r="AG36" s="322"/>
      <c r="AH36" s="322"/>
      <c r="AI36" s="322"/>
      <c r="AJ36" s="322"/>
      <c r="AK36" s="322"/>
    </row>
    <row r="37" spans="1:37" ht="37.5" customHeight="1" x14ac:dyDescent="0.3">
      <c r="A37" s="1258">
        <v>28</v>
      </c>
      <c r="B37" s="1972">
        <f t="shared" si="1"/>
        <v>5191421028</v>
      </c>
      <c r="C37" s="1137">
        <v>1</v>
      </c>
      <c r="D37" s="1964"/>
      <c r="E37" s="1964">
        <v>2</v>
      </c>
      <c r="F37" s="1958">
        <v>2</v>
      </c>
      <c r="G37" s="1958">
        <v>2</v>
      </c>
      <c r="H37" s="1958">
        <v>5</v>
      </c>
      <c r="I37" s="1958">
        <v>5</v>
      </c>
      <c r="J37" s="1958">
        <v>4</v>
      </c>
      <c r="K37" s="1958">
        <v>5</v>
      </c>
      <c r="L37" s="1958">
        <v>2</v>
      </c>
      <c r="M37" s="1958"/>
      <c r="N37" s="1137">
        <v>2</v>
      </c>
      <c r="O37" s="1137">
        <v>2</v>
      </c>
      <c r="P37" s="1137">
        <v>2</v>
      </c>
      <c r="Q37" s="1958">
        <v>2</v>
      </c>
      <c r="R37" s="1958"/>
      <c r="S37" s="1958">
        <v>5</v>
      </c>
      <c r="T37" s="1958">
        <v>5</v>
      </c>
      <c r="U37" s="1958"/>
      <c r="V37" s="1958"/>
      <c r="W37" s="1958">
        <v>5</v>
      </c>
      <c r="X37" s="1958">
        <v>5</v>
      </c>
      <c r="Y37" s="1999" t="s">
        <v>30</v>
      </c>
      <c r="Z37" s="1258">
        <f t="shared" si="0"/>
        <v>90</v>
      </c>
      <c r="AA37" s="1960"/>
      <c r="AB37" s="322"/>
      <c r="AC37" s="322"/>
      <c r="AD37" s="322"/>
      <c r="AE37" s="322"/>
      <c r="AF37" s="322"/>
      <c r="AG37" s="322"/>
      <c r="AH37" s="322"/>
      <c r="AI37" s="322"/>
      <c r="AJ37" s="322"/>
      <c r="AK37" s="322"/>
    </row>
    <row r="38" spans="1:37" ht="37.5" customHeight="1" x14ac:dyDescent="0.3">
      <c r="A38" s="1258">
        <v>29</v>
      </c>
      <c r="B38" s="1972">
        <f t="shared" si="1"/>
        <v>5191421029</v>
      </c>
      <c r="C38" s="1137"/>
      <c r="D38" s="1964"/>
      <c r="E38" s="1964">
        <v>2</v>
      </c>
      <c r="F38" s="1958"/>
      <c r="G38" s="1958"/>
      <c r="H38" s="1958">
        <v>2</v>
      </c>
      <c r="I38" s="1958"/>
      <c r="J38" s="1958">
        <v>3</v>
      </c>
      <c r="K38" s="1958">
        <v>1</v>
      </c>
      <c r="L38" s="1958"/>
      <c r="M38" s="1958"/>
      <c r="N38" s="1137"/>
      <c r="O38" s="1137">
        <v>1</v>
      </c>
      <c r="P38" s="1137"/>
      <c r="Q38" s="1958"/>
      <c r="R38" s="1958"/>
      <c r="S38" s="1958">
        <v>1</v>
      </c>
      <c r="T38" s="1958"/>
      <c r="U38" s="1958"/>
      <c r="V38" s="1958"/>
      <c r="W38" s="1958">
        <v>5</v>
      </c>
      <c r="X38" s="1958">
        <v>5</v>
      </c>
      <c r="Y38" s="1157" t="s">
        <v>33</v>
      </c>
      <c r="Z38" s="1258">
        <f t="shared" si="0"/>
        <v>60</v>
      </c>
    </row>
    <row r="39" spans="1:37" ht="37.5" customHeight="1" x14ac:dyDescent="0.3">
      <c r="A39" s="1258">
        <v>30</v>
      </c>
      <c r="B39" s="1972">
        <f t="shared" si="1"/>
        <v>5191421030</v>
      </c>
      <c r="C39" s="1137">
        <v>1</v>
      </c>
      <c r="D39" s="1964"/>
      <c r="E39" s="1964">
        <v>1</v>
      </c>
      <c r="F39" s="1958"/>
      <c r="G39" s="1958"/>
      <c r="H39" s="1958">
        <v>1</v>
      </c>
      <c r="I39" s="1958"/>
      <c r="J39" s="1958"/>
      <c r="K39" s="1958"/>
      <c r="L39" s="1958"/>
      <c r="M39" s="1958"/>
      <c r="N39" s="1137"/>
      <c r="O39" s="1137">
        <v>1</v>
      </c>
      <c r="P39" s="1137"/>
      <c r="Q39" s="1958"/>
      <c r="R39" s="1958"/>
      <c r="S39" s="1958"/>
      <c r="T39" s="1958"/>
      <c r="U39" s="1958"/>
      <c r="V39" s="1958"/>
      <c r="W39" s="1958"/>
      <c r="X39" s="1958">
        <v>2</v>
      </c>
      <c r="Y39" s="1999" t="s">
        <v>29</v>
      </c>
      <c r="Z39" s="1258">
        <f t="shared" si="0"/>
        <v>39</v>
      </c>
    </row>
    <row r="40" spans="1:37" ht="37.5" customHeight="1" x14ac:dyDescent="0.3">
      <c r="A40" s="1258">
        <v>31</v>
      </c>
      <c r="B40" s="1972">
        <f t="shared" si="1"/>
        <v>5191421031</v>
      </c>
      <c r="C40" s="1137">
        <v>1</v>
      </c>
      <c r="D40" s="1964">
        <v>1</v>
      </c>
      <c r="E40" s="1964">
        <v>2</v>
      </c>
      <c r="F40" s="1958">
        <v>1</v>
      </c>
      <c r="G40" s="1958">
        <v>2</v>
      </c>
      <c r="H40" s="1958">
        <v>3</v>
      </c>
      <c r="I40" s="1958"/>
      <c r="J40" s="1958">
        <v>5</v>
      </c>
      <c r="K40" s="1958">
        <v>1</v>
      </c>
      <c r="L40" s="1958">
        <v>5</v>
      </c>
      <c r="M40" s="1958">
        <v>4</v>
      </c>
      <c r="N40" s="1137">
        <v>2</v>
      </c>
      <c r="O40" s="1137">
        <v>2</v>
      </c>
      <c r="P40" s="1137">
        <v>2</v>
      </c>
      <c r="Q40" s="1958">
        <v>2</v>
      </c>
      <c r="R40" s="1958"/>
      <c r="S40" s="1958">
        <v>5</v>
      </c>
      <c r="T40" s="1958">
        <v>5</v>
      </c>
      <c r="U40" s="1958"/>
      <c r="V40" s="1958"/>
      <c r="W40" s="1958">
        <v>5</v>
      </c>
      <c r="X40" s="1958">
        <v>5</v>
      </c>
      <c r="Y40" s="1157" t="s">
        <v>27</v>
      </c>
      <c r="Z40" s="1258">
        <f t="shared" si="0"/>
        <v>80</v>
      </c>
    </row>
    <row r="41" spans="1:37" ht="37.5" customHeight="1" x14ac:dyDescent="0.3">
      <c r="A41" s="1258">
        <v>32</v>
      </c>
      <c r="B41" s="1972">
        <f t="shared" si="1"/>
        <v>5191421032</v>
      </c>
      <c r="C41" s="1137">
        <v>1</v>
      </c>
      <c r="D41" s="1964">
        <v>2</v>
      </c>
      <c r="E41" s="1964">
        <v>1</v>
      </c>
      <c r="F41" s="1958"/>
      <c r="G41" s="1958">
        <v>1</v>
      </c>
      <c r="H41" s="1958">
        <v>5</v>
      </c>
      <c r="I41" s="1958"/>
      <c r="J41" s="1958"/>
      <c r="K41" s="1958"/>
      <c r="L41" s="1958"/>
      <c r="M41" s="1958">
        <v>1</v>
      </c>
      <c r="N41" s="1137">
        <v>2</v>
      </c>
      <c r="O41" s="1964"/>
      <c r="P41" s="1964"/>
      <c r="Q41" s="1958">
        <v>1</v>
      </c>
      <c r="R41" s="1958"/>
      <c r="S41" s="1958">
        <v>5</v>
      </c>
      <c r="T41" s="1958">
        <v>4</v>
      </c>
      <c r="U41" s="1958"/>
      <c r="V41" s="1958"/>
      <c r="W41" s="1958">
        <v>4</v>
      </c>
      <c r="X41" s="1958">
        <v>4</v>
      </c>
      <c r="Y41" s="1999" t="s">
        <v>29</v>
      </c>
      <c r="Z41" s="1258">
        <f t="shared" si="0"/>
        <v>39</v>
      </c>
    </row>
    <row r="42" spans="1:37" ht="37.5" customHeight="1" x14ac:dyDescent="0.3">
      <c r="A42" s="1258">
        <v>33</v>
      </c>
      <c r="B42" s="1972">
        <f t="shared" si="1"/>
        <v>5191421033</v>
      </c>
      <c r="C42" s="1137">
        <v>2</v>
      </c>
      <c r="D42" s="1964">
        <v>2</v>
      </c>
      <c r="E42" s="1964">
        <v>2</v>
      </c>
      <c r="F42" s="1958">
        <v>2</v>
      </c>
      <c r="G42" s="1958">
        <v>2</v>
      </c>
      <c r="H42" s="1958">
        <v>5</v>
      </c>
      <c r="I42" s="1958">
        <v>5</v>
      </c>
      <c r="J42" s="1958">
        <v>5</v>
      </c>
      <c r="K42" s="1958">
        <v>4</v>
      </c>
      <c r="L42" s="1958">
        <v>5</v>
      </c>
      <c r="M42" s="1958">
        <v>5</v>
      </c>
      <c r="N42" s="1137">
        <v>2</v>
      </c>
      <c r="O42" s="1137">
        <v>2</v>
      </c>
      <c r="P42" s="1137">
        <v>1</v>
      </c>
      <c r="Q42" s="1958"/>
      <c r="R42" s="1958"/>
      <c r="S42" s="1958">
        <v>5</v>
      </c>
      <c r="T42" s="1958">
        <v>5</v>
      </c>
      <c r="U42" s="1958"/>
      <c r="V42" s="1958"/>
      <c r="W42" s="1958">
        <v>5</v>
      </c>
      <c r="X42" s="1958">
        <v>5</v>
      </c>
      <c r="Y42" s="1157" t="s">
        <v>82</v>
      </c>
      <c r="Z42" s="1258">
        <f t="shared" si="0"/>
        <v>100</v>
      </c>
    </row>
    <row r="43" spans="1:37" ht="37.5" customHeight="1" x14ac:dyDescent="0.3">
      <c r="A43" s="1258">
        <v>34</v>
      </c>
      <c r="B43" s="1972">
        <f t="shared" si="1"/>
        <v>5191421034</v>
      </c>
      <c r="C43" s="1137">
        <v>2</v>
      </c>
      <c r="D43" s="1964">
        <v>2</v>
      </c>
      <c r="E43" s="1964">
        <v>2</v>
      </c>
      <c r="F43" s="1958">
        <v>2</v>
      </c>
      <c r="G43" s="1958">
        <v>2</v>
      </c>
      <c r="H43" s="1958">
        <v>5</v>
      </c>
      <c r="I43" s="1958">
        <v>5</v>
      </c>
      <c r="J43" s="1958">
        <v>5</v>
      </c>
      <c r="K43" s="1958">
        <v>5</v>
      </c>
      <c r="L43" s="1958">
        <v>5</v>
      </c>
      <c r="M43" s="1958">
        <v>5</v>
      </c>
      <c r="N43" s="1137">
        <v>2</v>
      </c>
      <c r="O43" s="1137">
        <v>2</v>
      </c>
      <c r="P43" s="1137">
        <v>2</v>
      </c>
      <c r="Q43" s="1958">
        <v>2</v>
      </c>
      <c r="R43" s="1958"/>
      <c r="S43" s="1958">
        <v>5</v>
      </c>
      <c r="T43" s="1958">
        <v>5</v>
      </c>
      <c r="U43" s="1958"/>
      <c r="V43" s="1958"/>
      <c r="W43" s="1958">
        <v>5</v>
      </c>
      <c r="X43" s="1958">
        <v>5</v>
      </c>
      <c r="Y43" s="1999" t="s">
        <v>82</v>
      </c>
      <c r="Z43" s="1258">
        <f t="shared" si="0"/>
        <v>100</v>
      </c>
    </row>
    <row r="44" spans="1:37" ht="37.5" customHeight="1" x14ac:dyDescent="0.3">
      <c r="A44" s="1258">
        <v>35</v>
      </c>
      <c r="B44" s="1972">
        <f t="shared" si="1"/>
        <v>5191421035</v>
      </c>
      <c r="C44" s="1964"/>
      <c r="D44" s="1964"/>
      <c r="E44" s="1964">
        <v>1</v>
      </c>
      <c r="F44" s="1958"/>
      <c r="G44" s="1958"/>
      <c r="H44" s="1958">
        <v>1</v>
      </c>
      <c r="I44" s="1958"/>
      <c r="J44" s="1958">
        <v>1</v>
      </c>
      <c r="K44" s="1958"/>
      <c r="L44" s="1958"/>
      <c r="M44" s="1958"/>
      <c r="N44" s="1137">
        <v>2</v>
      </c>
      <c r="O44" s="1137">
        <v>2</v>
      </c>
      <c r="P44" s="1137"/>
      <c r="Q44" s="1958"/>
      <c r="R44" s="1958"/>
      <c r="S44" s="1958"/>
      <c r="T44" s="1958"/>
      <c r="U44" s="1958"/>
      <c r="V44" s="1958"/>
      <c r="W44" s="1958">
        <v>5</v>
      </c>
      <c r="X44" s="1958">
        <v>3</v>
      </c>
      <c r="Y44" s="1157" t="s">
        <v>31</v>
      </c>
      <c r="Z44" s="1258">
        <f t="shared" si="0"/>
        <v>55</v>
      </c>
    </row>
    <row r="45" spans="1:37" ht="37.5" customHeight="1" x14ac:dyDescent="0.3">
      <c r="A45" s="1258">
        <v>36</v>
      </c>
      <c r="B45" s="1972">
        <f t="shared" si="1"/>
        <v>5191421036</v>
      </c>
      <c r="C45" s="1137">
        <v>1</v>
      </c>
      <c r="D45" s="1964">
        <v>2</v>
      </c>
      <c r="E45" s="1964">
        <v>2</v>
      </c>
      <c r="F45" s="1958"/>
      <c r="G45" s="1958">
        <v>1</v>
      </c>
      <c r="H45" s="1958">
        <v>3</v>
      </c>
      <c r="I45" s="1958">
        <v>5</v>
      </c>
      <c r="J45" s="1958">
        <v>4</v>
      </c>
      <c r="K45" s="1958">
        <v>2</v>
      </c>
      <c r="L45" s="1958">
        <v>5</v>
      </c>
      <c r="M45" s="1958">
        <v>5</v>
      </c>
      <c r="N45" s="1137">
        <v>2</v>
      </c>
      <c r="O45" s="1964">
        <v>2</v>
      </c>
      <c r="P45" s="1964">
        <v>2</v>
      </c>
      <c r="Q45" s="1958">
        <v>1</v>
      </c>
      <c r="R45" s="1958"/>
      <c r="S45" s="1958"/>
      <c r="T45" s="1958">
        <v>5</v>
      </c>
      <c r="U45" s="1958"/>
      <c r="V45" s="1958"/>
      <c r="W45" s="1958">
        <v>5</v>
      </c>
      <c r="X45" s="1958">
        <v>4</v>
      </c>
      <c r="Y45" s="1999" t="s">
        <v>30</v>
      </c>
      <c r="Z45" s="1258">
        <f t="shared" si="0"/>
        <v>90</v>
      </c>
    </row>
    <row r="46" spans="1:37" ht="37.5" customHeight="1" x14ac:dyDescent="0.3">
      <c r="A46" s="1258">
        <v>37</v>
      </c>
      <c r="B46" s="1972">
        <f t="shared" si="1"/>
        <v>5191421037</v>
      </c>
      <c r="C46" s="1137"/>
      <c r="D46" s="1964">
        <v>1</v>
      </c>
      <c r="E46" s="1964"/>
      <c r="F46" s="1958"/>
      <c r="G46" s="1958"/>
      <c r="H46" s="1958"/>
      <c r="I46" s="1958"/>
      <c r="J46" s="1958"/>
      <c r="K46" s="1958"/>
      <c r="L46" s="1958"/>
      <c r="M46" s="1958">
        <v>5</v>
      </c>
      <c r="N46" s="1137">
        <v>2</v>
      </c>
      <c r="O46" s="1137">
        <v>2</v>
      </c>
      <c r="P46" s="1137">
        <v>1</v>
      </c>
      <c r="Q46" s="1958">
        <v>2</v>
      </c>
      <c r="R46" s="1958">
        <v>2</v>
      </c>
      <c r="S46" s="1958"/>
      <c r="T46" s="1958">
        <v>5</v>
      </c>
      <c r="U46" s="1958">
        <v>4</v>
      </c>
      <c r="V46" s="1958">
        <v>5</v>
      </c>
      <c r="W46" s="1958"/>
      <c r="X46" s="1958"/>
      <c r="Y46" s="1253" t="s">
        <v>28</v>
      </c>
      <c r="Z46" s="1258">
        <f t="shared" si="0"/>
        <v>50</v>
      </c>
    </row>
    <row r="47" spans="1:37" ht="37.5" customHeight="1" x14ac:dyDescent="0.3">
      <c r="A47" s="1258">
        <v>38</v>
      </c>
      <c r="B47" s="1972">
        <f t="shared" si="1"/>
        <v>5191421038</v>
      </c>
      <c r="C47" s="1137"/>
      <c r="D47" s="1964"/>
      <c r="E47" s="1964"/>
      <c r="F47" s="1958"/>
      <c r="G47" s="1958"/>
      <c r="H47" s="1958">
        <v>5</v>
      </c>
      <c r="I47" s="1958">
        <v>5</v>
      </c>
      <c r="J47" s="1958"/>
      <c r="K47" s="1958"/>
      <c r="L47" s="1958">
        <v>5</v>
      </c>
      <c r="M47" s="1958"/>
      <c r="N47" s="1137">
        <v>2</v>
      </c>
      <c r="O47" s="1137">
        <v>1</v>
      </c>
      <c r="P47" s="1137">
        <v>2</v>
      </c>
      <c r="Q47" s="1958">
        <v>2</v>
      </c>
      <c r="R47" s="1958"/>
      <c r="S47" s="1958"/>
      <c r="T47" s="1958">
        <v>4</v>
      </c>
      <c r="U47" s="1958">
        <v>2</v>
      </c>
      <c r="V47" s="1958">
        <v>5</v>
      </c>
      <c r="W47" s="1958"/>
      <c r="X47" s="1958"/>
      <c r="Y47" s="1999" t="s">
        <v>32</v>
      </c>
      <c r="Z47" s="1258">
        <f t="shared" si="0"/>
        <v>70</v>
      </c>
    </row>
    <row r="48" spans="1:37" ht="37.5" customHeight="1" x14ac:dyDescent="0.3">
      <c r="A48" s="1258">
        <v>39</v>
      </c>
      <c r="B48" s="1972">
        <f t="shared" si="1"/>
        <v>5191421039</v>
      </c>
      <c r="C48" s="1137">
        <v>1</v>
      </c>
      <c r="D48" s="1964">
        <v>2</v>
      </c>
      <c r="E48" s="1964">
        <v>2</v>
      </c>
      <c r="F48" s="1958">
        <v>2</v>
      </c>
      <c r="G48" s="1958"/>
      <c r="H48" s="1958">
        <v>5</v>
      </c>
      <c r="I48" s="1958">
        <v>5</v>
      </c>
      <c r="J48" s="1958">
        <v>5</v>
      </c>
      <c r="K48" s="1958">
        <v>2</v>
      </c>
      <c r="L48" s="1958">
        <v>5</v>
      </c>
      <c r="M48" s="1958">
        <v>5</v>
      </c>
      <c r="N48" s="1137">
        <v>2</v>
      </c>
      <c r="O48" s="1964">
        <v>2</v>
      </c>
      <c r="P48" s="1964">
        <v>2</v>
      </c>
      <c r="Q48" s="1958"/>
      <c r="R48" s="1958"/>
      <c r="S48" s="1958">
        <v>5</v>
      </c>
      <c r="T48" s="1958">
        <v>5</v>
      </c>
      <c r="U48" s="1958"/>
      <c r="V48" s="1958"/>
      <c r="W48" s="1958">
        <v>5</v>
      </c>
      <c r="X48" s="1958">
        <v>1</v>
      </c>
      <c r="Y48" s="1157" t="s">
        <v>27</v>
      </c>
      <c r="Z48" s="1258">
        <f t="shared" si="0"/>
        <v>80</v>
      </c>
    </row>
    <row r="49" spans="1:35" ht="37.5" customHeight="1" x14ac:dyDescent="0.3">
      <c r="A49" s="1258">
        <v>40</v>
      </c>
      <c r="B49" s="1972">
        <f t="shared" si="1"/>
        <v>5191421040</v>
      </c>
      <c r="C49" s="1137">
        <v>2</v>
      </c>
      <c r="D49" s="1964">
        <v>1</v>
      </c>
      <c r="E49" s="1964">
        <v>2</v>
      </c>
      <c r="F49" s="1958">
        <v>2</v>
      </c>
      <c r="G49" s="1958"/>
      <c r="H49" s="1958">
        <v>5</v>
      </c>
      <c r="I49" s="1958">
        <v>2</v>
      </c>
      <c r="J49" s="1958">
        <v>5</v>
      </c>
      <c r="K49" s="1958">
        <v>1</v>
      </c>
      <c r="L49" s="1958">
        <v>5</v>
      </c>
      <c r="M49" s="1958">
        <v>4</v>
      </c>
      <c r="N49" s="1137"/>
      <c r="O49" s="1137">
        <v>1</v>
      </c>
      <c r="P49" s="1137">
        <v>2</v>
      </c>
      <c r="Q49" s="1958">
        <v>2</v>
      </c>
      <c r="R49" s="1958">
        <v>2</v>
      </c>
      <c r="S49" s="1958"/>
      <c r="T49" s="1958">
        <v>5</v>
      </c>
      <c r="U49" s="1958"/>
      <c r="V49" s="1958"/>
      <c r="W49" s="1958">
        <v>5</v>
      </c>
      <c r="X49" s="1958">
        <v>5</v>
      </c>
      <c r="Y49" s="1999" t="s">
        <v>32</v>
      </c>
      <c r="Z49" s="1258">
        <f t="shared" si="0"/>
        <v>70</v>
      </c>
    </row>
    <row r="50" spans="1:35" ht="37.5" customHeight="1" x14ac:dyDescent="0.3">
      <c r="A50" s="1258">
        <v>41</v>
      </c>
      <c r="B50" s="1972">
        <f t="shared" si="1"/>
        <v>5191421041</v>
      </c>
      <c r="C50" s="1964">
        <v>2</v>
      </c>
      <c r="D50" s="1964">
        <v>1</v>
      </c>
      <c r="E50" s="1964">
        <v>2</v>
      </c>
      <c r="F50" s="1958">
        <v>2</v>
      </c>
      <c r="G50" s="1958"/>
      <c r="H50" s="1958">
        <v>5</v>
      </c>
      <c r="I50" s="1958">
        <v>5</v>
      </c>
      <c r="J50" s="1958">
        <v>5</v>
      </c>
      <c r="K50" s="1958">
        <v>5</v>
      </c>
      <c r="L50" s="1958"/>
      <c r="M50" s="1958"/>
      <c r="N50" s="1964">
        <v>2</v>
      </c>
      <c r="O50" s="1964">
        <v>2</v>
      </c>
      <c r="P50" s="1964"/>
      <c r="Q50" s="1958">
        <v>1</v>
      </c>
      <c r="R50" s="1958">
        <v>1</v>
      </c>
      <c r="S50" s="1958"/>
      <c r="T50" s="1958"/>
      <c r="U50" s="1958">
        <v>3</v>
      </c>
      <c r="V50" s="1958">
        <v>5</v>
      </c>
      <c r="W50" s="1958">
        <v>5</v>
      </c>
      <c r="X50" s="1958">
        <v>4</v>
      </c>
      <c r="Y50" s="1157" t="s">
        <v>30</v>
      </c>
      <c r="Z50" s="1258">
        <f t="shared" si="0"/>
        <v>90</v>
      </c>
    </row>
    <row r="51" spans="1:35" ht="37.5" customHeight="1" x14ac:dyDescent="0.3">
      <c r="A51" s="1258">
        <v>42</v>
      </c>
      <c r="B51" s="1972">
        <f t="shared" si="1"/>
        <v>5191421042</v>
      </c>
      <c r="C51" s="1137">
        <v>0</v>
      </c>
      <c r="D51" s="1964">
        <v>0</v>
      </c>
      <c r="E51" s="1964">
        <v>0</v>
      </c>
      <c r="F51" s="1958">
        <v>0</v>
      </c>
      <c r="G51" s="1958">
        <v>0</v>
      </c>
      <c r="H51" s="1958">
        <v>0</v>
      </c>
      <c r="I51" s="1958">
        <v>0</v>
      </c>
      <c r="J51" s="1958">
        <v>0</v>
      </c>
      <c r="K51" s="1958">
        <v>0</v>
      </c>
      <c r="L51" s="1958">
        <v>0</v>
      </c>
      <c r="M51" s="1958">
        <v>0</v>
      </c>
      <c r="N51" s="1137"/>
      <c r="O51" s="1137">
        <v>2</v>
      </c>
      <c r="P51" s="1137"/>
      <c r="Q51" s="1958"/>
      <c r="R51" s="1958">
        <v>1</v>
      </c>
      <c r="S51" s="1958"/>
      <c r="T51" s="1958">
        <v>4</v>
      </c>
      <c r="U51" s="1958"/>
      <c r="V51" s="1958"/>
      <c r="W51" s="1958"/>
      <c r="X51" s="1958">
        <v>4</v>
      </c>
      <c r="Y51" s="1999" t="s">
        <v>29</v>
      </c>
      <c r="Z51" s="1258">
        <f t="shared" si="0"/>
        <v>39</v>
      </c>
    </row>
    <row r="52" spans="1:35" ht="37.5" customHeight="1" x14ac:dyDescent="0.3">
      <c r="A52" s="1258">
        <v>43</v>
      </c>
      <c r="B52" s="1972">
        <f t="shared" si="1"/>
        <v>5191421043</v>
      </c>
      <c r="C52" s="1137">
        <v>1</v>
      </c>
      <c r="D52" s="1964"/>
      <c r="E52" s="1964">
        <v>2</v>
      </c>
      <c r="F52" s="1958">
        <v>2</v>
      </c>
      <c r="G52" s="1958"/>
      <c r="H52" s="1958">
        <v>5</v>
      </c>
      <c r="I52" s="1958">
        <v>3</v>
      </c>
      <c r="J52" s="1958"/>
      <c r="K52" s="1958"/>
      <c r="L52" s="1958">
        <v>5</v>
      </c>
      <c r="M52" s="1958">
        <v>5</v>
      </c>
      <c r="N52" s="1137">
        <v>2</v>
      </c>
      <c r="O52" s="1137">
        <v>2</v>
      </c>
      <c r="P52" s="1137">
        <v>2</v>
      </c>
      <c r="Q52" s="1958">
        <v>2</v>
      </c>
      <c r="R52" s="1958">
        <v>2</v>
      </c>
      <c r="S52" s="1958">
        <v>5</v>
      </c>
      <c r="T52" s="1958">
        <v>3</v>
      </c>
      <c r="U52" s="1958">
        <v>5</v>
      </c>
      <c r="V52" s="1958">
        <v>5</v>
      </c>
      <c r="W52" s="1958"/>
      <c r="X52" s="1958"/>
      <c r="Y52" s="1157" t="s">
        <v>30</v>
      </c>
      <c r="Z52" s="1258">
        <f t="shared" si="0"/>
        <v>90</v>
      </c>
    </row>
    <row r="53" spans="1:35" ht="37.5" customHeight="1" x14ac:dyDescent="0.3">
      <c r="A53" s="1258">
        <v>44</v>
      </c>
      <c r="B53" s="1972">
        <f t="shared" si="1"/>
        <v>5191421044</v>
      </c>
      <c r="C53" s="1137">
        <v>2</v>
      </c>
      <c r="D53" s="1964">
        <v>2</v>
      </c>
      <c r="E53" s="1964">
        <v>2</v>
      </c>
      <c r="F53" s="1958">
        <v>2</v>
      </c>
      <c r="G53" s="1958">
        <v>2</v>
      </c>
      <c r="H53" s="1958"/>
      <c r="I53" s="1958"/>
      <c r="J53" s="1958">
        <v>5</v>
      </c>
      <c r="K53" s="1958">
        <v>5</v>
      </c>
      <c r="L53" s="1958">
        <v>5</v>
      </c>
      <c r="M53" s="1958">
        <v>4</v>
      </c>
      <c r="N53" s="1137">
        <v>2</v>
      </c>
      <c r="O53" s="1137">
        <v>2</v>
      </c>
      <c r="P53" s="1137">
        <v>2</v>
      </c>
      <c r="Q53" s="1958">
        <v>2</v>
      </c>
      <c r="R53" s="1958">
        <v>2</v>
      </c>
      <c r="S53" s="1958">
        <v>5</v>
      </c>
      <c r="T53" s="1958">
        <v>5</v>
      </c>
      <c r="U53" s="1958">
        <v>5</v>
      </c>
      <c r="V53" s="1958">
        <v>5</v>
      </c>
      <c r="W53" s="1958"/>
      <c r="X53" s="1958"/>
      <c r="Y53" s="1999" t="s">
        <v>82</v>
      </c>
      <c r="Z53" s="1258">
        <f t="shared" si="0"/>
        <v>100</v>
      </c>
    </row>
    <row r="54" spans="1:35" ht="37.5" customHeight="1" x14ac:dyDescent="0.3">
      <c r="A54" s="1258">
        <v>45</v>
      </c>
      <c r="B54" s="1972">
        <f t="shared" si="1"/>
        <v>5191421045</v>
      </c>
      <c r="C54" s="1137">
        <v>1</v>
      </c>
      <c r="D54" s="1964">
        <v>2</v>
      </c>
      <c r="E54" s="1964"/>
      <c r="F54" s="1958"/>
      <c r="G54" s="1958"/>
      <c r="H54" s="1958"/>
      <c r="I54" s="1958"/>
      <c r="J54" s="1958"/>
      <c r="K54" s="1958"/>
      <c r="L54" s="1958"/>
      <c r="M54" s="1958"/>
      <c r="N54" s="1964">
        <v>2</v>
      </c>
      <c r="O54" s="1964"/>
      <c r="P54" s="1964">
        <v>2</v>
      </c>
      <c r="Q54" s="1958"/>
      <c r="R54" s="1958">
        <v>1</v>
      </c>
      <c r="S54" s="1958">
        <v>2</v>
      </c>
      <c r="T54" s="1958">
        <v>5</v>
      </c>
      <c r="U54" s="1958"/>
      <c r="V54" s="1958"/>
      <c r="W54" s="1958">
        <v>4</v>
      </c>
      <c r="X54" s="1958">
        <v>5</v>
      </c>
      <c r="Y54" s="1157" t="s">
        <v>29</v>
      </c>
      <c r="Z54" s="1258">
        <f t="shared" si="0"/>
        <v>39</v>
      </c>
    </row>
    <row r="55" spans="1:35" ht="37.5" customHeight="1" x14ac:dyDescent="0.3">
      <c r="A55" s="1258">
        <v>46</v>
      </c>
      <c r="B55" s="1972">
        <f t="shared" si="1"/>
        <v>5191421046</v>
      </c>
      <c r="C55" s="1137">
        <v>1</v>
      </c>
      <c r="D55" s="1964">
        <v>1</v>
      </c>
      <c r="E55" s="1964"/>
      <c r="F55" s="1958"/>
      <c r="G55" s="1958"/>
      <c r="H55" s="2001">
        <v>4</v>
      </c>
      <c r="I55" s="1958"/>
      <c r="J55" s="1958"/>
      <c r="K55" s="1958"/>
      <c r="L55" s="1958">
        <v>5</v>
      </c>
      <c r="M55" s="1958">
        <v>2</v>
      </c>
      <c r="N55" s="1964">
        <v>2</v>
      </c>
      <c r="O55" s="1964">
        <v>2</v>
      </c>
      <c r="P55" s="1964"/>
      <c r="Q55" s="1958"/>
      <c r="R55" s="1958">
        <v>1</v>
      </c>
      <c r="S55" s="1958">
        <v>5</v>
      </c>
      <c r="T55" s="1958">
        <v>3</v>
      </c>
      <c r="U55" s="1958"/>
      <c r="V55" s="1958"/>
      <c r="W55" s="1958">
        <v>5</v>
      </c>
      <c r="X55" s="1958">
        <v>5</v>
      </c>
      <c r="Y55" s="1999" t="s">
        <v>27</v>
      </c>
      <c r="Z55" s="1258">
        <f t="shared" si="0"/>
        <v>80</v>
      </c>
    </row>
    <row r="56" spans="1:35" ht="37.5" customHeight="1" x14ac:dyDescent="0.3">
      <c r="A56" s="1258">
        <v>47</v>
      </c>
      <c r="B56" s="1972">
        <f t="shared" si="1"/>
        <v>5191421047</v>
      </c>
      <c r="C56" s="1137"/>
      <c r="D56" s="1964"/>
      <c r="E56" s="1964"/>
      <c r="F56" s="1958"/>
      <c r="G56" s="1958"/>
      <c r="H56" s="1958"/>
      <c r="I56" s="1958"/>
      <c r="J56" s="1958"/>
      <c r="K56" s="1958"/>
      <c r="L56" s="1958"/>
      <c r="M56" s="1958"/>
      <c r="N56" s="1964">
        <v>2</v>
      </c>
      <c r="O56" s="1964">
        <v>2</v>
      </c>
      <c r="P56" s="1964"/>
      <c r="Q56" s="1958">
        <v>1</v>
      </c>
      <c r="R56" s="1958"/>
      <c r="S56" s="1958"/>
      <c r="T56" s="1958">
        <v>5</v>
      </c>
      <c r="U56" s="1958"/>
      <c r="V56" s="1958">
        <v>5</v>
      </c>
      <c r="W56" s="1958"/>
      <c r="X56" s="1958"/>
      <c r="Y56" s="1157" t="s">
        <v>29</v>
      </c>
      <c r="Z56" s="1258">
        <f t="shared" si="0"/>
        <v>39</v>
      </c>
    </row>
    <row r="57" spans="1:35" ht="37.5" customHeight="1" x14ac:dyDescent="0.3">
      <c r="A57" s="1258">
        <v>48</v>
      </c>
      <c r="B57" s="1972">
        <f t="shared" si="1"/>
        <v>5191421048</v>
      </c>
      <c r="C57" s="1137">
        <v>1</v>
      </c>
      <c r="D57" s="1964"/>
      <c r="E57" s="1964">
        <v>2</v>
      </c>
      <c r="F57" s="1958">
        <v>1</v>
      </c>
      <c r="G57" s="1958"/>
      <c r="H57" s="2001">
        <v>2</v>
      </c>
      <c r="I57" s="1958"/>
      <c r="J57" s="1958"/>
      <c r="K57" s="1958"/>
      <c r="L57" s="1958"/>
      <c r="M57" s="1958"/>
      <c r="N57" s="1964">
        <v>2</v>
      </c>
      <c r="O57" s="1964">
        <v>2</v>
      </c>
      <c r="P57" s="1964">
        <v>2</v>
      </c>
      <c r="Q57" s="1958"/>
      <c r="R57" s="1958">
        <v>1</v>
      </c>
      <c r="S57" s="1958">
        <v>1</v>
      </c>
      <c r="T57" s="1958">
        <v>5</v>
      </c>
      <c r="U57" s="1958"/>
      <c r="V57" s="1958"/>
      <c r="W57" s="1958">
        <v>5</v>
      </c>
      <c r="X57" s="1958">
        <v>1</v>
      </c>
      <c r="Y57" s="1999" t="s">
        <v>32</v>
      </c>
      <c r="Z57" s="1258">
        <f t="shared" si="0"/>
        <v>70</v>
      </c>
    </row>
    <row r="58" spans="1:35" ht="37.5" customHeight="1" x14ac:dyDescent="0.3">
      <c r="A58" s="1258">
        <v>49</v>
      </c>
      <c r="B58" s="1972">
        <f t="shared" si="1"/>
        <v>5191421049</v>
      </c>
      <c r="C58" s="1137"/>
      <c r="D58" s="1964"/>
      <c r="E58" s="1964"/>
      <c r="F58" s="1958"/>
      <c r="G58" s="1958"/>
      <c r="H58" s="1958"/>
      <c r="I58" s="1958"/>
      <c r="J58" s="1958"/>
      <c r="K58" s="1958"/>
      <c r="L58" s="1958"/>
      <c r="M58" s="1958"/>
      <c r="N58" s="1964">
        <v>2</v>
      </c>
      <c r="O58" s="1964"/>
      <c r="P58" s="1964"/>
      <c r="Q58" s="1958"/>
      <c r="R58" s="1958">
        <v>1</v>
      </c>
      <c r="S58" s="1958"/>
      <c r="T58" s="1958"/>
      <c r="U58" s="1958"/>
      <c r="V58" s="1958"/>
      <c r="W58" s="1958">
        <v>4</v>
      </c>
      <c r="X58" s="1958"/>
      <c r="Y58" s="1157" t="s">
        <v>31</v>
      </c>
      <c r="Z58" s="1258">
        <f t="shared" si="0"/>
        <v>55</v>
      </c>
    </row>
    <row r="59" spans="1:35" ht="54" customHeight="1" x14ac:dyDescent="0.3">
      <c r="A59" s="1959"/>
      <c r="B59" s="1959"/>
      <c r="C59" s="1964">
        <f>COUNT(C11:C58)</f>
        <v>36</v>
      </c>
      <c r="D59" s="1964">
        <f t="shared" ref="D59:X59" si="2">COUNT(D11:D58)</f>
        <v>31</v>
      </c>
      <c r="E59" s="1964">
        <f t="shared" si="2"/>
        <v>40</v>
      </c>
      <c r="F59" s="1964">
        <f t="shared" si="2"/>
        <v>24</v>
      </c>
      <c r="G59" s="1964">
        <f t="shared" si="2"/>
        <v>20</v>
      </c>
      <c r="H59" s="1964">
        <f t="shared" si="2"/>
        <v>40</v>
      </c>
      <c r="I59" s="1964">
        <f t="shared" si="2"/>
        <v>21</v>
      </c>
      <c r="J59" s="1964">
        <f t="shared" si="2"/>
        <v>30</v>
      </c>
      <c r="K59" s="1964">
        <f t="shared" si="2"/>
        <v>25</v>
      </c>
      <c r="L59" s="1964">
        <f t="shared" si="2"/>
        <v>24</v>
      </c>
      <c r="M59" s="1964">
        <f t="shared" si="2"/>
        <v>22</v>
      </c>
      <c r="N59" s="1964">
        <f t="shared" si="2"/>
        <v>37</v>
      </c>
      <c r="O59" s="1964">
        <f t="shared" si="2"/>
        <v>34</v>
      </c>
      <c r="P59" s="1964">
        <f t="shared" si="2"/>
        <v>33</v>
      </c>
      <c r="Q59" s="1964">
        <f t="shared" si="2"/>
        <v>27</v>
      </c>
      <c r="R59" s="1964">
        <f t="shared" si="2"/>
        <v>18</v>
      </c>
      <c r="S59" s="1964">
        <f t="shared" si="2"/>
        <v>27</v>
      </c>
      <c r="T59" s="1964">
        <f t="shared" si="2"/>
        <v>31</v>
      </c>
      <c r="U59" s="1964">
        <f t="shared" si="2"/>
        <v>16</v>
      </c>
      <c r="V59" s="1964">
        <f t="shared" si="2"/>
        <v>15</v>
      </c>
      <c r="W59" s="1964">
        <f t="shared" si="2"/>
        <v>28</v>
      </c>
      <c r="X59" s="1964">
        <f t="shared" si="2"/>
        <v>30</v>
      </c>
      <c r="Y59" s="1311"/>
      <c r="Z59" s="1959"/>
    </row>
    <row r="60" spans="1:35" ht="54" customHeight="1" x14ac:dyDescent="0.3">
      <c r="A60" s="1157" t="s">
        <v>34</v>
      </c>
      <c r="B60" s="1964">
        <v>55</v>
      </c>
      <c r="C60" s="1231">
        <f>C9*($B$60/100)</f>
        <v>1.1000000000000001</v>
      </c>
      <c r="D60" s="1231">
        <f t="shared" ref="D60:X60" si="3">D9*($B$60/100)</f>
        <v>1.1000000000000001</v>
      </c>
      <c r="E60" s="1231">
        <f t="shared" si="3"/>
        <v>1.1000000000000001</v>
      </c>
      <c r="F60" s="1231">
        <f t="shared" si="3"/>
        <v>1.1000000000000001</v>
      </c>
      <c r="G60" s="1231">
        <f t="shared" si="3"/>
        <v>1.1000000000000001</v>
      </c>
      <c r="H60" s="1231">
        <f t="shared" si="3"/>
        <v>2.75</v>
      </c>
      <c r="I60" s="1231">
        <f t="shared" si="3"/>
        <v>2.75</v>
      </c>
      <c r="J60" s="1231">
        <f t="shared" si="3"/>
        <v>2.75</v>
      </c>
      <c r="K60" s="1231">
        <f t="shared" si="3"/>
        <v>2.75</v>
      </c>
      <c r="L60" s="1231">
        <f t="shared" si="3"/>
        <v>2.75</v>
      </c>
      <c r="M60" s="1231">
        <f t="shared" si="3"/>
        <v>2.75</v>
      </c>
      <c r="N60" s="1231">
        <f t="shared" si="3"/>
        <v>1.1000000000000001</v>
      </c>
      <c r="O60" s="1231">
        <f t="shared" si="3"/>
        <v>1.1000000000000001</v>
      </c>
      <c r="P60" s="1231">
        <f t="shared" si="3"/>
        <v>1.1000000000000001</v>
      </c>
      <c r="Q60" s="1231">
        <f t="shared" si="3"/>
        <v>1.1000000000000001</v>
      </c>
      <c r="R60" s="1231">
        <f t="shared" si="3"/>
        <v>1.1000000000000001</v>
      </c>
      <c r="S60" s="1231">
        <f t="shared" si="3"/>
        <v>2.75</v>
      </c>
      <c r="T60" s="1231">
        <f t="shared" si="3"/>
        <v>2.75</v>
      </c>
      <c r="U60" s="1231">
        <f t="shared" si="3"/>
        <v>2.75</v>
      </c>
      <c r="V60" s="1231">
        <f t="shared" si="3"/>
        <v>2.75</v>
      </c>
      <c r="W60" s="1231">
        <f t="shared" si="3"/>
        <v>2.75</v>
      </c>
      <c r="X60" s="1231">
        <f t="shared" si="3"/>
        <v>2.75</v>
      </c>
      <c r="Y60" s="1311"/>
      <c r="Z60" s="1964">
        <f>COUNTIF(Z10:Z58,"&gt;="&amp;B60)</f>
        <v>38</v>
      </c>
    </row>
    <row r="61" spans="1:35" ht="54" customHeight="1" x14ac:dyDescent="0.3">
      <c r="A61" s="2714" t="s">
        <v>35</v>
      </c>
      <c r="B61" s="2714"/>
      <c r="C61" s="1964">
        <f>COUNTIF(C11:C58,"&gt;=1")</f>
        <v>35</v>
      </c>
      <c r="D61" s="1964">
        <f t="shared" ref="D61:X61" si="4">COUNTIF(D11:D58,"&gt;=1")</f>
        <v>30</v>
      </c>
      <c r="E61" s="1964">
        <f t="shared" si="4"/>
        <v>39</v>
      </c>
      <c r="F61" s="1964">
        <f t="shared" si="4"/>
        <v>23</v>
      </c>
      <c r="G61" s="1964">
        <f t="shared" si="4"/>
        <v>19</v>
      </c>
      <c r="H61" s="1964">
        <f t="shared" si="4"/>
        <v>39</v>
      </c>
      <c r="I61" s="1964">
        <f t="shared" si="4"/>
        <v>20</v>
      </c>
      <c r="J61" s="1964">
        <f t="shared" si="4"/>
        <v>29</v>
      </c>
      <c r="K61" s="1964">
        <f t="shared" si="4"/>
        <v>24</v>
      </c>
      <c r="L61" s="1964">
        <f t="shared" si="4"/>
        <v>23</v>
      </c>
      <c r="M61" s="1964">
        <f t="shared" si="4"/>
        <v>21</v>
      </c>
      <c r="N61" s="1964">
        <f t="shared" si="4"/>
        <v>37</v>
      </c>
      <c r="O61" s="1964">
        <f t="shared" si="4"/>
        <v>34</v>
      </c>
      <c r="P61" s="1964">
        <f t="shared" si="4"/>
        <v>33</v>
      </c>
      <c r="Q61" s="1964">
        <f t="shared" si="4"/>
        <v>27</v>
      </c>
      <c r="R61" s="1964">
        <f t="shared" si="4"/>
        <v>18</v>
      </c>
      <c r="S61" s="1964">
        <f t="shared" si="4"/>
        <v>27</v>
      </c>
      <c r="T61" s="1964">
        <f t="shared" si="4"/>
        <v>31</v>
      </c>
      <c r="U61" s="1964">
        <f t="shared" si="4"/>
        <v>16</v>
      </c>
      <c r="V61" s="1964">
        <f t="shared" si="4"/>
        <v>15</v>
      </c>
      <c r="W61" s="1964">
        <f t="shared" si="4"/>
        <v>28</v>
      </c>
      <c r="X61" s="1964">
        <f t="shared" si="4"/>
        <v>30</v>
      </c>
      <c r="Y61" s="1311"/>
      <c r="Z61" s="1964">
        <f>(Z60/A58)*100</f>
        <v>77.551020408163268</v>
      </c>
      <c r="AB61" s="2002"/>
      <c r="AC61" s="2002"/>
      <c r="AD61" s="1188"/>
      <c r="AE61" s="2715"/>
      <c r="AF61" s="2715"/>
      <c r="AG61" s="2715"/>
      <c r="AH61" s="2715"/>
      <c r="AI61" s="2715"/>
    </row>
    <row r="62" spans="1:35" ht="54" customHeight="1" x14ac:dyDescent="0.3">
      <c r="A62" s="2689" t="s">
        <v>36</v>
      </c>
      <c r="B62" s="2689"/>
      <c r="C62" s="1964">
        <f t="shared" ref="C62:X62" si="5">C61/C59</f>
        <v>0.97222222222222221</v>
      </c>
      <c r="D62" s="1964">
        <f t="shared" si="5"/>
        <v>0.967741935483871</v>
      </c>
      <c r="E62" s="1964">
        <f t="shared" si="5"/>
        <v>0.97499999999999998</v>
      </c>
      <c r="F62" s="1964">
        <f t="shared" si="5"/>
        <v>0.95833333333333337</v>
      </c>
      <c r="G62" s="1964">
        <f t="shared" si="5"/>
        <v>0.95</v>
      </c>
      <c r="H62" s="1964">
        <f t="shared" si="5"/>
        <v>0.97499999999999998</v>
      </c>
      <c r="I62" s="1964">
        <f t="shared" si="5"/>
        <v>0.95238095238095233</v>
      </c>
      <c r="J62" s="1964">
        <f t="shared" si="5"/>
        <v>0.96666666666666667</v>
      </c>
      <c r="K62" s="1964">
        <f t="shared" si="5"/>
        <v>0.96</v>
      </c>
      <c r="L62" s="1964">
        <f t="shared" si="5"/>
        <v>0.95833333333333337</v>
      </c>
      <c r="M62" s="1964">
        <f t="shared" si="5"/>
        <v>0.95454545454545459</v>
      </c>
      <c r="N62" s="1964">
        <f t="shared" si="5"/>
        <v>1</v>
      </c>
      <c r="O62" s="1964">
        <f t="shared" si="5"/>
        <v>1</v>
      </c>
      <c r="P62" s="1964">
        <f t="shared" si="5"/>
        <v>1</v>
      </c>
      <c r="Q62" s="1964">
        <f t="shared" si="5"/>
        <v>1</v>
      </c>
      <c r="R62" s="1964">
        <f t="shared" si="5"/>
        <v>1</v>
      </c>
      <c r="S62" s="1964">
        <f t="shared" si="5"/>
        <v>1</v>
      </c>
      <c r="T62" s="1964">
        <f t="shared" si="5"/>
        <v>1</v>
      </c>
      <c r="U62" s="1964">
        <f t="shared" si="5"/>
        <v>1</v>
      </c>
      <c r="V62" s="1964">
        <f t="shared" si="5"/>
        <v>1</v>
      </c>
      <c r="W62" s="1964">
        <f t="shared" si="5"/>
        <v>1</v>
      </c>
      <c r="X62" s="1964">
        <f t="shared" si="5"/>
        <v>1</v>
      </c>
      <c r="Y62" s="1959"/>
      <c r="Z62" s="1959"/>
    </row>
    <row r="63" spans="1:35" x14ac:dyDescent="0.3">
      <c r="C63" s="1964" t="s">
        <v>22</v>
      </c>
      <c r="D63" s="1964" t="s">
        <v>22</v>
      </c>
      <c r="E63" s="1964" t="s">
        <v>40</v>
      </c>
      <c r="F63" s="1958" t="s">
        <v>22</v>
      </c>
      <c r="G63" s="1958" t="s">
        <v>22</v>
      </c>
      <c r="H63" s="1958" t="s">
        <v>22</v>
      </c>
      <c r="I63" s="1958" t="s">
        <v>22</v>
      </c>
      <c r="J63" s="1980" t="s">
        <v>40</v>
      </c>
      <c r="K63" s="1980" t="s">
        <v>40</v>
      </c>
      <c r="L63" s="1980" t="s">
        <v>40</v>
      </c>
      <c r="M63" s="1980" t="s">
        <v>40</v>
      </c>
      <c r="N63" s="1964" t="s">
        <v>41</v>
      </c>
      <c r="O63" s="1964" t="s">
        <v>42</v>
      </c>
      <c r="P63" s="1964" t="s">
        <v>43</v>
      </c>
      <c r="Q63" s="1958" t="s">
        <v>41</v>
      </c>
      <c r="R63" s="1958" t="s">
        <v>41</v>
      </c>
      <c r="S63" s="1958" t="s">
        <v>42</v>
      </c>
      <c r="T63" s="1958" t="s">
        <v>42</v>
      </c>
      <c r="U63" s="1980" t="s">
        <v>43</v>
      </c>
      <c r="V63" s="1980" t="s">
        <v>43</v>
      </c>
      <c r="W63" s="1980" t="s">
        <v>43</v>
      </c>
      <c r="X63" s="1980" t="s">
        <v>43</v>
      </c>
    </row>
    <row r="65" spans="1:25" x14ac:dyDescent="0.3">
      <c r="A65" s="1116"/>
      <c r="C65" s="1116" t="s">
        <v>38</v>
      </c>
      <c r="E65" s="1116" t="s">
        <v>39</v>
      </c>
      <c r="G65" s="1116" t="s">
        <v>37</v>
      </c>
      <c r="Y65" s="1116"/>
    </row>
    <row r="66" spans="1:25" x14ac:dyDescent="0.3">
      <c r="A66" s="1116"/>
      <c r="B66" s="1960" t="s">
        <v>22</v>
      </c>
      <c r="C66" s="1116">
        <f>AVERAGE(C62,D62,I62,F62:H62)*100</f>
        <v>96.261307390339653</v>
      </c>
      <c r="D66" s="1116">
        <f t="shared" ref="D66:D67" si="6">IF(C66&gt;=70,3,IF(AND(C66&gt;=60,C66&lt;70),2,IF(AND(C66&gt;=50,C66&lt;60),1)))</f>
        <v>3</v>
      </c>
      <c r="E66" s="1116">
        <f>IF(Z61&gt;=70,3,IF(AND(Z61&gt;=60,Z61&lt;70),2,IF(AND(Z61&gt;=50,Z61&lt;60),1)))</f>
        <v>3</v>
      </c>
      <c r="G66" s="1116">
        <f t="shared" ref="G66:G67" si="7">(70/100)*E66+(30/100)*D66</f>
        <v>2.9999999999999996</v>
      </c>
      <c r="Y66" s="1116"/>
    </row>
    <row r="67" spans="1:25" x14ac:dyDescent="0.3">
      <c r="A67" s="1116"/>
      <c r="B67" s="1960" t="s">
        <v>40</v>
      </c>
      <c r="C67" s="1116">
        <f>AVERAGE(E62,J62,K62,L62,M62)*100</f>
        <v>96.290909090909096</v>
      </c>
      <c r="D67" s="1116">
        <f t="shared" si="6"/>
        <v>3</v>
      </c>
      <c r="E67" s="1116">
        <f>IF(Z61&gt;=70,3,IF(AND(Z61&gt;=60,Z61&lt;70),2,IF(AND(Z61&gt;=50,Z61&lt;60),1)))</f>
        <v>3</v>
      </c>
      <c r="G67" s="1116">
        <f t="shared" si="7"/>
        <v>2.9999999999999996</v>
      </c>
      <c r="Y67" s="1116"/>
    </row>
    <row r="68" spans="1:25" x14ac:dyDescent="0.3">
      <c r="A68" s="1116"/>
      <c r="B68" s="1960" t="s">
        <v>41</v>
      </c>
      <c r="C68" s="1116">
        <f>AVERAGE(N62,R62,Q62)*100</f>
        <v>100</v>
      </c>
      <c r="D68" s="1116">
        <f>IF(C68&gt;=70,3,IF(AND(C68&gt;=60,C68&lt;70),2,IF(AND(C68&gt;=50,C68&lt;60),1)))</f>
        <v>3</v>
      </c>
      <c r="E68" s="1116">
        <f>IF(Z61&gt;=70,3,IF(AND(Z61&gt;=60,Z61&lt;70),2,IF(AND(Z61&gt;=50,Z61&lt;60),1)))</f>
        <v>3</v>
      </c>
      <c r="G68" s="1116">
        <f>(70/100)*E68+(30/100)*D68</f>
        <v>2.9999999999999996</v>
      </c>
      <c r="Y68" s="1116"/>
    </row>
    <row r="69" spans="1:25" x14ac:dyDescent="0.3">
      <c r="A69" s="1116"/>
      <c r="B69" s="1960" t="s">
        <v>42</v>
      </c>
      <c r="C69" s="1116">
        <f>AVERAGE(O62,S62,T62)*100</f>
        <v>100</v>
      </c>
      <c r="D69" s="1116">
        <f t="shared" ref="D69:D70" si="8">IF(C69&gt;=70,3,IF(AND(C69&gt;=60,C69&lt;70),2,IF(AND(C69&gt;=50,C69&lt;60),1)))</f>
        <v>3</v>
      </c>
      <c r="E69" s="1116">
        <f>IF(Z61&gt;=70,3,IF(AND(Z61&gt;=60,Z61&lt;70),2,IF(AND(Z61&gt;=50,Z61&lt;60),1)))</f>
        <v>3</v>
      </c>
      <c r="G69" s="1116">
        <f>(70/100)*E69+(30/100)*D69</f>
        <v>2.9999999999999996</v>
      </c>
      <c r="Y69" s="1116"/>
    </row>
    <row r="70" spans="1:25" x14ac:dyDescent="0.3">
      <c r="A70" s="1116"/>
      <c r="B70" s="1960" t="s">
        <v>43</v>
      </c>
      <c r="C70" s="1116">
        <f>AVERAGE(P62,U62:X62)*100</f>
        <v>100</v>
      </c>
      <c r="D70" s="1116">
        <f t="shared" si="8"/>
        <v>3</v>
      </c>
      <c r="E70" s="1116">
        <f>IF(Z61&gt;=70,3,IF(AND(Z61&gt;=60,Z61&lt;70),2,IF(AND(Z61&gt;=50,Z61&lt;60),1)))</f>
        <v>3</v>
      </c>
      <c r="G70" s="1116">
        <f>(70/100)*E70+(30/100)*D70</f>
        <v>2.9999999999999996</v>
      </c>
      <c r="Y70" s="1116"/>
    </row>
    <row r="71" spans="1:25" x14ac:dyDescent="0.3">
      <c r="A71" s="1116"/>
      <c r="B71" s="2716" t="s">
        <v>44</v>
      </c>
      <c r="C71" s="2716"/>
      <c r="D71" s="2716"/>
      <c r="E71" s="2716"/>
      <c r="F71" s="2716"/>
      <c r="G71" s="1343">
        <f>AVERAGE(G66:G70)</f>
        <v>2.9999999999999996</v>
      </c>
      <c r="Y71" s="1116"/>
    </row>
    <row r="73" spans="1:25" x14ac:dyDescent="0.3">
      <c r="A73" s="1116"/>
      <c r="B73" s="2003"/>
      <c r="C73" s="2003"/>
      <c r="D73" s="2003"/>
      <c r="E73" s="2003"/>
      <c r="F73" s="2003"/>
      <c r="G73" s="2003"/>
      <c r="H73" s="2003"/>
      <c r="I73" s="2003"/>
      <c r="J73" s="2003"/>
      <c r="K73" s="2003"/>
      <c r="L73" s="2003"/>
      <c r="M73" s="2003"/>
      <c r="N73" s="2003"/>
      <c r="Y73" s="1116"/>
    </row>
    <row r="74" spans="1:25" x14ac:dyDescent="0.3">
      <c r="A74" s="1116"/>
      <c r="B74" s="2717" t="s">
        <v>159</v>
      </c>
      <c r="C74" s="2717"/>
      <c r="D74" s="2717"/>
      <c r="E74" s="2717"/>
      <c r="F74" s="2003"/>
      <c r="G74" s="2003"/>
      <c r="H74" s="2003"/>
      <c r="I74" s="2003"/>
      <c r="J74" s="2003"/>
      <c r="K74" s="2003"/>
      <c r="L74" s="2003"/>
      <c r="M74" s="2003"/>
      <c r="N74" s="2003"/>
      <c r="Y74" s="1116"/>
    </row>
    <row r="75" spans="1:25" x14ac:dyDescent="0.3">
      <c r="A75" s="1116"/>
      <c r="B75" s="2003"/>
      <c r="C75" s="2003"/>
      <c r="D75" s="2003"/>
      <c r="E75" s="2003"/>
      <c r="F75" s="2003"/>
      <c r="G75" s="2003"/>
      <c r="H75" s="2003"/>
      <c r="I75" s="2003"/>
      <c r="J75" s="2003"/>
      <c r="K75" s="2003"/>
      <c r="L75" s="2003"/>
      <c r="M75" s="2003"/>
      <c r="N75" s="2003"/>
      <c r="Y75" s="1116"/>
    </row>
    <row r="76" spans="1:25" ht="37.5" x14ac:dyDescent="0.3">
      <c r="A76" s="1116"/>
      <c r="B76" s="2004" t="s">
        <v>176</v>
      </c>
      <c r="C76" s="2005" t="s">
        <v>46</v>
      </c>
      <c r="D76" s="2005" t="s">
        <v>135</v>
      </c>
      <c r="E76" s="2005" t="s">
        <v>48</v>
      </c>
      <c r="F76" s="2005" t="s">
        <v>49</v>
      </c>
      <c r="G76" s="2005" t="s">
        <v>50</v>
      </c>
      <c r="H76" s="2005" t="s">
        <v>136</v>
      </c>
      <c r="I76" s="2005" t="s">
        <v>52</v>
      </c>
      <c r="J76" s="2005" t="s">
        <v>53</v>
      </c>
      <c r="K76" s="2005" t="s">
        <v>54</v>
      </c>
      <c r="L76" s="2005" t="s">
        <v>55</v>
      </c>
      <c r="M76" s="2005" t="s">
        <v>56</v>
      </c>
      <c r="N76" s="2005" t="s">
        <v>57</v>
      </c>
      <c r="O76" s="2006" t="s">
        <v>87</v>
      </c>
      <c r="P76" s="2006" t="s">
        <v>88</v>
      </c>
      <c r="Q76" s="2006" t="s">
        <v>85</v>
      </c>
      <c r="Y76" s="1116"/>
    </row>
    <row r="77" spans="1:25" x14ac:dyDescent="0.3">
      <c r="A77" s="1116"/>
      <c r="B77" s="2005" t="s">
        <v>22</v>
      </c>
      <c r="C77" s="77">
        <v>3</v>
      </c>
      <c r="D77" s="77">
        <v>3</v>
      </c>
      <c r="E77" s="77"/>
      <c r="F77" s="77"/>
      <c r="G77" s="77"/>
      <c r="H77" s="77"/>
      <c r="I77" s="77"/>
      <c r="J77" s="77"/>
      <c r="K77" s="77"/>
      <c r="L77" s="77"/>
      <c r="M77" s="77"/>
      <c r="N77" s="77">
        <v>3</v>
      </c>
      <c r="O77" s="2007">
        <v>1</v>
      </c>
      <c r="P77" s="2007">
        <v>1</v>
      </c>
      <c r="Q77" s="2007"/>
      <c r="Y77" s="1116"/>
    </row>
    <row r="78" spans="1:25" x14ac:dyDescent="0.3">
      <c r="A78" s="1116"/>
      <c r="B78" s="2005" t="s">
        <v>40</v>
      </c>
      <c r="C78" s="77">
        <v>3</v>
      </c>
      <c r="D78" s="77">
        <v>3</v>
      </c>
      <c r="E78" s="77"/>
      <c r="F78" s="77"/>
      <c r="G78" s="77"/>
      <c r="H78" s="77"/>
      <c r="I78" s="77"/>
      <c r="J78" s="77"/>
      <c r="K78" s="77"/>
      <c r="L78" s="77"/>
      <c r="M78" s="77"/>
      <c r="N78" s="77">
        <v>3</v>
      </c>
      <c r="O78" s="2007">
        <v>1</v>
      </c>
      <c r="P78" s="2007">
        <v>1</v>
      </c>
      <c r="Q78" s="2007"/>
      <c r="Y78" s="1116"/>
    </row>
    <row r="79" spans="1:25" x14ac:dyDescent="0.3">
      <c r="A79" s="1116"/>
      <c r="B79" s="2005" t="s">
        <v>41</v>
      </c>
      <c r="C79" s="77">
        <v>3</v>
      </c>
      <c r="D79" s="77">
        <v>3</v>
      </c>
      <c r="E79" s="77"/>
      <c r="F79" s="77"/>
      <c r="G79" s="77"/>
      <c r="H79" s="77"/>
      <c r="I79" s="77"/>
      <c r="J79" s="77"/>
      <c r="K79" s="77"/>
      <c r="L79" s="77"/>
      <c r="M79" s="77"/>
      <c r="N79" s="77">
        <v>3</v>
      </c>
      <c r="O79" s="2007">
        <v>1</v>
      </c>
      <c r="P79" s="2007">
        <v>1</v>
      </c>
      <c r="Q79" s="2007"/>
      <c r="Y79" s="1116"/>
    </row>
    <row r="80" spans="1:25" x14ac:dyDescent="0.3">
      <c r="A80" s="1116"/>
      <c r="B80" s="2005" t="s">
        <v>42</v>
      </c>
      <c r="C80" s="77">
        <v>3</v>
      </c>
      <c r="D80" s="77">
        <v>3</v>
      </c>
      <c r="E80" s="77"/>
      <c r="F80" s="77"/>
      <c r="G80" s="77"/>
      <c r="H80" s="77"/>
      <c r="I80" s="77"/>
      <c r="J80" s="77"/>
      <c r="K80" s="77"/>
      <c r="L80" s="77"/>
      <c r="M80" s="77"/>
      <c r="N80" s="77">
        <v>3</v>
      </c>
      <c r="O80" s="2007">
        <v>1</v>
      </c>
      <c r="P80" s="2007">
        <v>1</v>
      </c>
      <c r="Q80" s="2007"/>
      <c r="Y80" s="1116"/>
    </row>
    <row r="81" spans="1:25" x14ac:dyDescent="0.3">
      <c r="A81" s="1116"/>
      <c r="B81" s="2005" t="s">
        <v>43</v>
      </c>
      <c r="C81" s="77">
        <v>3</v>
      </c>
      <c r="D81" s="77">
        <v>3</v>
      </c>
      <c r="E81" s="77"/>
      <c r="F81" s="77"/>
      <c r="G81" s="77"/>
      <c r="H81" s="77"/>
      <c r="I81" s="77"/>
      <c r="J81" s="77"/>
      <c r="K81" s="77"/>
      <c r="L81" s="77"/>
      <c r="M81" s="77"/>
      <c r="N81" s="77">
        <v>3</v>
      </c>
      <c r="O81" s="2007">
        <v>1</v>
      </c>
      <c r="P81" s="2007">
        <v>1</v>
      </c>
      <c r="Q81" s="2007"/>
      <c r="Y81" s="1116"/>
    </row>
    <row r="82" spans="1:25" x14ac:dyDescent="0.3">
      <c r="A82" s="1116"/>
      <c r="B82" s="2008" t="s">
        <v>80</v>
      </c>
      <c r="C82" s="2009">
        <f t="shared" ref="C82:N82" si="9">AVERAGE(C77:C81)</f>
        <v>3</v>
      </c>
      <c r="D82" s="2009">
        <f t="shared" si="9"/>
        <v>3</v>
      </c>
      <c r="E82" s="2009"/>
      <c r="F82" s="2009"/>
      <c r="G82" s="2009"/>
      <c r="H82" s="2009"/>
      <c r="I82" s="2009"/>
      <c r="J82" s="2009"/>
      <c r="K82" s="2009"/>
      <c r="L82" s="2009"/>
      <c r="M82" s="2009"/>
      <c r="N82" s="2009">
        <f t="shared" si="9"/>
        <v>3</v>
      </c>
      <c r="O82" s="2010">
        <f>AVERAGE(O77:O81)</f>
        <v>1</v>
      </c>
      <c r="P82" s="2010">
        <f>AVERAGE(P77:P81)</f>
        <v>1</v>
      </c>
      <c r="Q82" s="2010"/>
      <c r="Y82" s="1116"/>
    </row>
    <row r="83" spans="1:25" x14ac:dyDescent="0.3">
      <c r="A83" s="1116"/>
      <c r="B83" s="2008" t="s">
        <v>160</v>
      </c>
      <c r="C83" s="2718">
        <f>AVERAGE(C82:N82)</f>
        <v>3</v>
      </c>
      <c r="D83" s="2719"/>
      <c r="E83" s="2719"/>
      <c r="F83" s="2719"/>
      <c r="G83" s="2719"/>
      <c r="H83" s="2719"/>
      <c r="I83" s="2719"/>
      <c r="J83" s="2719"/>
      <c r="K83" s="2719"/>
      <c r="L83" s="2719"/>
      <c r="M83" s="2719"/>
      <c r="N83" s="2720"/>
      <c r="O83" s="2721">
        <f>AVERAGE(O82:Q82)</f>
        <v>1</v>
      </c>
      <c r="P83" s="2722"/>
      <c r="Q83" s="2723"/>
      <c r="Y83" s="1116"/>
    </row>
    <row r="84" spans="1:25" x14ac:dyDescent="0.3">
      <c r="A84" s="1116"/>
      <c r="Y84" s="1116"/>
    </row>
    <row r="85" spans="1:25" x14ac:dyDescent="0.3">
      <c r="A85" s="1116"/>
      <c r="B85" s="2717" t="s">
        <v>161</v>
      </c>
      <c r="C85" s="2717"/>
      <c r="D85" s="2717"/>
      <c r="E85" s="2717"/>
      <c r="Y85" s="1116"/>
    </row>
    <row r="86" spans="1:25" x14ac:dyDescent="0.3">
      <c r="A86" s="1116"/>
      <c r="Y86" s="1116"/>
    </row>
    <row r="87" spans="1:25" x14ac:dyDescent="0.3">
      <c r="A87" s="1116"/>
      <c r="B87" s="1262" t="s">
        <v>45</v>
      </c>
      <c r="C87" s="2011" t="s">
        <v>68</v>
      </c>
      <c r="D87" s="2011" t="s">
        <v>69</v>
      </c>
      <c r="E87" s="2011" t="s">
        <v>70</v>
      </c>
      <c r="F87" s="2011" t="s">
        <v>71</v>
      </c>
      <c r="G87" s="2011" t="s">
        <v>72</v>
      </c>
      <c r="H87" s="2011" t="s">
        <v>73</v>
      </c>
      <c r="I87" s="2011" t="s">
        <v>74</v>
      </c>
      <c r="J87" s="2011" t="s">
        <v>75</v>
      </c>
      <c r="K87" s="2011" t="s">
        <v>76</v>
      </c>
      <c r="L87" s="2011" t="s">
        <v>77</v>
      </c>
      <c r="M87" s="2011" t="s">
        <v>78</v>
      </c>
      <c r="N87" s="2011" t="s">
        <v>79</v>
      </c>
      <c r="O87" s="2011" t="s">
        <v>60</v>
      </c>
      <c r="P87" s="2011" t="s">
        <v>61</v>
      </c>
      <c r="Q87" s="2011" t="s">
        <v>62</v>
      </c>
      <c r="Y87" s="1116"/>
    </row>
    <row r="88" spans="1:25" x14ac:dyDescent="0.3">
      <c r="A88" s="1116"/>
      <c r="B88" s="1256" t="s">
        <v>20</v>
      </c>
      <c r="C88" s="1259">
        <f t="shared" ref="C88:D92" si="10">($G66*C77)/3</f>
        <v>2.9999999999999996</v>
      </c>
      <c r="D88" s="1259">
        <f t="shared" si="10"/>
        <v>2.9999999999999996</v>
      </c>
      <c r="E88" s="1259"/>
      <c r="F88" s="1259"/>
      <c r="G88" s="1259"/>
      <c r="H88" s="1259"/>
      <c r="I88" s="1259"/>
      <c r="J88" s="1259"/>
      <c r="K88" s="1259"/>
      <c r="L88" s="1259"/>
      <c r="M88" s="1259"/>
      <c r="N88" s="1259">
        <f>($G66*N77)/3</f>
        <v>2.9999999999999996</v>
      </c>
      <c r="O88" s="1259">
        <f t="shared" ref="O88:P90" si="11">$G66*O77/3</f>
        <v>0.99999999999999989</v>
      </c>
      <c r="P88" s="1259">
        <f t="shared" si="11"/>
        <v>0.99999999999999989</v>
      </c>
      <c r="Q88" s="1259"/>
      <c r="Y88" s="1116"/>
    </row>
    <row r="89" spans="1:25" x14ac:dyDescent="0.3">
      <c r="A89" s="1116"/>
      <c r="B89" s="1256" t="s">
        <v>21</v>
      </c>
      <c r="C89" s="1259">
        <f t="shared" si="10"/>
        <v>2.9999999999999996</v>
      </c>
      <c r="D89" s="1259">
        <f t="shared" si="10"/>
        <v>2.9999999999999996</v>
      </c>
      <c r="E89" s="1259"/>
      <c r="F89" s="1259"/>
      <c r="G89" s="1259"/>
      <c r="H89" s="1259"/>
      <c r="I89" s="1259"/>
      <c r="J89" s="1259"/>
      <c r="K89" s="1259"/>
      <c r="L89" s="1259"/>
      <c r="M89" s="1259"/>
      <c r="N89" s="1259">
        <f>($G67*N78)/3</f>
        <v>2.9999999999999996</v>
      </c>
      <c r="O89" s="1259">
        <f t="shared" si="11"/>
        <v>0.99999999999999989</v>
      </c>
      <c r="P89" s="1259">
        <f t="shared" si="11"/>
        <v>0.99999999999999989</v>
      </c>
      <c r="Q89" s="1259"/>
      <c r="Y89" s="1116"/>
    </row>
    <row r="90" spans="1:25" x14ac:dyDescent="0.3">
      <c r="A90" s="1116"/>
      <c r="B90" s="1256" t="s">
        <v>23</v>
      </c>
      <c r="C90" s="1259">
        <f t="shared" si="10"/>
        <v>2.9999999999999996</v>
      </c>
      <c r="D90" s="1259">
        <f t="shared" si="10"/>
        <v>2.9999999999999996</v>
      </c>
      <c r="E90" s="1259"/>
      <c r="F90" s="1259"/>
      <c r="G90" s="1259"/>
      <c r="H90" s="1259"/>
      <c r="I90" s="1259"/>
      <c r="J90" s="1259"/>
      <c r="K90" s="1259"/>
      <c r="L90" s="1259"/>
      <c r="M90" s="1259"/>
      <c r="N90" s="1259">
        <f>($G68*N79)/3</f>
        <v>2.9999999999999996</v>
      </c>
      <c r="O90" s="1259">
        <f t="shared" si="11"/>
        <v>0.99999999999999989</v>
      </c>
      <c r="P90" s="1259">
        <f t="shared" si="11"/>
        <v>0.99999999999999989</v>
      </c>
      <c r="Q90" s="1259"/>
      <c r="Y90" s="1116"/>
    </row>
    <row r="91" spans="1:25" x14ac:dyDescent="0.3">
      <c r="A91" s="1116"/>
      <c r="B91" s="1256" t="s">
        <v>25</v>
      </c>
      <c r="C91" s="1259">
        <f t="shared" si="10"/>
        <v>2.9999999999999996</v>
      </c>
      <c r="D91" s="1259">
        <f t="shared" si="10"/>
        <v>2.9999999999999996</v>
      </c>
      <c r="E91" s="1259"/>
      <c r="F91" s="1259"/>
      <c r="G91" s="1259"/>
      <c r="H91" s="1259"/>
      <c r="I91" s="1259"/>
      <c r="J91" s="1259"/>
      <c r="K91" s="1259"/>
      <c r="L91" s="1259"/>
      <c r="M91" s="1259"/>
      <c r="N91" s="1259">
        <f>($G69*N80)/3</f>
        <v>2.9999999999999996</v>
      </c>
      <c r="O91" s="1259">
        <f>$G69*O80/3</f>
        <v>0.99999999999999989</v>
      </c>
      <c r="P91" s="1259">
        <f>$G69*P80/3</f>
        <v>0.99999999999999989</v>
      </c>
      <c r="Q91" s="1259"/>
      <c r="Y91" s="1116"/>
    </row>
    <row r="92" spans="1:25" ht="17.25" customHeight="1" x14ac:dyDescent="0.3">
      <c r="A92" s="1116"/>
      <c r="B92" s="1256" t="s">
        <v>24</v>
      </c>
      <c r="C92" s="1259">
        <f t="shared" si="10"/>
        <v>2.9999999999999996</v>
      </c>
      <c r="D92" s="1259">
        <f t="shared" si="10"/>
        <v>2.9999999999999996</v>
      </c>
      <c r="E92" s="1259"/>
      <c r="F92" s="1259"/>
      <c r="G92" s="1259"/>
      <c r="H92" s="1259"/>
      <c r="I92" s="1259"/>
      <c r="J92" s="1259"/>
      <c r="K92" s="1259"/>
      <c r="L92" s="1259"/>
      <c r="M92" s="1259"/>
      <c r="N92" s="1259">
        <f>($G70*N81)/3</f>
        <v>2.9999999999999996</v>
      </c>
      <c r="O92" s="1259">
        <f>$G70*O81/3</f>
        <v>0.99999999999999989</v>
      </c>
      <c r="P92" s="1259">
        <f>$G70*P81/3</f>
        <v>0.99999999999999989</v>
      </c>
      <c r="Q92" s="1259"/>
      <c r="Y92" s="1116"/>
    </row>
    <row r="93" spans="1:25" x14ac:dyDescent="0.3">
      <c r="A93" s="1116"/>
      <c r="B93" s="1262" t="s">
        <v>10</v>
      </c>
      <c r="C93" s="2012">
        <f t="shared" ref="C93:N93" si="12">AVERAGE(C88:C92)</f>
        <v>2.9999999999999996</v>
      </c>
      <c r="D93" s="2012">
        <f t="shared" si="12"/>
        <v>2.9999999999999996</v>
      </c>
      <c r="E93" s="2012"/>
      <c r="F93" s="2012"/>
      <c r="G93" s="2012"/>
      <c r="H93" s="2012"/>
      <c r="I93" s="2012"/>
      <c r="J93" s="2012"/>
      <c r="K93" s="2012"/>
      <c r="L93" s="2012"/>
      <c r="M93" s="2012"/>
      <c r="N93" s="2012">
        <f t="shared" si="12"/>
        <v>2.9999999999999996</v>
      </c>
      <c r="O93" s="2013">
        <f>AVERAGE(O88:O92)</f>
        <v>0.99999999999999978</v>
      </c>
      <c r="P93" s="2013">
        <f>AVERAGE(P88:P92)</f>
        <v>0.99999999999999978</v>
      </c>
      <c r="Q93" s="2013"/>
      <c r="Y93" s="1116"/>
    </row>
    <row r="94" spans="1:25" x14ac:dyDescent="0.3">
      <c r="A94" s="1116"/>
      <c r="B94" s="1262" t="s">
        <v>58</v>
      </c>
      <c r="C94" s="2711">
        <f>AVERAGE(C93:N93)</f>
        <v>2.9999999999999996</v>
      </c>
      <c r="D94" s="2712"/>
      <c r="E94" s="2712"/>
      <c r="F94" s="2712"/>
      <c r="G94" s="2712"/>
      <c r="H94" s="2712"/>
      <c r="I94" s="2712"/>
      <c r="J94" s="2712"/>
      <c r="K94" s="2712"/>
      <c r="L94" s="2712"/>
      <c r="M94" s="2712"/>
      <c r="N94" s="2713"/>
      <c r="O94" s="2711">
        <f>AVERAGE(O93:Q93)</f>
        <v>0.99999999999999978</v>
      </c>
      <c r="P94" s="2712"/>
      <c r="Q94" s="2713"/>
      <c r="Y94" s="1116"/>
    </row>
    <row r="95" spans="1:25" x14ac:dyDescent="0.3">
      <c r="Y95" s="1116"/>
    </row>
  </sheetData>
  <mergeCells count="36">
    <mergeCell ref="C94:N94"/>
    <mergeCell ref="O94:Q94"/>
    <mergeCell ref="A61:B61"/>
    <mergeCell ref="AE61:AI61"/>
    <mergeCell ref="B71:F71"/>
    <mergeCell ref="B74:E74"/>
    <mergeCell ref="C83:N83"/>
    <mergeCell ref="O83:Q83"/>
    <mergeCell ref="B85:E85"/>
    <mergeCell ref="A62:B62"/>
    <mergeCell ref="Z6:Z8"/>
    <mergeCell ref="Y9:Z9"/>
    <mergeCell ref="A2:B2"/>
    <mergeCell ref="C2:E2"/>
    <mergeCell ref="I2:J2"/>
    <mergeCell ref="K2:M2"/>
    <mergeCell ref="I3:J3"/>
    <mergeCell ref="K3:M3"/>
    <mergeCell ref="N3:O3"/>
    <mergeCell ref="A3:B3"/>
    <mergeCell ref="C3:E3"/>
    <mergeCell ref="C4:E4"/>
    <mergeCell ref="I4:J4"/>
    <mergeCell ref="K4:M4"/>
    <mergeCell ref="C5:M5"/>
    <mergeCell ref="S6:T6"/>
    <mergeCell ref="N5:X5"/>
    <mergeCell ref="B6:B7"/>
    <mergeCell ref="C6:G6"/>
    <mergeCell ref="N6:R6"/>
    <mergeCell ref="Y6:Y8"/>
    <mergeCell ref="U6:V6"/>
    <mergeCell ref="W6:X6"/>
    <mergeCell ref="H6:I6"/>
    <mergeCell ref="J6:K6"/>
    <mergeCell ref="L6:M6"/>
  </mergeCells>
  <conditionalFormatting sqref="Y10 Y12:Y58">
    <cfRule type="containsText" dxfId="152" priority="3" operator="containsText" text="F">
      <formula>NOT(ISERROR(SEARCH("F",Y10)))</formula>
    </cfRule>
  </conditionalFormatting>
  <conditionalFormatting sqref="Y10:Y58">
    <cfRule type="cellIs" dxfId="151" priority="1" stopIfTrue="1" operator="equal">
      <formula>"AB"</formula>
    </cfRule>
    <cfRule type="containsText" dxfId="150" priority="2" operator="containsText" text="F">
      <formula>NOT(ISERROR(SEARCH("F",Y10)))</formula>
    </cfRule>
  </conditionalFormatting>
  <pageMargins left="0.7" right="0.7" top="0.75" bottom="0.75" header="0.3" footer="0.3"/>
  <pageSetup paperSize="8" scale="30" orientation="portrait" r:id="rId1"/>
  <colBreaks count="1" manualBreakCount="1">
    <brk id="27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P95"/>
  <sheetViews>
    <sheetView view="pageBreakPreview" topLeftCell="A64" zoomScale="40" zoomScaleNormal="68" zoomScaleSheetLayoutView="40" workbookViewId="0">
      <selection activeCell="F92" sqref="F92"/>
    </sheetView>
  </sheetViews>
  <sheetFormatPr defaultRowHeight="14.25" x14ac:dyDescent="0.2"/>
  <cols>
    <col min="1" max="1" width="20.5703125" style="159" customWidth="1"/>
    <col min="2" max="2" width="27" style="158" customWidth="1"/>
    <col min="3" max="25" width="15.85546875" style="158" customWidth="1"/>
    <col min="26" max="26" width="29.42578125" style="210" bestFit="1" customWidth="1"/>
    <col min="27" max="45" width="15.85546875" style="158" customWidth="1"/>
    <col min="46" max="256" width="9.140625" style="158"/>
    <col min="257" max="257" width="15.140625" style="158" bestFit="1" customWidth="1"/>
    <col min="258" max="258" width="18.28515625" style="158" bestFit="1" customWidth="1"/>
    <col min="259" max="264" width="9.140625" style="158"/>
    <col min="265" max="265" width="17.5703125" style="158" customWidth="1"/>
    <col min="266" max="512" width="9.140625" style="158"/>
    <col min="513" max="513" width="15.140625" style="158" bestFit="1" customWidth="1"/>
    <col min="514" max="514" width="18.28515625" style="158" bestFit="1" customWidth="1"/>
    <col min="515" max="520" width="9.140625" style="158"/>
    <col min="521" max="521" width="17.5703125" style="158" customWidth="1"/>
    <col min="522" max="768" width="9.140625" style="158"/>
    <col min="769" max="769" width="15.140625" style="158" bestFit="1" customWidth="1"/>
    <col min="770" max="770" width="18.28515625" style="158" bestFit="1" customWidth="1"/>
    <col min="771" max="776" width="9.140625" style="158"/>
    <col min="777" max="777" width="17.5703125" style="158" customWidth="1"/>
    <col min="778" max="1024" width="9.140625" style="158"/>
    <col min="1025" max="1025" width="15.140625" style="158" bestFit="1" customWidth="1"/>
    <col min="1026" max="1026" width="18.28515625" style="158" bestFit="1" customWidth="1"/>
    <col min="1027" max="1032" width="9.140625" style="158"/>
    <col min="1033" max="1033" width="17.5703125" style="158" customWidth="1"/>
    <col min="1034" max="1280" width="9.140625" style="158"/>
    <col min="1281" max="1281" width="15.140625" style="158" bestFit="1" customWidth="1"/>
    <col min="1282" max="1282" width="18.28515625" style="158" bestFit="1" customWidth="1"/>
    <col min="1283" max="1288" width="9.140625" style="158"/>
    <col min="1289" max="1289" width="17.5703125" style="158" customWidth="1"/>
    <col min="1290" max="1536" width="9.140625" style="158"/>
    <col min="1537" max="1537" width="15.140625" style="158" bestFit="1" customWidth="1"/>
    <col min="1538" max="1538" width="18.28515625" style="158" bestFit="1" customWidth="1"/>
    <col min="1539" max="1544" width="9.140625" style="158"/>
    <col min="1545" max="1545" width="17.5703125" style="158" customWidth="1"/>
    <col min="1546" max="1792" width="9.140625" style="158"/>
    <col min="1793" max="1793" width="15.140625" style="158" bestFit="1" customWidth="1"/>
    <col min="1794" max="1794" width="18.28515625" style="158" bestFit="1" customWidth="1"/>
    <col min="1795" max="1800" width="9.140625" style="158"/>
    <col min="1801" max="1801" width="17.5703125" style="158" customWidth="1"/>
    <col min="1802" max="2048" width="9.140625" style="158"/>
    <col min="2049" max="2049" width="15.140625" style="158" bestFit="1" customWidth="1"/>
    <col min="2050" max="2050" width="18.28515625" style="158" bestFit="1" customWidth="1"/>
    <col min="2051" max="2056" width="9.140625" style="158"/>
    <col min="2057" max="2057" width="17.5703125" style="158" customWidth="1"/>
    <col min="2058" max="2304" width="9.140625" style="158"/>
    <col min="2305" max="2305" width="15.140625" style="158" bestFit="1" customWidth="1"/>
    <col min="2306" max="2306" width="18.28515625" style="158" bestFit="1" customWidth="1"/>
    <col min="2307" max="2312" width="9.140625" style="158"/>
    <col min="2313" max="2313" width="17.5703125" style="158" customWidth="1"/>
    <col min="2314" max="2560" width="9.140625" style="158"/>
    <col min="2561" max="2561" width="15.140625" style="158" bestFit="1" customWidth="1"/>
    <col min="2562" max="2562" width="18.28515625" style="158" bestFit="1" customWidth="1"/>
    <col min="2563" max="2568" width="9.140625" style="158"/>
    <col min="2569" max="2569" width="17.5703125" style="158" customWidth="1"/>
    <col min="2570" max="2816" width="9.140625" style="158"/>
    <col min="2817" max="2817" width="15.140625" style="158" bestFit="1" customWidth="1"/>
    <col min="2818" max="2818" width="18.28515625" style="158" bestFit="1" customWidth="1"/>
    <col min="2819" max="2824" width="9.140625" style="158"/>
    <col min="2825" max="2825" width="17.5703125" style="158" customWidth="1"/>
    <col min="2826" max="3072" width="9.140625" style="158"/>
    <col min="3073" max="3073" width="15.140625" style="158" bestFit="1" customWidth="1"/>
    <col min="3074" max="3074" width="18.28515625" style="158" bestFit="1" customWidth="1"/>
    <col min="3075" max="3080" width="9.140625" style="158"/>
    <col min="3081" max="3081" width="17.5703125" style="158" customWidth="1"/>
    <col min="3082" max="3328" width="9.140625" style="158"/>
    <col min="3329" max="3329" width="15.140625" style="158" bestFit="1" customWidth="1"/>
    <col min="3330" max="3330" width="18.28515625" style="158" bestFit="1" customWidth="1"/>
    <col min="3331" max="3336" width="9.140625" style="158"/>
    <col min="3337" max="3337" width="17.5703125" style="158" customWidth="1"/>
    <col min="3338" max="3584" width="9.140625" style="158"/>
    <col min="3585" max="3585" width="15.140625" style="158" bestFit="1" customWidth="1"/>
    <col min="3586" max="3586" width="18.28515625" style="158" bestFit="1" customWidth="1"/>
    <col min="3587" max="3592" width="9.140625" style="158"/>
    <col min="3593" max="3593" width="17.5703125" style="158" customWidth="1"/>
    <col min="3594" max="3840" width="9.140625" style="158"/>
    <col min="3841" max="3841" width="15.140625" style="158" bestFit="1" customWidth="1"/>
    <col min="3842" max="3842" width="18.28515625" style="158" bestFit="1" customWidth="1"/>
    <col min="3843" max="3848" width="9.140625" style="158"/>
    <col min="3849" max="3849" width="17.5703125" style="158" customWidth="1"/>
    <col min="3850" max="4096" width="9.140625" style="158"/>
    <col min="4097" max="4097" width="15.140625" style="158" bestFit="1" customWidth="1"/>
    <col min="4098" max="4098" width="18.28515625" style="158" bestFit="1" customWidth="1"/>
    <col min="4099" max="4104" width="9.140625" style="158"/>
    <col min="4105" max="4105" width="17.5703125" style="158" customWidth="1"/>
    <col min="4106" max="4352" width="9.140625" style="158"/>
    <col min="4353" max="4353" width="15.140625" style="158" bestFit="1" customWidth="1"/>
    <col min="4354" max="4354" width="18.28515625" style="158" bestFit="1" customWidth="1"/>
    <col min="4355" max="4360" width="9.140625" style="158"/>
    <col min="4361" max="4361" width="17.5703125" style="158" customWidth="1"/>
    <col min="4362" max="4608" width="9.140625" style="158"/>
    <col min="4609" max="4609" width="15.140625" style="158" bestFit="1" customWidth="1"/>
    <col min="4610" max="4610" width="18.28515625" style="158" bestFit="1" customWidth="1"/>
    <col min="4611" max="4616" width="9.140625" style="158"/>
    <col min="4617" max="4617" width="17.5703125" style="158" customWidth="1"/>
    <col min="4618" max="4864" width="9.140625" style="158"/>
    <col min="4865" max="4865" width="15.140625" style="158" bestFit="1" customWidth="1"/>
    <col min="4866" max="4866" width="18.28515625" style="158" bestFit="1" customWidth="1"/>
    <col min="4867" max="4872" width="9.140625" style="158"/>
    <col min="4873" max="4873" width="17.5703125" style="158" customWidth="1"/>
    <col min="4874" max="5120" width="9.140625" style="158"/>
    <col min="5121" max="5121" width="15.140625" style="158" bestFit="1" customWidth="1"/>
    <col min="5122" max="5122" width="18.28515625" style="158" bestFit="1" customWidth="1"/>
    <col min="5123" max="5128" width="9.140625" style="158"/>
    <col min="5129" max="5129" width="17.5703125" style="158" customWidth="1"/>
    <col min="5130" max="5376" width="9.140625" style="158"/>
    <col min="5377" max="5377" width="15.140625" style="158" bestFit="1" customWidth="1"/>
    <col min="5378" max="5378" width="18.28515625" style="158" bestFit="1" customWidth="1"/>
    <col min="5379" max="5384" width="9.140625" style="158"/>
    <col min="5385" max="5385" width="17.5703125" style="158" customWidth="1"/>
    <col min="5386" max="5632" width="9.140625" style="158"/>
    <col min="5633" max="5633" width="15.140625" style="158" bestFit="1" customWidth="1"/>
    <col min="5634" max="5634" width="18.28515625" style="158" bestFit="1" customWidth="1"/>
    <col min="5635" max="5640" width="9.140625" style="158"/>
    <col min="5641" max="5641" width="17.5703125" style="158" customWidth="1"/>
    <col min="5642" max="5888" width="9.140625" style="158"/>
    <col min="5889" max="5889" width="15.140625" style="158" bestFit="1" customWidth="1"/>
    <col min="5890" max="5890" width="18.28515625" style="158" bestFit="1" customWidth="1"/>
    <col min="5891" max="5896" width="9.140625" style="158"/>
    <col min="5897" max="5897" width="17.5703125" style="158" customWidth="1"/>
    <col min="5898" max="6144" width="9.140625" style="158"/>
    <col min="6145" max="6145" width="15.140625" style="158" bestFit="1" customWidth="1"/>
    <col min="6146" max="6146" width="18.28515625" style="158" bestFit="1" customWidth="1"/>
    <col min="6147" max="6152" width="9.140625" style="158"/>
    <col min="6153" max="6153" width="17.5703125" style="158" customWidth="1"/>
    <col min="6154" max="6400" width="9.140625" style="158"/>
    <col min="6401" max="6401" width="15.140625" style="158" bestFit="1" customWidth="1"/>
    <col min="6402" max="6402" width="18.28515625" style="158" bestFit="1" customWidth="1"/>
    <col min="6403" max="6408" width="9.140625" style="158"/>
    <col min="6409" max="6409" width="17.5703125" style="158" customWidth="1"/>
    <col min="6410" max="6656" width="9.140625" style="158"/>
    <col min="6657" max="6657" width="15.140625" style="158" bestFit="1" customWidth="1"/>
    <col min="6658" max="6658" width="18.28515625" style="158" bestFit="1" customWidth="1"/>
    <col min="6659" max="6664" width="9.140625" style="158"/>
    <col min="6665" max="6665" width="17.5703125" style="158" customWidth="1"/>
    <col min="6666" max="6912" width="9.140625" style="158"/>
    <col min="6913" max="6913" width="15.140625" style="158" bestFit="1" customWidth="1"/>
    <col min="6914" max="6914" width="18.28515625" style="158" bestFit="1" customWidth="1"/>
    <col min="6915" max="6920" width="9.140625" style="158"/>
    <col min="6921" max="6921" width="17.5703125" style="158" customWidth="1"/>
    <col min="6922" max="7168" width="9.140625" style="158"/>
    <col min="7169" max="7169" width="15.140625" style="158" bestFit="1" customWidth="1"/>
    <col min="7170" max="7170" width="18.28515625" style="158" bestFit="1" customWidth="1"/>
    <col min="7171" max="7176" width="9.140625" style="158"/>
    <col min="7177" max="7177" width="17.5703125" style="158" customWidth="1"/>
    <col min="7178" max="7424" width="9.140625" style="158"/>
    <col min="7425" max="7425" width="15.140625" style="158" bestFit="1" customWidth="1"/>
    <col min="7426" max="7426" width="18.28515625" style="158" bestFit="1" customWidth="1"/>
    <col min="7427" max="7432" width="9.140625" style="158"/>
    <col min="7433" max="7433" width="17.5703125" style="158" customWidth="1"/>
    <col min="7434" max="7680" width="9.140625" style="158"/>
    <col min="7681" max="7681" width="15.140625" style="158" bestFit="1" customWidth="1"/>
    <col min="7682" max="7682" width="18.28515625" style="158" bestFit="1" customWidth="1"/>
    <col min="7683" max="7688" width="9.140625" style="158"/>
    <col min="7689" max="7689" width="17.5703125" style="158" customWidth="1"/>
    <col min="7690" max="7936" width="9.140625" style="158"/>
    <col min="7937" max="7937" width="15.140625" style="158" bestFit="1" customWidth="1"/>
    <col min="7938" max="7938" width="18.28515625" style="158" bestFit="1" customWidth="1"/>
    <col min="7939" max="7944" width="9.140625" style="158"/>
    <col min="7945" max="7945" width="17.5703125" style="158" customWidth="1"/>
    <col min="7946" max="8192" width="9.140625" style="158"/>
    <col min="8193" max="8193" width="15.140625" style="158" bestFit="1" customWidth="1"/>
    <col min="8194" max="8194" width="18.28515625" style="158" bestFit="1" customWidth="1"/>
    <col min="8195" max="8200" width="9.140625" style="158"/>
    <col min="8201" max="8201" width="17.5703125" style="158" customWidth="1"/>
    <col min="8202" max="8448" width="9.140625" style="158"/>
    <col min="8449" max="8449" width="15.140625" style="158" bestFit="1" customWidth="1"/>
    <col min="8450" max="8450" width="18.28515625" style="158" bestFit="1" customWidth="1"/>
    <col min="8451" max="8456" width="9.140625" style="158"/>
    <col min="8457" max="8457" width="17.5703125" style="158" customWidth="1"/>
    <col min="8458" max="8704" width="9.140625" style="158"/>
    <col min="8705" max="8705" width="15.140625" style="158" bestFit="1" customWidth="1"/>
    <col min="8706" max="8706" width="18.28515625" style="158" bestFit="1" customWidth="1"/>
    <col min="8707" max="8712" width="9.140625" style="158"/>
    <col min="8713" max="8713" width="17.5703125" style="158" customWidth="1"/>
    <col min="8714" max="8960" width="9.140625" style="158"/>
    <col min="8961" max="8961" width="15.140625" style="158" bestFit="1" customWidth="1"/>
    <col min="8962" max="8962" width="18.28515625" style="158" bestFit="1" customWidth="1"/>
    <col min="8963" max="8968" width="9.140625" style="158"/>
    <col min="8969" max="8969" width="17.5703125" style="158" customWidth="1"/>
    <col min="8970" max="9216" width="9.140625" style="158"/>
    <col min="9217" max="9217" width="15.140625" style="158" bestFit="1" customWidth="1"/>
    <col min="9218" max="9218" width="18.28515625" style="158" bestFit="1" customWidth="1"/>
    <col min="9219" max="9224" width="9.140625" style="158"/>
    <col min="9225" max="9225" width="17.5703125" style="158" customWidth="1"/>
    <col min="9226" max="9472" width="9.140625" style="158"/>
    <col min="9473" max="9473" width="15.140625" style="158" bestFit="1" customWidth="1"/>
    <col min="9474" max="9474" width="18.28515625" style="158" bestFit="1" customWidth="1"/>
    <col min="9475" max="9480" width="9.140625" style="158"/>
    <col min="9481" max="9481" width="17.5703125" style="158" customWidth="1"/>
    <col min="9482" max="9728" width="9.140625" style="158"/>
    <col min="9729" max="9729" width="15.140625" style="158" bestFit="1" customWidth="1"/>
    <col min="9730" max="9730" width="18.28515625" style="158" bestFit="1" customWidth="1"/>
    <col min="9731" max="9736" width="9.140625" style="158"/>
    <col min="9737" max="9737" width="17.5703125" style="158" customWidth="1"/>
    <col min="9738" max="9984" width="9.140625" style="158"/>
    <col min="9985" max="9985" width="15.140625" style="158" bestFit="1" customWidth="1"/>
    <col min="9986" max="9986" width="18.28515625" style="158" bestFit="1" customWidth="1"/>
    <col min="9987" max="9992" width="9.140625" style="158"/>
    <col min="9993" max="9993" width="17.5703125" style="158" customWidth="1"/>
    <col min="9994" max="10240" width="9.140625" style="158"/>
    <col min="10241" max="10241" width="15.140625" style="158" bestFit="1" customWidth="1"/>
    <col min="10242" max="10242" width="18.28515625" style="158" bestFit="1" customWidth="1"/>
    <col min="10243" max="10248" width="9.140625" style="158"/>
    <col min="10249" max="10249" width="17.5703125" style="158" customWidth="1"/>
    <col min="10250" max="10496" width="9.140625" style="158"/>
    <col min="10497" max="10497" width="15.140625" style="158" bestFit="1" customWidth="1"/>
    <col min="10498" max="10498" width="18.28515625" style="158" bestFit="1" customWidth="1"/>
    <col min="10499" max="10504" width="9.140625" style="158"/>
    <col min="10505" max="10505" width="17.5703125" style="158" customWidth="1"/>
    <col min="10506" max="10752" width="9.140625" style="158"/>
    <col min="10753" max="10753" width="15.140625" style="158" bestFit="1" customWidth="1"/>
    <col min="10754" max="10754" width="18.28515625" style="158" bestFit="1" customWidth="1"/>
    <col min="10755" max="10760" width="9.140625" style="158"/>
    <col min="10761" max="10761" width="17.5703125" style="158" customWidth="1"/>
    <col min="10762" max="11008" width="9.140625" style="158"/>
    <col min="11009" max="11009" width="15.140625" style="158" bestFit="1" customWidth="1"/>
    <col min="11010" max="11010" width="18.28515625" style="158" bestFit="1" customWidth="1"/>
    <col min="11011" max="11016" width="9.140625" style="158"/>
    <col min="11017" max="11017" width="17.5703125" style="158" customWidth="1"/>
    <col min="11018" max="11264" width="9.140625" style="158"/>
    <col min="11265" max="11265" width="15.140625" style="158" bestFit="1" customWidth="1"/>
    <col min="11266" max="11266" width="18.28515625" style="158" bestFit="1" customWidth="1"/>
    <col min="11267" max="11272" width="9.140625" style="158"/>
    <col min="11273" max="11273" width="17.5703125" style="158" customWidth="1"/>
    <col min="11274" max="11520" width="9.140625" style="158"/>
    <col min="11521" max="11521" width="15.140625" style="158" bestFit="1" customWidth="1"/>
    <col min="11522" max="11522" width="18.28515625" style="158" bestFit="1" customWidth="1"/>
    <col min="11523" max="11528" width="9.140625" style="158"/>
    <col min="11529" max="11529" width="17.5703125" style="158" customWidth="1"/>
    <col min="11530" max="11776" width="9.140625" style="158"/>
    <col min="11777" max="11777" width="15.140625" style="158" bestFit="1" customWidth="1"/>
    <col min="11778" max="11778" width="18.28515625" style="158" bestFit="1" customWidth="1"/>
    <col min="11779" max="11784" width="9.140625" style="158"/>
    <col min="11785" max="11785" width="17.5703125" style="158" customWidth="1"/>
    <col min="11786" max="12032" width="9.140625" style="158"/>
    <col min="12033" max="12033" width="15.140625" style="158" bestFit="1" customWidth="1"/>
    <col min="12034" max="12034" width="18.28515625" style="158" bestFit="1" customWidth="1"/>
    <col min="12035" max="12040" width="9.140625" style="158"/>
    <col min="12041" max="12041" width="17.5703125" style="158" customWidth="1"/>
    <col min="12042" max="12288" width="9.140625" style="158"/>
    <col min="12289" max="12289" width="15.140625" style="158" bestFit="1" customWidth="1"/>
    <col min="12290" max="12290" width="18.28515625" style="158" bestFit="1" customWidth="1"/>
    <col min="12291" max="12296" width="9.140625" style="158"/>
    <col min="12297" max="12297" width="17.5703125" style="158" customWidth="1"/>
    <col min="12298" max="12544" width="9.140625" style="158"/>
    <col min="12545" max="12545" width="15.140625" style="158" bestFit="1" customWidth="1"/>
    <col min="12546" max="12546" width="18.28515625" style="158" bestFit="1" customWidth="1"/>
    <col min="12547" max="12552" width="9.140625" style="158"/>
    <col min="12553" max="12553" width="17.5703125" style="158" customWidth="1"/>
    <col min="12554" max="12800" width="9.140625" style="158"/>
    <col min="12801" max="12801" width="15.140625" style="158" bestFit="1" customWidth="1"/>
    <col min="12802" max="12802" width="18.28515625" style="158" bestFit="1" customWidth="1"/>
    <col min="12803" max="12808" width="9.140625" style="158"/>
    <col min="12809" max="12809" width="17.5703125" style="158" customWidth="1"/>
    <col min="12810" max="13056" width="9.140625" style="158"/>
    <col min="13057" max="13057" width="15.140625" style="158" bestFit="1" customWidth="1"/>
    <col min="13058" max="13058" width="18.28515625" style="158" bestFit="1" customWidth="1"/>
    <col min="13059" max="13064" width="9.140625" style="158"/>
    <col min="13065" max="13065" width="17.5703125" style="158" customWidth="1"/>
    <col min="13066" max="13312" width="9.140625" style="158"/>
    <col min="13313" max="13313" width="15.140625" style="158" bestFit="1" customWidth="1"/>
    <col min="13314" max="13314" width="18.28515625" style="158" bestFit="1" customWidth="1"/>
    <col min="13315" max="13320" width="9.140625" style="158"/>
    <col min="13321" max="13321" width="17.5703125" style="158" customWidth="1"/>
    <col min="13322" max="13568" width="9.140625" style="158"/>
    <col min="13569" max="13569" width="15.140625" style="158" bestFit="1" customWidth="1"/>
    <col min="13570" max="13570" width="18.28515625" style="158" bestFit="1" customWidth="1"/>
    <col min="13571" max="13576" width="9.140625" style="158"/>
    <col min="13577" max="13577" width="17.5703125" style="158" customWidth="1"/>
    <col min="13578" max="13824" width="9.140625" style="158"/>
    <col min="13825" max="13825" width="15.140625" style="158" bestFit="1" customWidth="1"/>
    <col min="13826" max="13826" width="18.28515625" style="158" bestFit="1" customWidth="1"/>
    <col min="13827" max="13832" width="9.140625" style="158"/>
    <col min="13833" max="13833" width="17.5703125" style="158" customWidth="1"/>
    <col min="13834" max="14080" width="9.140625" style="158"/>
    <col min="14081" max="14081" width="15.140625" style="158" bestFit="1" customWidth="1"/>
    <col min="14082" max="14082" width="18.28515625" style="158" bestFit="1" customWidth="1"/>
    <col min="14083" max="14088" width="9.140625" style="158"/>
    <col min="14089" max="14089" width="17.5703125" style="158" customWidth="1"/>
    <col min="14090" max="14336" width="9.140625" style="158"/>
    <col min="14337" max="14337" width="15.140625" style="158" bestFit="1" customWidth="1"/>
    <col min="14338" max="14338" width="18.28515625" style="158" bestFit="1" customWidth="1"/>
    <col min="14339" max="14344" width="9.140625" style="158"/>
    <col min="14345" max="14345" width="17.5703125" style="158" customWidth="1"/>
    <col min="14346" max="14592" width="9.140625" style="158"/>
    <col min="14593" max="14593" width="15.140625" style="158" bestFit="1" customWidth="1"/>
    <col min="14594" max="14594" width="18.28515625" style="158" bestFit="1" customWidth="1"/>
    <col min="14595" max="14600" width="9.140625" style="158"/>
    <col min="14601" max="14601" width="17.5703125" style="158" customWidth="1"/>
    <col min="14602" max="14848" width="9.140625" style="158"/>
    <col min="14849" max="14849" width="15.140625" style="158" bestFit="1" customWidth="1"/>
    <col min="14850" max="14850" width="18.28515625" style="158" bestFit="1" customWidth="1"/>
    <col min="14851" max="14856" width="9.140625" style="158"/>
    <col min="14857" max="14857" width="17.5703125" style="158" customWidth="1"/>
    <col min="14858" max="15104" width="9.140625" style="158"/>
    <col min="15105" max="15105" width="15.140625" style="158" bestFit="1" customWidth="1"/>
    <col min="15106" max="15106" width="18.28515625" style="158" bestFit="1" customWidth="1"/>
    <col min="15107" max="15112" width="9.140625" style="158"/>
    <col min="15113" max="15113" width="17.5703125" style="158" customWidth="1"/>
    <col min="15114" max="15360" width="9.140625" style="158"/>
    <col min="15361" max="15361" width="15.140625" style="158" bestFit="1" customWidth="1"/>
    <col min="15362" max="15362" width="18.28515625" style="158" bestFit="1" customWidth="1"/>
    <col min="15363" max="15368" width="9.140625" style="158"/>
    <col min="15369" max="15369" width="17.5703125" style="158" customWidth="1"/>
    <col min="15370" max="15616" width="9.140625" style="158"/>
    <col min="15617" max="15617" width="15.140625" style="158" bestFit="1" customWidth="1"/>
    <col min="15618" max="15618" width="18.28515625" style="158" bestFit="1" customWidth="1"/>
    <col min="15619" max="15624" width="9.140625" style="158"/>
    <col min="15625" max="15625" width="17.5703125" style="158" customWidth="1"/>
    <col min="15626" max="15872" width="9.140625" style="158"/>
    <col min="15873" max="15873" width="15.140625" style="158" bestFit="1" customWidth="1"/>
    <col min="15874" max="15874" width="18.28515625" style="158" bestFit="1" customWidth="1"/>
    <col min="15875" max="15880" width="9.140625" style="158"/>
    <col min="15881" max="15881" width="17.5703125" style="158" customWidth="1"/>
    <col min="15882" max="16128" width="9.140625" style="158"/>
    <col min="16129" max="16129" width="15.140625" style="158" bestFit="1" customWidth="1"/>
    <col min="16130" max="16130" width="18.28515625" style="158" bestFit="1" customWidth="1"/>
    <col min="16131" max="16136" width="9.140625" style="158"/>
    <col min="16137" max="16137" width="17.5703125" style="158" customWidth="1"/>
    <col min="16138" max="16384" width="9.140625" style="158"/>
  </cols>
  <sheetData>
    <row r="1" spans="1:27" s="156" customFormat="1" ht="20.100000000000001" customHeight="1" x14ac:dyDescent="0.25">
      <c r="A1" s="154"/>
      <c r="B1" s="154"/>
      <c r="C1" s="154"/>
      <c r="D1" s="154"/>
      <c r="E1" s="154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</row>
    <row r="2" spans="1:27" s="1016" customFormat="1" ht="39" customHeight="1" x14ac:dyDescent="0.35">
      <c r="A2" s="2724" t="s">
        <v>0</v>
      </c>
      <c r="B2" s="2725"/>
      <c r="C2" s="2726" t="s">
        <v>175</v>
      </c>
      <c r="D2" s="2727"/>
      <c r="E2" s="2728"/>
      <c r="F2" s="1063"/>
      <c r="G2" s="1057"/>
      <c r="H2" s="1057"/>
      <c r="I2" s="1057"/>
      <c r="J2" s="2729" t="s">
        <v>63</v>
      </c>
      <c r="K2" s="2729"/>
      <c r="L2" s="2730" t="s">
        <v>364</v>
      </c>
      <c r="M2" s="2730"/>
      <c r="N2" s="2730"/>
      <c r="O2" s="1057"/>
      <c r="P2" s="1057"/>
      <c r="Q2" s="1057"/>
      <c r="R2" s="1057"/>
      <c r="S2" s="1057"/>
      <c r="T2" s="1057"/>
      <c r="U2" s="1057"/>
      <c r="V2" s="1057"/>
      <c r="W2" s="1057"/>
      <c r="X2" s="1057"/>
    </row>
    <row r="3" spans="1:27" s="1016" customFormat="1" ht="39" customHeight="1" x14ac:dyDescent="0.35">
      <c r="A3" s="2744" t="s">
        <v>1</v>
      </c>
      <c r="B3" s="2745"/>
      <c r="C3" s="2726" t="s">
        <v>363</v>
      </c>
      <c r="D3" s="2727"/>
      <c r="E3" s="2728"/>
      <c r="F3" s="1063"/>
      <c r="G3" s="1057"/>
      <c r="H3" s="1057"/>
      <c r="I3" s="1057"/>
      <c r="J3" s="2746" t="s">
        <v>64</v>
      </c>
      <c r="K3" s="2746"/>
      <c r="L3" s="2747" t="s">
        <v>232</v>
      </c>
      <c r="M3" s="2748"/>
      <c r="N3" s="2749"/>
      <c r="O3" s="2737"/>
      <c r="P3" s="2737"/>
      <c r="Q3" s="1057"/>
      <c r="R3" s="1057"/>
      <c r="S3" s="1057"/>
      <c r="T3" s="1057"/>
      <c r="U3" s="1057"/>
      <c r="V3" s="1057"/>
      <c r="W3" s="1057"/>
      <c r="X3" s="1057"/>
    </row>
    <row r="4" spans="1:27" s="1016" customFormat="1" ht="39" customHeight="1" x14ac:dyDescent="0.35">
      <c r="A4" s="2744" t="s">
        <v>2</v>
      </c>
      <c r="B4" s="2745"/>
      <c r="C4" s="2738" t="s">
        <v>157</v>
      </c>
      <c r="D4" s="2739"/>
      <c r="E4" s="2740"/>
      <c r="F4" s="1063"/>
      <c r="G4" s="1057"/>
      <c r="H4" s="1057"/>
      <c r="I4" s="1057"/>
      <c r="J4" s="2741" t="s">
        <v>65</v>
      </c>
      <c r="K4" s="2741"/>
      <c r="L4" s="2750" t="s">
        <v>66</v>
      </c>
      <c r="M4" s="2750"/>
      <c r="N4" s="2750"/>
      <c r="O4" s="1981"/>
      <c r="P4" s="1981"/>
      <c r="Q4" s="1057"/>
      <c r="R4" s="1057"/>
      <c r="S4" s="1057"/>
      <c r="T4" s="1057"/>
      <c r="U4" s="1057"/>
      <c r="V4" s="1057"/>
      <c r="W4" s="1057"/>
      <c r="X4" s="1057"/>
    </row>
    <row r="5" spans="1:27" s="1018" customFormat="1" ht="39" customHeight="1" x14ac:dyDescent="0.35">
      <c r="A5" s="2742"/>
      <c r="B5" s="2743"/>
      <c r="C5" s="2751" t="s">
        <v>3</v>
      </c>
      <c r="D5" s="2751"/>
      <c r="E5" s="2751"/>
      <c r="F5" s="2751"/>
      <c r="G5" s="2751"/>
      <c r="H5" s="2752"/>
      <c r="I5" s="2752"/>
      <c r="J5" s="2751"/>
      <c r="K5" s="2751"/>
      <c r="L5" s="2751"/>
      <c r="M5" s="1982"/>
      <c r="N5" s="2753" t="s">
        <v>4</v>
      </c>
      <c r="O5" s="2753"/>
      <c r="P5" s="2753"/>
      <c r="Q5" s="2753"/>
      <c r="R5" s="2753"/>
      <c r="S5" s="2754"/>
      <c r="T5" s="2753"/>
      <c r="U5" s="2754"/>
      <c r="V5" s="2753"/>
      <c r="W5" s="2754"/>
      <c r="X5" s="2753"/>
      <c r="Z5" s="1029"/>
    </row>
    <row r="6" spans="1:27" s="1031" customFormat="1" ht="39" customHeight="1" x14ac:dyDescent="0.25">
      <c r="A6" s="1983"/>
      <c r="B6" s="2731" t="s">
        <v>5</v>
      </c>
      <c r="C6" s="2733" t="s">
        <v>6</v>
      </c>
      <c r="D6" s="2734"/>
      <c r="E6" s="2734"/>
      <c r="F6" s="2734"/>
      <c r="G6" s="2735"/>
      <c r="H6" s="2761" t="s">
        <v>7</v>
      </c>
      <c r="I6" s="2762"/>
      <c r="J6" s="2761" t="s">
        <v>8</v>
      </c>
      <c r="K6" s="2762"/>
      <c r="L6" s="2761" t="s">
        <v>9</v>
      </c>
      <c r="M6" s="2762"/>
      <c r="N6" s="2736" t="s">
        <v>6</v>
      </c>
      <c r="O6" s="2736"/>
      <c r="P6" s="2736"/>
      <c r="Q6" s="2736"/>
      <c r="R6" s="2736"/>
      <c r="S6" s="2790" t="s">
        <v>171</v>
      </c>
      <c r="T6" s="2791"/>
      <c r="U6" s="2790" t="s">
        <v>172</v>
      </c>
      <c r="V6" s="2791"/>
      <c r="W6" s="2790" t="s">
        <v>173</v>
      </c>
      <c r="X6" s="2792"/>
      <c r="Y6" s="1030"/>
      <c r="Z6" s="2755" t="s">
        <v>11</v>
      </c>
      <c r="AA6" s="2758" t="s">
        <v>12</v>
      </c>
    </row>
    <row r="7" spans="1:27" s="1018" customFormat="1" ht="39" customHeight="1" x14ac:dyDescent="0.35">
      <c r="A7" s="1984"/>
      <c r="B7" s="2732"/>
      <c r="C7" s="1954" t="s">
        <v>13</v>
      </c>
      <c r="D7" s="1954" t="s">
        <v>14</v>
      </c>
      <c r="E7" s="1954" t="s">
        <v>15</v>
      </c>
      <c r="F7" s="1060" t="s">
        <v>16</v>
      </c>
      <c r="G7" s="1060" t="s">
        <v>17</v>
      </c>
      <c r="H7" s="1060" t="s">
        <v>13</v>
      </c>
      <c r="I7" s="1060" t="s">
        <v>14</v>
      </c>
      <c r="J7" s="1060" t="s">
        <v>13</v>
      </c>
      <c r="K7" s="1060" t="s">
        <v>14</v>
      </c>
      <c r="L7" s="2761" t="s">
        <v>13</v>
      </c>
      <c r="M7" s="2762"/>
      <c r="N7" s="1951" t="s">
        <v>13</v>
      </c>
      <c r="O7" s="1951" t="s">
        <v>14</v>
      </c>
      <c r="P7" s="1951" t="s">
        <v>15</v>
      </c>
      <c r="Q7" s="1953" t="s">
        <v>16</v>
      </c>
      <c r="R7" s="1953" t="s">
        <v>17</v>
      </c>
      <c r="S7" s="1953" t="s">
        <v>13</v>
      </c>
      <c r="T7" s="1953" t="s">
        <v>14</v>
      </c>
      <c r="U7" s="1953" t="s">
        <v>13</v>
      </c>
      <c r="V7" s="1953" t="s">
        <v>14</v>
      </c>
      <c r="W7" s="1953" t="s">
        <v>13</v>
      </c>
      <c r="X7" s="1953" t="s">
        <v>14</v>
      </c>
      <c r="Y7" s="1033"/>
      <c r="Z7" s="2756"/>
      <c r="AA7" s="2759"/>
    </row>
    <row r="8" spans="1:27" s="1018" customFormat="1" ht="39" customHeight="1" x14ac:dyDescent="0.35">
      <c r="A8" s="1984"/>
      <c r="B8" s="1984" t="s">
        <v>19</v>
      </c>
      <c r="C8" s="1954" t="s">
        <v>22</v>
      </c>
      <c r="D8" s="1954" t="s">
        <v>22</v>
      </c>
      <c r="E8" s="1954" t="s">
        <v>40</v>
      </c>
      <c r="F8" s="1965" t="s">
        <v>22</v>
      </c>
      <c r="G8" s="1965" t="s">
        <v>22</v>
      </c>
      <c r="H8" s="1965" t="s">
        <v>22</v>
      </c>
      <c r="I8" s="1965" t="s">
        <v>22</v>
      </c>
      <c r="J8" s="1966" t="s">
        <v>40</v>
      </c>
      <c r="K8" s="1966" t="s">
        <v>40</v>
      </c>
      <c r="L8" s="2763" t="s">
        <v>40</v>
      </c>
      <c r="M8" s="2764"/>
      <c r="N8" s="1951" t="s">
        <v>41</v>
      </c>
      <c r="O8" s="1951" t="s">
        <v>42</v>
      </c>
      <c r="P8" s="1951" t="s">
        <v>43</v>
      </c>
      <c r="Q8" s="1056" t="s">
        <v>41</v>
      </c>
      <c r="R8" s="1056" t="s">
        <v>41</v>
      </c>
      <c r="S8" s="1056" t="s">
        <v>42</v>
      </c>
      <c r="T8" s="1056" t="s">
        <v>42</v>
      </c>
      <c r="U8" s="1985" t="s">
        <v>43</v>
      </c>
      <c r="V8" s="1985" t="s">
        <v>43</v>
      </c>
      <c r="W8" s="1985" t="s">
        <v>43</v>
      </c>
      <c r="X8" s="1985" t="s">
        <v>43</v>
      </c>
      <c r="Y8" s="1033"/>
      <c r="Z8" s="2757"/>
      <c r="AA8" s="2760"/>
    </row>
    <row r="9" spans="1:27" s="1018" customFormat="1" ht="39" customHeight="1" x14ac:dyDescent="0.35">
      <c r="A9" s="1983" t="s">
        <v>18</v>
      </c>
      <c r="B9" s="1983" t="s">
        <v>26</v>
      </c>
      <c r="C9" s="1954">
        <v>2</v>
      </c>
      <c r="D9" s="1954">
        <v>2</v>
      </c>
      <c r="E9" s="1954">
        <v>2</v>
      </c>
      <c r="F9" s="1954">
        <v>2</v>
      </c>
      <c r="G9" s="1954">
        <v>2</v>
      </c>
      <c r="H9" s="1967">
        <v>5</v>
      </c>
      <c r="I9" s="1967">
        <v>5</v>
      </c>
      <c r="J9" s="1967">
        <v>5</v>
      </c>
      <c r="K9" s="1967">
        <v>5</v>
      </c>
      <c r="L9" s="2773">
        <v>10</v>
      </c>
      <c r="M9" s="2774"/>
      <c r="N9" s="1951">
        <v>2</v>
      </c>
      <c r="O9" s="1951">
        <v>2</v>
      </c>
      <c r="P9" s="1951">
        <v>2</v>
      </c>
      <c r="Q9" s="1951">
        <v>2</v>
      </c>
      <c r="R9" s="1951">
        <v>2</v>
      </c>
      <c r="S9" s="1056">
        <v>5</v>
      </c>
      <c r="T9" s="1056">
        <v>5</v>
      </c>
      <c r="U9" s="1056">
        <v>5</v>
      </c>
      <c r="V9" s="1056">
        <v>5</v>
      </c>
      <c r="W9" s="1056">
        <v>5</v>
      </c>
      <c r="X9" s="1056">
        <v>5</v>
      </c>
      <c r="Y9" s="1033"/>
      <c r="Z9" s="2767">
        <v>100</v>
      </c>
      <c r="AA9" s="2767"/>
    </row>
    <row r="10" spans="1:27" s="1018" customFormat="1" ht="39" customHeight="1" x14ac:dyDescent="0.35">
      <c r="A10" s="1986">
        <v>1</v>
      </c>
      <c r="B10" s="1974">
        <v>5191421001</v>
      </c>
      <c r="C10" s="1968">
        <v>2</v>
      </c>
      <c r="D10" s="1968">
        <v>2</v>
      </c>
      <c r="E10" s="1968">
        <v>2</v>
      </c>
      <c r="F10" s="1969">
        <v>2</v>
      </c>
      <c r="G10" s="1970">
        <v>2</v>
      </c>
      <c r="H10" s="1970">
        <v>5</v>
      </c>
      <c r="I10" s="1970">
        <v>5</v>
      </c>
      <c r="J10" s="1965"/>
      <c r="K10" s="1965"/>
      <c r="L10" s="2773">
        <v>10</v>
      </c>
      <c r="M10" s="2774"/>
      <c r="N10" s="1058">
        <v>2</v>
      </c>
      <c r="O10" s="1058">
        <v>0</v>
      </c>
      <c r="P10" s="1058">
        <v>0</v>
      </c>
      <c r="Q10" s="1056">
        <v>2</v>
      </c>
      <c r="R10" s="1056">
        <v>1</v>
      </c>
      <c r="S10" s="1056">
        <v>5</v>
      </c>
      <c r="T10" s="1056">
        <v>5</v>
      </c>
      <c r="U10" s="1056">
        <v>2</v>
      </c>
      <c r="V10" s="1056"/>
      <c r="W10" s="1056"/>
      <c r="X10" s="1056"/>
      <c r="Z10" s="575" t="s">
        <v>33</v>
      </c>
      <c r="AA10" s="1034">
        <f>IF(Z10="O",100,IF(Z10="A+",90,IF(Z10="A",80,IF(Z10="B+",70,IF(Z10="B",60,IF(Z10="C",55,IF(Z10="P",50,IF(Z10="F",39))))))))</f>
        <v>60</v>
      </c>
    </row>
    <row r="11" spans="1:27" s="1018" customFormat="1" ht="39" customHeight="1" x14ac:dyDescent="0.35">
      <c r="A11" s="1986">
        <v>2</v>
      </c>
      <c r="B11" s="1974">
        <f>+B10+1</f>
        <v>5191421002</v>
      </c>
      <c r="C11" s="1954">
        <v>2</v>
      </c>
      <c r="D11" s="1954">
        <v>2</v>
      </c>
      <c r="E11" s="1954">
        <v>2</v>
      </c>
      <c r="F11" s="1965"/>
      <c r="G11" s="1965">
        <v>1</v>
      </c>
      <c r="H11" s="1965">
        <v>5</v>
      </c>
      <c r="I11" s="1965">
        <v>5</v>
      </c>
      <c r="J11" s="1965">
        <v>5</v>
      </c>
      <c r="K11" s="1965">
        <v>3</v>
      </c>
      <c r="L11" s="2773"/>
      <c r="M11" s="2774"/>
      <c r="N11" s="1058">
        <v>2</v>
      </c>
      <c r="O11" s="1058">
        <v>2</v>
      </c>
      <c r="P11" s="1058">
        <v>2</v>
      </c>
      <c r="Q11" s="1056">
        <v>2</v>
      </c>
      <c r="R11" s="1056">
        <v>2</v>
      </c>
      <c r="S11" s="1056">
        <v>4</v>
      </c>
      <c r="T11" s="1056">
        <v>5</v>
      </c>
      <c r="U11" s="1056">
        <v>4</v>
      </c>
      <c r="V11" s="1056"/>
      <c r="W11" s="1056">
        <v>4</v>
      </c>
      <c r="X11" s="1056">
        <v>2</v>
      </c>
      <c r="Z11" s="1975" t="s">
        <v>31</v>
      </c>
      <c r="AA11" s="1020">
        <f t="shared" ref="AA11:AA58" si="0">IF(Z11="O",100,IF(Z11="A+",90,IF(Z11="A",80,IF(Z11="B+",70,IF(Z11="B",60,IF(Z11="C",55,IF(Z11="P",50,IF(Z11="F",39))))))))</f>
        <v>55</v>
      </c>
    </row>
    <row r="12" spans="1:27" s="1018" customFormat="1" ht="39" customHeight="1" x14ac:dyDescent="0.35">
      <c r="A12" s="1986">
        <v>3</v>
      </c>
      <c r="B12" s="1974">
        <f t="shared" ref="B12:B58" si="1">+B11+1</f>
        <v>5191421003</v>
      </c>
      <c r="C12" s="1059">
        <v>2</v>
      </c>
      <c r="D12" s="1059">
        <v>2</v>
      </c>
      <c r="E12" s="1059">
        <v>2</v>
      </c>
      <c r="F12" s="1965">
        <v>2</v>
      </c>
      <c r="G12" s="1965">
        <v>2</v>
      </c>
      <c r="H12" s="1965">
        <v>5</v>
      </c>
      <c r="I12" s="1965">
        <v>5</v>
      </c>
      <c r="J12" s="1965"/>
      <c r="K12" s="1965"/>
      <c r="L12" s="2773">
        <v>10</v>
      </c>
      <c r="M12" s="2774"/>
      <c r="N12" s="1058">
        <v>2</v>
      </c>
      <c r="O12" s="1058">
        <v>2</v>
      </c>
      <c r="P12" s="1058">
        <v>2</v>
      </c>
      <c r="Q12" s="1056">
        <v>2</v>
      </c>
      <c r="R12" s="1056">
        <v>2</v>
      </c>
      <c r="S12" s="1056">
        <v>5</v>
      </c>
      <c r="T12" s="1056">
        <v>5</v>
      </c>
      <c r="U12" s="1056">
        <v>5</v>
      </c>
      <c r="V12" s="1056">
        <v>5</v>
      </c>
      <c r="W12" s="1056"/>
      <c r="X12" s="1056"/>
      <c r="Z12" s="575" t="s">
        <v>82</v>
      </c>
      <c r="AA12" s="1020">
        <f t="shared" si="0"/>
        <v>100</v>
      </c>
    </row>
    <row r="13" spans="1:27" s="1018" customFormat="1" ht="39" customHeight="1" x14ac:dyDescent="0.35">
      <c r="A13" s="1986">
        <v>4</v>
      </c>
      <c r="B13" s="1974">
        <f t="shared" si="1"/>
        <v>5191421004</v>
      </c>
      <c r="C13" s="1059">
        <v>1</v>
      </c>
      <c r="D13" s="1059">
        <v>2</v>
      </c>
      <c r="E13" s="1059">
        <v>2</v>
      </c>
      <c r="F13" s="1965">
        <v>2</v>
      </c>
      <c r="G13" s="1965">
        <v>2</v>
      </c>
      <c r="H13" s="1965">
        <v>5</v>
      </c>
      <c r="I13" s="1965">
        <v>3</v>
      </c>
      <c r="J13" s="1965">
        <v>2</v>
      </c>
      <c r="K13" s="1965">
        <v>2</v>
      </c>
      <c r="L13" s="2773"/>
      <c r="M13" s="2774"/>
      <c r="N13" s="1058">
        <v>2</v>
      </c>
      <c r="O13" s="1058">
        <v>1</v>
      </c>
      <c r="P13" s="1058">
        <v>0</v>
      </c>
      <c r="Q13" s="1056">
        <v>0</v>
      </c>
      <c r="R13" s="1056">
        <v>0</v>
      </c>
      <c r="S13" s="1056">
        <v>2</v>
      </c>
      <c r="T13" s="1056">
        <v>2</v>
      </c>
      <c r="U13" s="1056">
        <v>3</v>
      </c>
      <c r="V13" s="1056">
        <v>2</v>
      </c>
      <c r="W13" s="1056"/>
      <c r="X13" s="1056"/>
      <c r="Z13" s="1975" t="s">
        <v>31</v>
      </c>
      <c r="AA13" s="1020">
        <f t="shared" si="0"/>
        <v>55</v>
      </c>
    </row>
    <row r="14" spans="1:27" s="1018" customFormat="1" ht="39" customHeight="1" x14ac:dyDescent="0.35">
      <c r="A14" s="1986">
        <v>5</v>
      </c>
      <c r="B14" s="1974">
        <f t="shared" si="1"/>
        <v>5191421005</v>
      </c>
      <c r="C14" s="1059">
        <v>2</v>
      </c>
      <c r="D14" s="1059">
        <v>2</v>
      </c>
      <c r="E14" s="1059">
        <v>2</v>
      </c>
      <c r="F14" s="1965">
        <v>2</v>
      </c>
      <c r="G14" s="1965">
        <v>2</v>
      </c>
      <c r="H14" s="1965">
        <v>5</v>
      </c>
      <c r="I14" s="1965">
        <v>5</v>
      </c>
      <c r="J14" s="1965">
        <v>4</v>
      </c>
      <c r="K14" s="1965">
        <v>4</v>
      </c>
      <c r="L14" s="2773"/>
      <c r="M14" s="2774"/>
      <c r="N14" s="1058">
        <v>2</v>
      </c>
      <c r="O14" s="1058">
        <v>2</v>
      </c>
      <c r="P14" s="1058">
        <v>0</v>
      </c>
      <c r="Q14" s="1056">
        <v>0</v>
      </c>
      <c r="R14" s="1056">
        <v>0</v>
      </c>
      <c r="S14" s="1056">
        <v>5</v>
      </c>
      <c r="T14" s="1056">
        <v>3</v>
      </c>
      <c r="U14" s="1056">
        <v>0</v>
      </c>
      <c r="V14" s="1056"/>
      <c r="W14" s="1056"/>
      <c r="X14" s="1056"/>
      <c r="Z14" s="575" t="s">
        <v>31</v>
      </c>
      <c r="AA14" s="1020">
        <f t="shared" si="0"/>
        <v>55</v>
      </c>
    </row>
    <row r="15" spans="1:27" s="1018" customFormat="1" ht="39" customHeight="1" x14ac:dyDescent="0.35">
      <c r="A15" s="1986">
        <v>6</v>
      </c>
      <c r="B15" s="1974">
        <f t="shared" si="1"/>
        <v>5191421006</v>
      </c>
      <c r="C15" s="1059">
        <v>2</v>
      </c>
      <c r="D15" s="1059">
        <v>2</v>
      </c>
      <c r="E15" s="1059">
        <v>2</v>
      </c>
      <c r="F15" s="1965">
        <v>2</v>
      </c>
      <c r="G15" s="1965">
        <v>2</v>
      </c>
      <c r="H15" s="1965">
        <v>5</v>
      </c>
      <c r="I15" s="1965">
        <v>5</v>
      </c>
      <c r="J15" s="1965">
        <v>5</v>
      </c>
      <c r="K15" s="1965">
        <v>5</v>
      </c>
      <c r="L15" s="2773"/>
      <c r="M15" s="2774"/>
      <c r="N15" s="1058">
        <v>2</v>
      </c>
      <c r="O15" s="1058">
        <v>2</v>
      </c>
      <c r="P15" s="1058">
        <v>1</v>
      </c>
      <c r="Q15" s="1056">
        <v>2</v>
      </c>
      <c r="R15" s="1056">
        <v>2</v>
      </c>
      <c r="S15" s="1056">
        <v>5</v>
      </c>
      <c r="T15" s="1056">
        <v>0</v>
      </c>
      <c r="U15" s="1056">
        <v>5</v>
      </c>
      <c r="V15" s="1056">
        <v>5</v>
      </c>
      <c r="W15" s="1056">
        <v>5</v>
      </c>
      <c r="X15" s="1056">
        <v>2</v>
      </c>
      <c r="Z15" s="1975" t="s">
        <v>27</v>
      </c>
      <c r="AA15" s="1020">
        <f t="shared" si="0"/>
        <v>80</v>
      </c>
    </row>
    <row r="16" spans="1:27" s="1018" customFormat="1" ht="39" customHeight="1" x14ac:dyDescent="0.35">
      <c r="A16" s="1986">
        <v>7</v>
      </c>
      <c r="B16" s="1974">
        <f t="shared" si="1"/>
        <v>5191421007</v>
      </c>
      <c r="C16" s="1059">
        <v>2</v>
      </c>
      <c r="D16" s="1059">
        <v>2</v>
      </c>
      <c r="E16" s="1059">
        <v>2</v>
      </c>
      <c r="F16" s="1965">
        <v>2</v>
      </c>
      <c r="G16" s="1965">
        <v>2</v>
      </c>
      <c r="H16" s="1965"/>
      <c r="I16" s="1965"/>
      <c r="J16" s="1965">
        <v>5</v>
      </c>
      <c r="K16" s="1965">
        <v>5</v>
      </c>
      <c r="L16" s="2773">
        <v>10</v>
      </c>
      <c r="M16" s="2774"/>
      <c r="N16" s="1058">
        <v>2</v>
      </c>
      <c r="O16" s="1058">
        <v>2</v>
      </c>
      <c r="P16" s="1058">
        <v>0</v>
      </c>
      <c r="Q16" s="1056">
        <v>2</v>
      </c>
      <c r="R16" s="1056">
        <v>0</v>
      </c>
      <c r="S16" s="1056">
        <v>5</v>
      </c>
      <c r="T16" s="1056">
        <v>2</v>
      </c>
      <c r="U16" s="1056">
        <v>0</v>
      </c>
      <c r="V16" s="1056">
        <v>0</v>
      </c>
      <c r="W16" s="1056">
        <v>5</v>
      </c>
      <c r="X16" s="1056">
        <v>5</v>
      </c>
      <c r="Z16" s="575" t="s">
        <v>30</v>
      </c>
      <c r="AA16" s="1020">
        <f t="shared" si="0"/>
        <v>90</v>
      </c>
    </row>
    <row r="17" spans="1:27" s="1018" customFormat="1" ht="39" customHeight="1" x14ac:dyDescent="0.35">
      <c r="A17" s="1986">
        <v>8</v>
      </c>
      <c r="B17" s="1974">
        <f t="shared" si="1"/>
        <v>5191421008</v>
      </c>
      <c r="C17" s="1059">
        <v>2</v>
      </c>
      <c r="D17" s="1059">
        <v>2</v>
      </c>
      <c r="E17" s="1059">
        <v>2</v>
      </c>
      <c r="F17" s="1965">
        <v>2</v>
      </c>
      <c r="G17" s="1965">
        <v>0</v>
      </c>
      <c r="H17" s="1965">
        <v>5</v>
      </c>
      <c r="I17" s="1965">
        <v>4</v>
      </c>
      <c r="J17" s="1965">
        <v>5</v>
      </c>
      <c r="K17" s="1965">
        <v>5</v>
      </c>
      <c r="L17" s="2773"/>
      <c r="M17" s="2774"/>
      <c r="N17" s="1058">
        <v>2</v>
      </c>
      <c r="O17" s="1058">
        <v>1</v>
      </c>
      <c r="P17" s="1058">
        <v>0</v>
      </c>
      <c r="Q17" s="1056">
        <v>2</v>
      </c>
      <c r="R17" s="1056">
        <v>1</v>
      </c>
      <c r="S17" s="1056">
        <v>2</v>
      </c>
      <c r="T17" s="1056">
        <v>1</v>
      </c>
      <c r="U17" s="1056">
        <v>5</v>
      </c>
      <c r="V17" s="1056">
        <v>4</v>
      </c>
      <c r="W17" s="1056">
        <v>0</v>
      </c>
      <c r="X17" s="1056"/>
      <c r="Z17" s="1975" t="s">
        <v>29</v>
      </c>
      <c r="AA17" s="1020">
        <f t="shared" si="0"/>
        <v>39</v>
      </c>
    </row>
    <row r="18" spans="1:27" s="1018" customFormat="1" ht="39" customHeight="1" x14ac:dyDescent="0.35">
      <c r="A18" s="1986">
        <v>9</v>
      </c>
      <c r="B18" s="1974">
        <f t="shared" si="1"/>
        <v>5191421009</v>
      </c>
      <c r="C18" s="1059">
        <v>2</v>
      </c>
      <c r="D18" s="1059">
        <v>2</v>
      </c>
      <c r="E18" s="1059">
        <v>2</v>
      </c>
      <c r="F18" s="1965">
        <v>2</v>
      </c>
      <c r="G18" s="1965">
        <v>0</v>
      </c>
      <c r="H18" s="1965">
        <v>5</v>
      </c>
      <c r="I18" s="1965">
        <v>5</v>
      </c>
      <c r="J18" s="1965"/>
      <c r="K18" s="1965"/>
      <c r="L18" s="2773">
        <v>8</v>
      </c>
      <c r="M18" s="2774"/>
      <c r="N18" s="1058">
        <v>2</v>
      </c>
      <c r="O18" s="1058">
        <v>2</v>
      </c>
      <c r="P18" s="1058">
        <v>0</v>
      </c>
      <c r="Q18" s="1056">
        <v>1</v>
      </c>
      <c r="R18" s="1056">
        <v>2</v>
      </c>
      <c r="S18" s="1056">
        <v>5</v>
      </c>
      <c r="T18" s="1056">
        <v>5</v>
      </c>
      <c r="U18" s="1056">
        <v>2</v>
      </c>
      <c r="V18" s="1056"/>
      <c r="W18" s="1056">
        <v>2</v>
      </c>
      <c r="X18" s="1056"/>
      <c r="Z18" s="575" t="s">
        <v>27</v>
      </c>
      <c r="AA18" s="1020">
        <f t="shared" si="0"/>
        <v>80</v>
      </c>
    </row>
    <row r="19" spans="1:27" s="1018" customFormat="1" ht="39" customHeight="1" x14ac:dyDescent="0.35">
      <c r="A19" s="1986">
        <v>10</v>
      </c>
      <c r="B19" s="1974">
        <f t="shared" si="1"/>
        <v>5191421010</v>
      </c>
      <c r="C19" s="1059">
        <v>2</v>
      </c>
      <c r="D19" s="1059">
        <v>2</v>
      </c>
      <c r="E19" s="1059">
        <v>2</v>
      </c>
      <c r="F19" s="1965">
        <v>2</v>
      </c>
      <c r="G19" s="1965">
        <v>2</v>
      </c>
      <c r="H19" s="1965">
        <v>5</v>
      </c>
      <c r="I19" s="1965">
        <v>3</v>
      </c>
      <c r="J19" s="1965">
        <v>4</v>
      </c>
      <c r="K19" s="1965">
        <v>5</v>
      </c>
      <c r="L19" s="2773"/>
      <c r="M19" s="2774"/>
      <c r="N19" s="1058">
        <v>2</v>
      </c>
      <c r="O19" s="1058">
        <v>2</v>
      </c>
      <c r="P19" s="1058">
        <v>1</v>
      </c>
      <c r="Q19" s="1056">
        <v>2</v>
      </c>
      <c r="R19" s="1056">
        <v>2</v>
      </c>
      <c r="S19" s="1056">
        <v>5</v>
      </c>
      <c r="T19" s="1056">
        <v>5</v>
      </c>
      <c r="U19" s="1056">
        <v>5</v>
      </c>
      <c r="V19" s="1056"/>
      <c r="W19" s="1056"/>
      <c r="X19" s="1056"/>
      <c r="Z19" s="1975" t="s">
        <v>33</v>
      </c>
      <c r="AA19" s="1020">
        <f t="shared" si="0"/>
        <v>60</v>
      </c>
    </row>
    <row r="20" spans="1:27" s="1018" customFormat="1" ht="39" customHeight="1" x14ac:dyDescent="0.35">
      <c r="A20" s="1986">
        <v>11</v>
      </c>
      <c r="B20" s="1974">
        <f t="shared" si="1"/>
        <v>5191421011</v>
      </c>
      <c r="C20" s="1059">
        <v>2</v>
      </c>
      <c r="D20" s="1059">
        <v>2</v>
      </c>
      <c r="E20" s="1059">
        <v>2</v>
      </c>
      <c r="F20" s="1965">
        <v>2</v>
      </c>
      <c r="G20" s="1965">
        <v>2</v>
      </c>
      <c r="H20" s="1965">
        <v>5</v>
      </c>
      <c r="I20" s="1965">
        <v>4</v>
      </c>
      <c r="J20" s="1965">
        <v>2</v>
      </c>
      <c r="K20" s="1965">
        <v>3</v>
      </c>
      <c r="L20" s="2773"/>
      <c r="M20" s="2774"/>
      <c r="N20" s="1058">
        <v>2</v>
      </c>
      <c r="O20" s="1058">
        <v>2</v>
      </c>
      <c r="P20" s="1058">
        <v>2</v>
      </c>
      <c r="Q20" s="1056">
        <v>2</v>
      </c>
      <c r="R20" s="1056">
        <v>2</v>
      </c>
      <c r="S20" s="1056">
        <v>5</v>
      </c>
      <c r="T20" s="1056">
        <v>5</v>
      </c>
      <c r="U20" s="1056">
        <v>3</v>
      </c>
      <c r="V20" s="1056">
        <v>4</v>
      </c>
      <c r="W20" s="1056"/>
      <c r="X20" s="1056"/>
      <c r="Z20" s="575" t="s">
        <v>27</v>
      </c>
      <c r="AA20" s="1020">
        <f t="shared" si="0"/>
        <v>80</v>
      </c>
    </row>
    <row r="21" spans="1:27" s="1018" customFormat="1" ht="39" customHeight="1" x14ac:dyDescent="0.35">
      <c r="A21" s="1986">
        <v>12</v>
      </c>
      <c r="B21" s="1974">
        <f t="shared" si="1"/>
        <v>5191421012</v>
      </c>
      <c r="C21" s="1059">
        <v>0</v>
      </c>
      <c r="D21" s="1059">
        <v>2</v>
      </c>
      <c r="E21" s="1059">
        <v>2</v>
      </c>
      <c r="F21" s="1965">
        <v>1</v>
      </c>
      <c r="G21" s="1965"/>
      <c r="H21" s="1965">
        <v>3</v>
      </c>
      <c r="I21" s="1965">
        <v>3</v>
      </c>
      <c r="J21" s="1965">
        <v>5</v>
      </c>
      <c r="K21" s="1965">
        <v>2</v>
      </c>
      <c r="L21" s="2773"/>
      <c r="M21" s="2774"/>
      <c r="N21" s="1058">
        <v>0</v>
      </c>
      <c r="O21" s="1058">
        <v>2</v>
      </c>
      <c r="P21" s="1058">
        <v>0</v>
      </c>
      <c r="Q21" s="1056">
        <v>0</v>
      </c>
      <c r="R21" s="1056">
        <v>0</v>
      </c>
      <c r="S21" s="1056">
        <v>0</v>
      </c>
      <c r="T21" s="1056">
        <v>0</v>
      </c>
      <c r="U21" s="1056">
        <v>0</v>
      </c>
      <c r="V21" s="1056"/>
      <c r="W21" s="1056"/>
      <c r="X21" s="1056"/>
      <c r="Z21" s="1975" t="s">
        <v>29</v>
      </c>
      <c r="AA21" s="1020">
        <f t="shared" si="0"/>
        <v>39</v>
      </c>
    </row>
    <row r="22" spans="1:27" s="1018" customFormat="1" ht="39" customHeight="1" x14ac:dyDescent="0.35">
      <c r="A22" s="1986">
        <v>13</v>
      </c>
      <c r="B22" s="1974">
        <f t="shared" si="1"/>
        <v>5191421013</v>
      </c>
      <c r="C22" s="1059">
        <v>2</v>
      </c>
      <c r="D22" s="1059">
        <v>2</v>
      </c>
      <c r="E22" s="1059">
        <v>2</v>
      </c>
      <c r="F22" s="1965">
        <v>2</v>
      </c>
      <c r="G22" s="1965">
        <v>2</v>
      </c>
      <c r="H22" s="1965">
        <v>5</v>
      </c>
      <c r="I22" s="1965">
        <v>5</v>
      </c>
      <c r="J22" s="1965"/>
      <c r="K22" s="1965"/>
      <c r="L22" s="2773">
        <v>10</v>
      </c>
      <c r="M22" s="2774"/>
      <c r="N22" s="1058">
        <v>2</v>
      </c>
      <c r="O22" s="1058">
        <v>2</v>
      </c>
      <c r="P22" s="1058">
        <v>2</v>
      </c>
      <c r="Q22" s="1056">
        <v>2</v>
      </c>
      <c r="R22" s="1056">
        <v>2</v>
      </c>
      <c r="S22" s="1056">
        <v>5</v>
      </c>
      <c r="T22" s="1056">
        <v>5</v>
      </c>
      <c r="U22" s="1056">
        <v>5</v>
      </c>
      <c r="V22" s="1056">
        <v>5</v>
      </c>
      <c r="W22" s="1056"/>
      <c r="X22" s="1056"/>
      <c r="Z22" s="575" t="s">
        <v>27</v>
      </c>
      <c r="AA22" s="1020">
        <f t="shared" si="0"/>
        <v>80</v>
      </c>
    </row>
    <row r="23" spans="1:27" s="1018" customFormat="1" ht="39" customHeight="1" x14ac:dyDescent="0.35">
      <c r="A23" s="1986">
        <v>14</v>
      </c>
      <c r="B23" s="1974">
        <f t="shared" si="1"/>
        <v>5191421014</v>
      </c>
      <c r="C23" s="1954">
        <v>2</v>
      </c>
      <c r="D23" s="1954">
        <v>2</v>
      </c>
      <c r="E23" s="1954">
        <v>2</v>
      </c>
      <c r="F23" s="1965">
        <v>2</v>
      </c>
      <c r="G23" s="1965">
        <v>2</v>
      </c>
      <c r="H23" s="1965">
        <v>5</v>
      </c>
      <c r="I23" s="1965">
        <v>5</v>
      </c>
      <c r="J23" s="1965">
        <v>5</v>
      </c>
      <c r="K23" s="1965">
        <v>5</v>
      </c>
      <c r="L23" s="2773"/>
      <c r="M23" s="2774"/>
      <c r="N23" s="1058">
        <v>1</v>
      </c>
      <c r="O23" s="1058">
        <v>1</v>
      </c>
      <c r="P23" s="1058">
        <v>1</v>
      </c>
      <c r="Q23" s="1056">
        <v>1</v>
      </c>
      <c r="R23" s="1056">
        <v>1</v>
      </c>
      <c r="S23" s="1056">
        <v>5</v>
      </c>
      <c r="T23" s="1056">
        <v>5</v>
      </c>
      <c r="U23" s="1056">
        <v>5</v>
      </c>
      <c r="V23" s="1056">
        <v>5</v>
      </c>
      <c r="W23" s="1056"/>
      <c r="X23" s="1056"/>
      <c r="Z23" s="1975" t="s">
        <v>27</v>
      </c>
      <c r="AA23" s="1020">
        <f t="shared" si="0"/>
        <v>80</v>
      </c>
    </row>
    <row r="24" spans="1:27" s="1018" customFormat="1" ht="39" customHeight="1" x14ac:dyDescent="0.35">
      <c r="A24" s="1986">
        <v>15</v>
      </c>
      <c r="B24" s="1974">
        <f t="shared" si="1"/>
        <v>5191421015</v>
      </c>
      <c r="C24" s="1059">
        <v>2</v>
      </c>
      <c r="D24" s="1059">
        <v>2</v>
      </c>
      <c r="E24" s="1059">
        <v>2</v>
      </c>
      <c r="F24" s="1965">
        <v>2</v>
      </c>
      <c r="G24" s="1965">
        <v>2</v>
      </c>
      <c r="H24" s="1965">
        <v>3</v>
      </c>
      <c r="I24" s="1965">
        <v>2</v>
      </c>
      <c r="J24" s="1965">
        <v>2</v>
      </c>
      <c r="K24" s="1965">
        <v>4</v>
      </c>
      <c r="L24" s="2773"/>
      <c r="M24" s="2774"/>
      <c r="N24" s="1058">
        <v>2</v>
      </c>
      <c r="O24" s="1058">
        <v>1</v>
      </c>
      <c r="P24" s="1058">
        <v>0</v>
      </c>
      <c r="Q24" s="1056">
        <v>0</v>
      </c>
      <c r="R24" s="1056">
        <v>1</v>
      </c>
      <c r="S24" s="1056">
        <v>1</v>
      </c>
      <c r="T24" s="1056">
        <v>0</v>
      </c>
      <c r="U24" s="1056"/>
      <c r="V24" s="1056">
        <v>0</v>
      </c>
      <c r="W24" s="1056"/>
      <c r="X24" s="1056"/>
      <c r="Z24" s="575" t="s">
        <v>29</v>
      </c>
      <c r="AA24" s="1020">
        <f t="shared" si="0"/>
        <v>39</v>
      </c>
    </row>
    <row r="25" spans="1:27" s="1018" customFormat="1" ht="39" customHeight="1" x14ac:dyDescent="0.35">
      <c r="A25" s="1986">
        <v>16</v>
      </c>
      <c r="B25" s="1974">
        <f t="shared" si="1"/>
        <v>5191421016</v>
      </c>
      <c r="C25" s="1059">
        <v>2</v>
      </c>
      <c r="D25" s="1059">
        <v>2</v>
      </c>
      <c r="E25" s="1059">
        <v>0</v>
      </c>
      <c r="F25" s="1965">
        <v>0</v>
      </c>
      <c r="G25" s="1965">
        <v>0</v>
      </c>
      <c r="H25" s="1965">
        <v>5</v>
      </c>
      <c r="I25" s="1965">
        <v>3</v>
      </c>
      <c r="J25" s="1965">
        <v>5</v>
      </c>
      <c r="K25" s="1965"/>
      <c r="L25" s="2773"/>
      <c r="M25" s="2774"/>
      <c r="N25" s="1058">
        <v>2</v>
      </c>
      <c r="O25" s="1058">
        <v>1</v>
      </c>
      <c r="P25" s="1058">
        <v>0</v>
      </c>
      <c r="Q25" s="1056">
        <v>2</v>
      </c>
      <c r="R25" s="1056">
        <v>2</v>
      </c>
      <c r="S25" s="1056">
        <v>0</v>
      </c>
      <c r="T25" s="1056">
        <v>4</v>
      </c>
      <c r="U25" s="1056"/>
      <c r="V25" s="1056">
        <v>1</v>
      </c>
      <c r="W25" s="1056"/>
      <c r="X25" s="1056"/>
      <c r="Z25" s="1975" t="s">
        <v>31</v>
      </c>
      <c r="AA25" s="1020">
        <f t="shared" si="0"/>
        <v>55</v>
      </c>
    </row>
    <row r="26" spans="1:27" s="1018" customFormat="1" ht="39" customHeight="1" x14ac:dyDescent="0.35">
      <c r="A26" s="1986">
        <v>17</v>
      </c>
      <c r="B26" s="1974">
        <f t="shared" si="1"/>
        <v>5191421017</v>
      </c>
      <c r="C26" s="1059">
        <v>1</v>
      </c>
      <c r="D26" s="1059">
        <v>2</v>
      </c>
      <c r="E26" s="1059">
        <v>2</v>
      </c>
      <c r="F26" s="1965"/>
      <c r="G26" s="1965"/>
      <c r="H26" s="1965">
        <v>5</v>
      </c>
      <c r="I26" s="1965">
        <v>5</v>
      </c>
      <c r="J26" s="1965">
        <v>5</v>
      </c>
      <c r="K26" s="1965">
        <v>3</v>
      </c>
      <c r="L26" s="2773"/>
      <c r="M26" s="2774"/>
      <c r="N26" s="1058">
        <v>2</v>
      </c>
      <c r="O26" s="1058">
        <v>0</v>
      </c>
      <c r="P26" s="1058">
        <v>0</v>
      </c>
      <c r="Q26" s="1056">
        <v>0</v>
      </c>
      <c r="R26" s="1056">
        <v>0</v>
      </c>
      <c r="S26" s="1056">
        <v>2</v>
      </c>
      <c r="T26" s="1056">
        <v>0</v>
      </c>
      <c r="U26" s="1056"/>
      <c r="V26" s="1056">
        <v>0</v>
      </c>
      <c r="W26" s="1056"/>
      <c r="X26" s="1056"/>
      <c r="Z26" s="575" t="s">
        <v>31</v>
      </c>
      <c r="AA26" s="1020">
        <f t="shared" si="0"/>
        <v>55</v>
      </c>
    </row>
    <row r="27" spans="1:27" s="1018" customFormat="1" ht="39" customHeight="1" x14ac:dyDescent="0.35">
      <c r="A27" s="1986">
        <v>18</v>
      </c>
      <c r="B27" s="1974">
        <f t="shared" si="1"/>
        <v>5191421018</v>
      </c>
      <c r="C27" s="1059">
        <v>2</v>
      </c>
      <c r="D27" s="1059">
        <v>2</v>
      </c>
      <c r="E27" s="1059">
        <v>2</v>
      </c>
      <c r="F27" s="1965"/>
      <c r="G27" s="1965"/>
      <c r="H27" s="1965">
        <v>5</v>
      </c>
      <c r="I27" s="1965">
        <v>3</v>
      </c>
      <c r="J27" s="1965">
        <v>2</v>
      </c>
      <c r="K27" s="1965"/>
      <c r="L27" s="2773"/>
      <c r="M27" s="2774"/>
      <c r="N27" s="1058">
        <v>2</v>
      </c>
      <c r="O27" s="1058">
        <v>0</v>
      </c>
      <c r="P27" s="1058">
        <v>0</v>
      </c>
      <c r="Q27" s="1056">
        <v>2</v>
      </c>
      <c r="R27" s="1056">
        <v>0</v>
      </c>
      <c r="S27" s="1056">
        <v>0</v>
      </c>
      <c r="T27" s="1056">
        <v>0</v>
      </c>
      <c r="U27" s="1056">
        <v>5</v>
      </c>
      <c r="V27" s="1056">
        <v>0</v>
      </c>
      <c r="W27" s="1056"/>
      <c r="X27" s="1056"/>
      <c r="Z27" s="1975" t="s">
        <v>29</v>
      </c>
      <c r="AA27" s="1020">
        <f t="shared" si="0"/>
        <v>39</v>
      </c>
    </row>
    <row r="28" spans="1:27" s="1018" customFormat="1" ht="39" customHeight="1" x14ac:dyDescent="0.35">
      <c r="A28" s="1986">
        <v>19</v>
      </c>
      <c r="B28" s="1974">
        <f t="shared" si="1"/>
        <v>5191421019</v>
      </c>
      <c r="C28" s="1059">
        <v>2</v>
      </c>
      <c r="D28" s="1954">
        <v>2</v>
      </c>
      <c r="E28" s="1954">
        <v>2</v>
      </c>
      <c r="F28" s="1965">
        <v>2</v>
      </c>
      <c r="G28" s="1965">
        <v>2</v>
      </c>
      <c r="H28" s="1965"/>
      <c r="I28" s="1965"/>
      <c r="J28" s="1965">
        <v>5</v>
      </c>
      <c r="K28" s="1965">
        <v>5</v>
      </c>
      <c r="L28" s="2773">
        <v>10</v>
      </c>
      <c r="M28" s="2774"/>
      <c r="N28" s="1058">
        <v>2</v>
      </c>
      <c r="O28" s="1058">
        <v>2</v>
      </c>
      <c r="P28" s="1058">
        <v>2</v>
      </c>
      <c r="Q28" s="1056">
        <v>2</v>
      </c>
      <c r="R28" s="1056">
        <v>2</v>
      </c>
      <c r="S28" s="1056">
        <v>5</v>
      </c>
      <c r="T28" s="1056">
        <v>5</v>
      </c>
      <c r="U28" s="1056">
        <v>5</v>
      </c>
      <c r="V28" s="1056">
        <v>5</v>
      </c>
      <c r="W28" s="1056"/>
      <c r="X28" s="1056"/>
      <c r="Z28" s="575" t="s">
        <v>30</v>
      </c>
      <c r="AA28" s="1020">
        <f t="shared" si="0"/>
        <v>90</v>
      </c>
    </row>
    <row r="29" spans="1:27" s="1018" customFormat="1" ht="39" customHeight="1" x14ac:dyDescent="0.35">
      <c r="A29" s="1986">
        <v>20</v>
      </c>
      <c r="B29" s="1974">
        <f t="shared" si="1"/>
        <v>5191421020</v>
      </c>
      <c r="C29" s="1954">
        <v>2</v>
      </c>
      <c r="D29" s="1954">
        <v>2</v>
      </c>
      <c r="E29" s="1954">
        <v>2</v>
      </c>
      <c r="F29" s="1965">
        <v>2</v>
      </c>
      <c r="G29" s="1965">
        <v>2</v>
      </c>
      <c r="H29" s="1965"/>
      <c r="I29" s="1965"/>
      <c r="J29" s="1965">
        <v>5</v>
      </c>
      <c r="K29" s="1965">
        <v>5</v>
      </c>
      <c r="L29" s="2773">
        <v>10</v>
      </c>
      <c r="M29" s="2774"/>
      <c r="N29" s="1951">
        <v>2</v>
      </c>
      <c r="O29" s="1951">
        <v>2</v>
      </c>
      <c r="P29" s="1951">
        <v>2</v>
      </c>
      <c r="Q29" s="1056">
        <v>2</v>
      </c>
      <c r="R29" s="1056">
        <v>2</v>
      </c>
      <c r="S29" s="1056">
        <v>5</v>
      </c>
      <c r="T29" s="1056">
        <v>5</v>
      </c>
      <c r="U29" s="1056">
        <v>5</v>
      </c>
      <c r="V29" s="1056">
        <v>5</v>
      </c>
      <c r="W29" s="1056"/>
      <c r="X29" s="1056"/>
      <c r="Z29" s="1975" t="s">
        <v>27</v>
      </c>
      <c r="AA29" s="1020">
        <f t="shared" si="0"/>
        <v>80</v>
      </c>
    </row>
    <row r="30" spans="1:27" s="1018" customFormat="1" ht="39" customHeight="1" x14ac:dyDescent="0.35">
      <c r="A30" s="1986">
        <v>21</v>
      </c>
      <c r="B30" s="1974">
        <f t="shared" si="1"/>
        <v>5191421021</v>
      </c>
      <c r="C30" s="1954">
        <v>2</v>
      </c>
      <c r="D30" s="1954">
        <v>1</v>
      </c>
      <c r="E30" s="1954">
        <v>0</v>
      </c>
      <c r="F30" s="1965">
        <v>2</v>
      </c>
      <c r="G30" s="1965">
        <v>2</v>
      </c>
      <c r="H30" s="1965">
        <v>5</v>
      </c>
      <c r="I30" s="1965">
        <v>5</v>
      </c>
      <c r="J30" s="1965"/>
      <c r="K30" s="1965"/>
      <c r="L30" s="2773">
        <v>10</v>
      </c>
      <c r="M30" s="2774"/>
      <c r="N30" s="1058">
        <v>2</v>
      </c>
      <c r="O30" s="1951">
        <v>1</v>
      </c>
      <c r="P30" s="1951">
        <v>1</v>
      </c>
      <c r="Q30" s="1056">
        <v>2</v>
      </c>
      <c r="R30" s="1056">
        <v>2</v>
      </c>
      <c r="S30" s="1056">
        <v>4</v>
      </c>
      <c r="T30" s="1056">
        <v>0</v>
      </c>
      <c r="U30" s="1056">
        <v>1</v>
      </c>
      <c r="V30" s="1056">
        <v>0</v>
      </c>
      <c r="W30" s="1056">
        <v>5</v>
      </c>
      <c r="X30" s="1056"/>
      <c r="Z30" s="575" t="s">
        <v>33</v>
      </c>
      <c r="AA30" s="1020">
        <f t="shared" si="0"/>
        <v>60</v>
      </c>
    </row>
    <row r="31" spans="1:27" s="1018" customFormat="1" ht="39" customHeight="1" x14ac:dyDescent="0.35">
      <c r="A31" s="1986">
        <v>22</v>
      </c>
      <c r="B31" s="1974">
        <f t="shared" si="1"/>
        <v>5191421022</v>
      </c>
      <c r="C31" s="1059">
        <v>2</v>
      </c>
      <c r="D31" s="1954">
        <v>2</v>
      </c>
      <c r="E31" s="1954">
        <v>2</v>
      </c>
      <c r="F31" s="1965">
        <v>2</v>
      </c>
      <c r="G31" s="1965"/>
      <c r="H31" s="1965">
        <v>5</v>
      </c>
      <c r="I31" s="1965">
        <v>5</v>
      </c>
      <c r="J31" s="1965">
        <v>3</v>
      </c>
      <c r="K31" s="1965"/>
      <c r="L31" s="2773"/>
      <c r="M31" s="2774"/>
      <c r="N31" s="1058">
        <v>2</v>
      </c>
      <c r="O31" s="1058">
        <v>1</v>
      </c>
      <c r="P31" s="1058">
        <v>0</v>
      </c>
      <c r="Q31" s="1056">
        <v>2</v>
      </c>
      <c r="R31" s="1056">
        <v>2</v>
      </c>
      <c r="S31" s="1056">
        <v>4</v>
      </c>
      <c r="T31" s="1056">
        <v>0</v>
      </c>
      <c r="U31" s="1056">
        <v>0</v>
      </c>
      <c r="V31" s="1056">
        <v>4</v>
      </c>
      <c r="W31" s="1056"/>
      <c r="X31" s="1056"/>
      <c r="Z31" s="1975" t="s">
        <v>31</v>
      </c>
      <c r="AA31" s="1020">
        <f t="shared" si="0"/>
        <v>55</v>
      </c>
    </row>
    <row r="32" spans="1:27" s="1018" customFormat="1" ht="39" customHeight="1" x14ac:dyDescent="0.35">
      <c r="A32" s="1986">
        <v>23</v>
      </c>
      <c r="B32" s="1974">
        <f t="shared" si="1"/>
        <v>5191421023</v>
      </c>
      <c r="C32" s="1059">
        <v>2</v>
      </c>
      <c r="D32" s="1954">
        <v>2</v>
      </c>
      <c r="E32" s="1954">
        <v>2</v>
      </c>
      <c r="F32" s="1965">
        <v>2</v>
      </c>
      <c r="G32" s="1965">
        <v>0</v>
      </c>
      <c r="H32" s="1965">
        <v>5</v>
      </c>
      <c r="I32" s="1965">
        <v>5</v>
      </c>
      <c r="J32" s="1965">
        <v>5</v>
      </c>
      <c r="K32" s="1965"/>
      <c r="L32" s="2773"/>
      <c r="M32" s="2774"/>
      <c r="N32" s="1058">
        <v>2</v>
      </c>
      <c r="O32" s="1951">
        <v>2</v>
      </c>
      <c r="P32" s="1951">
        <v>0</v>
      </c>
      <c r="Q32" s="1056">
        <v>2</v>
      </c>
      <c r="R32" s="1056">
        <v>1</v>
      </c>
      <c r="S32" s="1056">
        <v>5</v>
      </c>
      <c r="T32" s="1056">
        <v>5</v>
      </c>
      <c r="U32" s="1056">
        <v>5</v>
      </c>
      <c r="V32" s="1056">
        <v>0</v>
      </c>
      <c r="W32" s="1056"/>
      <c r="X32" s="1056"/>
      <c r="Z32" s="575" t="s">
        <v>31</v>
      </c>
      <c r="AA32" s="1020">
        <f t="shared" si="0"/>
        <v>55</v>
      </c>
    </row>
    <row r="33" spans="1:27" s="1018" customFormat="1" ht="39" customHeight="1" x14ac:dyDescent="0.35">
      <c r="A33" s="1986">
        <v>24</v>
      </c>
      <c r="B33" s="1974">
        <f t="shared" si="1"/>
        <v>5191421024</v>
      </c>
      <c r="C33" s="1059">
        <v>2</v>
      </c>
      <c r="D33" s="1954">
        <v>2</v>
      </c>
      <c r="E33" s="1954">
        <v>2</v>
      </c>
      <c r="F33" s="1965">
        <v>2</v>
      </c>
      <c r="G33" s="1965">
        <v>2</v>
      </c>
      <c r="H33" s="1965">
        <v>5</v>
      </c>
      <c r="I33" s="1965">
        <v>5</v>
      </c>
      <c r="J33" s="1965"/>
      <c r="K33" s="1965"/>
      <c r="L33" s="2773">
        <v>10</v>
      </c>
      <c r="M33" s="2774"/>
      <c r="N33" s="1058">
        <v>2</v>
      </c>
      <c r="O33" s="1058">
        <v>2</v>
      </c>
      <c r="P33" s="1058">
        <v>0</v>
      </c>
      <c r="Q33" s="1056">
        <v>0</v>
      </c>
      <c r="R33" s="1056">
        <v>0</v>
      </c>
      <c r="S33" s="1056">
        <v>4</v>
      </c>
      <c r="T33" s="1056">
        <v>2</v>
      </c>
      <c r="U33" s="1056">
        <v>5</v>
      </c>
      <c r="V33" s="1056">
        <v>3</v>
      </c>
      <c r="W33" s="1056"/>
      <c r="X33" s="1056"/>
      <c r="Z33" s="1975" t="s">
        <v>33</v>
      </c>
      <c r="AA33" s="1020">
        <f t="shared" si="0"/>
        <v>60</v>
      </c>
    </row>
    <row r="34" spans="1:27" s="1018" customFormat="1" ht="39" customHeight="1" x14ac:dyDescent="0.35">
      <c r="A34" s="1986">
        <v>25</v>
      </c>
      <c r="B34" s="1974">
        <f t="shared" si="1"/>
        <v>5191421025</v>
      </c>
      <c r="C34" s="1059">
        <v>1</v>
      </c>
      <c r="D34" s="1954">
        <v>2</v>
      </c>
      <c r="E34" s="1954">
        <v>2</v>
      </c>
      <c r="F34" s="1965">
        <v>2</v>
      </c>
      <c r="G34" s="1965">
        <v>2</v>
      </c>
      <c r="H34" s="1965"/>
      <c r="I34" s="1965"/>
      <c r="J34" s="1965">
        <v>5</v>
      </c>
      <c r="K34" s="1965">
        <v>5</v>
      </c>
      <c r="L34" s="2773">
        <v>10</v>
      </c>
      <c r="M34" s="2774"/>
      <c r="N34" s="1058">
        <v>2</v>
      </c>
      <c r="O34" s="1058">
        <v>2</v>
      </c>
      <c r="P34" s="1058">
        <v>2</v>
      </c>
      <c r="Q34" s="1056">
        <v>2</v>
      </c>
      <c r="R34" s="1056">
        <v>2</v>
      </c>
      <c r="S34" s="1056">
        <v>5</v>
      </c>
      <c r="T34" s="1056">
        <v>5</v>
      </c>
      <c r="U34" s="1056">
        <v>5</v>
      </c>
      <c r="V34" s="1056">
        <v>5</v>
      </c>
      <c r="W34" s="1056">
        <v>5</v>
      </c>
      <c r="X34" s="1056">
        <v>5</v>
      </c>
      <c r="Z34" s="575" t="s">
        <v>30</v>
      </c>
      <c r="AA34" s="1020">
        <f t="shared" si="0"/>
        <v>90</v>
      </c>
    </row>
    <row r="35" spans="1:27" s="1018" customFormat="1" ht="39" customHeight="1" x14ac:dyDescent="0.35">
      <c r="A35" s="1986">
        <v>26</v>
      </c>
      <c r="B35" s="1974">
        <f t="shared" si="1"/>
        <v>5191421026</v>
      </c>
      <c r="C35" s="1059">
        <v>2</v>
      </c>
      <c r="D35" s="1954">
        <v>2</v>
      </c>
      <c r="E35" s="1954">
        <v>2</v>
      </c>
      <c r="F35" s="1965">
        <v>2</v>
      </c>
      <c r="G35" s="1965">
        <v>2</v>
      </c>
      <c r="H35" s="1965"/>
      <c r="I35" s="1965"/>
      <c r="J35" s="1965">
        <v>5</v>
      </c>
      <c r="K35" s="1965">
        <v>5</v>
      </c>
      <c r="L35" s="2773">
        <v>10</v>
      </c>
      <c r="M35" s="2774"/>
      <c r="N35" s="1058">
        <v>2</v>
      </c>
      <c r="O35" s="1058">
        <v>2</v>
      </c>
      <c r="P35" s="1058">
        <v>2</v>
      </c>
      <c r="Q35" s="1056">
        <v>2</v>
      </c>
      <c r="R35" s="1056">
        <v>2</v>
      </c>
      <c r="S35" s="1056">
        <v>5</v>
      </c>
      <c r="T35" s="1056">
        <v>5</v>
      </c>
      <c r="U35" s="1056">
        <v>3</v>
      </c>
      <c r="V35" s="1056">
        <v>3</v>
      </c>
      <c r="W35" s="1056"/>
      <c r="X35" s="1056"/>
      <c r="Z35" s="1975" t="s">
        <v>32</v>
      </c>
      <c r="AA35" s="1020">
        <f t="shared" si="0"/>
        <v>70</v>
      </c>
    </row>
    <row r="36" spans="1:27" s="1018" customFormat="1" ht="39" customHeight="1" x14ac:dyDescent="0.35">
      <c r="A36" s="1986">
        <v>27</v>
      </c>
      <c r="B36" s="1974">
        <f t="shared" si="1"/>
        <v>5191421027</v>
      </c>
      <c r="C36" s="1059"/>
      <c r="D36" s="1954"/>
      <c r="E36" s="1954"/>
      <c r="F36" s="1965"/>
      <c r="G36" s="1965"/>
      <c r="H36" s="1965"/>
      <c r="I36" s="1965"/>
      <c r="J36" s="1965"/>
      <c r="K36" s="1965"/>
      <c r="L36" s="2773"/>
      <c r="M36" s="2774"/>
      <c r="N36" s="1058">
        <v>2</v>
      </c>
      <c r="O36" s="1951">
        <v>2</v>
      </c>
      <c r="P36" s="1951">
        <v>2</v>
      </c>
      <c r="Q36" s="1056">
        <v>2</v>
      </c>
      <c r="R36" s="1056">
        <v>2</v>
      </c>
      <c r="S36" s="1056">
        <v>5</v>
      </c>
      <c r="T36" s="1056">
        <v>5</v>
      </c>
      <c r="U36" s="1056">
        <v>3</v>
      </c>
      <c r="V36" s="1056">
        <v>3</v>
      </c>
      <c r="W36" s="1056"/>
      <c r="X36" s="1056"/>
      <c r="Z36" s="575" t="s">
        <v>27</v>
      </c>
      <c r="AA36" s="1020">
        <f t="shared" si="0"/>
        <v>80</v>
      </c>
    </row>
    <row r="37" spans="1:27" s="1018" customFormat="1" ht="39" customHeight="1" x14ac:dyDescent="0.35">
      <c r="A37" s="1986">
        <v>28</v>
      </c>
      <c r="B37" s="1974">
        <f t="shared" si="1"/>
        <v>5191421028</v>
      </c>
      <c r="C37" s="1059">
        <v>2</v>
      </c>
      <c r="D37" s="1954">
        <v>2</v>
      </c>
      <c r="E37" s="1954">
        <v>2</v>
      </c>
      <c r="F37" s="1965">
        <v>2</v>
      </c>
      <c r="G37" s="1965">
        <v>0</v>
      </c>
      <c r="H37" s="1965">
        <v>5</v>
      </c>
      <c r="I37" s="1965">
        <v>5</v>
      </c>
      <c r="J37" s="1965"/>
      <c r="K37" s="1965"/>
      <c r="L37" s="2773">
        <v>8</v>
      </c>
      <c r="M37" s="2774"/>
      <c r="N37" s="1058">
        <v>2</v>
      </c>
      <c r="O37" s="1058">
        <v>2</v>
      </c>
      <c r="P37" s="1058">
        <v>2</v>
      </c>
      <c r="Q37" s="1056">
        <v>2</v>
      </c>
      <c r="R37" s="1056">
        <v>2</v>
      </c>
      <c r="S37" s="1056">
        <v>5</v>
      </c>
      <c r="T37" s="1056">
        <v>5</v>
      </c>
      <c r="U37" s="1056">
        <v>5</v>
      </c>
      <c r="V37" s="1056">
        <v>4</v>
      </c>
      <c r="W37" s="1056"/>
      <c r="X37" s="1056"/>
      <c r="Z37" s="1975" t="s">
        <v>30</v>
      </c>
      <c r="AA37" s="1020">
        <f t="shared" si="0"/>
        <v>90</v>
      </c>
    </row>
    <row r="38" spans="1:27" s="1018" customFormat="1" ht="39" customHeight="1" x14ac:dyDescent="0.35">
      <c r="A38" s="1986">
        <v>29</v>
      </c>
      <c r="B38" s="1974">
        <f t="shared" si="1"/>
        <v>5191421029</v>
      </c>
      <c r="C38" s="1059">
        <v>1</v>
      </c>
      <c r="D38" s="1954">
        <v>2</v>
      </c>
      <c r="E38" s="1954">
        <v>2</v>
      </c>
      <c r="F38" s="1965">
        <v>1</v>
      </c>
      <c r="G38" s="1965">
        <v>2</v>
      </c>
      <c r="H38" s="1965">
        <v>3</v>
      </c>
      <c r="I38" s="1965">
        <v>3</v>
      </c>
      <c r="J38" s="1965">
        <v>2</v>
      </c>
      <c r="K38" s="1965">
        <v>3</v>
      </c>
      <c r="L38" s="2773"/>
      <c r="M38" s="2774"/>
      <c r="N38" s="1058">
        <v>2</v>
      </c>
      <c r="O38" s="1058">
        <v>1</v>
      </c>
      <c r="P38" s="1058">
        <v>0</v>
      </c>
      <c r="Q38" s="1056">
        <v>2</v>
      </c>
      <c r="R38" s="1056">
        <v>1</v>
      </c>
      <c r="S38" s="1056">
        <v>5</v>
      </c>
      <c r="T38" s="1056">
        <v>2</v>
      </c>
      <c r="U38" s="1056">
        <v>3</v>
      </c>
      <c r="V38" s="1056">
        <v>3</v>
      </c>
      <c r="W38" s="1056"/>
      <c r="X38" s="1056"/>
      <c r="Z38" s="575" t="s">
        <v>31</v>
      </c>
      <c r="AA38" s="1020">
        <f t="shared" si="0"/>
        <v>55</v>
      </c>
    </row>
    <row r="39" spans="1:27" s="1018" customFormat="1" ht="39" customHeight="1" x14ac:dyDescent="0.35">
      <c r="A39" s="1986">
        <v>30</v>
      </c>
      <c r="B39" s="1974">
        <f t="shared" si="1"/>
        <v>5191421030</v>
      </c>
      <c r="C39" s="1059">
        <v>2</v>
      </c>
      <c r="D39" s="1954">
        <v>2</v>
      </c>
      <c r="E39" s="1954"/>
      <c r="F39" s="1965"/>
      <c r="G39" s="1965"/>
      <c r="H39" s="1965">
        <v>5</v>
      </c>
      <c r="I39" s="1965">
        <v>5</v>
      </c>
      <c r="J39" s="1965">
        <v>3</v>
      </c>
      <c r="K39" s="1965"/>
      <c r="L39" s="2773"/>
      <c r="M39" s="2774"/>
      <c r="N39" s="1058">
        <v>2</v>
      </c>
      <c r="O39" s="1058">
        <v>1</v>
      </c>
      <c r="P39" s="1058">
        <v>0</v>
      </c>
      <c r="Q39" s="1056">
        <v>0</v>
      </c>
      <c r="R39" s="1056">
        <v>2</v>
      </c>
      <c r="S39" s="1056">
        <v>0</v>
      </c>
      <c r="T39" s="1056">
        <v>2</v>
      </c>
      <c r="U39" s="1056"/>
      <c r="V39" s="1056"/>
      <c r="W39" s="1056"/>
      <c r="X39" s="1056"/>
      <c r="Z39" s="1975" t="s">
        <v>29</v>
      </c>
      <c r="AA39" s="1020">
        <f t="shared" si="0"/>
        <v>39</v>
      </c>
    </row>
    <row r="40" spans="1:27" s="1018" customFormat="1" ht="39" customHeight="1" x14ac:dyDescent="0.35">
      <c r="A40" s="1986">
        <v>31</v>
      </c>
      <c r="B40" s="1974">
        <f t="shared" si="1"/>
        <v>5191421031</v>
      </c>
      <c r="C40" s="1059">
        <v>2</v>
      </c>
      <c r="D40" s="1954">
        <v>2</v>
      </c>
      <c r="E40" s="1954">
        <v>2</v>
      </c>
      <c r="F40" s="1965">
        <v>2</v>
      </c>
      <c r="G40" s="1965">
        <v>2</v>
      </c>
      <c r="H40" s="1965">
        <v>4</v>
      </c>
      <c r="I40" s="1965">
        <v>5</v>
      </c>
      <c r="J40" s="1965">
        <v>4</v>
      </c>
      <c r="K40" s="1965"/>
      <c r="L40" s="2773"/>
      <c r="M40" s="2774"/>
      <c r="N40" s="1058">
        <v>2</v>
      </c>
      <c r="O40" s="1058">
        <v>2</v>
      </c>
      <c r="P40" s="1058">
        <v>2</v>
      </c>
      <c r="Q40" s="1056">
        <v>2</v>
      </c>
      <c r="R40" s="1056">
        <v>2</v>
      </c>
      <c r="S40" s="1056">
        <v>3</v>
      </c>
      <c r="T40" s="1056">
        <v>0</v>
      </c>
      <c r="U40" s="1056"/>
      <c r="V40" s="1056"/>
      <c r="W40" s="1056"/>
      <c r="X40" s="1056"/>
      <c r="Z40" s="575" t="s">
        <v>32</v>
      </c>
      <c r="AA40" s="1020">
        <f t="shared" si="0"/>
        <v>70</v>
      </c>
    </row>
    <row r="41" spans="1:27" s="1018" customFormat="1" ht="39" customHeight="1" x14ac:dyDescent="0.35">
      <c r="A41" s="1986">
        <v>32</v>
      </c>
      <c r="B41" s="1974">
        <f t="shared" si="1"/>
        <v>5191421032</v>
      </c>
      <c r="C41" s="1059">
        <v>2</v>
      </c>
      <c r="D41" s="1954">
        <v>0</v>
      </c>
      <c r="E41" s="1954">
        <v>2</v>
      </c>
      <c r="F41" s="1965">
        <v>0</v>
      </c>
      <c r="G41" s="1965">
        <v>0</v>
      </c>
      <c r="H41" s="1965">
        <v>5</v>
      </c>
      <c r="I41" s="1965">
        <v>5</v>
      </c>
      <c r="J41" s="1965">
        <v>3</v>
      </c>
      <c r="K41" s="1965"/>
      <c r="L41" s="2773"/>
      <c r="M41" s="2774"/>
      <c r="N41" s="1058">
        <v>2</v>
      </c>
      <c r="O41" s="1951">
        <v>1</v>
      </c>
      <c r="P41" s="1951">
        <v>0</v>
      </c>
      <c r="Q41" s="1056">
        <v>2</v>
      </c>
      <c r="R41" s="1056">
        <v>0</v>
      </c>
      <c r="S41" s="1056">
        <v>0</v>
      </c>
      <c r="T41" s="1056">
        <v>0</v>
      </c>
      <c r="U41" s="1056">
        <v>4</v>
      </c>
      <c r="V41" s="1056">
        <v>4</v>
      </c>
      <c r="W41" s="1056">
        <v>3</v>
      </c>
      <c r="X41" s="1056"/>
      <c r="Z41" s="1975" t="s">
        <v>29</v>
      </c>
      <c r="AA41" s="1020">
        <f t="shared" si="0"/>
        <v>39</v>
      </c>
    </row>
    <row r="42" spans="1:27" s="1018" customFormat="1" ht="39" customHeight="1" x14ac:dyDescent="0.35">
      <c r="A42" s="1986">
        <v>33</v>
      </c>
      <c r="B42" s="1974">
        <f t="shared" si="1"/>
        <v>5191421033</v>
      </c>
      <c r="C42" s="1059">
        <v>2</v>
      </c>
      <c r="D42" s="1954">
        <v>2</v>
      </c>
      <c r="E42" s="1954">
        <v>2</v>
      </c>
      <c r="F42" s="1965">
        <v>2</v>
      </c>
      <c r="G42" s="1965">
        <v>2</v>
      </c>
      <c r="H42" s="1965">
        <v>5</v>
      </c>
      <c r="I42" s="1965">
        <v>5</v>
      </c>
      <c r="J42" s="1965"/>
      <c r="K42" s="1965"/>
      <c r="L42" s="2773">
        <v>10</v>
      </c>
      <c r="M42" s="2774"/>
      <c r="N42" s="1058">
        <v>2</v>
      </c>
      <c r="O42" s="1058">
        <v>2</v>
      </c>
      <c r="P42" s="1058">
        <v>2</v>
      </c>
      <c r="Q42" s="1056">
        <v>2</v>
      </c>
      <c r="R42" s="1056">
        <v>2</v>
      </c>
      <c r="S42" s="1056">
        <v>5</v>
      </c>
      <c r="T42" s="1056">
        <v>5</v>
      </c>
      <c r="U42" s="1056">
        <v>5</v>
      </c>
      <c r="V42" s="1056">
        <v>5</v>
      </c>
      <c r="W42" s="1056">
        <v>0</v>
      </c>
      <c r="X42" s="1056"/>
      <c r="Z42" s="575" t="s">
        <v>32</v>
      </c>
      <c r="AA42" s="1020">
        <f t="shared" si="0"/>
        <v>70</v>
      </c>
    </row>
    <row r="43" spans="1:27" s="1018" customFormat="1" ht="39" customHeight="1" x14ac:dyDescent="0.35">
      <c r="A43" s="1986">
        <v>34</v>
      </c>
      <c r="B43" s="1974">
        <f t="shared" si="1"/>
        <v>5191421034</v>
      </c>
      <c r="C43" s="1059">
        <v>2</v>
      </c>
      <c r="D43" s="1954">
        <v>2</v>
      </c>
      <c r="E43" s="1954">
        <v>2</v>
      </c>
      <c r="F43" s="1965">
        <v>2</v>
      </c>
      <c r="G43" s="1965">
        <v>2</v>
      </c>
      <c r="H43" s="1965"/>
      <c r="I43" s="1965"/>
      <c r="J43" s="1965">
        <v>5</v>
      </c>
      <c r="K43" s="1965">
        <v>5</v>
      </c>
      <c r="L43" s="2773">
        <v>10</v>
      </c>
      <c r="M43" s="2774"/>
      <c r="N43" s="1058">
        <v>2</v>
      </c>
      <c r="O43" s="1058">
        <v>2</v>
      </c>
      <c r="P43" s="1058">
        <v>2</v>
      </c>
      <c r="Q43" s="1056">
        <v>2</v>
      </c>
      <c r="R43" s="1056">
        <v>2</v>
      </c>
      <c r="S43" s="1056">
        <v>5</v>
      </c>
      <c r="T43" s="1056">
        <v>5</v>
      </c>
      <c r="U43" s="1056"/>
      <c r="V43" s="1056"/>
      <c r="W43" s="1056">
        <v>4</v>
      </c>
      <c r="X43" s="1056">
        <v>5</v>
      </c>
      <c r="Z43" s="1975" t="s">
        <v>30</v>
      </c>
      <c r="AA43" s="1020">
        <f t="shared" si="0"/>
        <v>90</v>
      </c>
    </row>
    <row r="44" spans="1:27" s="1018" customFormat="1" ht="39" customHeight="1" x14ac:dyDescent="0.35">
      <c r="A44" s="1986">
        <v>35</v>
      </c>
      <c r="B44" s="1974">
        <f t="shared" si="1"/>
        <v>5191421035</v>
      </c>
      <c r="C44" s="1954">
        <v>2</v>
      </c>
      <c r="D44" s="1954">
        <v>2</v>
      </c>
      <c r="E44" s="1954">
        <v>2</v>
      </c>
      <c r="F44" s="1965">
        <v>2</v>
      </c>
      <c r="G44" s="1965">
        <v>2</v>
      </c>
      <c r="H44" s="1965">
        <v>5</v>
      </c>
      <c r="I44" s="1965">
        <v>5</v>
      </c>
      <c r="J44" s="1965">
        <v>5</v>
      </c>
      <c r="K44" s="1965"/>
      <c r="L44" s="2773"/>
      <c r="M44" s="2774"/>
      <c r="N44" s="1058">
        <v>2</v>
      </c>
      <c r="O44" s="1058">
        <v>2</v>
      </c>
      <c r="P44" s="1058">
        <v>0</v>
      </c>
      <c r="Q44" s="1056">
        <v>0</v>
      </c>
      <c r="R44" s="1056">
        <v>0</v>
      </c>
      <c r="S44" s="1056">
        <v>5</v>
      </c>
      <c r="T44" s="1056">
        <v>5</v>
      </c>
      <c r="U44" s="1056"/>
      <c r="V44" s="1056"/>
      <c r="W44" s="1056">
        <v>0</v>
      </c>
      <c r="X44" s="1056"/>
      <c r="Z44" s="575" t="s">
        <v>29</v>
      </c>
      <c r="AA44" s="1020">
        <f t="shared" si="0"/>
        <v>39</v>
      </c>
    </row>
    <row r="45" spans="1:27" s="1018" customFormat="1" ht="39" customHeight="1" x14ac:dyDescent="0.35">
      <c r="A45" s="1986">
        <v>36</v>
      </c>
      <c r="B45" s="1974">
        <f t="shared" si="1"/>
        <v>5191421036</v>
      </c>
      <c r="C45" s="1059">
        <v>2</v>
      </c>
      <c r="D45" s="1954">
        <v>2</v>
      </c>
      <c r="E45" s="1954">
        <v>2</v>
      </c>
      <c r="F45" s="1965">
        <v>2</v>
      </c>
      <c r="G45" s="1965">
        <v>2</v>
      </c>
      <c r="H45" s="1965">
        <v>5</v>
      </c>
      <c r="I45" s="1965">
        <v>5</v>
      </c>
      <c r="J45" s="1965">
        <v>5</v>
      </c>
      <c r="K45" s="1965">
        <v>5</v>
      </c>
      <c r="L45" s="2773"/>
      <c r="M45" s="2774"/>
      <c r="N45" s="1058">
        <v>2</v>
      </c>
      <c r="O45" s="1951">
        <v>1</v>
      </c>
      <c r="P45" s="1951">
        <v>2</v>
      </c>
      <c r="Q45" s="1056">
        <v>2</v>
      </c>
      <c r="R45" s="1056">
        <v>2</v>
      </c>
      <c r="S45" s="1056">
        <v>5</v>
      </c>
      <c r="T45" s="1056">
        <v>5</v>
      </c>
      <c r="U45" s="1056">
        <v>3</v>
      </c>
      <c r="V45" s="1056">
        <v>2</v>
      </c>
      <c r="W45" s="1056">
        <v>0</v>
      </c>
      <c r="X45" s="1056"/>
      <c r="Z45" s="1975" t="s">
        <v>30</v>
      </c>
      <c r="AA45" s="1020">
        <f t="shared" si="0"/>
        <v>90</v>
      </c>
    </row>
    <row r="46" spans="1:27" s="1018" customFormat="1" ht="39" customHeight="1" x14ac:dyDescent="0.35">
      <c r="A46" s="1986">
        <v>37</v>
      </c>
      <c r="B46" s="1974">
        <f t="shared" si="1"/>
        <v>5191421037</v>
      </c>
      <c r="C46" s="1059">
        <v>2</v>
      </c>
      <c r="D46" s="1954">
        <v>2</v>
      </c>
      <c r="E46" s="1954">
        <v>2</v>
      </c>
      <c r="F46" s="1965">
        <v>2</v>
      </c>
      <c r="G46" s="1965">
        <v>2</v>
      </c>
      <c r="H46" s="1965">
        <v>5</v>
      </c>
      <c r="I46" s="1965">
        <v>4</v>
      </c>
      <c r="J46" s="1965">
        <v>5</v>
      </c>
      <c r="K46" s="1965"/>
      <c r="L46" s="2773"/>
      <c r="M46" s="2774"/>
      <c r="N46" s="1058">
        <v>0</v>
      </c>
      <c r="O46" s="1058">
        <v>2</v>
      </c>
      <c r="P46" s="1058">
        <v>2</v>
      </c>
      <c r="Q46" s="1056">
        <v>2</v>
      </c>
      <c r="R46" s="1056">
        <v>0</v>
      </c>
      <c r="S46" s="1056">
        <v>5</v>
      </c>
      <c r="T46" s="1056"/>
      <c r="U46" s="1056"/>
      <c r="V46" s="1056"/>
      <c r="W46" s="1056">
        <v>3</v>
      </c>
      <c r="X46" s="1056"/>
      <c r="Z46" s="575" t="s">
        <v>31</v>
      </c>
      <c r="AA46" s="1020">
        <f t="shared" si="0"/>
        <v>55</v>
      </c>
    </row>
    <row r="47" spans="1:27" s="1018" customFormat="1" ht="39" customHeight="1" x14ac:dyDescent="0.35">
      <c r="A47" s="1986">
        <v>38</v>
      </c>
      <c r="B47" s="1974">
        <f t="shared" si="1"/>
        <v>5191421038</v>
      </c>
      <c r="C47" s="1059">
        <v>2</v>
      </c>
      <c r="D47" s="1954">
        <v>2</v>
      </c>
      <c r="E47" s="1954">
        <v>2</v>
      </c>
      <c r="F47" s="1965">
        <v>2</v>
      </c>
      <c r="G47" s="1965">
        <v>2</v>
      </c>
      <c r="H47" s="1965">
        <v>5</v>
      </c>
      <c r="I47" s="1965">
        <v>5</v>
      </c>
      <c r="J47" s="1965">
        <v>5</v>
      </c>
      <c r="K47" s="1965"/>
      <c r="L47" s="2773"/>
      <c r="M47" s="2774"/>
      <c r="N47" s="1058">
        <v>2</v>
      </c>
      <c r="O47" s="1058">
        <v>2</v>
      </c>
      <c r="P47" s="1058">
        <v>2</v>
      </c>
      <c r="Q47" s="1056">
        <v>2</v>
      </c>
      <c r="R47" s="1056">
        <v>1</v>
      </c>
      <c r="S47" s="1056">
        <v>5</v>
      </c>
      <c r="T47" s="1056"/>
      <c r="U47" s="1056"/>
      <c r="V47" s="1056"/>
      <c r="W47" s="1056">
        <v>2</v>
      </c>
      <c r="X47" s="1056"/>
      <c r="Z47" s="1975" t="s">
        <v>31</v>
      </c>
      <c r="AA47" s="1020">
        <f t="shared" si="0"/>
        <v>55</v>
      </c>
    </row>
    <row r="48" spans="1:27" s="1018" customFormat="1" ht="39" customHeight="1" x14ac:dyDescent="0.35">
      <c r="A48" s="1986">
        <v>39</v>
      </c>
      <c r="B48" s="1974">
        <f t="shared" si="1"/>
        <v>5191421039</v>
      </c>
      <c r="C48" s="1059">
        <v>2</v>
      </c>
      <c r="D48" s="1954">
        <v>2</v>
      </c>
      <c r="E48" s="1954">
        <v>2</v>
      </c>
      <c r="F48" s="1965">
        <v>2</v>
      </c>
      <c r="G48" s="1965">
        <v>2</v>
      </c>
      <c r="H48" s="1965">
        <v>5</v>
      </c>
      <c r="I48" s="1965">
        <v>5</v>
      </c>
      <c r="J48" s="1965"/>
      <c r="K48" s="1965"/>
      <c r="L48" s="2773">
        <v>10</v>
      </c>
      <c r="M48" s="2774"/>
      <c r="N48" s="1058">
        <v>2</v>
      </c>
      <c r="O48" s="1951">
        <v>2</v>
      </c>
      <c r="P48" s="1951">
        <v>2</v>
      </c>
      <c r="Q48" s="1056">
        <v>2</v>
      </c>
      <c r="R48" s="1056">
        <v>2</v>
      </c>
      <c r="S48" s="1056">
        <v>5</v>
      </c>
      <c r="T48" s="1056">
        <v>5</v>
      </c>
      <c r="U48" s="1056">
        <v>5</v>
      </c>
      <c r="V48" s="1056">
        <v>5</v>
      </c>
      <c r="W48" s="1056"/>
      <c r="X48" s="1056"/>
      <c r="Z48" s="575" t="s">
        <v>27</v>
      </c>
      <c r="AA48" s="1020">
        <f t="shared" si="0"/>
        <v>80</v>
      </c>
    </row>
    <row r="49" spans="1:42" s="1018" customFormat="1" ht="39" customHeight="1" x14ac:dyDescent="0.35">
      <c r="A49" s="1986">
        <v>40</v>
      </c>
      <c r="B49" s="1974">
        <f t="shared" si="1"/>
        <v>5191421040</v>
      </c>
      <c r="C49" s="1059">
        <v>1</v>
      </c>
      <c r="D49" s="1954">
        <v>2</v>
      </c>
      <c r="E49" s="1954">
        <v>2</v>
      </c>
      <c r="F49" s="1965">
        <v>2</v>
      </c>
      <c r="G49" s="1965">
        <v>2</v>
      </c>
      <c r="H49" s="1965">
        <v>5</v>
      </c>
      <c r="I49" s="1965">
        <v>5</v>
      </c>
      <c r="J49" s="1965">
        <v>3</v>
      </c>
      <c r="K49" s="1965">
        <v>5</v>
      </c>
      <c r="L49" s="2773"/>
      <c r="M49" s="2774"/>
      <c r="N49" s="1058">
        <v>2</v>
      </c>
      <c r="O49" s="1058">
        <v>1</v>
      </c>
      <c r="P49" s="1058">
        <v>0</v>
      </c>
      <c r="Q49" s="1056">
        <v>2</v>
      </c>
      <c r="R49" s="1056">
        <v>2</v>
      </c>
      <c r="S49" s="1056">
        <v>4</v>
      </c>
      <c r="T49" s="1056">
        <v>5</v>
      </c>
      <c r="U49" s="1056">
        <v>5</v>
      </c>
      <c r="V49" s="1056">
        <v>3</v>
      </c>
      <c r="W49" s="1056"/>
      <c r="X49" s="1056"/>
      <c r="Z49" s="575" t="s">
        <v>33</v>
      </c>
      <c r="AA49" s="1020">
        <f t="shared" si="0"/>
        <v>60</v>
      </c>
    </row>
    <row r="50" spans="1:42" s="1018" customFormat="1" ht="39" customHeight="1" x14ac:dyDescent="0.35">
      <c r="A50" s="1986">
        <v>41</v>
      </c>
      <c r="B50" s="1974">
        <f t="shared" si="1"/>
        <v>5191421041</v>
      </c>
      <c r="C50" s="1954">
        <v>2</v>
      </c>
      <c r="D50" s="1954">
        <v>2</v>
      </c>
      <c r="E50" s="1954">
        <v>2</v>
      </c>
      <c r="F50" s="1965">
        <v>2</v>
      </c>
      <c r="G50" s="1965">
        <v>0</v>
      </c>
      <c r="H50" s="1965">
        <v>5</v>
      </c>
      <c r="I50" s="1965">
        <v>5</v>
      </c>
      <c r="J50" s="1965">
        <v>5</v>
      </c>
      <c r="K50" s="1965">
        <v>3</v>
      </c>
      <c r="L50" s="2773"/>
      <c r="M50" s="2774"/>
      <c r="N50" s="1951">
        <v>2</v>
      </c>
      <c r="O50" s="1951">
        <v>2</v>
      </c>
      <c r="P50" s="1951">
        <v>2</v>
      </c>
      <c r="Q50" s="1056">
        <v>2</v>
      </c>
      <c r="R50" s="1056">
        <v>2</v>
      </c>
      <c r="S50" s="1056">
        <v>5</v>
      </c>
      <c r="T50" s="1056">
        <v>5</v>
      </c>
      <c r="U50" s="1056">
        <v>4</v>
      </c>
      <c r="V50" s="1056">
        <v>5</v>
      </c>
      <c r="W50" s="1056"/>
      <c r="X50" s="1056"/>
      <c r="Z50" s="575" t="s">
        <v>27</v>
      </c>
      <c r="AA50" s="1020">
        <f t="shared" si="0"/>
        <v>80</v>
      </c>
    </row>
    <row r="51" spans="1:42" s="1018" customFormat="1" ht="39" customHeight="1" x14ac:dyDescent="0.35">
      <c r="A51" s="1986">
        <v>42</v>
      </c>
      <c r="B51" s="1974">
        <f t="shared" si="1"/>
        <v>5191421042</v>
      </c>
      <c r="C51" s="1059">
        <v>2</v>
      </c>
      <c r="D51" s="1954">
        <v>2</v>
      </c>
      <c r="E51" s="1954">
        <v>2</v>
      </c>
      <c r="F51" s="1965">
        <v>0</v>
      </c>
      <c r="G51" s="1965">
        <v>0</v>
      </c>
      <c r="H51" s="1965">
        <v>5</v>
      </c>
      <c r="I51" s="1965">
        <v>3</v>
      </c>
      <c r="J51" s="1965">
        <v>2</v>
      </c>
      <c r="K51" s="1965"/>
      <c r="L51" s="2773"/>
      <c r="M51" s="2774"/>
      <c r="N51" s="1058">
        <v>0</v>
      </c>
      <c r="O51" s="1058">
        <v>0</v>
      </c>
      <c r="P51" s="1058">
        <v>0</v>
      </c>
      <c r="Q51" s="1056">
        <v>0</v>
      </c>
      <c r="R51" s="1056">
        <v>1</v>
      </c>
      <c r="S51" s="1056"/>
      <c r="T51" s="1056"/>
      <c r="U51" s="1056">
        <v>5</v>
      </c>
      <c r="V51" s="1056"/>
      <c r="W51" s="1056"/>
      <c r="X51" s="1056"/>
      <c r="Z51" s="575" t="s">
        <v>29</v>
      </c>
      <c r="AA51" s="1020">
        <f t="shared" si="0"/>
        <v>39</v>
      </c>
    </row>
    <row r="52" spans="1:42" s="1018" customFormat="1" ht="39" customHeight="1" x14ac:dyDescent="0.35">
      <c r="A52" s="1986">
        <v>43</v>
      </c>
      <c r="B52" s="1974">
        <f t="shared" si="1"/>
        <v>5191421043</v>
      </c>
      <c r="C52" s="1059">
        <v>2</v>
      </c>
      <c r="D52" s="1954">
        <v>2</v>
      </c>
      <c r="E52" s="1954">
        <v>2</v>
      </c>
      <c r="F52" s="1965">
        <v>2</v>
      </c>
      <c r="G52" s="1965"/>
      <c r="H52" s="1965"/>
      <c r="I52" s="1965"/>
      <c r="J52" s="1965">
        <v>5</v>
      </c>
      <c r="K52" s="1965">
        <v>5</v>
      </c>
      <c r="L52" s="2773">
        <v>10</v>
      </c>
      <c r="M52" s="2774"/>
      <c r="N52" s="1058">
        <v>2</v>
      </c>
      <c r="O52" s="1058">
        <v>1</v>
      </c>
      <c r="P52" s="1058">
        <v>1</v>
      </c>
      <c r="Q52" s="1056">
        <v>2</v>
      </c>
      <c r="R52" s="1056">
        <v>2</v>
      </c>
      <c r="S52" s="1056">
        <v>5</v>
      </c>
      <c r="T52" s="1056">
        <v>3</v>
      </c>
      <c r="U52" s="1056">
        <v>5</v>
      </c>
      <c r="V52" s="1056">
        <v>5</v>
      </c>
      <c r="W52" s="1056"/>
      <c r="X52" s="1056"/>
      <c r="Z52" s="575" t="s">
        <v>30</v>
      </c>
      <c r="AA52" s="1020">
        <f t="shared" si="0"/>
        <v>90</v>
      </c>
    </row>
    <row r="53" spans="1:42" s="1018" customFormat="1" ht="39" customHeight="1" x14ac:dyDescent="0.35">
      <c r="A53" s="1986">
        <v>44</v>
      </c>
      <c r="B53" s="1974">
        <f t="shared" si="1"/>
        <v>5191421044</v>
      </c>
      <c r="C53" s="1059">
        <v>2</v>
      </c>
      <c r="D53" s="1954">
        <v>2</v>
      </c>
      <c r="E53" s="1954">
        <v>2</v>
      </c>
      <c r="F53" s="1965">
        <v>2</v>
      </c>
      <c r="G53" s="1965">
        <v>1</v>
      </c>
      <c r="H53" s="1965"/>
      <c r="I53" s="1965"/>
      <c r="J53" s="1965">
        <v>5</v>
      </c>
      <c r="K53" s="1965">
        <v>5</v>
      </c>
      <c r="L53" s="2773">
        <v>10</v>
      </c>
      <c r="M53" s="2774"/>
      <c r="N53" s="1058">
        <v>2</v>
      </c>
      <c r="O53" s="1058">
        <v>2</v>
      </c>
      <c r="P53" s="1058">
        <v>2</v>
      </c>
      <c r="Q53" s="1056">
        <v>2</v>
      </c>
      <c r="R53" s="1056">
        <v>2</v>
      </c>
      <c r="S53" s="1056">
        <v>5</v>
      </c>
      <c r="T53" s="1056">
        <v>5</v>
      </c>
      <c r="U53" s="1056">
        <v>5</v>
      </c>
      <c r="V53" s="1056">
        <v>5</v>
      </c>
      <c r="W53" s="1056"/>
      <c r="X53" s="1056"/>
      <c r="Z53" s="575" t="s">
        <v>27</v>
      </c>
      <c r="AA53" s="1020">
        <f t="shared" si="0"/>
        <v>80</v>
      </c>
    </row>
    <row r="54" spans="1:42" s="1018" customFormat="1" ht="39" customHeight="1" x14ac:dyDescent="0.35">
      <c r="A54" s="1986">
        <v>45</v>
      </c>
      <c r="B54" s="1974">
        <f t="shared" si="1"/>
        <v>5191421045</v>
      </c>
      <c r="C54" s="1059">
        <v>2</v>
      </c>
      <c r="D54" s="1954">
        <v>2</v>
      </c>
      <c r="E54" s="1954">
        <v>2</v>
      </c>
      <c r="F54" s="1965">
        <v>2</v>
      </c>
      <c r="G54" s="1965">
        <v>2</v>
      </c>
      <c r="H54" s="1965">
        <v>5</v>
      </c>
      <c r="I54" s="1965">
        <v>5</v>
      </c>
      <c r="J54" s="1965">
        <v>5</v>
      </c>
      <c r="K54" s="1965">
        <v>3</v>
      </c>
      <c r="L54" s="2773"/>
      <c r="M54" s="2774"/>
      <c r="N54" s="1951">
        <v>2</v>
      </c>
      <c r="O54" s="1951"/>
      <c r="P54" s="1951"/>
      <c r="Q54" s="1056">
        <v>2</v>
      </c>
      <c r="R54" s="1056">
        <v>1</v>
      </c>
      <c r="S54" s="1056">
        <v>3</v>
      </c>
      <c r="T54" s="1056"/>
      <c r="U54" s="1056">
        <v>0</v>
      </c>
      <c r="V54" s="1056"/>
      <c r="W54" s="1056"/>
      <c r="X54" s="1056"/>
      <c r="Z54" s="575" t="s">
        <v>31</v>
      </c>
      <c r="AA54" s="1020">
        <f t="shared" si="0"/>
        <v>55</v>
      </c>
    </row>
    <row r="55" spans="1:42" s="1018" customFormat="1" ht="39" customHeight="1" x14ac:dyDescent="0.35">
      <c r="A55" s="1986">
        <v>46</v>
      </c>
      <c r="B55" s="1974">
        <f t="shared" si="1"/>
        <v>5191421046</v>
      </c>
      <c r="C55" s="1059">
        <v>2</v>
      </c>
      <c r="D55" s="1954">
        <v>2</v>
      </c>
      <c r="E55" s="1954">
        <v>2</v>
      </c>
      <c r="F55" s="1965">
        <v>2</v>
      </c>
      <c r="G55" s="1965">
        <v>2</v>
      </c>
      <c r="H55" s="1971">
        <v>5</v>
      </c>
      <c r="I55" s="1965">
        <v>5</v>
      </c>
      <c r="J55" s="1965">
        <v>5</v>
      </c>
      <c r="K55" s="1965">
        <v>5</v>
      </c>
      <c r="L55" s="2773"/>
      <c r="M55" s="2774"/>
      <c r="N55" s="1951">
        <v>2</v>
      </c>
      <c r="O55" s="1951">
        <v>2</v>
      </c>
      <c r="P55" s="1951">
        <v>0</v>
      </c>
      <c r="Q55" s="1056">
        <v>2</v>
      </c>
      <c r="R55" s="1056">
        <v>2</v>
      </c>
      <c r="S55" s="1056">
        <v>5</v>
      </c>
      <c r="T55" s="1056"/>
      <c r="U55" s="1056">
        <v>3</v>
      </c>
      <c r="V55" s="1056"/>
      <c r="W55" s="1056"/>
      <c r="X55" s="1056"/>
      <c r="Z55" s="575" t="s">
        <v>27</v>
      </c>
      <c r="AA55" s="1020">
        <f t="shared" si="0"/>
        <v>80</v>
      </c>
    </row>
    <row r="56" spans="1:42" s="1018" customFormat="1" ht="39" customHeight="1" x14ac:dyDescent="0.35">
      <c r="A56" s="1986">
        <v>47</v>
      </c>
      <c r="B56" s="1974">
        <f t="shared" si="1"/>
        <v>5191421047</v>
      </c>
      <c r="C56" s="1059"/>
      <c r="D56" s="1954"/>
      <c r="E56" s="1954"/>
      <c r="F56" s="1965"/>
      <c r="G56" s="1965"/>
      <c r="H56" s="1965"/>
      <c r="I56" s="1965"/>
      <c r="J56" s="1965"/>
      <c r="K56" s="1965"/>
      <c r="L56" s="2773"/>
      <c r="M56" s="2774"/>
      <c r="N56" s="1951">
        <v>1</v>
      </c>
      <c r="O56" s="1951">
        <v>2</v>
      </c>
      <c r="P56" s="1951">
        <v>1</v>
      </c>
      <c r="Q56" s="1056">
        <v>1</v>
      </c>
      <c r="R56" s="1056"/>
      <c r="S56" s="1056">
        <v>5</v>
      </c>
      <c r="T56" s="1056">
        <v>1</v>
      </c>
      <c r="U56" s="1056"/>
      <c r="V56" s="1056"/>
      <c r="W56" s="1056"/>
      <c r="X56" s="1056"/>
      <c r="Z56" s="575" t="s">
        <v>29</v>
      </c>
      <c r="AA56" s="1020">
        <f t="shared" si="0"/>
        <v>39</v>
      </c>
    </row>
    <row r="57" spans="1:42" s="1018" customFormat="1" ht="39" customHeight="1" x14ac:dyDescent="0.35">
      <c r="A57" s="1986">
        <v>48</v>
      </c>
      <c r="B57" s="1974">
        <f t="shared" si="1"/>
        <v>5191421048</v>
      </c>
      <c r="C57" s="1059">
        <v>2</v>
      </c>
      <c r="D57" s="1954">
        <v>2</v>
      </c>
      <c r="E57" s="1954">
        <v>2</v>
      </c>
      <c r="F57" s="1965">
        <v>2</v>
      </c>
      <c r="G57" s="1965">
        <v>2</v>
      </c>
      <c r="H57" s="1971">
        <v>4</v>
      </c>
      <c r="I57" s="1965">
        <v>4</v>
      </c>
      <c r="J57" s="1965">
        <v>5</v>
      </c>
      <c r="K57" s="1965">
        <v>5</v>
      </c>
      <c r="L57" s="2773"/>
      <c r="M57" s="2774"/>
      <c r="N57" s="1951">
        <v>2</v>
      </c>
      <c r="O57" s="1951">
        <v>2</v>
      </c>
      <c r="P57" s="1951">
        <v>0</v>
      </c>
      <c r="Q57" s="1056">
        <v>2</v>
      </c>
      <c r="R57" s="1056">
        <v>2</v>
      </c>
      <c r="S57" s="1056">
        <v>5</v>
      </c>
      <c r="T57" s="1056">
        <v>5</v>
      </c>
      <c r="U57" s="1056">
        <v>3</v>
      </c>
      <c r="V57" s="1056">
        <v>3</v>
      </c>
      <c r="W57" s="1056"/>
      <c r="X57" s="1056"/>
      <c r="Z57" s="575" t="s">
        <v>27</v>
      </c>
      <c r="AA57" s="1020">
        <f t="shared" si="0"/>
        <v>80</v>
      </c>
    </row>
    <row r="58" spans="1:42" s="1018" customFormat="1" ht="39" customHeight="1" x14ac:dyDescent="0.35">
      <c r="A58" s="1986">
        <v>49</v>
      </c>
      <c r="B58" s="1974">
        <f t="shared" si="1"/>
        <v>5191421049</v>
      </c>
      <c r="C58" s="1059"/>
      <c r="D58" s="1954"/>
      <c r="E58" s="1954"/>
      <c r="F58" s="1965"/>
      <c r="G58" s="1965"/>
      <c r="H58" s="1965"/>
      <c r="I58" s="1965"/>
      <c r="J58" s="1965"/>
      <c r="K58" s="1965"/>
      <c r="L58" s="2773"/>
      <c r="M58" s="2774"/>
      <c r="N58" s="1951">
        <v>2</v>
      </c>
      <c r="O58" s="1951">
        <v>2</v>
      </c>
      <c r="P58" s="1951">
        <v>0</v>
      </c>
      <c r="Q58" s="1056">
        <v>2</v>
      </c>
      <c r="R58" s="1056">
        <v>2</v>
      </c>
      <c r="S58" s="1056">
        <v>5</v>
      </c>
      <c r="T58" s="1056">
        <v>5</v>
      </c>
      <c r="U58" s="1056">
        <v>3</v>
      </c>
      <c r="V58" s="1056">
        <v>3</v>
      </c>
      <c r="W58" s="1056">
        <v>4</v>
      </c>
      <c r="X58" s="1056"/>
      <c r="Z58" s="575" t="s">
        <v>31</v>
      </c>
      <c r="AA58" s="1020">
        <f t="shared" si="0"/>
        <v>55</v>
      </c>
    </row>
    <row r="59" spans="1:42" s="1018" customFormat="1" ht="39" customHeight="1" x14ac:dyDescent="0.35">
      <c r="A59" s="1062"/>
      <c r="B59" s="1987"/>
      <c r="C59" s="1951">
        <f>COUNT(C10:C58)</f>
        <v>46</v>
      </c>
      <c r="D59" s="1951">
        <f t="shared" ref="D59:L59" si="2">COUNT(D10:D58)</f>
        <v>46</v>
      </c>
      <c r="E59" s="1951">
        <f t="shared" si="2"/>
        <v>45</v>
      </c>
      <c r="F59" s="1951">
        <f t="shared" si="2"/>
        <v>42</v>
      </c>
      <c r="G59" s="1951">
        <f t="shared" si="2"/>
        <v>40</v>
      </c>
      <c r="H59" s="1951">
        <f t="shared" si="2"/>
        <v>38</v>
      </c>
      <c r="I59" s="1951">
        <f t="shared" si="2"/>
        <v>38</v>
      </c>
      <c r="J59" s="1951">
        <f t="shared" si="2"/>
        <v>37</v>
      </c>
      <c r="K59" s="1951">
        <f t="shared" si="2"/>
        <v>26</v>
      </c>
      <c r="L59" s="2789">
        <f t="shared" si="2"/>
        <v>17</v>
      </c>
      <c r="M59" s="2789"/>
      <c r="N59" s="1951">
        <f>COUNT(N10:N58)</f>
        <v>49</v>
      </c>
      <c r="O59" s="1951">
        <f t="shared" ref="O59:X59" si="3">COUNT(O10:O58)</f>
        <v>48</v>
      </c>
      <c r="P59" s="1951">
        <f t="shared" si="3"/>
        <v>48</v>
      </c>
      <c r="Q59" s="1951">
        <f t="shared" si="3"/>
        <v>49</v>
      </c>
      <c r="R59" s="1951">
        <f t="shared" si="3"/>
        <v>48</v>
      </c>
      <c r="S59" s="1951">
        <f t="shared" si="3"/>
        <v>48</v>
      </c>
      <c r="T59" s="1951">
        <f t="shared" si="3"/>
        <v>44</v>
      </c>
      <c r="U59" s="1951">
        <f t="shared" si="3"/>
        <v>39</v>
      </c>
      <c r="V59" s="1951">
        <f t="shared" si="3"/>
        <v>33</v>
      </c>
      <c r="W59" s="1951">
        <f t="shared" si="3"/>
        <v>15</v>
      </c>
      <c r="X59" s="1951">
        <f t="shared" si="3"/>
        <v>5</v>
      </c>
      <c r="Y59" s="1019"/>
      <c r="Z59" s="1036"/>
      <c r="AA59" s="1019"/>
    </row>
    <row r="60" spans="1:42" s="1018" customFormat="1" ht="74.25" customHeight="1" x14ac:dyDescent="0.35">
      <c r="A60" s="1953" t="s">
        <v>34</v>
      </c>
      <c r="B60" s="1954">
        <v>55</v>
      </c>
      <c r="C60" s="1988">
        <f>ROUNDUP(C9*(B60/100),1)</f>
        <v>1.1000000000000001</v>
      </c>
      <c r="D60" s="1988">
        <f>D9*($B$60/100)</f>
        <v>1.1000000000000001</v>
      </c>
      <c r="E60" s="1988">
        <f t="shared" ref="E60:L60" si="4">E9*($B$60/100)</f>
        <v>1.1000000000000001</v>
      </c>
      <c r="F60" s="1988">
        <f t="shared" si="4"/>
        <v>1.1000000000000001</v>
      </c>
      <c r="G60" s="1988">
        <f t="shared" si="4"/>
        <v>1.1000000000000001</v>
      </c>
      <c r="H60" s="1988">
        <f t="shared" si="4"/>
        <v>2.75</v>
      </c>
      <c r="I60" s="1988">
        <f t="shared" si="4"/>
        <v>2.75</v>
      </c>
      <c r="J60" s="1988">
        <f t="shared" si="4"/>
        <v>2.75</v>
      </c>
      <c r="K60" s="1988">
        <f t="shared" si="4"/>
        <v>2.75</v>
      </c>
      <c r="L60" s="2789">
        <f t="shared" si="4"/>
        <v>5.5</v>
      </c>
      <c r="M60" s="2789"/>
      <c r="N60" s="1988">
        <f>N9*(B60/100)</f>
        <v>1.1000000000000001</v>
      </c>
      <c r="O60" s="1988">
        <f>O9*($B$60/100)</f>
        <v>1.1000000000000001</v>
      </c>
      <c r="P60" s="1988">
        <f t="shared" ref="P60:X60" si="5">P9*($B$60/100)</f>
        <v>1.1000000000000001</v>
      </c>
      <c r="Q60" s="1988">
        <f t="shared" si="5"/>
        <v>1.1000000000000001</v>
      </c>
      <c r="R60" s="1988">
        <f t="shared" si="5"/>
        <v>1.1000000000000001</v>
      </c>
      <c r="S60" s="1988">
        <f t="shared" si="5"/>
        <v>2.75</v>
      </c>
      <c r="T60" s="1988">
        <f t="shared" si="5"/>
        <v>2.75</v>
      </c>
      <c r="U60" s="1988">
        <f t="shared" si="5"/>
        <v>2.75</v>
      </c>
      <c r="V60" s="1988">
        <f t="shared" si="5"/>
        <v>2.75</v>
      </c>
      <c r="W60" s="1988">
        <f t="shared" si="5"/>
        <v>2.75</v>
      </c>
      <c r="X60" s="1988">
        <f t="shared" si="5"/>
        <v>2.75</v>
      </c>
      <c r="Y60" s="1019"/>
      <c r="Z60" s="1036"/>
      <c r="AA60" s="1019">
        <f>COUNTIF(AA10:AA58,"&gt;="&amp;B60)</f>
        <v>40</v>
      </c>
    </row>
    <row r="61" spans="1:42" s="1018" customFormat="1" ht="61.5" customHeight="1" x14ac:dyDescent="0.35">
      <c r="A61" s="2779" t="s">
        <v>35</v>
      </c>
      <c r="B61" s="2779"/>
      <c r="C61" s="1951">
        <f>COUNTIF(C10:C58,"&gt;=1")</f>
        <v>45</v>
      </c>
      <c r="D61" s="1951">
        <f t="shared" ref="D61:L61" si="6">COUNTIF(D10:D58,"&gt;=1")</f>
        <v>45</v>
      </c>
      <c r="E61" s="1951">
        <f t="shared" si="6"/>
        <v>43</v>
      </c>
      <c r="F61" s="1951">
        <f t="shared" si="6"/>
        <v>39</v>
      </c>
      <c r="G61" s="1951">
        <f t="shared" si="6"/>
        <v>32</v>
      </c>
      <c r="H61" s="1951">
        <f t="shared" si="6"/>
        <v>38</v>
      </c>
      <c r="I61" s="1951">
        <f t="shared" si="6"/>
        <v>38</v>
      </c>
      <c r="J61" s="1951">
        <f t="shared" si="6"/>
        <v>37</v>
      </c>
      <c r="K61" s="1951">
        <f t="shared" si="6"/>
        <v>26</v>
      </c>
      <c r="L61" s="2789">
        <f t="shared" si="6"/>
        <v>17</v>
      </c>
      <c r="M61" s="2789"/>
      <c r="N61" s="1951">
        <f>COUNTIF(N10:N58,"&gt;=1")</f>
        <v>46</v>
      </c>
      <c r="O61" s="1951">
        <f t="shared" ref="O61:X61" si="7">COUNTIF(O10:O58,"&gt;=1")</f>
        <v>44</v>
      </c>
      <c r="P61" s="1951">
        <f t="shared" si="7"/>
        <v>25</v>
      </c>
      <c r="Q61" s="1951">
        <f t="shared" si="7"/>
        <v>40</v>
      </c>
      <c r="R61" s="1951">
        <f t="shared" si="7"/>
        <v>38</v>
      </c>
      <c r="S61" s="1951">
        <f t="shared" si="7"/>
        <v>43</v>
      </c>
      <c r="T61" s="1951">
        <f t="shared" si="7"/>
        <v>35</v>
      </c>
      <c r="U61" s="1951">
        <f t="shared" si="7"/>
        <v>34</v>
      </c>
      <c r="V61" s="1951">
        <f t="shared" si="7"/>
        <v>27</v>
      </c>
      <c r="W61" s="1951">
        <f t="shared" si="7"/>
        <v>11</v>
      </c>
      <c r="X61" s="1951">
        <f t="shared" si="7"/>
        <v>5</v>
      </c>
      <c r="Y61" s="1019"/>
      <c r="Z61" s="1036"/>
      <c r="AA61" s="1019">
        <f>(AA60/A58)*100</f>
        <v>81.632653061224488</v>
      </c>
      <c r="AD61" s="2775"/>
      <c r="AE61" s="2775"/>
      <c r="AF61" s="2775"/>
      <c r="AG61" s="2775"/>
      <c r="AH61" s="2775"/>
      <c r="AI61" s="1027"/>
      <c r="AJ61" s="1027"/>
      <c r="AK61" s="1028"/>
      <c r="AL61" s="2775"/>
      <c r="AM61" s="2775"/>
      <c r="AN61" s="2775"/>
      <c r="AO61" s="2775"/>
      <c r="AP61" s="2775"/>
    </row>
    <row r="62" spans="1:42" s="1018" customFormat="1" ht="63.75" customHeight="1" x14ac:dyDescent="0.35">
      <c r="A62" s="2776" t="s">
        <v>36</v>
      </c>
      <c r="B62" s="2776"/>
      <c r="C62" s="1989">
        <f t="shared" ref="C62:L62" si="8">C61/C59</f>
        <v>0.97826086956521741</v>
      </c>
      <c r="D62" s="1989">
        <f t="shared" si="8"/>
        <v>0.97826086956521741</v>
      </c>
      <c r="E62" s="1989">
        <f t="shared" si="8"/>
        <v>0.9555555555555556</v>
      </c>
      <c r="F62" s="1989">
        <f t="shared" si="8"/>
        <v>0.9285714285714286</v>
      </c>
      <c r="G62" s="1989">
        <f t="shared" si="8"/>
        <v>0.8</v>
      </c>
      <c r="H62" s="1989">
        <f t="shared" si="8"/>
        <v>1</v>
      </c>
      <c r="I62" s="1989">
        <f t="shared" si="8"/>
        <v>1</v>
      </c>
      <c r="J62" s="1989">
        <f t="shared" si="8"/>
        <v>1</v>
      </c>
      <c r="K62" s="1989">
        <f t="shared" si="8"/>
        <v>1</v>
      </c>
      <c r="L62" s="2789">
        <f t="shared" si="8"/>
        <v>1</v>
      </c>
      <c r="M62" s="2789"/>
      <c r="N62" s="1989">
        <f t="shared" ref="N62:X62" si="9">N61/N59</f>
        <v>0.93877551020408168</v>
      </c>
      <c r="O62" s="1989">
        <f t="shared" si="9"/>
        <v>0.91666666666666663</v>
      </c>
      <c r="P62" s="1989">
        <f t="shared" si="9"/>
        <v>0.52083333333333337</v>
      </c>
      <c r="Q62" s="1989">
        <f t="shared" si="9"/>
        <v>0.81632653061224492</v>
      </c>
      <c r="R62" s="1989">
        <f t="shared" si="9"/>
        <v>0.79166666666666663</v>
      </c>
      <c r="S62" s="1989">
        <f t="shared" si="9"/>
        <v>0.89583333333333337</v>
      </c>
      <c r="T62" s="1989">
        <f t="shared" si="9"/>
        <v>0.79545454545454541</v>
      </c>
      <c r="U62" s="1989">
        <f t="shared" si="9"/>
        <v>0.87179487179487181</v>
      </c>
      <c r="V62" s="1989">
        <f t="shared" si="9"/>
        <v>0.81818181818181823</v>
      </c>
      <c r="W62" s="1989">
        <f t="shared" si="9"/>
        <v>0.73333333333333328</v>
      </c>
      <c r="X62" s="1989">
        <f t="shared" si="9"/>
        <v>1</v>
      </c>
      <c r="Y62" s="1019"/>
      <c r="Z62" s="1036"/>
      <c r="AA62" s="1019"/>
    </row>
    <row r="63" spans="1:42" ht="23.25" x14ac:dyDescent="0.35">
      <c r="A63" s="1952"/>
      <c r="B63" s="1057"/>
      <c r="C63" s="1963" t="s">
        <v>22</v>
      </c>
      <c r="D63" s="1963" t="s">
        <v>22</v>
      </c>
      <c r="E63" s="1963" t="s">
        <v>40</v>
      </c>
      <c r="F63" s="1976" t="s">
        <v>22</v>
      </c>
      <c r="G63" s="1976" t="s">
        <v>22</v>
      </c>
      <c r="H63" s="1976" t="s">
        <v>22</v>
      </c>
      <c r="I63" s="1976" t="s">
        <v>22</v>
      </c>
      <c r="J63" s="1977" t="s">
        <v>40</v>
      </c>
      <c r="K63" s="1977" t="s">
        <v>40</v>
      </c>
      <c r="L63" s="2787" t="s">
        <v>40</v>
      </c>
      <c r="M63" s="2788"/>
      <c r="N63" s="1956" t="s">
        <v>41</v>
      </c>
      <c r="O63" s="1956" t="s">
        <v>42</v>
      </c>
      <c r="P63" s="1956" t="s">
        <v>43</v>
      </c>
      <c r="Q63" s="1955" t="s">
        <v>41</v>
      </c>
      <c r="R63" s="1955" t="s">
        <v>41</v>
      </c>
      <c r="S63" s="1955" t="s">
        <v>42</v>
      </c>
      <c r="T63" s="1955" t="s">
        <v>42</v>
      </c>
      <c r="U63" s="1990" t="s">
        <v>43</v>
      </c>
      <c r="V63" s="1990" t="s">
        <v>43</v>
      </c>
      <c r="W63" s="1990" t="s">
        <v>43</v>
      </c>
      <c r="X63" s="1990" t="s">
        <v>43</v>
      </c>
    </row>
    <row r="64" spans="1:42" x14ac:dyDescent="0.2">
      <c r="Z64" s="158"/>
    </row>
    <row r="65" spans="1:26" x14ac:dyDescent="0.2">
      <c r="Z65" s="158"/>
    </row>
    <row r="66" spans="1:26" x14ac:dyDescent="0.2">
      <c r="Z66" s="158"/>
    </row>
    <row r="67" spans="1:26" ht="23.25" x14ac:dyDescent="0.35">
      <c r="A67" s="158"/>
      <c r="B67" s="1991"/>
      <c r="C67" s="1061"/>
      <c r="D67" s="2769" t="s">
        <v>38</v>
      </c>
      <c r="E67" s="2770"/>
      <c r="F67" s="1061" t="s">
        <v>39</v>
      </c>
      <c r="G67" s="2769" t="s">
        <v>37</v>
      </c>
      <c r="H67" s="2770"/>
      <c r="I67" s="1031"/>
      <c r="J67" s="1031"/>
      <c r="K67" s="1031"/>
      <c r="L67" s="1031"/>
      <c r="M67" s="1031"/>
      <c r="N67" s="1031"/>
      <c r="O67" s="1031"/>
      <c r="P67" s="1031"/>
      <c r="Q67" s="1031"/>
      <c r="R67" s="1031"/>
      <c r="Z67" s="158"/>
    </row>
    <row r="68" spans="1:26" ht="23.25" x14ac:dyDescent="0.35">
      <c r="B68" s="1061"/>
      <c r="C68" s="1061" t="s">
        <v>22</v>
      </c>
      <c r="D68" s="1061">
        <f>AVERAGE(C62,D62,F62,G62,H62,I62)*100</f>
        <v>94.75155279503106</v>
      </c>
      <c r="E68" s="1061">
        <f>IF(D68&gt;=70,3,IF(AND(D68&gt;=60,D68&lt;70),2,IF(AND(D68&gt;=50,D68&lt;60),1)))</f>
        <v>3</v>
      </c>
      <c r="F68" s="1061">
        <f>IF(AA61&gt;=70,3,IF(AND(AA61&gt;=60,AA61&lt;70),2,IF(AND(AA61&gt;=50,AA61&lt;60),1)))</f>
        <v>3</v>
      </c>
      <c r="G68" s="2769">
        <f>(70/100)*F68+(30/100)*E68</f>
        <v>2.9999999999999996</v>
      </c>
      <c r="H68" s="2770"/>
      <c r="I68" s="1018"/>
      <c r="J68" s="1018"/>
      <c r="K68" s="1018"/>
      <c r="L68" s="1018"/>
      <c r="M68" s="1018"/>
      <c r="N68" s="1018"/>
      <c r="O68" s="1018"/>
      <c r="P68" s="1018"/>
      <c r="Q68" s="1018"/>
      <c r="R68" s="1018"/>
    </row>
    <row r="69" spans="1:26" ht="23.25" x14ac:dyDescent="0.35">
      <c r="B69" s="1061"/>
      <c r="C69" s="1061" t="s">
        <v>40</v>
      </c>
      <c r="D69" s="1061">
        <f>AVERAGE(E62,J62,K62,L62)*100</f>
        <v>98.888888888888886</v>
      </c>
      <c r="E69" s="1061">
        <f>IF(D69&gt;=70,3,IF(AND(D69&gt;=60,D69&lt;70),2,IF(AND(D69&gt;=50,D69&lt;60),1)))</f>
        <v>3</v>
      </c>
      <c r="F69" s="1061">
        <f>IF(AA61&gt;=70,3,IF(AND(AA61&gt;=60,AA61&lt;70),2,IF(AND(AA61&gt;=50,AA61&lt;60),1)))</f>
        <v>3</v>
      </c>
      <c r="G69" s="2769">
        <f>(70/100)*F69+(30/100)*E69</f>
        <v>2.9999999999999996</v>
      </c>
      <c r="H69" s="2770"/>
      <c r="I69" s="1018"/>
      <c r="J69" s="1018"/>
      <c r="K69" s="1018"/>
      <c r="L69" s="1018"/>
      <c r="M69" s="1018"/>
      <c r="N69" s="1018"/>
      <c r="O69" s="1018"/>
      <c r="P69" s="1018"/>
      <c r="Q69" s="1018"/>
      <c r="R69" s="1018"/>
    </row>
    <row r="70" spans="1:26" ht="23.25" x14ac:dyDescent="0.35">
      <c r="B70" s="1061"/>
      <c r="C70" s="1061" t="s">
        <v>41</v>
      </c>
      <c r="D70" s="1061">
        <f>AVERAGE(N62,Q62,R62)*100</f>
        <v>84.892290249433117</v>
      </c>
      <c r="E70" s="1061">
        <f>IF(D70&gt;=70,3,IF(AND(D70&gt;=60,D70&lt;70),2,IF(AND(D70&gt;=50,D70&lt;60),1)))</f>
        <v>3</v>
      </c>
      <c r="F70" s="1061">
        <f>IF(AA61&gt;=70,3,IF(AND(AA61&gt;=60,AA61&lt;70),2,IF(AND(AA61&gt;=50,AA61&lt;60),1)))</f>
        <v>3</v>
      </c>
      <c r="G70" s="2769">
        <f>(70/100)*F70+(30/100)*E70</f>
        <v>2.9999999999999996</v>
      </c>
      <c r="H70" s="2770"/>
      <c r="I70" s="1018"/>
      <c r="J70" s="1018"/>
      <c r="K70" s="1018"/>
      <c r="L70" s="1018"/>
      <c r="M70" s="1018"/>
      <c r="N70" s="1018"/>
      <c r="O70" s="1018"/>
      <c r="P70" s="1018"/>
      <c r="Q70" s="1018"/>
      <c r="R70" s="1018"/>
    </row>
    <row r="71" spans="1:26" ht="23.25" x14ac:dyDescent="0.35">
      <c r="B71" s="1061"/>
      <c r="C71" s="1061" t="s">
        <v>42</v>
      </c>
      <c r="D71" s="1061">
        <f>AVERAGE(O62,S62,T62)*100</f>
        <v>86.931818181818173</v>
      </c>
      <c r="E71" s="1061">
        <f>IF(D71&gt;=70,3,IF(AND(D71&gt;=60,D71&lt;70),2,IF(AND(D71&gt;=50,D71&lt;60),1)))</f>
        <v>3</v>
      </c>
      <c r="F71" s="1061">
        <f>IF(AA61&gt;=70,3,IF(AND(AA61&gt;=60,AA61&lt;70),2,IF(AND(AA61&gt;=50,AA61&lt;60),1)))</f>
        <v>3</v>
      </c>
      <c r="G71" s="2769">
        <f>(70/100)*F71+(30/100)*E71</f>
        <v>2.9999999999999996</v>
      </c>
      <c r="H71" s="2770"/>
      <c r="I71" s="1018"/>
      <c r="J71" s="1018"/>
      <c r="K71" s="1018"/>
      <c r="L71" s="1018"/>
      <c r="M71" s="1018"/>
      <c r="N71" s="1018"/>
      <c r="O71" s="1018"/>
      <c r="P71" s="1018"/>
      <c r="Q71" s="1018"/>
      <c r="R71" s="1018"/>
    </row>
    <row r="72" spans="1:26" ht="23.25" x14ac:dyDescent="0.35">
      <c r="B72" s="1061"/>
      <c r="C72" s="1061" t="s">
        <v>43</v>
      </c>
      <c r="D72" s="1061">
        <f>AVERAGE(P62,U62,V62,W62,X62)*100</f>
        <v>78.882867132867148</v>
      </c>
      <c r="E72" s="1061">
        <f>IF(D72&gt;=70,3,IF(AND(D72&gt;=60,D72&lt;70),2,IF(AND(D72&gt;=50,D72&lt;60),1)))</f>
        <v>3</v>
      </c>
      <c r="F72" s="1061">
        <f>IF(AA61&gt;=70,3,IF(AND(AA61&gt;=60,AA61&lt;70),2,IF(AND(AA61&gt;=50,AA61&lt;60),1)))</f>
        <v>3</v>
      </c>
      <c r="G72" s="2769">
        <f>(70/100)*F72+(30/100)*E72</f>
        <v>2.9999999999999996</v>
      </c>
      <c r="H72" s="2770"/>
      <c r="I72" s="1018"/>
      <c r="J72" s="1018"/>
      <c r="K72" s="1018"/>
      <c r="L72" s="1018"/>
      <c r="M72" s="1018"/>
      <c r="N72" s="1018"/>
      <c r="O72" s="1018"/>
      <c r="P72" s="1018"/>
      <c r="Q72" s="1018"/>
      <c r="R72" s="1018"/>
    </row>
    <row r="73" spans="1:26" ht="23.25" x14ac:dyDescent="0.35">
      <c r="B73" s="1962" t="s">
        <v>44</v>
      </c>
      <c r="C73" s="1962"/>
      <c r="D73" s="1962"/>
      <c r="E73" s="1962"/>
      <c r="F73" s="1962"/>
      <c r="G73" s="2771">
        <f>AVERAGE(G68:G72)</f>
        <v>2.9999999999999996</v>
      </c>
      <c r="H73" s="2772"/>
      <c r="I73" s="1018"/>
      <c r="J73" s="1018"/>
      <c r="K73" s="1018"/>
      <c r="L73" s="1018"/>
      <c r="M73" s="1018"/>
      <c r="N73" s="1018"/>
      <c r="O73" s="1018"/>
      <c r="P73" s="1018"/>
      <c r="Q73" s="1018"/>
      <c r="R73" s="1018"/>
    </row>
    <row r="74" spans="1:26" ht="20.25" x14ac:dyDescent="0.3">
      <c r="B74" s="1018"/>
      <c r="C74" s="1018"/>
      <c r="D74" s="1018"/>
      <c r="E74" s="1018"/>
      <c r="F74" s="1018"/>
      <c r="G74" s="1018"/>
      <c r="H74" s="1018"/>
      <c r="I74" s="1018"/>
      <c r="J74" s="1018"/>
      <c r="K74" s="1018"/>
      <c r="L74" s="1018"/>
      <c r="M74" s="1018"/>
      <c r="N74" s="1018"/>
      <c r="O74" s="1018"/>
      <c r="P74" s="1018"/>
      <c r="Q74" s="1018"/>
      <c r="R74" s="1018"/>
    </row>
    <row r="75" spans="1:26" ht="20.25" x14ac:dyDescent="0.3">
      <c r="B75" s="1021" t="s">
        <v>159</v>
      </c>
      <c r="C75" s="1021"/>
      <c r="D75" s="1021"/>
      <c r="E75" s="1022"/>
      <c r="F75" s="1022"/>
      <c r="G75" s="1022"/>
      <c r="H75" s="1022"/>
      <c r="I75" s="1022"/>
      <c r="J75" s="1022"/>
      <c r="K75" s="1022"/>
      <c r="L75" s="1022"/>
      <c r="M75" s="1022"/>
      <c r="N75" s="1022"/>
      <c r="O75" s="1022"/>
      <c r="P75" s="1018"/>
      <c r="Q75" s="1018"/>
      <c r="R75" s="1018"/>
    </row>
    <row r="76" spans="1:26" ht="20.25" x14ac:dyDescent="0.3">
      <c r="B76" s="1018"/>
      <c r="C76" s="1022"/>
      <c r="D76" s="1022"/>
      <c r="E76" s="1022"/>
      <c r="F76" s="1022"/>
      <c r="G76" s="1022"/>
      <c r="H76" s="1022"/>
      <c r="I76" s="1022"/>
      <c r="J76" s="1022"/>
      <c r="K76" s="1022"/>
      <c r="L76" s="1022"/>
      <c r="M76" s="1022"/>
      <c r="N76" s="1022"/>
      <c r="O76" s="1022"/>
      <c r="P76" s="1018"/>
      <c r="Q76" s="1018"/>
      <c r="R76" s="1018"/>
    </row>
    <row r="77" spans="1:26" ht="20.25" x14ac:dyDescent="0.3">
      <c r="B77" s="2768" t="s">
        <v>174</v>
      </c>
      <c r="C77" s="2768"/>
      <c r="D77" s="2494" t="s">
        <v>46</v>
      </c>
      <c r="E77" s="2495" t="s">
        <v>135</v>
      </c>
      <c r="F77" s="2495" t="s">
        <v>48</v>
      </c>
      <c r="G77" s="2495" t="s">
        <v>49</v>
      </c>
      <c r="H77" s="2495" t="s">
        <v>50</v>
      </c>
      <c r="I77" s="2495" t="s">
        <v>136</v>
      </c>
      <c r="J77" s="2495" t="s">
        <v>52</v>
      </c>
      <c r="K77" s="2495" t="s">
        <v>53</v>
      </c>
      <c r="L77" s="2495" t="s">
        <v>54</v>
      </c>
      <c r="M77" s="2495" t="s">
        <v>55</v>
      </c>
      <c r="N77" s="2495" t="s">
        <v>56</v>
      </c>
      <c r="O77" s="2495" t="s">
        <v>57</v>
      </c>
      <c r="P77" s="1023" t="s">
        <v>87</v>
      </c>
      <c r="Q77" s="1023" t="s">
        <v>88</v>
      </c>
      <c r="R77" s="1023" t="s">
        <v>85</v>
      </c>
    </row>
    <row r="78" spans="1:26" ht="23.25" x14ac:dyDescent="0.3">
      <c r="B78" s="2765" t="s">
        <v>22</v>
      </c>
      <c r="C78" s="2765"/>
      <c r="D78" s="1060">
        <v>3</v>
      </c>
      <c r="E78" s="1060">
        <v>3</v>
      </c>
      <c r="F78" s="1060">
        <v>2</v>
      </c>
      <c r="G78" s="1060">
        <v>2</v>
      </c>
      <c r="H78" s="1060">
        <v>1</v>
      </c>
      <c r="I78" s="1060"/>
      <c r="J78" s="1060"/>
      <c r="K78" s="1060"/>
      <c r="L78" s="1060"/>
      <c r="M78" s="1060"/>
      <c r="N78" s="1060"/>
      <c r="O78" s="1060">
        <v>2</v>
      </c>
      <c r="P78" s="1384">
        <v>3</v>
      </c>
      <c r="Q78" s="1384">
        <v>2</v>
      </c>
      <c r="R78" s="1384">
        <v>1</v>
      </c>
    </row>
    <row r="79" spans="1:26" ht="23.25" x14ac:dyDescent="0.3">
      <c r="B79" s="2765" t="s">
        <v>40</v>
      </c>
      <c r="C79" s="2765"/>
      <c r="D79" s="1060">
        <v>3</v>
      </c>
      <c r="E79" s="1060">
        <v>3</v>
      </c>
      <c r="F79" s="1060">
        <v>2</v>
      </c>
      <c r="G79" s="1060">
        <v>2</v>
      </c>
      <c r="H79" s="1060">
        <v>1</v>
      </c>
      <c r="I79" s="1060"/>
      <c r="J79" s="1060"/>
      <c r="K79" s="1060"/>
      <c r="L79" s="1060"/>
      <c r="M79" s="1060"/>
      <c r="N79" s="1060"/>
      <c r="O79" s="1060">
        <v>2</v>
      </c>
      <c r="P79" s="1384">
        <v>3</v>
      </c>
      <c r="Q79" s="1384">
        <v>2</v>
      </c>
      <c r="R79" s="1384">
        <v>1</v>
      </c>
    </row>
    <row r="80" spans="1:26" ht="23.25" x14ac:dyDescent="0.3">
      <c r="B80" s="2765" t="s">
        <v>41</v>
      </c>
      <c r="C80" s="2765"/>
      <c r="D80" s="1060">
        <v>3</v>
      </c>
      <c r="E80" s="1060">
        <v>3</v>
      </c>
      <c r="F80" s="1060">
        <v>1</v>
      </c>
      <c r="G80" s="1060">
        <v>2</v>
      </c>
      <c r="H80" s="1060">
        <v>1</v>
      </c>
      <c r="I80" s="1060"/>
      <c r="J80" s="1060"/>
      <c r="K80" s="1060"/>
      <c r="L80" s="1060"/>
      <c r="M80" s="1060"/>
      <c r="N80" s="1060"/>
      <c r="O80" s="1060">
        <v>2</v>
      </c>
      <c r="P80" s="1384">
        <v>2</v>
      </c>
      <c r="Q80" s="1384">
        <v>2</v>
      </c>
      <c r="R80" s="1384">
        <v>1</v>
      </c>
    </row>
    <row r="81" spans="2:18" ht="23.25" x14ac:dyDescent="0.3">
      <c r="B81" s="2765" t="s">
        <v>42</v>
      </c>
      <c r="C81" s="2765"/>
      <c r="D81" s="1060">
        <v>3</v>
      </c>
      <c r="E81" s="1060">
        <v>3</v>
      </c>
      <c r="F81" s="1060">
        <v>2</v>
      </c>
      <c r="G81" s="1060">
        <v>3</v>
      </c>
      <c r="H81" s="1060">
        <v>1</v>
      </c>
      <c r="I81" s="1060"/>
      <c r="J81" s="1060"/>
      <c r="K81" s="1060"/>
      <c r="L81" s="1060"/>
      <c r="M81" s="1060"/>
      <c r="N81" s="1060"/>
      <c r="O81" s="1060">
        <v>2</v>
      </c>
      <c r="P81" s="1384">
        <v>3</v>
      </c>
      <c r="Q81" s="1384">
        <v>2</v>
      </c>
      <c r="R81" s="1384">
        <v>1</v>
      </c>
    </row>
    <row r="82" spans="2:18" ht="23.25" x14ac:dyDescent="0.3">
      <c r="B82" s="2765" t="s">
        <v>43</v>
      </c>
      <c r="C82" s="2765"/>
      <c r="D82" s="1060">
        <v>3</v>
      </c>
      <c r="E82" s="1060">
        <v>3</v>
      </c>
      <c r="F82" s="1060">
        <v>2</v>
      </c>
      <c r="G82" s="1060">
        <v>2</v>
      </c>
      <c r="H82" s="1060">
        <v>1</v>
      </c>
      <c r="I82" s="1060"/>
      <c r="J82" s="1060"/>
      <c r="K82" s="1060"/>
      <c r="L82" s="1060"/>
      <c r="M82" s="1060"/>
      <c r="N82" s="1060"/>
      <c r="O82" s="1060">
        <v>2</v>
      </c>
      <c r="P82" s="1384">
        <v>3</v>
      </c>
      <c r="Q82" s="1384">
        <v>2</v>
      </c>
      <c r="R82" s="1384">
        <v>1</v>
      </c>
    </row>
    <row r="83" spans="2:18" ht="20.25" x14ac:dyDescent="0.2">
      <c r="B83" s="2766" t="s">
        <v>80</v>
      </c>
      <c r="C83" s="2766"/>
      <c r="D83" s="2496">
        <f>AVERAGE(D78:D82)</f>
        <v>3</v>
      </c>
      <c r="E83" s="2497">
        <f>AVERAGE(E78:E82)</f>
        <v>3</v>
      </c>
      <c r="F83" s="2497">
        <f>AVERAGE(F78:F82)</f>
        <v>1.8</v>
      </c>
      <c r="G83" s="2497">
        <f>AVERAGE(G78:G82)</f>
        <v>2.2000000000000002</v>
      </c>
      <c r="H83" s="2497">
        <f>AVERAGE(H78:H82)</f>
        <v>1</v>
      </c>
      <c r="I83" s="2497"/>
      <c r="J83" s="2497"/>
      <c r="K83" s="2497"/>
      <c r="L83" s="2497"/>
      <c r="M83" s="2497"/>
      <c r="N83" s="2497"/>
      <c r="O83" s="2497">
        <f>AVERAGE(O78:O82)</f>
        <v>2</v>
      </c>
      <c r="P83" s="1024">
        <f>AVERAGE(P78:P82)</f>
        <v>2.8</v>
      </c>
      <c r="Q83" s="1024">
        <f>AVERAGE(Q78:Q82)</f>
        <v>2</v>
      </c>
      <c r="R83" s="1024">
        <f>AVERAGE(R78:R82)</f>
        <v>1</v>
      </c>
    </row>
    <row r="84" spans="2:18" ht="20.25" x14ac:dyDescent="0.3">
      <c r="B84" s="2766" t="s">
        <v>160</v>
      </c>
      <c r="C84" s="2766"/>
      <c r="D84" s="2780">
        <f>AVERAGE(D83:O83)</f>
        <v>2.1666666666666665</v>
      </c>
      <c r="E84" s="2781"/>
      <c r="F84" s="2781"/>
      <c r="G84" s="2781"/>
      <c r="H84" s="2781"/>
      <c r="I84" s="2781"/>
      <c r="J84" s="2781"/>
      <c r="K84" s="2781"/>
      <c r="L84" s="2781"/>
      <c r="M84" s="2781"/>
      <c r="N84" s="2781"/>
      <c r="O84" s="2782"/>
      <c r="P84" s="2783">
        <f>AVERAGE(P83:R83)</f>
        <v>1.9333333333333333</v>
      </c>
      <c r="Q84" s="2784"/>
      <c r="R84" s="2785"/>
    </row>
    <row r="85" spans="2:18" ht="20.25" x14ac:dyDescent="0.3">
      <c r="B85" s="1018"/>
      <c r="C85" s="1018"/>
      <c r="D85" s="1018"/>
      <c r="E85" s="1018"/>
      <c r="F85" s="1018"/>
      <c r="G85" s="1018"/>
      <c r="H85" s="1018"/>
      <c r="I85" s="1018"/>
      <c r="J85" s="1018"/>
      <c r="K85" s="1018"/>
      <c r="L85" s="1018"/>
      <c r="M85" s="1018"/>
      <c r="N85" s="1018"/>
      <c r="O85" s="1018"/>
      <c r="P85" s="1018"/>
      <c r="Q85" s="1018"/>
      <c r="R85" s="1018"/>
    </row>
    <row r="86" spans="2:18" ht="20.25" x14ac:dyDescent="0.3">
      <c r="B86" s="2786" t="s">
        <v>161</v>
      </c>
      <c r="C86" s="2786"/>
      <c r="D86" s="2786"/>
      <c r="E86" s="2786"/>
      <c r="F86" s="2786"/>
      <c r="G86" s="1018"/>
      <c r="H86" s="1018"/>
      <c r="I86" s="1018"/>
      <c r="J86" s="1018"/>
      <c r="K86" s="1018"/>
      <c r="L86" s="1018"/>
      <c r="M86" s="1018"/>
      <c r="N86" s="1018"/>
      <c r="O86" s="1018"/>
      <c r="P86" s="1018"/>
      <c r="Q86" s="1018"/>
      <c r="R86" s="1018"/>
    </row>
    <row r="87" spans="2:18" ht="20.25" x14ac:dyDescent="0.3">
      <c r="B87" s="1018"/>
      <c r="C87" s="1018"/>
      <c r="D87" s="1018"/>
      <c r="E87" s="1018"/>
      <c r="F87" s="1018"/>
      <c r="G87" s="1018"/>
      <c r="H87" s="1018"/>
      <c r="I87" s="1018"/>
      <c r="J87" s="1018"/>
      <c r="K87" s="1018"/>
      <c r="L87" s="1018"/>
      <c r="M87" s="1018"/>
      <c r="N87" s="1018"/>
      <c r="O87" s="1018"/>
      <c r="P87" s="1018"/>
      <c r="Q87" s="1018"/>
      <c r="R87" s="1018"/>
    </row>
    <row r="88" spans="2:18" ht="20.25" x14ac:dyDescent="0.3">
      <c r="B88" s="2777" t="s">
        <v>45</v>
      </c>
      <c r="C88" s="2777"/>
      <c r="D88" s="1032" t="s">
        <v>68</v>
      </c>
      <c r="E88" s="1032" t="s">
        <v>69</v>
      </c>
      <c r="F88" s="1032" t="s">
        <v>70</v>
      </c>
      <c r="G88" s="1032" t="s">
        <v>71</v>
      </c>
      <c r="H88" s="1032" t="s">
        <v>72</v>
      </c>
      <c r="I88" s="1032" t="s">
        <v>73</v>
      </c>
      <c r="J88" s="1032" t="s">
        <v>74</v>
      </c>
      <c r="K88" s="1032" t="s">
        <v>75</v>
      </c>
      <c r="L88" s="1032" t="s">
        <v>76</v>
      </c>
      <c r="M88" s="1032" t="s">
        <v>77</v>
      </c>
      <c r="N88" s="1032" t="s">
        <v>78</v>
      </c>
      <c r="O88" s="1032" t="s">
        <v>79</v>
      </c>
      <c r="P88" s="1032" t="s">
        <v>60</v>
      </c>
      <c r="Q88" s="1032" t="s">
        <v>61</v>
      </c>
      <c r="R88" s="1032" t="s">
        <v>62</v>
      </c>
    </row>
    <row r="89" spans="2:18" ht="20.25" x14ac:dyDescent="0.3">
      <c r="B89" s="2765" t="s">
        <v>22</v>
      </c>
      <c r="C89" s="2765"/>
      <c r="D89" s="1025">
        <f t="shared" ref="D89:D93" si="10">($G68*D78)/3</f>
        <v>2.9999999999999996</v>
      </c>
      <c r="E89" s="1025">
        <f t="shared" ref="E89:H89" si="11">($G68*E78)/3</f>
        <v>2.9999999999999996</v>
      </c>
      <c r="F89" s="1025">
        <f t="shared" si="11"/>
        <v>1.9999999999999998</v>
      </c>
      <c r="G89" s="1025">
        <f t="shared" si="11"/>
        <v>1.9999999999999998</v>
      </c>
      <c r="H89" s="1025">
        <f t="shared" si="11"/>
        <v>0.99999999999999989</v>
      </c>
      <c r="I89" s="1025"/>
      <c r="J89" s="1025"/>
      <c r="K89" s="1025"/>
      <c r="L89" s="1025"/>
      <c r="M89" s="1025"/>
      <c r="N89" s="1025"/>
      <c r="O89" s="1025">
        <f>($G68*O78)/3</f>
        <v>1.9999999999999998</v>
      </c>
      <c r="P89" s="1025">
        <f t="shared" ref="P89:R93" si="12">$G68*P78/3</f>
        <v>2.9999999999999996</v>
      </c>
      <c r="Q89" s="1025">
        <f t="shared" si="12"/>
        <v>1.9999999999999998</v>
      </c>
      <c r="R89" s="1035">
        <f t="shared" si="12"/>
        <v>0.99999999999999989</v>
      </c>
    </row>
    <row r="90" spans="2:18" ht="20.25" x14ac:dyDescent="0.3">
      <c r="B90" s="2765" t="s">
        <v>40</v>
      </c>
      <c r="C90" s="2765"/>
      <c r="D90" s="1025">
        <f t="shared" si="10"/>
        <v>2.9999999999999996</v>
      </c>
      <c r="E90" s="1025">
        <f t="shared" ref="E90:H90" si="13">($G69*E79)/3</f>
        <v>2.9999999999999996</v>
      </c>
      <c r="F90" s="1025">
        <f t="shared" si="13"/>
        <v>1.9999999999999998</v>
      </c>
      <c r="G90" s="1025">
        <f t="shared" si="13"/>
        <v>1.9999999999999998</v>
      </c>
      <c r="H90" s="1025">
        <f t="shared" si="13"/>
        <v>0.99999999999999989</v>
      </c>
      <c r="I90" s="1025"/>
      <c r="J90" s="1025"/>
      <c r="K90" s="1025"/>
      <c r="L90" s="1025"/>
      <c r="M90" s="1025"/>
      <c r="N90" s="1025"/>
      <c r="O90" s="1025">
        <f>($G69*O79)/3</f>
        <v>1.9999999999999998</v>
      </c>
      <c r="P90" s="1025">
        <f t="shared" si="12"/>
        <v>2.9999999999999996</v>
      </c>
      <c r="Q90" s="1025">
        <f t="shared" si="12"/>
        <v>1.9999999999999998</v>
      </c>
      <c r="R90" s="1035">
        <f t="shared" si="12"/>
        <v>0.99999999999999989</v>
      </c>
    </row>
    <row r="91" spans="2:18" ht="20.25" x14ac:dyDescent="0.3">
      <c r="B91" s="2765" t="s">
        <v>41</v>
      </c>
      <c r="C91" s="2765"/>
      <c r="D91" s="1025">
        <f t="shared" si="10"/>
        <v>2.9999999999999996</v>
      </c>
      <c r="E91" s="1025">
        <f t="shared" ref="E91:H91" si="14">($G70*E80)/3</f>
        <v>2.9999999999999996</v>
      </c>
      <c r="F91" s="1025">
        <f t="shared" si="14"/>
        <v>0.99999999999999989</v>
      </c>
      <c r="G91" s="1025">
        <f t="shared" si="14"/>
        <v>1.9999999999999998</v>
      </c>
      <c r="H91" s="1025">
        <f t="shared" si="14"/>
        <v>0.99999999999999989</v>
      </c>
      <c r="I91" s="1025"/>
      <c r="J91" s="1025"/>
      <c r="K91" s="1025"/>
      <c r="L91" s="1025"/>
      <c r="M91" s="1025"/>
      <c r="N91" s="1025"/>
      <c r="O91" s="1025">
        <f>($G70*O80)/3</f>
        <v>1.9999999999999998</v>
      </c>
      <c r="P91" s="1025">
        <f t="shared" si="12"/>
        <v>1.9999999999999998</v>
      </c>
      <c r="Q91" s="1025">
        <f t="shared" si="12"/>
        <v>1.9999999999999998</v>
      </c>
      <c r="R91" s="1035">
        <f t="shared" si="12"/>
        <v>0.99999999999999989</v>
      </c>
    </row>
    <row r="92" spans="2:18" ht="20.25" x14ac:dyDescent="0.3">
      <c r="B92" s="2765" t="s">
        <v>42</v>
      </c>
      <c r="C92" s="2765"/>
      <c r="D92" s="1025">
        <f t="shared" si="10"/>
        <v>2.9999999999999996</v>
      </c>
      <c r="E92" s="1025">
        <f t="shared" ref="E92:H92" si="15">($G71*E81)/3</f>
        <v>2.9999999999999996</v>
      </c>
      <c r="F92" s="1025">
        <f t="shared" si="15"/>
        <v>1.9999999999999998</v>
      </c>
      <c r="G92" s="1025">
        <f t="shared" si="15"/>
        <v>2.9999999999999996</v>
      </c>
      <c r="H92" s="1025">
        <f t="shared" si="15"/>
        <v>0.99999999999999989</v>
      </c>
      <c r="I92" s="1025"/>
      <c r="J92" s="1025"/>
      <c r="K92" s="1025"/>
      <c r="L92" s="1025"/>
      <c r="M92" s="1025"/>
      <c r="N92" s="1025"/>
      <c r="O92" s="1025">
        <f>($G71*O81)/3</f>
        <v>1.9999999999999998</v>
      </c>
      <c r="P92" s="1025">
        <f t="shared" si="12"/>
        <v>2.9999999999999996</v>
      </c>
      <c r="Q92" s="1025">
        <f t="shared" si="12"/>
        <v>1.9999999999999998</v>
      </c>
      <c r="R92" s="1035">
        <f t="shared" si="12"/>
        <v>0.99999999999999989</v>
      </c>
    </row>
    <row r="93" spans="2:18" ht="20.25" x14ac:dyDescent="0.3">
      <c r="B93" s="2765" t="s">
        <v>43</v>
      </c>
      <c r="C93" s="2765"/>
      <c r="D93" s="1025">
        <f t="shared" si="10"/>
        <v>2.9999999999999996</v>
      </c>
      <c r="E93" s="1025">
        <f t="shared" ref="E93:H93" si="16">($G72*E82)/3</f>
        <v>2.9999999999999996</v>
      </c>
      <c r="F93" s="1025">
        <f t="shared" si="16"/>
        <v>1.9999999999999998</v>
      </c>
      <c r="G93" s="1025">
        <f t="shared" si="16"/>
        <v>1.9999999999999998</v>
      </c>
      <c r="H93" s="1025">
        <f t="shared" si="16"/>
        <v>0.99999999999999989</v>
      </c>
      <c r="I93" s="1025"/>
      <c r="J93" s="1025"/>
      <c r="K93" s="1025"/>
      <c r="L93" s="1025"/>
      <c r="M93" s="1025"/>
      <c r="N93" s="1025"/>
      <c r="O93" s="1025">
        <f>($G72*O82)/3</f>
        <v>1.9999999999999998</v>
      </c>
      <c r="P93" s="1025">
        <f t="shared" si="12"/>
        <v>2.9999999999999996</v>
      </c>
      <c r="Q93" s="1025">
        <f t="shared" si="12"/>
        <v>1.9999999999999998</v>
      </c>
      <c r="R93" s="1035">
        <f t="shared" si="12"/>
        <v>0.99999999999999989</v>
      </c>
    </row>
    <row r="94" spans="2:18" ht="20.25" x14ac:dyDescent="0.3">
      <c r="B94" s="2777" t="s">
        <v>10</v>
      </c>
      <c r="C94" s="2777"/>
      <c r="D94" s="1026">
        <f>AVERAGE(D89:D93)</f>
        <v>2.9999999999999996</v>
      </c>
      <c r="E94" s="1026">
        <f>AVERAGE(E89:E93)</f>
        <v>2.9999999999999996</v>
      </c>
      <c r="F94" s="1026">
        <f>AVERAGE(F89:F93)</f>
        <v>1.7999999999999996</v>
      </c>
      <c r="G94" s="1026">
        <f>AVERAGE(G89:G93)</f>
        <v>2.1999999999999997</v>
      </c>
      <c r="H94" s="1026">
        <f>AVERAGE(H89:H93)</f>
        <v>0.99999999999999978</v>
      </c>
      <c r="I94" s="1026"/>
      <c r="J94" s="1026"/>
      <c r="K94" s="1026"/>
      <c r="L94" s="1026"/>
      <c r="M94" s="1026"/>
      <c r="N94" s="1026"/>
      <c r="O94" s="1026">
        <f>AVERAGE(O89:O93)</f>
        <v>1.9999999999999996</v>
      </c>
      <c r="P94" s="1026">
        <f>AVERAGE(P89:P93)</f>
        <v>2.8</v>
      </c>
      <c r="Q94" s="1026">
        <f>AVERAGE(Q89:Q93)</f>
        <v>1.9999999999999996</v>
      </c>
      <c r="R94" s="1026">
        <f>AVERAGE(R89:R93)</f>
        <v>0.99999999999999978</v>
      </c>
    </row>
    <row r="95" spans="2:18" ht="20.25" x14ac:dyDescent="0.3">
      <c r="B95" s="2777" t="s">
        <v>58</v>
      </c>
      <c r="C95" s="2777"/>
      <c r="D95" s="2778">
        <f>AVERAGE(D94:O94)</f>
        <v>2.1666666666666665</v>
      </c>
      <c r="E95" s="2778"/>
      <c r="F95" s="2778"/>
      <c r="G95" s="2778"/>
      <c r="H95" s="2778"/>
      <c r="I95" s="2778"/>
      <c r="J95" s="2778"/>
      <c r="K95" s="2778"/>
      <c r="L95" s="2778"/>
      <c r="M95" s="2778"/>
      <c r="N95" s="2778"/>
      <c r="O95" s="2778"/>
      <c r="P95" s="2778">
        <f>AVERAGE(P94:R94)</f>
        <v>1.9333333333333329</v>
      </c>
      <c r="Q95" s="2778"/>
      <c r="R95" s="2778"/>
    </row>
  </sheetData>
  <mergeCells count="118">
    <mergeCell ref="L63:M63"/>
    <mergeCell ref="D67:E67"/>
    <mergeCell ref="G67:H67"/>
    <mergeCell ref="G68:H68"/>
    <mergeCell ref="L62:M62"/>
    <mergeCell ref="S6:T6"/>
    <mergeCell ref="U6:V6"/>
    <mergeCell ref="W6:X6"/>
    <mergeCell ref="L57:M57"/>
    <mergeCell ref="L58:M58"/>
    <mergeCell ref="L59:M59"/>
    <mergeCell ref="L60:M60"/>
    <mergeCell ref="L61:M61"/>
    <mergeCell ref="L52:M52"/>
    <mergeCell ref="L53:M53"/>
    <mergeCell ref="L54:M54"/>
    <mergeCell ref="L55:M55"/>
    <mergeCell ref="L56:M56"/>
    <mergeCell ref="L47:M47"/>
    <mergeCell ref="L48:M48"/>
    <mergeCell ref="L49:M49"/>
    <mergeCell ref="L50:M50"/>
    <mergeCell ref="L51:M51"/>
    <mergeCell ref="L42:M42"/>
    <mergeCell ref="L43:M43"/>
    <mergeCell ref="L44:M44"/>
    <mergeCell ref="L45:M45"/>
    <mergeCell ref="L46:M46"/>
    <mergeCell ref="L29:M29"/>
    <mergeCell ref="L30:M30"/>
    <mergeCell ref="L31:M31"/>
    <mergeCell ref="L32:M32"/>
    <mergeCell ref="L33:M33"/>
    <mergeCell ref="L25:M25"/>
    <mergeCell ref="L26:M26"/>
    <mergeCell ref="L27:M27"/>
    <mergeCell ref="L28:M28"/>
    <mergeCell ref="L19:M19"/>
    <mergeCell ref="L20:M20"/>
    <mergeCell ref="L21:M21"/>
    <mergeCell ref="L22:M22"/>
    <mergeCell ref="L23:M23"/>
    <mergeCell ref="L16:M16"/>
    <mergeCell ref="L17:M17"/>
    <mergeCell ref="L18:M18"/>
    <mergeCell ref="L9:M9"/>
    <mergeCell ref="L10:M10"/>
    <mergeCell ref="L11:M11"/>
    <mergeCell ref="L12:M12"/>
    <mergeCell ref="L13:M13"/>
    <mergeCell ref="L24:M24"/>
    <mergeCell ref="AD61:AH61"/>
    <mergeCell ref="AL61:AP61"/>
    <mergeCell ref="A62:B62"/>
    <mergeCell ref="B93:C93"/>
    <mergeCell ref="B94:C94"/>
    <mergeCell ref="B95:C95"/>
    <mergeCell ref="D95:O95"/>
    <mergeCell ref="A61:B61"/>
    <mergeCell ref="L34:M34"/>
    <mergeCell ref="L35:M35"/>
    <mergeCell ref="L36:M36"/>
    <mergeCell ref="L37:M37"/>
    <mergeCell ref="L38:M38"/>
    <mergeCell ref="L39:M39"/>
    <mergeCell ref="L40:M40"/>
    <mergeCell ref="L41:M41"/>
    <mergeCell ref="D84:O84"/>
    <mergeCell ref="P84:R84"/>
    <mergeCell ref="B86:F86"/>
    <mergeCell ref="P95:R95"/>
    <mergeCell ref="B88:C88"/>
    <mergeCell ref="B89:C89"/>
    <mergeCell ref="B90:C90"/>
    <mergeCell ref="B91:C91"/>
    <mergeCell ref="Z6:Z8"/>
    <mergeCell ref="AA6:AA8"/>
    <mergeCell ref="H6:I6"/>
    <mergeCell ref="J6:K6"/>
    <mergeCell ref="L6:M6"/>
    <mergeCell ref="L7:M7"/>
    <mergeCell ref="L8:M8"/>
    <mergeCell ref="B92:C92"/>
    <mergeCell ref="B80:C80"/>
    <mergeCell ref="B81:C81"/>
    <mergeCell ref="B82:C82"/>
    <mergeCell ref="B83:C83"/>
    <mergeCell ref="B84:C84"/>
    <mergeCell ref="Z9:AA9"/>
    <mergeCell ref="B77:C77"/>
    <mergeCell ref="B78:C78"/>
    <mergeCell ref="B79:C79"/>
    <mergeCell ref="G70:H70"/>
    <mergeCell ref="G71:H71"/>
    <mergeCell ref="G72:H72"/>
    <mergeCell ref="G69:H69"/>
    <mergeCell ref="G73:H73"/>
    <mergeCell ref="L14:M14"/>
    <mergeCell ref="L15:M15"/>
    <mergeCell ref="A2:B2"/>
    <mergeCell ref="C2:E2"/>
    <mergeCell ref="J2:K2"/>
    <mergeCell ref="L2:N2"/>
    <mergeCell ref="B6:B7"/>
    <mergeCell ref="C6:G6"/>
    <mergeCell ref="N6:R6"/>
    <mergeCell ref="O3:P3"/>
    <mergeCell ref="C4:E4"/>
    <mergeCell ref="J4:K4"/>
    <mergeCell ref="A5:B5"/>
    <mergeCell ref="A4:B4"/>
    <mergeCell ref="C3:E3"/>
    <mergeCell ref="A3:B3"/>
    <mergeCell ref="J3:K3"/>
    <mergeCell ref="L3:N3"/>
    <mergeCell ref="L4:N4"/>
    <mergeCell ref="C5:L5"/>
    <mergeCell ref="N5:X5"/>
  </mergeCells>
  <conditionalFormatting sqref="Z10:Z58">
    <cfRule type="containsText" dxfId="149" priority="3" operator="containsText" text="F">
      <formula>NOT(ISERROR(SEARCH("F",Z10)))</formula>
    </cfRule>
  </conditionalFormatting>
  <conditionalFormatting sqref="Z10:Z58">
    <cfRule type="cellIs" dxfId="148" priority="1" stopIfTrue="1" operator="equal">
      <formula>"AB"</formula>
    </cfRule>
    <cfRule type="containsText" dxfId="147" priority="2" operator="containsText" text="F">
      <formula>NOT(ISERROR(SEARCH("F",Z10)))</formula>
    </cfRule>
  </conditionalFormatting>
  <pageMargins left="0.7" right="0.7" top="0.75" bottom="0.75" header="0.3" footer="0.3"/>
  <pageSetup paperSize="8" scale="2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  <pageSetUpPr fitToPage="1"/>
  </sheetPr>
  <dimension ref="A1:AC102"/>
  <sheetViews>
    <sheetView topLeftCell="A82" zoomScale="60" zoomScaleNormal="60" workbookViewId="0">
      <selection activeCell="J109" sqref="J109"/>
    </sheetView>
  </sheetViews>
  <sheetFormatPr defaultColWidth="8.85546875" defaultRowHeight="15" x14ac:dyDescent="0.25"/>
  <cols>
    <col min="1" max="1" width="15.140625" style="2020" bestFit="1" customWidth="1"/>
    <col min="2" max="2" width="18.28515625" style="2020" bestFit="1" customWidth="1"/>
    <col min="3" max="3" width="8.85546875" style="2020"/>
    <col min="4" max="5" width="8.85546875" style="2021"/>
    <col min="6" max="7" width="16.5703125" style="2020" bestFit="1" customWidth="1"/>
    <col min="8" max="9" width="10.7109375" style="2020" customWidth="1"/>
    <col min="10" max="11" width="8.85546875" style="2020"/>
    <col min="12" max="14" width="10.140625" style="2020" customWidth="1"/>
    <col min="15" max="16" width="8.85546875" style="2020"/>
    <col min="17" max="17" width="9.140625" style="2021" customWidth="1"/>
    <col min="18" max="16384" width="8.85546875" style="2020"/>
  </cols>
  <sheetData>
    <row r="1" spans="1:29" x14ac:dyDescent="0.25">
      <c r="A1" s="2014"/>
      <c r="B1" s="2014" t="s">
        <v>0</v>
      </c>
      <c r="C1" s="2015" t="s">
        <v>177</v>
      </c>
      <c r="D1" s="2016"/>
      <c r="E1" s="2017"/>
      <c r="F1" s="2014"/>
      <c r="G1" s="2014" t="s">
        <v>1</v>
      </c>
      <c r="H1" s="2018" t="s">
        <v>178</v>
      </c>
      <c r="I1" s="2018"/>
      <c r="J1" s="2019"/>
      <c r="K1" s="2019"/>
      <c r="P1" s="2014" t="s">
        <v>367</v>
      </c>
      <c r="Q1" s="2021" t="s">
        <v>150</v>
      </c>
    </row>
    <row r="2" spans="1:29" x14ac:dyDescent="0.25">
      <c r="A2" s="2014"/>
      <c r="C2" s="2022"/>
      <c r="D2" s="2016"/>
      <c r="E2" s="2017"/>
      <c r="F2" s="2014"/>
      <c r="H2" s="2014"/>
      <c r="I2" s="2014"/>
      <c r="L2" s="2014"/>
      <c r="M2" s="2014"/>
      <c r="N2" s="2014"/>
    </row>
    <row r="3" spans="1:29" x14ac:dyDescent="0.25">
      <c r="A3" s="2014"/>
      <c r="B3" s="2014" t="s">
        <v>2</v>
      </c>
      <c r="C3" s="2015" t="s">
        <v>368</v>
      </c>
      <c r="D3" s="2016"/>
      <c r="E3" s="2017"/>
      <c r="F3" s="2014"/>
      <c r="G3" s="2014" t="s">
        <v>369</v>
      </c>
      <c r="H3" s="2020" t="s">
        <v>66</v>
      </c>
      <c r="J3" s="2014"/>
      <c r="K3" s="2014"/>
      <c r="L3" s="2014"/>
      <c r="M3" s="2014"/>
      <c r="N3" s="2014"/>
    </row>
    <row r="4" spans="1:29" x14ac:dyDescent="0.25">
      <c r="A4" s="1979"/>
      <c r="B4" s="1979"/>
      <c r="C4" s="2796" t="s">
        <v>3</v>
      </c>
      <c r="D4" s="2796"/>
      <c r="E4" s="2796"/>
      <c r="F4" s="2796"/>
      <c r="G4" s="2796"/>
      <c r="H4" s="2796"/>
      <c r="I4" s="2796"/>
      <c r="J4" s="2796"/>
      <c r="K4" s="2796"/>
      <c r="L4" s="2796"/>
      <c r="M4" s="2796"/>
      <c r="N4" s="2797" t="s">
        <v>370</v>
      </c>
      <c r="O4" s="2800" t="s">
        <v>4</v>
      </c>
      <c r="P4" s="2800"/>
      <c r="Q4" s="2800"/>
      <c r="R4" s="2800"/>
      <c r="S4" s="2800"/>
      <c r="T4" s="2800"/>
      <c r="U4" s="2800"/>
      <c r="V4" s="2800"/>
      <c r="W4" s="2800"/>
      <c r="X4" s="2800"/>
      <c r="Y4" s="2800"/>
      <c r="Z4" s="2797" t="s">
        <v>370</v>
      </c>
    </row>
    <row r="5" spans="1:29" ht="15" customHeight="1" x14ac:dyDescent="0.25">
      <c r="A5" s="1978"/>
      <c r="B5" s="2801" t="s">
        <v>5</v>
      </c>
      <c r="C5" s="2801" t="s">
        <v>6</v>
      </c>
      <c r="D5" s="2801"/>
      <c r="E5" s="2801"/>
      <c r="F5" s="2801"/>
      <c r="G5" s="2801"/>
      <c r="H5" s="2802" t="s">
        <v>7</v>
      </c>
      <c r="I5" s="2803"/>
      <c r="J5" s="2802" t="s">
        <v>8</v>
      </c>
      <c r="K5" s="2803"/>
      <c r="L5" s="2802" t="s">
        <v>9</v>
      </c>
      <c r="M5" s="2803"/>
      <c r="N5" s="2798"/>
      <c r="O5" s="2801" t="s">
        <v>6</v>
      </c>
      <c r="P5" s="2801"/>
      <c r="Q5" s="2801"/>
      <c r="R5" s="2801"/>
      <c r="S5" s="2801"/>
      <c r="T5" s="2802" t="s">
        <v>7</v>
      </c>
      <c r="U5" s="2803"/>
      <c r="V5" s="2802" t="s">
        <v>8</v>
      </c>
      <c r="W5" s="2803"/>
      <c r="X5" s="2802" t="s">
        <v>9</v>
      </c>
      <c r="Y5" s="2803"/>
      <c r="Z5" s="2798"/>
      <c r="AB5" s="2809" t="s">
        <v>11</v>
      </c>
      <c r="AC5" s="2809" t="s">
        <v>12</v>
      </c>
    </row>
    <row r="6" spans="1:29" x14ac:dyDescent="0.25">
      <c r="A6" s="1978"/>
      <c r="B6" s="2801"/>
      <c r="C6" s="1978" t="s">
        <v>13</v>
      </c>
      <c r="D6" s="2023" t="s">
        <v>14</v>
      </c>
      <c r="E6" s="2023" t="s">
        <v>15</v>
      </c>
      <c r="F6" s="1978" t="s">
        <v>16</v>
      </c>
      <c r="G6" s="1978" t="s">
        <v>17</v>
      </c>
      <c r="H6" s="1978" t="s">
        <v>13</v>
      </c>
      <c r="I6" s="1978" t="s">
        <v>14</v>
      </c>
      <c r="J6" s="1978" t="s">
        <v>13</v>
      </c>
      <c r="K6" s="1978" t="s">
        <v>14</v>
      </c>
      <c r="L6" s="1978" t="s">
        <v>13</v>
      </c>
      <c r="M6" s="1978" t="s">
        <v>14</v>
      </c>
      <c r="N6" s="2798"/>
      <c r="O6" s="1978" t="s">
        <v>13</v>
      </c>
      <c r="P6" s="1978" t="s">
        <v>14</v>
      </c>
      <c r="Q6" s="2023" t="s">
        <v>15</v>
      </c>
      <c r="R6" s="1978" t="s">
        <v>16</v>
      </c>
      <c r="S6" s="1978" t="s">
        <v>17</v>
      </c>
      <c r="T6" s="1978" t="s">
        <v>13</v>
      </c>
      <c r="U6" s="1978" t="s">
        <v>14</v>
      </c>
      <c r="V6" s="1978" t="s">
        <v>13</v>
      </c>
      <c r="W6" s="1978" t="s">
        <v>14</v>
      </c>
      <c r="X6" s="1978" t="s">
        <v>13</v>
      </c>
      <c r="Y6" s="1978" t="s">
        <v>14</v>
      </c>
      <c r="Z6" s="2798"/>
      <c r="AB6" s="2809"/>
      <c r="AC6" s="2809"/>
    </row>
    <row r="7" spans="1:29" x14ac:dyDescent="0.25">
      <c r="A7" s="1978"/>
      <c r="B7" s="1978" t="s">
        <v>19</v>
      </c>
      <c r="C7" s="1978" t="s">
        <v>22</v>
      </c>
      <c r="D7" s="2023" t="s">
        <v>40</v>
      </c>
      <c r="E7" s="2023" t="s">
        <v>21</v>
      </c>
      <c r="F7" s="1978" t="s">
        <v>20</v>
      </c>
      <c r="G7" s="1978" t="s">
        <v>23</v>
      </c>
      <c r="H7" s="1978" t="s">
        <v>20</v>
      </c>
      <c r="I7" s="1978" t="s">
        <v>20</v>
      </c>
      <c r="J7" s="1978" t="s">
        <v>20</v>
      </c>
      <c r="K7" s="1978" t="s">
        <v>21</v>
      </c>
      <c r="L7" s="1978" t="s">
        <v>20</v>
      </c>
      <c r="M7" s="1978" t="s">
        <v>23</v>
      </c>
      <c r="N7" s="2799"/>
      <c r="O7" s="2024" t="s">
        <v>23</v>
      </c>
      <c r="P7" s="2024" t="s">
        <v>25</v>
      </c>
      <c r="Q7" s="2025" t="s">
        <v>25</v>
      </c>
      <c r="R7" s="2024" t="s">
        <v>24</v>
      </c>
      <c r="S7" s="2024" t="s">
        <v>21</v>
      </c>
      <c r="T7" s="2024" t="s">
        <v>21</v>
      </c>
      <c r="U7" s="2024" t="s">
        <v>23</v>
      </c>
      <c r="V7" s="2024" t="s">
        <v>23</v>
      </c>
      <c r="W7" s="2024" t="s">
        <v>25</v>
      </c>
      <c r="X7" s="2024" t="s">
        <v>24</v>
      </c>
      <c r="Y7" s="2024" t="s">
        <v>24</v>
      </c>
      <c r="Z7" s="2799"/>
      <c r="AB7" s="2809"/>
      <c r="AC7" s="2809"/>
    </row>
    <row r="8" spans="1:29" x14ac:dyDescent="0.25">
      <c r="A8" s="1978" t="s">
        <v>18</v>
      </c>
      <c r="B8" s="1978" t="s">
        <v>26</v>
      </c>
      <c r="C8" s="1978">
        <v>2</v>
      </c>
      <c r="D8" s="2023">
        <v>2</v>
      </c>
      <c r="E8" s="2023">
        <v>2</v>
      </c>
      <c r="F8" s="1978">
        <v>2</v>
      </c>
      <c r="G8" s="1978">
        <v>2</v>
      </c>
      <c r="H8" s="1978">
        <v>5</v>
      </c>
      <c r="I8" s="1978">
        <v>5</v>
      </c>
      <c r="J8" s="1978">
        <v>5</v>
      </c>
      <c r="K8" s="1978">
        <v>5</v>
      </c>
      <c r="L8" s="1978">
        <v>5</v>
      </c>
      <c r="M8" s="1978">
        <v>5</v>
      </c>
      <c r="N8" s="1978">
        <v>30</v>
      </c>
      <c r="O8" s="1978">
        <v>2</v>
      </c>
      <c r="P8" s="1978">
        <v>2</v>
      </c>
      <c r="Q8" s="2023">
        <v>2</v>
      </c>
      <c r="R8" s="1978">
        <v>2</v>
      </c>
      <c r="S8" s="1978">
        <v>2</v>
      </c>
      <c r="T8" s="1978">
        <v>5</v>
      </c>
      <c r="U8" s="1978">
        <v>5</v>
      </c>
      <c r="V8" s="1978">
        <v>5</v>
      </c>
      <c r="W8" s="1978">
        <v>5</v>
      </c>
      <c r="X8" s="1978">
        <v>5</v>
      </c>
      <c r="Y8" s="1978">
        <v>5</v>
      </c>
      <c r="Z8" s="1978">
        <v>30</v>
      </c>
    </row>
    <row r="9" spans="1:29" x14ac:dyDescent="0.25">
      <c r="A9" s="1978">
        <v>1</v>
      </c>
      <c r="B9" s="2026">
        <v>5191421001</v>
      </c>
      <c r="C9" s="2023">
        <v>2</v>
      </c>
      <c r="D9" s="2023"/>
      <c r="E9" s="2023">
        <v>1</v>
      </c>
      <c r="F9" s="2023"/>
      <c r="G9" s="1978"/>
      <c r="H9" s="1978">
        <v>5</v>
      </c>
      <c r="I9" s="1978"/>
      <c r="J9" s="1978"/>
      <c r="K9" s="1978"/>
      <c r="L9" s="1978">
        <v>5</v>
      </c>
      <c r="M9" s="1978"/>
      <c r="N9" s="2023">
        <f>M9+L9+K9+J9+I9+H9+G9+F9+E9+D9+C9</f>
        <v>13</v>
      </c>
      <c r="O9" s="2023">
        <v>2</v>
      </c>
      <c r="P9" s="2023">
        <v>1</v>
      </c>
      <c r="Q9" s="2023">
        <v>1</v>
      </c>
      <c r="R9" s="2023">
        <v>1</v>
      </c>
      <c r="S9" s="1978"/>
      <c r="T9" s="1978">
        <v>5</v>
      </c>
      <c r="U9" s="1978"/>
      <c r="V9" s="1978">
        <v>4</v>
      </c>
      <c r="W9" s="1978">
        <v>3</v>
      </c>
      <c r="X9" s="1978"/>
      <c r="Y9" s="1978"/>
      <c r="Z9" s="2023">
        <f>Y9+X9+W9+V9+U9+T9+S9+R9+Q9+P9+O9</f>
        <v>17</v>
      </c>
      <c r="AB9" s="2094" t="s">
        <v>33</v>
      </c>
      <c r="AC9" s="2041">
        <f>IF(AB9="O",100,IF(AB9="A+",95,IF(AB9="A",90,IF(AB9="B+",85,IF(AB9="B",80,IF(AB9="C",70,IF(AB9="D",60,IF(AB9="E",50,IF(AB9="P",49,IF(AB9="F",39))))))))))</f>
        <v>80</v>
      </c>
    </row>
    <row r="10" spans="1:29" x14ac:dyDescent="0.25">
      <c r="A10" s="1978">
        <v>2</v>
      </c>
      <c r="B10" s="2026">
        <v>5191421002</v>
      </c>
      <c r="C10" s="2023">
        <v>2</v>
      </c>
      <c r="D10" s="2023">
        <v>1</v>
      </c>
      <c r="E10" s="2023"/>
      <c r="F10" s="2023">
        <v>2</v>
      </c>
      <c r="G10" s="1978"/>
      <c r="H10" s="1978">
        <v>5</v>
      </c>
      <c r="I10" s="1978">
        <v>5</v>
      </c>
      <c r="J10" s="1978"/>
      <c r="K10" s="1978"/>
      <c r="L10" s="1978">
        <v>4</v>
      </c>
      <c r="M10" s="1978">
        <v>2</v>
      </c>
      <c r="N10" s="2023">
        <f>M10+L10+K10+J10+I10+H10+G10+F10+E10+D10+C10</f>
        <v>21</v>
      </c>
      <c r="O10" s="2023">
        <v>2</v>
      </c>
      <c r="P10" s="2023">
        <v>2</v>
      </c>
      <c r="Q10" s="2023">
        <v>2</v>
      </c>
      <c r="R10" s="2023">
        <v>2</v>
      </c>
      <c r="S10" s="1978">
        <v>2</v>
      </c>
      <c r="T10" s="1979">
        <v>5</v>
      </c>
      <c r="U10" s="1979"/>
      <c r="V10" s="1979"/>
      <c r="W10" s="1979"/>
      <c r="X10" s="1979">
        <v>5</v>
      </c>
      <c r="Y10" s="1979"/>
      <c r="Z10" s="2023">
        <f t="shared" ref="Z10:Z51" si="0">Y10+X10+W10+V10+U10+T10+S10+R10+Q10+P10+O10</f>
        <v>20</v>
      </c>
      <c r="AB10" s="2094" t="s">
        <v>32</v>
      </c>
      <c r="AC10" s="2041">
        <f t="shared" ref="AC10:AC57" si="1">IF(AB10="O",100,IF(AB10="A+",95,IF(AB10="A",90,IF(AB10="B+",85,IF(AB10="B",80,IF(AB10="C",70,IF(AB10="D",60,IF(AB10="E",50,IF(AB10="P",49,IF(AB10="F",39))))))))))</f>
        <v>85</v>
      </c>
    </row>
    <row r="11" spans="1:29" x14ac:dyDescent="0.25">
      <c r="A11" s="1978">
        <v>3</v>
      </c>
      <c r="B11" s="2026">
        <v>5191421003</v>
      </c>
      <c r="C11" s="2023">
        <v>2</v>
      </c>
      <c r="D11" s="2023">
        <v>2</v>
      </c>
      <c r="E11" s="2023">
        <v>2</v>
      </c>
      <c r="F11" s="2023">
        <v>2</v>
      </c>
      <c r="G11" s="1978">
        <v>2</v>
      </c>
      <c r="H11" s="1978">
        <v>5</v>
      </c>
      <c r="I11" s="1978">
        <v>5</v>
      </c>
      <c r="J11" s="1978"/>
      <c r="K11" s="1978"/>
      <c r="L11" s="1978">
        <v>5</v>
      </c>
      <c r="M11" s="1978">
        <v>5</v>
      </c>
      <c r="N11" s="2023">
        <f t="shared" ref="N11:N57" si="2">M11+L11+K11+J11+I11+H11+G11+F11+E11+D11+C11</f>
        <v>30</v>
      </c>
      <c r="O11" s="2023">
        <v>2</v>
      </c>
      <c r="P11" s="2023">
        <v>2</v>
      </c>
      <c r="Q11" s="2023">
        <v>2</v>
      </c>
      <c r="R11" s="2023">
        <v>2</v>
      </c>
      <c r="S11" s="1978">
        <v>2</v>
      </c>
      <c r="T11" s="1978"/>
      <c r="U11" s="1978"/>
      <c r="V11" s="1978">
        <v>5</v>
      </c>
      <c r="W11" s="1978">
        <v>5</v>
      </c>
      <c r="X11" s="1978">
        <v>5</v>
      </c>
      <c r="Y11" s="1978">
        <v>5</v>
      </c>
      <c r="Z11" s="2023">
        <f t="shared" si="0"/>
        <v>30</v>
      </c>
      <c r="AB11" s="2094" t="s">
        <v>30</v>
      </c>
      <c r="AC11" s="2041">
        <f t="shared" si="1"/>
        <v>95</v>
      </c>
    </row>
    <row r="12" spans="1:29" x14ac:dyDescent="0.25">
      <c r="A12" s="1978">
        <v>4</v>
      </c>
      <c r="B12" s="2026">
        <v>5191421004</v>
      </c>
      <c r="C12" s="2023">
        <v>2</v>
      </c>
      <c r="D12" s="2023">
        <v>2</v>
      </c>
      <c r="E12" s="2023"/>
      <c r="F12" s="2023">
        <v>2</v>
      </c>
      <c r="G12" s="1978"/>
      <c r="H12" s="1978">
        <v>4</v>
      </c>
      <c r="I12" s="1978"/>
      <c r="J12" s="1978"/>
      <c r="K12" s="1978">
        <v>4</v>
      </c>
      <c r="L12" s="1978"/>
      <c r="M12" s="1978"/>
      <c r="N12" s="2023">
        <f t="shared" si="2"/>
        <v>14</v>
      </c>
      <c r="O12" s="2023">
        <v>1</v>
      </c>
      <c r="P12" s="2023">
        <v>2</v>
      </c>
      <c r="Q12" s="2023">
        <v>1</v>
      </c>
      <c r="R12" s="2023">
        <v>1</v>
      </c>
      <c r="S12" s="1978">
        <v>2</v>
      </c>
      <c r="T12" s="1978">
        <v>3</v>
      </c>
      <c r="U12" s="1978"/>
      <c r="V12" s="1978"/>
      <c r="W12" s="1978">
        <v>3</v>
      </c>
      <c r="X12" s="1978"/>
      <c r="Y12" s="1978"/>
      <c r="Z12" s="2023">
        <f t="shared" si="0"/>
        <v>13</v>
      </c>
      <c r="AB12" s="2094" t="s">
        <v>31</v>
      </c>
      <c r="AC12" s="2041">
        <f t="shared" si="1"/>
        <v>70</v>
      </c>
    </row>
    <row r="13" spans="1:29" x14ac:dyDescent="0.25">
      <c r="A13" s="1978">
        <v>5</v>
      </c>
      <c r="B13" s="2026">
        <v>5191421005</v>
      </c>
      <c r="C13" s="2023">
        <v>2</v>
      </c>
      <c r="D13" s="2023">
        <v>2</v>
      </c>
      <c r="E13" s="2023"/>
      <c r="F13" s="2023">
        <v>1</v>
      </c>
      <c r="G13" s="1978">
        <v>2</v>
      </c>
      <c r="H13" s="1978">
        <v>5</v>
      </c>
      <c r="I13" s="1978"/>
      <c r="J13" s="1978">
        <v>5</v>
      </c>
      <c r="K13" s="1978"/>
      <c r="L13" s="1978"/>
      <c r="M13" s="1978"/>
      <c r="N13" s="2023">
        <f t="shared" si="2"/>
        <v>17</v>
      </c>
      <c r="O13" s="2023">
        <v>2</v>
      </c>
      <c r="P13" s="2023">
        <v>2</v>
      </c>
      <c r="Q13" s="2023">
        <v>2</v>
      </c>
      <c r="R13" s="2023">
        <v>1</v>
      </c>
      <c r="S13" s="1978">
        <v>2</v>
      </c>
      <c r="T13" s="1978">
        <v>5</v>
      </c>
      <c r="U13" s="1978"/>
      <c r="V13" s="1978"/>
      <c r="W13" s="1978"/>
      <c r="X13" s="1978">
        <v>0</v>
      </c>
      <c r="Y13" s="1978">
        <v>5</v>
      </c>
      <c r="Z13" s="2023">
        <f t="shared" si="0"/>
        <v>19</v>
      </c>
      <c r="AB13" s="2094" t="s">
        <v>32</v>
      </c>
      <c r="AC13" s="2041">
        <f t="shared" si="1"/>
        <v>85</v>
      </c>
    </row>
    <row r="14" spans="1:29" x14ac:dyDescent="0.25">
      <c r="A14" s="1978">
        <v>6</v>
      </c>
      <c r="B14" s="2026">
        <v>5191421006</v>
      </c>
      <c r="C14" s="2023">
        <v>2</v>
      </c>
      <c r="D14" s="2023"/>
      <c r="E14" s="2023">
        <v>2</v>
      </c>
      <c r="F14" s="2023">
        <v>2</v>
      </c>
      <c r="G14" s="1978">
        <v>2</v>
      </c>
      <c r="H14" s="1978"/>
      <c r="I14" s="1978"/>
      <c r="J14" s="1978"/>
      <c r="K14" s="1978">
        <v>5</v>
      </c>
      <c r="L14" s="1978">
        <v>5</v>
      </c>
      <c r="M14" s="1978">
        <v>5</v>
      </c>
      <c r="N14" s="2023">
        <f t="shared" si="2"/>
        <v>23</v>
      </c>
      <c r="O14" s="2023">
        <v>2</v>
      </c>
      <c r="P14" s="2023">
        <v>2</v>
      </c>
      <c r="Q14" s="2023">
        <v>2</v>
      </c>
      <c r="R14" s="2023">
        <v>2</v>
      </c>
      <c r="S14" s="1978">
        <v>2</v>
      </c>
      <c r="T14" s="1978">
        <v>5</v>
      </c>
      <c r="U14" s="1978"/>
      <c r="V14" s="1978"/>
      <c r="W14" s="1978"/>
      <c r="X14" s="1978">
        <v>5</v>
      </c>
      <c r="Y14" s="1978">
        <v>5</v>
      </c>
      <c r="Z14" s="2023">
        <f t="shared" si="0"/>
        <v>25</v>
      </c>
      <c r="AB14" s="2094" t="s">
        <v>27</v>
      </c>
      <c r="AC14" s="2041">
        <f t="shared" si="1"/>
        <v>90</v>
      </c>
    </row>
    <row r="15" spans="1:29" x14ac:dyDescent="0.25">
      <c r="A15" s="1978">
        <v>7</v>
      </c>
      <c r="B15" s="2026">
        <v>5191421007</v>
      </c>
      <c r="C15" s="2023">
        <v>2</v>
      </c>
      <c r="D15" s="2023"/>
      <c r="E15" s="2023">
        <v>2</v>
      </c>
      <c r="F15" s="2023"/>
      <c r="G15" s="1978">
        <v>2</v>
      </c>
      <c r="H15" s="1978">
        <v>5</v>
      </c>
      <c r="I15" s="1978">
        <v>4</v>
      </c>
      <c r="J15" s="1978"/>
      <c r="K15" s="1978"/>
      <c r="L15" s="1978">
        <v>5</v>
      </c>
      <c r="M15" s="1978">
        <v>5</v>
      </c>
      <c r="N15" s="2023">
        <f t="shared" si="2"/>
        <v>25</v>
      </c>
      <c r="O15" s="2023">
        <v>1</v>
      </c>
      <c r="P15" s="2023">
        <v>2</v>
      </c>
      <c r="Q15" s="2023">
        <v>2</v>
      </c>
      <c r="R15" s="2023">
        <v>2</v>
      </c>
      <c r="S15" s="1978">
        <v>1</v>
      </c>
      <c r="T15" s="1978"/>
      <c r="U15" s="1978"/>
      <c r="V15" s="1978">
        <v>5</v>
      </c>
      <c r="W15" s="1978">
        <v>5</v>
      </c>
      <c r="X15" s="1978"/>
      <c r="Y15" s="1978">
        <v>5</v>
      </c>
      <c r="Z15" s="2023">
        <f t="shared" si="0"/>
        <v>23</v>
      </c>
      <c r="AB15" s="2094" t="s">
        <v>30</v>
      </c>
      <c r="AC15" s="2041">
        <f t="shared" si="1"/>
        <v>95</v>
      </c>
    </row>
    <row r="16" spans="1:29" x14ac:dyDescent="0.25">
      <c r="A16" s="1978">
        <v>8</v>
      </c>
      <c r="B16" s="2026">
        <v>5191421008</v>
      </c>
      <c r="C16" s="2023">
        <v>2</v>
      </c>
      <c r="D16" s="2023">
        <v>2</v>
      </c>
      <c r="E16" s="2023"/>
      <c r="F16" s="2023">
        <v>2</v>
      </c>
      <c r="G16" s="1978"/>
      <c r="H16" s="1978">
        <v>5</v>
      </c>
      <c r="I16" s="1978">
        <v>2</v>
      </c>
      <c r="J16" s="1978"/>
      <c r="K16" s="1978"/>
      <c r="L16" s="1978">
        <v>5</v>
      </c>
      <c r="M16" s="1978">
        <v>4</v>
      </c>
      <c r="N16" s="2023">
        <f t="shared" si="2"/>
        <v>22</v>
      </c>
      <c r="O16" s="2023">
        <v>1</v>
      </c>
      <c r="P16" s="2023">
        <v>2</v>
      </c>
      <c r="Q16" s="2023">
        <v>2</v>
      </c>
      <c r="R16" s="2023">
        <v>2</v>
      </c>
      <c r="S16" s="1978">
        <v>1</v>
      </c>
      <c r="T16" s="1978">
        <v>5</v>
      </c>
      <c r="U16" s="1978">
        <v>1</v>
      </c>
      <c r="V16" s="1978"/>
      <c r="W16" s="1978"/>
      <c r="X16" s="1978">
        <v>3</v>
      </c>
      <c r="Y16" s="1978">
        <v>4</v>
      </c>
      <c r="Z16" s="2023">
        <f t="shared" si="0"/>
        <v>21</v>
      </c>
      <c r="AB16" s="2094" t="s">
        <v>31</v>
      </c>
      <c r="AC16" s="2041">
        <f t="shared" si="1"/>
        <v>70</v>
      </c>
    </row>
    <row r="17" spans="1:29" x14ac:dyDescent="0.25">
      <c r="A17" s="1978">
        <v>9</v>
      </c>
      <c r="B17" s="2026">
        <v>5191421009</v>
      </c>
      <c r="C17" s="2023">
        <v>2</v>
      </c>
      <c r="D17" s="2023"/>
      <c r="E17" s="2023">
        <v>2</v>
      </c>
      <c r="F17" s="2023"/>
      <c r="G17" s="1978"/>
      <c r="H17" s="1978">
        <v>5</v>
      </c>
      <c r="I17" s="1978">
        <v>5</v>
      </c>
      <c r="J17" s="1978"/>
      <c r="K17" s="1978"/>
      <c r="L17" s="1978">
        <v>5</v>
      </c>
      <c r="M17" s="1978">
        <v>5</v>
      </c>
      <c r="N17" s="2023">
        <f t="shared" si="2"/>
        <v>24</v>
      </c>
      <c r="O17" s="2023">
        <v>2</v>
      </c>
      <c r="P17" s="2023">
        <v>1</v>
      </c>
      <c r="Q17" s="2023"/>
      <c r="R17" s="2023">
        <v>2</v>
      </c>
      <c r="S17" s="1978">
        <v>1</v>
      </c>
      <c r="T17" s="1978">
        <v>5</v>
      </c>
      <c r="U17" s="1978">
        <v>1</v>
      </c>
      <c r="V17" s="1978"/>
      <c r="W17" s="1978"/>
      <c r="X17" s="1978">
        <v>1</v>
      </c>
      <c r="Y17" s="1978"/>
      <c r="Z17" s="2023">
        <f t="shared" si="0"/>
        <v>13</v>
      </c>
      <c r="AB17" s="2094" t="s">
        <v>32</v>
      </c>
      <c r="AC17" s="2041">
        <f t="shared" si="1"/>
        <v>85</v>
      </c>
    </row>
    <row r="18" spans="1:29" x14ac:dyDescent="0.25">
      <c r="A18" s="1978">
        <v>10</v>
      </c>
      <c r="B18" s="2026">
        <v>5191421010</v>
      </c>
      <c r="C18" s="2023">
        <v>2</v>
      </c>
      <c r="D18" s="2023"/>
      <c r="E18" s="2023"/>
      <c r="F18" s="2023"/>
      <c r="G18" s="1978"/>
      <c r="H18" s="1978">
        <v>5</v>
      </c>
      <c r="I18" s="1978">
        <v>4</v>
      </c>
      <c r="J18" s="1978"/>
      <c r="K18" s="1978"/>
      <c r="L18" s="1978">
        <v>5</v>
      </c>
      <c r="M18" s="1978"/>
      <c r="N18" s="2023">
        <f t="shared" si="2"/>
        <v>16</v>
      </c>
      <c r="O18" s="2023">
        <v>2</v>
      </c>
      <c r="P18" s="2023">
        <v>2</v>
      </c>
      <c r="Q18" s="2023">
        <v>2</v>
      </c>
      <c r="R18" s="2023">
        <v>1</v>
      </c>
      <c r="S18" s="1978">
        <v>2</v>
      </c>
      <c r="T18" s="1978">
        <v>5</v>
      </c>
      <c r="U18" s="1978"/>
      <c r="V18" s="1978"/>
      <c r="W18" s="1978">
        <v>3</v>
      </c>
      <c r="X18" s="1978"/>
      <c r="Y18" s="1978"/>
      <c r="Z18" s="2023">
        <f t="shared" si="0"/>
        <v>17</v>
      </c>
      <c r="AB18" s="2094" t="s">
        <v>31</v>
      </c>
      <c r="AC18" s="2041">
        <f t="shared" si="1"/>
        <v>70</v>
      </c>
    </row>
    <row r="19" spans="1:29" x14ac:dyDescent="0.25">
      <c r="A19" s="1978">
        <v>11</v>
      </c>
      <c r="B19" s="2026">
        <v>5191421011</v>
      </c>
      <c r="C19" s="2023">
        <v>2</v>
      </c>
      <c r="D19" s="2023"/>
      <c r="E19" s="2023">
        <v>2</v>
      </c>
      <c r="F19" s="2023"/>
      <c r="G19" s="1978">
        <v>2</v>
      </c>
      <c r="H19" s="1978"/>
      <c r="I19" s="1978"/>
      <c r="J19" s="1978">
        <v>5</v>
      </c>
      <c r="K19" s="1978">
        <v>5</v>
      </c>
      <c r="L19" s="1978">
        <v>5</v>
      </c>
      <c r="M19" s="1978">
        <v>5</v>
      </c>
      <c r="N19" s="2023">
        <f t="shared" si="2"/>
        <v>26</v>
      </c>
      <c r="O19" s="2023">
        <v>2</v>
      </c>
      <c r="P19" s="2023">
        <v>2</v>
      </c>
      <c r="Q19" s="2023">
        <v>2</v>
      </c>
      <c r="R19" s="2023">
        <v>2</v>
      </c>
      <c r="S19" s="1978">
        <v>2</v>
      </c>
      <c r="T19" s="1978"/>
      <c r="U19" s="1978"/>
      <c r="V19" s="1978">
        <v>1</v>
      </c>
      <c r="W19" s="1978">
        <v>5</v>
      </c>
      <c r="X19" s="1978">
        <v>5</v>
      </c>
      <c r="Y19" s="1978">
        <v>5</v>
      </c>
      <c r="Z19" s="2023">
        <f t="shared" si="0"/>
        <v>26</v>
      </c>
      <c r="AB19" s="2094" t="s">
        <v>30</v>
      </c>
      <c r="AC19" s="2041">
        <f t="shared" si="1"/>
        <v>95</v>
      </c>
    </row>
    <row r="20" spans="1:29" x14ac:dyDescent="0.25">
      <c r="A20" s="1978">
        <v>12</v>
      </c>
      <c r="B20" s="2026">
        <v>5191421012</v>
      </c>
      <c r="C20" s="2023"/>
      <c r="D20" s="2023"/>
      <c r="E20" s="2023"/>
      <c r="F20" s="2023"/>
      <c r="G20" s="1978"/>
      <c r="H20" s="1978">
        <v>4</v>
      </c>
      <c r="I20" s="1978"/>
      <c r="J20" s="1978"/>
      <c r="K20" s="1978"/>
      <c r="L20" s="1978">
        <v>4</v>
      </c>
      <c r="M20" s="1978"/>
      <c r="N20" s="2023">
        <f t="shared" si="2"/>
        <v>8</v>
      </c>
      <c r="O20" s="2023">
        <v>1</v>
      </c>
      <c r="P20" s="2023">
        <v>1</v>
      </c>
      <c r="Q20" s="2023">
        <v>1</v>
      </c>
      <c r="R20" s="2023">
        <v>1</v>
      </c>
      <c r="S20" s="1978"/>
      <c r="T20" s="1978">
        <v>4</v>
      </c>
      <c r="U20" s="1978">
        <v>1</v>
      </c>
      <c r="V20" s="1978"/>
      <c r="W20" s="1978">
        <v>5</v>
      </c>
      <c r="X20" s="1978"/>
      <c r="Y20" s="1978"/>
      <c r="Z20" s="2023">
        <f t="shared" si="0"/>
        <v>14</v>
      </c>
      <c r="AB20" s="2094" t="s">
        <v>29</v>
      </c>
      <c r="AC20" s="2041">
        <f t="shared" si="1"/>
        <v>39</v>
      </c>
    </row>
    <row r="21" spans="1:29" x14ac:dyDescent="0.25">
      <c r="A21" s="1978">
        <v>13</v>
      </c>
      <c r="B21" s="2026">
        <v>5191421013</v>
      </c>
      <c r="C21" s="2023">
        <v>2</v>
      </c>
      <c r="D21" s="2023"/>
      <c r="E21" s="2023">
        <v>2</v>
      </c>
      <c r="F21" s="2023"/>
      <c r="G21" s="1978">
        <v>2</v>
      </c>
      <c r="H21" s="1978">
        <v>5</v>
      </c>
      <c r="I21" s="1978">
        <v>5</v>
      </c>
      <c r="J21" s="1978"/>
      <c r="K21" s="1978"/>
      <c r="L21" s="1978">
        <v>5</v>
      </c>
      <c r="M21" s="1978">
        <v>5</v>
      </c>
      <c r="N21" s="2023">
        <f t="shared" si="2"/>
        <v>26</v>
      </c>
      <c r="O21" s="2023">
        <v>2</v>
      </c>
      <c r="P21" s="2023">
        <v>2</v>
      </c>
      <c r="Q21" s="2023">
        <v>2</v>
      </c>
      <c r="R21" s="2023">
        <v>2</v>
      </c>
      <c r="S21" s="1978">
        <v>2</v>
      </c>
      <c r="T21" s="1978"/>
      <c r="U21" s="1978"/>
      <c r="V21" s="1978"/>
      <c r="W21" s="1978">
        <v>5</v>
      </c>
      <c r="X21" s="1978">
        <v>5</v>
      </c>
      <c r="Y21" s="1978">
        <v>5</v>
      </c>
      <c r="Z21" s="2023">
        <f>Y21+X21+W21+V21+U21+T21+S21+R21+Q21+P21+O21</f>
        <v>25</v>
      </c>
      <c r="AB21" s="2094" t="s">
        <v>27</v>
      </c>
      <c r="AC21" s="2041">
        <f t="shared" si="1"/>
        <v>90</v>
      </c>
    </row>
    <row r="22" spans="1:29" x14ac:dyDescent="0.25">
      <c r="A22" s="1978">
        <v>14</v>
      </c>
      <c r="B22" s="2026">
        <v>5191421014</v>
      </c>
      <c r="C22" s="2023">
        <v>2</v>
      </c>
      <c r="D22" s="2023"/>
      <c r="E22" s="2023">
        <v>2</v>
      </c>
      <c r="F22" s="2023"/>
      <c r="G22" s="1978">
        <v>2</v>
      </c>
      <c r="H22" s="1978">
        <v>5</v>
      </c>
      <c r="I22" s="1978"/>
      <c r="J22" s="1978"/>
      <c r="K22" s="1978"/>
      <c r="L22" s="1978">
        <v>5</v>
      </c>
      <c r="M22" s="1978">
        <v>5</v>
      </c>
      <c r="N22" s="2023">
        <f t="shared" si="2"/>
        <v>21</v>
      </c>
      <c r="O22" s="2023">
        <v>2</v>
      </c>
      <c r="P22" s="2023">
        <v>2</v>
      </c>
      <c r="Q22" s="2023">
        <v>2</v>
      </c>
      <c r="R22" s="2023">
        <v>1</v>
      </c>
      <c r="S22" s="1978"/>
      <c r="T22" s="1978">
        <v>5</v>
      </c>
      <c r="U22" s="1978"/>
      <c r="V22" s="1978"/>
      <c r="W22" s="1978"/>
      <c r="X22" s="1978"/>
      <c r="Y22" s="1978"/>
      <c r="Z22" s="2023">
        <f t="shared" si="0"/>
        <v>12</v>
      </c>
      <c r="AB22" s="2094" t="s">
        <v>32</v>
      </c>
      <c r="AC22" s="2041">
        <f t="shared" si="1"/>
        <v>85</v>
      </c>
    </row>
    <row r="23" spans="1:29" x14ac:dyDescent="0.25">
      <c r="A23" s="1978">
        <v>15</v>
      </c>
      <c r="B23" s="2026">
        <v>5191421015</v>
      </c>
      <c r="C23" s="2023"/>
      <c r="D23" s="2023"/>
      <c r="E23" s="2023"/>
      <c r="F23" s="2023"/>
      <c r="G23" s="1978"/>
      <c r="H23" s="1978">
        <v>2</v>
      </c>
      <c r="I23" s="1978">
        <v>5</v>
      </c>
      <c r="J23" s="1978"/>
      <c r="K23" s="1978">
        <v>5</v>
      </c>
      <c r="L23" s="1978"/>
      <c r="M23" s="1978"/>
      <c r="N23" s="2023">
        <f t="shared" si="2"/>
        <v>12</v>
      </c>
      <c r="O23" s="2023">
        <v>2</v>
      </c>
      <c r="P23" s="2023">
        <v>2</v>
      </c>
      <c r="Q23" s="2023">
        <v>2</v>
      </c>
      <c r="R23" s="2023">
        <v>2</v>
      </c>
      <c r="S23" s="1978">
        <v>2</v>
      </c>
      <c r="T23" s="1979"/>
      <c r="U23" s="1979"/>
      <c r="V23" s="1979">
        <v>5</v>
      </c>
      <c r="W23" s="1979">
        <v>3</v>
      </c>
      <c r="X23" s="1979">
        <v>4</v>
      </c>
      <c r="Y23" s="1979">
        <v>5</v>
      </c>
      <c r="Z23" s="2023">
        <f t="shared" si="0"/>
        <v>27</v>
      </c>
      <c r="AB23" s="2094" t="s">
        <v>31</v>
      </c>
      <c r="AC23" s="2041">
        <f t="shared" si="1"/>
        <v>70</v>
      </c>
    </row>
    <row r="24" spans="1:29" x14ac:dyDescent="0.25">
      <c r="A24" s="1978">
        <v>16</v>
      </c>
      <c r="B24" s="2026">
        <v>5191421016</v>
      </c>
      <c r="C24" s="2023">
        <v>2</v>
      </c>
      <c r="D24" s="2023"/>
      <c r="E24" s="2023">
        <v>1</v>
      </c>
      <c r="F24" s="2023"/>
      <c r="G24" s="1978"/>
      <c r="H24" s="1978">
        <v>4</v>
      </c>
      <c r="I24" s="1978">
        <v>3</v>
      </c>
      <c r="J24" s="1978">
        <v>4</v>
      </c>
      <c r="K24" s="1978">
        <v>5</v>
      </c>
      <c r="L24" s="1978"/>
      <c r="M24" s="1978"/>
      <c r="N24" s="2023">
        <f t="shared" si="2"/>
        <v>19</v>
      </c>
      <c r="O24" s="2023">
        <v>2</v>
      </c>
      <c r="P24" s="2023">
        <v>2</v>
      </c>
      <c r="Q24" s="2023">
        <v>2</v>
      </c>
      <c r="R24" s="2023">
        <v>2</v>
      </c>
      <c r="S24" s="1978">
        <v>1</v>
      </c>
      <c r="T24" s="1978">
        <v>5</v>
      </c>
      <c r="U24" s="1978"/>
      <c r="V24" s="1978">
        <v>5</v>
      </c>
      <c r="W24" s="1978">
        <v>5</v>
      </c>
      <c r="X24" s="1978"/>
      <c r="Y24" s="1978"/>
      <c r="Z24" s="2023">
        <f t="shared" si="0"/>
        <v>24</v>
      </c>
      <c r="AB24" s="2094" t="s">
        <v>29</v>
      </c>
      <c r="AC24" s="2041">
        <f t="shared" si="1"/>
        <v>39</v>
      </c>
    </row>
    <row r="25" spans="1:29" x14ac:dyDescent="0.25">
      <c r="A25" s="1978">
        <v>17</v>
      </c>
      <c r="B25" s="2026">
        <v>5191421017</v>
      </c>
      <c r="C25" s="2023">
        <v>2</v>
      </c>
      <c r="D25" s="2023">
        <v>2</v>
      </c>
      <c r="E25" s="2023">
        <v>2</v>
      </c>
      <c r="F25" s="2023"/>
      <c r="G25" s="1978"/>
      <c r="H25" s="1978">
        <v>4</v>
      </c>
      <c r="I25" s="1978"/>
      <c r="J25" s="1978"/>
      <c r="K25" s="1978"/>
      <c r="L25" s="1978">
        <v>5</v>
      </c>
      <c r="M25" s="1978">
        <v>2</v>
      </c>
      <c r="N25" s="2023">
        <f t="shared" si="2"/>
        <v>17</v>
      </c>
      <c r="O25" s="2023">
        <v>1</v>
      </c>
      <c r="P25" s="2023">
        <v>2</v>
      </c>
      <c r="Q25" s="2023">
        <v>2</v>
      </c>
      <c r="R25" s="2023">
        <v>2</v>
      </c>
      <c r="S25" s="1978">
        <v>2</v>
      </c>
      <c r="T25" s="1978">
        <v>5</v>
      </c>
      <c r="U25" s="1978"/>
      <c r="V25" s="1978"/>
      <c r="W25" s="1978">
        <v>4</v>
      </c>
      <c r="X25" s="1978"/>
      <c r="Y25" s="1978"/>
      <c r="Z25" s="2023">
        <f t="shared" si="0"/>
        <v>18</v>
      </c>
      <c r="AB25" s="2094" t="s">
        <v>32</v>
      </c>
      <c r="AC25" s="2041">
        <f t="shared" si="1"/>
        <v>85</v>
      </c>
    </row>
    <row r="26" spans="1:29" x14ac:dyDescent="0.25">
      <c r="A26" s="1978">
        <v>18</v>
      </c>
      <c r="B26" s="2026">
        <v>5191421018</v>
      </c>
      <c r="C26" s="2023"/>
      <c r="D26" s="2023"/>
      <c r="E26" s="2023">
        <v>2</v>
      </c>
      <c r="F26" s="2023"/>
      <c r="G26" s="1978"/>
      <c r="H26" s="1978"/>
      <c r="I26" s="1978"/>
      <c r="J26" s="1978"/>
      <c r="K26" s="1978"/>
      <c r="L26" s="1978"/>
      <c r="M26" s="1978"/>
      <c r="N26" s="2023">
        <f t="shared" si="2"/>
        <v>2</v>
      </c>
      <c r="O26" s="2023">
        <v>2</v>
      </c>
      <c r="P26" s="2023"/>
      <c r="Q26" s="2023">
        <v>1</v>
      </c>
      <c r="R26" s="2023">
        <v>2</v>
      </c>
      <c r="S26" s="1978">
        <v>1</v>
      </c>
      <c r="T26" s="1978"/>
      <c r="U26" s="1978"/>
      <c r="V26" s="1978">
        <v>3</v>
      </c>
      <c r="W26" s="1978">
        <v>1</v>
      </c>
      <c r="X26" s="1978"/>
      <c r="Y26" s="1978"/>
      <c r="Z26" s="2023">
        <f t="shared" si="0"/>
        <v>10</v>
      </c>
      <c r="AB26" s="2094" t="s">
        <v>29</v>
      </c>
      <c r="AC26" s="2041">
        <f t="shared" si="1"/>
        <v>39</v>
      </c>
    </row>
    <row r="27" spans="1:29" x14ac:dyDescent="0.25">
      <c r="A27" s="1978">
        <v>19</v>
      </c>
      <c r="B27" s="2026">
        <v>5191421019</v>
      </c>
      <c r="C27" s="2023">
        <v>2</v>
      </c>
      <c r="D27" s="2023">
        <v>2</v>
      </c>
      <c r="E27" s="2023">
        <v>2</v>
      </c>
      <c r="F27" s="1978"/>
      <c r="G27" s="1978">
        <v>2</v>
      </c>
      <c r="H27" s="1978">
        <v>5</v>
      </c>
      <c r="I27" s="1978">
        <v>5</v>
      </c>
      <c r="J27" s="1978"/>
      <c r="K27" s="1978"/>
      <c r="L27" s="1978">
        <v>5</v>
      </c>
      <c r="M27" s="1978"/>
      <c r="N27" s="2023">
        <f t="shared" si="2"/>
        <v>23</v>
      </c>
      <c r="O27" s="2023">
        <v>2</v>
      </c>
      <c r="P27" s="1978">
        <v>2</v>
      </c>
      <c r="Q27" s="2023">
        <v>2</v>
      </c>
      <c r="R27" s="1978">
        <v>2</v>
      </c>
      <c r="S27" s="1978">
        <v>2</v>
      </c>
      <c r="T27" s="1978">
        <v>5</v>
      </c>
      <c r="U27" s="1978"/>
      <c r="V27" s="1978">
        <v>5</v>
      </c>
      <c r="W27" s="1978">
        <v>5</v>
      </c>
      <c r="X27" s="1978"/>
      <c r="Y27" s="1978"/>
      <c r="Z27" s="2023">
        <f t="shared" si="0"/>
        <v>25</v>
      </c>
      <c r="AB27" s="2094" t="s">
        <v>27</v>
      </c>
      <c r="AC27" s="2041">
        <f t="shared" si="1"/>
        <v>90</v>
      </c>
    </row>
    <row r="28" spans="1:29" x14ac:dyDescent="0.25">
      <c r="A28" s="1978">
        <v>20</v>
      </c>
      <c r="B28" s="2026">
        <v>5191421020</v>
      </c>
      <c r="C28" s="1978">
        <v>2</v>
      </c>
      <c r="D28" s="2023">
        <v>2</v>
      </c>
      <c r="E28" s="2023">
        <v>2</v>
      </c>
      <c r="F28" s="1978">
        <v>2</v>
      </c>
      <c r="G28" s="1978">
        <v>2</v>
      </c>
      <c r="H28" s="1978">
        <v>5</v>
      </c>
      <c r="I28" s="1978">
        <v>5</v>
      </c>
      <c r="J28" s="1978">
        <v>5</v>
      </c>
      <c r="K28" s="1978">
        <v>5</v>
      </c>
      <c r="L28" s="1978"/>
      <c r="M28" s="1978"/>
      <c r="N28" s="2023">
        <f t="shared" si="2"/>
        <v>30</v>
      </c>
      <c r="O28" s="1978">
        <v>1</v>
      </c>
      <c r="P28" s="1978">
        <v>1</v>
      </c>
      <c r="Q28" s="2023">
        <v>1</v>
      </c>
      <c r="R28" s="1978">
        <v>2</v>
      </c>
      <c r="S28" s="1978">
        <v>2</v>
      </c>
      <c r="T28" s="1978"/>
      <c r="U28" s="1978"/>
      <c r="V28" s="1978">
        <v>5</v>
      </c>
      <c r="W28" s="1978">
        <v>4</v>
      </c>
      <c r="X28" s="1978">
        <v>5</v>
      </c>
      <c r="Y28" s="1978">
        <v>4</v>
      </c>
      <c r="Z28" s="2023">
        <f t="shared" si="0"/>
        <v>25</v>
      </c>
      <c r="AB28" s="2094" t="s">
        <v>30</v>
      </c>
      <c r="AC28" s="2041">
        <f t="shared" si="1"/>
        <v>95</v>
      </c>
    </row>
    <row r="29" spans="1:29" x14ac:dyDescent="0.25">
      <c r="A29" s="1978">
        <v>21</v>
      </c>
      <c r="B29" s="2026">
        <v>5191421021</v>
      </c>
      <c r="C29" s="1978"/>
      <c r="D29" s="2023"/>
      <c r="E29" s="2023"/>
      <c r="F29" s="1978"/>
      <c r="G29" s="1978"/>
      <c r="H29" s="1978">
        <v>5</v>
      </c>
      <c r="I29" s="1978">
        <v>2</v>
      </c>
      <c r="J29" s="1978"/>
      <c r="K29" s="1978"/>
      <c r="L29" s="1978">
        <v>5</v>
      </c>
      <c r="M29" s="1978">
        <v>5</v>
      </c>
      <c r="N29" s="2023">
        <f t="shared" si="2"/>
        <v>17</v>
      </c>
      <c r="O29" s="1978">
        <v>2</v>
      </c>
      <c r="P29" s="1978"/>
      <c r="Q29" s="2023"/>
      <c r="R29" s="1978"/>
      <c r="S29" s="1978"/>
      <c r="T29" s="1978"/>
      <c r="U29" s="1978"/>
      <c r="V29" s="1978">
        <v>4</v>
      </c>
      <c r="W29" s="1978">
        <v>1</v>
      </c>
      <c r="X29" s="1978">
        <v>4</v>
      </c>
      <c r="Y29" s="1978"/>
      <c r="Z29" s="2023">
        <f t="shared" si="0"/>
        <v>11</v>
      </c>
      <c r="AB29" s="2094" t="s">
        <v>29</v>
      </c>
      <c r="AC29" s="2041">
        <f t="shared" si="1"/>
        <v>39</v>
      </c>
    </row>
    <row r="30" spans="1:29" x14ac:dyDescent="0.25">
      <c r="A30" s="1978">
        <v>22</v>
      </c>
      <c r="B30" s="2026">
        <v>5191421022</v>
      </c>
      <c r="C30" s="2023">
        <v>2</v>
      </c>
      <c r="D30" s="2023">
        <v>2</v>
      </c>
      <c r="E30" s="2023">
        <v>2</v>
      </c>
      <c r="F30" s="1978"/>
      <c r="G30" s="1978"/>
      <c r="H30" s="1978">
        <v>5</v>
      </c>
      <c r="I30" s="1978"/>
      <c r="J30" s="1978">
        <v>4</v>
      </c>
      <c r="K30" s="1978">
        <v>4</v>
      </c>
      <c r="L30" s="1978"/>
      <c r="M30" s="1978"/>
      <c r="N30" s="2023">
        <f t="shared" si="2"/>
        <v>19</v>
      </c>
      <c r="O30" s="2023">
        <v>1</v>
      </c>
      <c r="P30" s="1978">
        <v>2</v>
      </c>
      <c r="Q30" s="2023">
        <v>1</v>
      </c>
      <c r="R30" s="1978"/>
      <c r="S30" s="1978">
        <v>1</v>
      </c>
      <c r="T30" s="1978">
        <v>4</v>
      </c>
      <c r="U30" s="1978"/>
      <c r="V30" s="1978"/>
      <c r="W30" s="1978"/>
      <c r="X30" s="1978"/>
      <c r="Y30" s="1978"/>
      <c r="Z30" s="2023">
        <f t="shared" si="0"/>
        <v>9</v>
      </c>
      <c r="AB30" s="2094" t="s">
        <v>32</v>
      </c>
      <c r="AC30" s="2041">
        <f t="shared" si="1"/>
        <v>85</v>
      </c>
    </row>
    <row r="31" spans="1:29" x14ac:dyDescent="0.25">
      <c r="A31" s="1978">
        <v>23</v>
      </c>
      <c r="B31" s="2026">
        <v>5191421023</v>
      </c>
      <c r="C31" s="2023">
        <v>2</v>
      </c>
      <c r="D31" s="2023"/>
      <c r="E31" s="2023"/>
      <c r="F31" s="1978">
        <v>1</v>
      </c>
      <c r="G31" s="1978"/>
      <c r="H31" s="1978"/>
      <c r="I31" s="1978"/>
      <c r="J31" s="1978"/>
      <c r="K31" s="1978">
        <v>2</v>
      </c>
      <c r="L31" s="1978">
        <v>5</v>
      </c>
      <c r="M31" s="1978"/>
      <c r="N31" s="2023">
        <f t="shared" si="2"/>
        <v>10</v>
      </c>
      <c r="O31" s="2023">
        <v>2</v>
      </c>
      <c r="P31" s="1978">
        <v>2</v>
      </c>
      <c r="Q31" s="2023">
        <v>2</v>
      </c>
      <c r="R31" s="1978">
        <v>2</v>
      </c>
      <c r="S31" s="1978"/>
      <c r="T31" s="1978">
        <v>5</v>
      </c>
      <c r="U31" s="1978"/>
      <c r="V31" s="1978"/>
      <c r="W31" s="1978">
        <v>5</v>
      </c>
      <c r="X31" s="1978"/>
      <c r="Y31" s="1978"/>
      <c r="Z31" s="2023">
        <f t="shared" si="0"/>
        <v>18</v>
      </c>
      <c r="AB31" s="2094" t="s">
        <v>29</v>
      </c>
      <c r="AC31" s="2041">
        <f t="shared" si="1"/>
        <v>39</v>
      </c>
    </row>
    <row r="32" spans="1:29" x14ac:dyDescent="0.25">
      <c r="A32" s="1978">
        <v>24</v>
      </c>
      <c r="B32" s="2026">
        <v>5191421024</v>
      </c>
      <c r="C32" s="2023">
        <v>2</v>
      </c>
      <c r="D32" s="2023"/>
      <c r="E32" s="2023"/>
      <c r="F32" s="1978"/>
      <c r="G32" s="1978"/>
      <c r="H32" s="1979">
        <v>3</v>
      </c>
      <c r="I32" s="1979"/>
      <c r="J32" s="1979"/>
      <c r="K32" s="1979"/>
      <c r="L32" s="1979">
        <v>4</v>
      </c>
      <c r="M32" s="1979"/>
      <c r="N32" s="2023">
        <f t="shared" si="2"/>
        <v>9</v>
      </c>
      <c r="O32" s="2023">
        <v>2</v>
      </c>
      <c r="P32" s="1978">
        <v>2</v>
      </c>
      <c r="Q32" s="2023">
        <v>2</v>
      </c>
      <c r="R32" s="1978">
        <v>2</v>
      </c>
      <c r="S32" s="1978"/>
      <c r="T32" s="1979">
        <v>2</v>
      </c>
      <c r="U32" s="1979"/>
      <c r="V32" s="1979">
        <v>4</v>
      </c>
      <c r="W32" s="1979">
        <v>2</v>
      </c>
      <c r="X32" s="1979"/>
      <c r="Y32" s="1979"/>
      <c r="Z32" s="2023">
        <f>Y32+X32+W32+V32+U32+T32+S32+R32+Q32+P32+O32</f>
        <v>16</v>
      </c>
      <c r="AB32" s="2094" t="s">
        <v>31</v>
      </c>
      <c r="AC32" s="2041">
        <f t="shared" si="1"/>
        <v>70</v>
      </c>
    </row>
    <row r="33" spans="1:29" x14ac:dyDescent="0.25">
      <c r="A33" s="1978">
        <v>25</v>
      </c>
      <c r="B33" s="2026">
        <v>5191421025</v>
      </c>
      <c r="C33" s="2023">
        <v>2</v>
      </c>
      <c r="D33" s="2023">
        <v>2</v>
      </c>
      <c r="E33" s="2023">
        <v>2</v>
      </c>
      <c r="F33" s="1978">
        <v>2</v>
      </c>
      <c r="G33" s="1978">
        <v>2</v>
      </c>
      <c r="H33" s="1978">
        <v>5</v>
      </c>
      <c r="I33" s="1978">
        <v>5</v>
      </c>
      <c r="J33" s="1978"/>
      <c r="K33" s="1978"/>
      <c r="L33" s="1978">
        <v>5</v>
      </c>
      <c r="M33" s="1978">
        <v>5</v>
      </c>
      <c r="N33" s="2023">
        <f t="shared" si="2"/>
        <v>30</v>
      </c>
      <c r="O33" s="2023">
        <v>2</v>
      </c>
      <c r="P33" s="1978">
        <v>2</v>
      </c>
      <c r="Q33" s="2023">
        <v>2</v>
      </c>
      <c r="R33" s="1978">
        <v>2</v>
      </c>
      <c r="S33" s="1978">
        <v>2</v>
      </c>
      <c r="T33" s="1978">
        <v>5</v>
      </c>
      <c r="U33" s="1978">
        <v>5</v>
      </c>
      <c r="V33" s="1978"/>
      <c r="W33" s="1978"/>
      <c r="X33" s="1978">
        <v>5</v>
      </c>
      <c r="Y33" s="1978">
        <v>5</v>
      </c>
      <c r="Z33" s="2023">
        <f t="shared" si="0"/>
        <v>30</v>
      </c>
      <c r="AB33" s="2094" t="s">
        <v>82</v>
      </c>
      <c r="AC33" s="2041">
        <f t="shared" si="1"/>
        <v>100</v>
      </c>
    </row>
    <row r="34" spans="1:29" x14ac:dyDescent="0.25">
      <c r="A34" s="1978">
        <v>26</v>
      </c>
      <c r="B34" s="2026">
        <v>5191421026</v>
      </c>
      <c r="C34" s="2023">
        <v>2</v>
      </c>
      <c r="D34" s="2023">
        <v>2</v>
      </c>
      <c r="E34" s="2023">
        <v>2</v>
      </c>
      <c r="F34" s="1978">
        <v>2</v>
      </c>
      <c r="G34" s="1978"/>
      <c r="H34" s="1978">
        <v>5</v>
      </c>
      <c r="I34" s="1978">
        <v>3</v>
      </c>
      <c r="J34" s="1978"/>
      <c r="K34" s="1978"/>
      <c r="L34" s="1978">
        <v>5</v>
      </c>
      <c r="M34" s="1978"/>
      <c r="N34" s="2023">
        <f t="shared" si="2"/>
        <v>21</v>
      </c>
      <c r="O34" s="2023">
        <v>2</v>
      </c>
      <c r="P34" s="1978">
        <v>2</v>
      </c>
      <c r="Q34" s="2023">
        <v>2</v>
      </c>
      <c r="R34" s="1978">
        <v>2</v>
      </c>
      <c r="S34" s="1978">
        <v>2</v>
      </c>
      <c r="T34" s="1978">
        <v>5</v>
      </c>
      <c r="U34" s="1978"/>
      <c r="V34" s="1978">
        <v>5</v>
      </c>
      <c r="W34" s="1978">
        <v>4</v>
      </c>
      <c r="X34" s="1978"/>
      <c r="Y34" s="1978"/>
      <c r="Z34" s="2023">
        <f t="shared" si="0"/>
        <v>24</v>
      </c>
      <c r="AB34" s="2094" t="s">
        <v>32</v>
      </c>
      <c r="AC34" s="2041">
        <f t="shared" si="1"/>
        <v>85</v>
      </c>
    </row>
    <row r="35" spans="1:29" x14ac:dyDescent="0.25">
      <c r="A35" s="1978">
        <v>27</v>
      </c>
      <c r="B35" s="2026">
        <v>5191421027</v>
      </c>
      <c r="C35" s="1978"/>
      <c r="D35" s="2023"/>
      <c r="E35" s="2023"/>
      <c r="F35" s="1978"/>
      <c r="G35" s="1978"/>
      <c r="H35" s="1978"/>
      <c r="I35" s="1978"/>
      <c r="J35" s="1978"/>
      <c r="K35" s="1978"/>
      <c r="L35" s="1978"/>
      <c r="M35" s="1978"/>
      <c r="N35" s="2023">
        <f t="shared" si="2"/>
        <v>0</v>
      </c>
      <c r="O35" s="2023">
        <v>2</v>
      </c>
      <c r="P35" s="1978">
        <v>2</v>
      </c>
      <c r="Q35" s="2023">
        <v>2</v>
      </c>
      <c r="R35" s="1978">
        <v>2</v>
      </c>
      <c r="S35" s="1978">
        <v>2</v>
      </c>
      <c r="T35" s="1978">
        <v>5</v>
      </c>
      <c r="U35" s="1978"/>
      <c r="V35" s="1978"/>
      <c r="W35" s="1978"/>
      <c r="X35" s="1978">
        <v>4</v>
      </c>
      <c r="Y35" s="1978">
        <v>5</v>
      </c>
      <c r="Z35" s="2023">
        <f t="shared" si="0"/>
        <v>24</v>
      </c>
      <c r="AB35" s="2094" t="s">
        <v>33</v>
      </c>
      <c r="AC35" s="2041">
        <f t="shared" si="1"/>
        <v>80</v>
      </c>
    </row>
    <row r="36" spans="1:29" x14ac:dyDescent="0.25">
      <c r="A36" s="1978">
        <v>28</v>
      </c>
      <c r="B36" s="2026">
        <v>5191421028</v>
      </c>
      <c r="C36" s="2023">
        <v>2</v>
      </c>
      <c r="D36" s="2023"/>
      <c r="E36" s="2023">
        <v>2</v>
      </c>
      <c r="F36" s="1978">
        <v>2</v>
      </c>
      <c r="G36" s="1978">
        <v>2</v>
      </c>
      <c r="H36" s="1978">
        <v>5</v>
      </c>
      <c r="I36" s="1978">
        <v>5</v>
      </c>
      <c r="J36" s="1978">
        <v>5</v>
      </c>
      <c r="K36" s="1978">
        <v>5</v>
      </c>
      <c r="L36" s="1978"/>
      <c r="M36" s="1978"/>
      <c r="N36" s="2023">
        <f t="shared" si="2"/>
        <v>28</v>
      </c>
      <c r="O36" s="2023">
        <v>2</v>
      </c>
      <c r="P36" s="1978">
        <v>2</v>
      </c>
      <c r="Q36" s="2023">
        <v>2</v>
      </c>
      <c r="R36" s="1978">
        <v>2</v>
      </c>
      <c r="S36" s="1978">
        <v>2</v>
      </c>
      <c r="T36" s="1978"/>
      <c r="U36" s="1978"/>
      <c r="V36" s="1978">
        <v>5</v>
      </c>
      <c r="W36" s="1978">
        <v>5</v>
      </c>
      <c r="X36" s="1978">
        <v>5</v>
      </c>
      <c r="Y36" s="1978">
        <v>5</v>
      </c>
      <c r="Z36" s="2023">
        <f t="shared" si="0"/>
        <v>30</v>
      </c>
      <c r="AB36" s="2094" t="s">
        <v>30</v>
      </c>
      <c r="AC36" s="2041">
        <f t="shared" si="1"/>
        <v>95</v>
      </c>
    </row>
    <row r="37" spans="1:29" x14ac:dyDescent="0.25">
      <c r="A37" s="1978">
        <v>29</v>
      </c>
      <c r="B37" s="2026">
        <v>5191421029</v>
      </c>
      <c r="C37" s="2023">
        <v>2</v>
      </c>
      <c r="D37" s="2023"/>
      <c r="E37" s="2023"/>
      <c r="F37" s="1978">
        <v>2</v>
      </c>
      <c r="G37" s="1978">
        <v>2</v>
      </c>
      <c r="H37" s="1978">
        <v>5</v>
      </c>
      <c r="I37" s="1978">
        <v>2</v>
      </c>
      <c r="J37" s="1978"/>
      <c r="K37" s="1978"/>
      <c r="L37" s="1978">
        <v>5</v>
      </c>
      <c r="M37" s="1978">
        <v>5</v>
      </c>
      <c r="N37" s="2023">
        <f t="shared" si="2"/>
        <v>23</v>
      </c>
      <c r="O37" s="2023">
        <v>2</v>
      </c>
      <c r="P37" s="1978">
        <v>2</v>
      </c>
      <c r="Q37" s="2023">
        <v>2</v>
      </c>
      <c r="R37" s="1978">
        <v>2</v>
      </c>
      <c r="S37" s="1978"/>
      <c r="T37" s="1978"/>
      <c r="U37" s="1978"/>
      <c r="V37" s="1978"/>
      <c r="W37" s="1978"/>
      <c r="X37" s="1978">
        <v>5</v>
      </c>
      <c r="Y37" s="1978"/>
      <c r="Z37" s="2023">
        <f t="shared" si="0"/>
        <v>13</v>
      </c>
      <c r="AB37" s="2094" t="s">
        <v>31</v>
      </c>
      <c r="AC37" s="2041">
        <f t="shared" si="1"/>
        <v>70</v>
      </c>
    </row>
    <row r="38" spans="1:29" x14ac:dyDescent="0.25">
      <c r="A38" s="1978">
        <v>30</v>
      </c>
      <c r="B38" s="2026">
        <v>5191421030</v>
      </c>
      <c r="C38" s="2023"/>
      <c r="D38" s="2023"/>
      <c r="E38" s="2023"/>
      <c r="F38" s="1978"/>
      <c r="G38" s="1978"/>
      <c r="H38" s="1978"/>
      <c r="I38" s="1978"/>
      <c r="J38" s="1978"/>
      <c r="K38" s="1978">
        <v>2</v>
      </c>
      <c r="L38" s="1978">
        <v>4</v>
      </c>
      <c r="M38" s="1978"/>
      <c r="N38" s="2023">
        <f t="shared" si="2"/>
        <v>6</v>
      </c>
      <c r="O38" s="2023">
        <v>1</v>
      </c>
      <c r="P38" s="1978">
        <v>2</v>
      </c>
      <c r="Q38" s="2023">
        <v>2</v>
      </c>
      <c r="R38" s="1978">
        <v>2</v>
      </c>
      <c r="S38" s="1978">
        <v>1</v>
      </c>
      <c r="T38" s="1978"/>
      <c r="U38" s="1978"/>
      <c r="V38" s="1978">
        <v>2</v>
      </c>
      <c r="W38" s="1978"/>
      <c r="X38" s="1978"/>
      <c r="Y38" s="1978"/>
      <c r="Z38" s="2023">
        <f t="shared" si="0"/>
        <v>10</v>
      </c>
      <c r="AB38" s="2094" t="s">
        <v>29</v>
      </c>
      <c r="AC38" s="2041">
        <f t="shared" si="1"/>
        <v>39</v>
      </c>
    </row>
    <row r="39" spans="1:29" x14ac:dyDescent="0.25">
      <c r="A39" s="1978">
        <v>31</v>
      </c>
      <c r="B39" s="2026">
        <v>5191421031</v>
      </c>
      <c r="C39" s="2023">
        <v>2</v>
      </c>
      <c r="D39" s="2023"/>
      <c r="E39" s="2023">
        <v>1</v>
      </c>
      <c r="F39" s="1978"/>
      <c r="G39" s="1978"/>
      <c r="H39" s="1978">
        <v>5</v>
      </c>
      <c r="I39" s="1978"/>
      <c r="J39" s="1978">
        <v>5</v>
      </c>
      <c r="K39" s="1978">
        <v>5</v>
      </c>
      <c r="L39" s="1978"/>
      <c r="M39" s="1978"/>
      <c r="N39" s="2023">
        <f t="shared" si="2"/>
        <v>18</v>
      </c>
      <c r="O39" s="1978">
        <v>2</v>
      </c>
      <c r="P39" s="1978">
        <v>2</v>
      </c>
      <c r="Q39" s="2023">
        <v>1</v>
      </c>
      <c r="R39" s="1978">
        <v>1</v>
      </c>
      <c r="S39" s="1978">
        <v>2</v>
      </c>
      <c r="T39" s="1978">
        <v>5</v>
      </c>
      <c r="U39" s="1978"/>
      <c r="V39" s="1978"/>
      <c r="W39" s="1978"/>
      <c r="X39" s="1978">
        <v>3</v>
      </c>
      <c r="Y39" s="1978"/>
      <c r="Z39" s="2023">
        <f t="shared" si="0"/>
        <v>16</v>
      </c>
      <c r="AB39" s="2094" t="s">
        <v>32</v>
      </c>
      <c r="AC39" s="2041">
        <f t="shared" si="1"/>
        <v>85</v>
      </c>
    </row>
    <row r="40" spans="1:29" x14ac:dyDescent="0.25">
      <c r="A40" s="1978">
        <v>32</v>
      </c>
      <c r="B40" s="2026">
        <v>5191421032</v>
      </c>
      <c r="C40" s="2023"/>
      <c r="D40" s="2023"/>
      <c r="E40" s="2023"/>
      <c r="F40" s="1978"/>
      <c r="G40" s="1978"/>
      <c r="H40" s="1978"/>
      <c r="I40" s="1978"/>
      <c r="J40" s="1978"/>
      <c r="K40" s="1978"/>
      <c r="L40" s="1978">
        <v>3</v>
      </c>
      <c r="M40" s="1978">
        <v>1</v>
      </c>
      <c r="N40" s="2023">
        <f t="shared" si="2"/>
        <v>4</v>
      </c>
      <c r="O40" s="2023">
        <v>2</v>
      </c>
      <c r="P40" s="1978">
        <v>2</v>
      </c>
      <c r="Q40" s="2023">
        <v>2</v>
      </c>
      <c r="R40" s="1978">
        <v>2</v>
      </c>
      <c r="S40" s="1978">
        <v>2</v>
      </c>
      <c r="T40" s="1978">
        <v>1</v>
      </c>
      <c r="U40" s="1978">
        <v>1</v>
      </c>
      <c r="V40" s="1978">
        <v>1</v>
      </c>
      <c r="W40" s="1978">
        <v>1</v>
      </c>
      <c r="X40" s="1978"/>
      <c r="Y40" s="1978"/>
      <c r="Z40" s="2023">
        <f>Y40+X40+W40+V40+U40+T40+S40+R40+Q40+P40+O40</f>
        <v>14</v>
      </c>
      <c r="AB40" s="2094" t="s">
        <v>29</v>
      </c>
      <c r="AC40" s="2041">
        <f t="shared" si="1"/>
        <v>39</v>
      </c>
    </row>
    <row r="41" spans="1:29" x14ac:dyDescent="0.25">
      <c r="A41" s="1978">
        <v>33</v>
      </c>
      <c r="B41" s="2026">
        <v>5191421033</v>
      </c>
      <c r="C41" s="2023">
        <v>2</v>
      </c>
      <c r="D41" s="2023">
        <v>2</v>
      </c>
      <c r="E41" s="2023">
        <v>2</v>
      </c>
      <c r="F41" s="1978">
        <v>2</v>
      </c>
      <c r="G41" s="1978">
        <v>2</v>
      </c>
      <c r="H41" s="1978">
        <v>5</v>
      </c>
      <c r="I41" s="1978">
        <v>5</v>
      </c>
      <c r="J41" s="1978"/>
      <c r="K41" s="1978"/>
      <c r="L41" s="1978">
        <v>5</v>
      </c>
      <c r="M41" s="1978">
        <v>5</v>
      </c>
      <c r="N41" s="2023">
        <f t="shared" si="2"/>
        <v>30</v>
      </c>
      <c r="O41" s="2023">
        <v>1</v>
      </c>
      <c r="P41" s="1978">
        <v>2</v>
      </c>
      <c r="Q41" s="2023">
        <v>2</v>
      </c>
      <c r="R41" s="1978">
        <v>2</v>
      </c>
      <c r="S41" s="1978">
        <v>2</v>
      </c>
      <c r="T41" s="1978"/>
      <c r="U41" s="1978"/>
      <c r="V41" s="1978">
        <v>5</v>
      </c>
      <c r="W41" s="1978">
        <v>4</v>
      </c>
      <c r="X41" s="1978">
        <v>5</v>
      </c>
      <c r="Y41" s="1978">
        <v>5</v>
      </c>
      <c r="Z41" s="2023">
        <f t="shared" si="0"/>
        <v>28</v>
      </c>
      <c r="AB41" s="2094" t="s">
        <v>30</v>
      </c>
      <c r="AC41" s="2041">
        <f t="shared" si="1"/>
        <v>95</v>
      </c>
    </row>
    <row r="42" spans="1:29" x14ac:dyDescent="0.25">
      <c r="A42" s="1978">
        <v>34</v>
      </c>
      <c r="B42" s="2026">
        <v>5191421034</v>
      </c>
      <c r="C42" s="2023">
        <v>2</v>
      </c>
      <c r="D42" s="2023">
        <v>2</v>
      </c>
      <c r="E42" s="2023">
        <v>2</v>
      </c>
      <c r="F42" s="1978">
        <v>1</v>
      </c>
      <c r="G42" s="1978">
        <v>2</v>
      </c>
      <c r="H42" s="1978">
        <v>5</v>
      </c>
      <c r="I42" s="1978">
        <v>5</v>
      </c>
      <c r="J42" s="1978"/>
      <c r="K42" s="1978"/>
      <c r="L42" s="1978">
        <v>5</v>
      </c>
      <c r="M42" s="1978">
        <v>5</v>
      </c>
      <c r="N42" s="2023">
        <f t="shared" si="2"/>
        <v>29</v>
      </c>
      <c r="O42" s="2023">
        <v>2</v>
      </c>
      <c r="P42" s="1978">
        <v>1</v>
      </c>
      <c r="Q42" s="2023"/>
      <c r="R42" s="1978">
        <v>2</v>
      </c>
      <c r="S42" s="1978">
        <v>2</v>
      </c>
      <c r="T42" s="1978">
        <v>5</v>
      </c>
      <c r="U42" s="1978"/>
      <c r="V42" s="1978">
        <v>5</v>
      </c>
      <c r="W42" s="1978">
        <v>5</v>
      </c>
      <c r="X42" s="1978"/>
      <c r="Y42" s="1978"/>
      <c r="Z42" s="2023">
        <f t="shared" si="0"/>
        <v>22</v>
      </c>
      <c r="AB42" s="2094" t="s">
        <v>30</v>
      </c>
      <c r="AC42" s="2041">
        <f t="shared" si="1"/>
        <v>95</v>
      </c>
    </row>
    <row r="43" spans="1:29" x14ac:dyDescent="0.25">
      <c r="A43" s="1978">
        <v>35</v>
      </c>
      <c r="B43" s="2026">
        <v>5191421035</v>
      </c>
      <c r="C43" s="2023">
        <v>1</v>
      </c>
      <c r="D43" s="2023"/>
      <c r="E43" s="2023"/>
      <c r="F43" s="1978"/>
      <c r="G43" s="1978"/>
      <c r="H43" s="1978">
        <v>2</v>
      </c>
      <c r="I43" s="1978"/>
      <c r="J43" s="1978"/>
      <c r="K43" s="1978">
        <v>5</v>
      </c>
      <c r="L43" s="1978"/>
      <c r="M43" s="1978"/>
      <c r="N43" s="2023">
        <f t="shared" si="2"/>
        <v>8</v>
      </c>
      <c r="O43" s="2023">
        <v>2</v>
      </c>
      <c r="P43" s="1978">
        <v>1</v>
      </c>
      <c r="Q43" s="2023"/>
      <c r="R43" s="1978">
        <v>1</v>
      </c>
      <c r="S43" s="1978"/>
      <c r="T43" s="1978"/>
      <c r="U43" s="1978"/>
      <c r="V43" s="1978">
        <v>4</v>
      </c>
      <c r="W43" s="1978">
        <v>1</v>
      </c>
      <c r="X43" s="1978"/>
      <c r="Y43" s="1978">
        <v>1</v>
      </c>
      <c r="Z43" s="2023">
        <f t="shared" si="0"/>
        <v>10</v>
      </c>
      <c r="AB43" s="2094" t="s">
        <v>28</v>
      </c>
      <c r="AC43" s="2041">
        <f t="shared" si="1"/>
        <v>49</v>
      </c>
    </row>
    <row r="44" spans="1:29" x14ac:dyDescent="0.25">
      <c r="A44" s="1978">
        <v>36</v>
      </c>
      <c r="B44" s="2026">
        <v>5191421036</v>
      </c>
      <c r="C44" s="2023">
        <v>2</v>
      </c>
      <c r="D44" s="2023">
        <v>1</v>
      </c>
      <c r="E44" s="2023"/>
      <c r="F44" s="1978">
        <v>2</v>
      </c>
      <c r="G44" s="1978"/>
      <c r="H44" s="1978">
        <v>5</v>
      </c>
      <c r="I44" s="1978">
        <v>4</v>
      </c>
      <c r="J44" s="1978"/>
      <c r="K44" s="1978"/>
      <c r="L44" s="1978">
        <v>5</v>
      </c>
      <c r="M44" s="1978"/>
      <c r="N44" s="2023">
        <f t="shared" si="2"/>
        <v>19</v>
      </c>
      <c r="O44" s="2023">
        <v>2</v>
      </c>
      <c r="P44" s="1978">
        <v>2</v>
      </c>
      <c r="Q44" s="2023">
        <v>2</v>
      </c>
      <c r="R44" s="1978">
        <v>2</v>
      </c>
      <c r="S44" s="1978">
        <v>2</v>
      </c>
      <c r="T44" s="1978"/>
      <c r="U44" s="1978"/>
      <c r="V44" s="1978">
        <v>5</v>
      </c>
      <c r="W44" s="1978">
        <v>5</v>
      </c>
      <c r="X44" s="1978">
        <v>5</v>
      </c>
      <c r="Y44" s="1978">
        <v>5</v>
      </c>
      <c r="Z44" s="2023">
        <f t="shared" si="0"/>
        <v>30</v>
      </c>
      <c r="AB44" s="2094" t="s">
        <v>30</v>
      </c>
      <c r="AC44" s="2041">
        <f t="shared" si="1"/>
        <v>95</v>
      </c>
    </row>
    <row r="45" spans="1:29" x14ac:dyDescent="0.25">
      <c r="A45" s="1978">
        <v>37</v>
      </c>
      <c r="B45" s="2026">
        <v>5191421037</v>
      </c>
      <c r="C45" s="2023">
        <v>2</v>
      </c>
      <c r="D45" s="2023">
        <v>1</v>
      </c>
      <c r="E45" s="2023"/>
      <c r="F45" s="1978"/>
      <c r="G45" s="1978"/>
      <c r="H45" s="1978">
        <v>3</v>
      </c>
      <c r="I45" s="1978"/>
      <c r="J45" s="1978"/>
      <c r="K45" s="1978"/>
      <c r="L45" s="1978">
        <v>4</v>
      </c>
      <c r="M45" s="1978">
        <v>1</v>
      </c>
      <c r="N45" s="2023">
        <f t="shared" si="2"/>
        <v>11</v>
      </c>
      <c r="O45" s="2023">
        <v>2</v>
      </c>
      <c r="P45" s="1978">
        <v>1</v>
      </c>
      <c r="Q45" s="2023">
        <v>1</v>
      </c>
      <c r="R45" s="1978">
        <v>1</v>
      </c>
      <c r="S45" s="1978">
        <v>2</v>
      </c>
      <c r="T45" s="1978"/>
      <c r="U45" s="1978">
        <v>1</v>
      </c>
      <c r="V45" s="1978"/>
      <c r="W45" s="1978"/>
      <c r="X45" s="1978"/>
      <c r="Y45" s="1978"/>
      <c r="Z45" s="2023">
        <f t="shared" si="0"/>
        <v>8</v>
      </c>
      <c r="AB45" s="2094" t="s">
        <v>28</v>
      </c>
      <c r="AC45" s="2041">
        <f t="shared" si="1"/>
        <v>49</v>
      </c>
    </row>
    <row r="46" spans="1:29" x14ac:dyDescent="0.25">
      <c r="A46" s="1978">
        <v>38</v>
      </c>
      <c r="B46" s="2026">
        <v>5191421038</v>
      </c>
      <c r="C46" s="2023">
        <v>2</v>
      </c>
      <c r="D46" s="2023">
        <v>1</v>
      </c>
      <c r="E46" s="2023"/>
      <c r="F46" s="1978">
        <v>1</v>
      </c>
      <c r="G46" s="1978"/>
      <c r="H46" s="1978">
        <v>5</v>
      </c>
      <c r="I46" s="1978"/>
      <c r="J46" s="1978"/>
      <c r="K46" s="1978"/>
      <c r="L46" s="1978">
        <v>5</v>
      </c>
      <c r="M46" s="1978"/>
      <c r="N46" s="2023">
        <f t="shared" si="2"/>
        <v>14</v>
      </c>
      <c r="O46" s="2023">
        <v>2</v>
      </c>
      <c r="P46" s="1978">
        <v>2</v>
      </c>
      <c r="Q46" s="2023">
        <v>1</v>
      </c>
      <c r="R46" s="1978">
        <v>1</v>
      </c>
      <c r="S46" s="1978">
        <v>2</v>
      </c>
      <c r="T46" s="1978">
        <v>3</v>
      </c>
      <c r="U46" s="1978"/>
      <c r="V46" s="1978"/>
      <c r="W46" s="1978">
        <v>3</v>
      </c>
      <c r="X46" s="1978"/>
      <c r="Y46" s="1978"/>
      <c r="Z46" s="2023">
        <f t="shared" si="0"/>
        <v>14</v>
      </c>
      <c r="AB46" s="2094" t="s">
        <v>31</v>
      </c>
      <c r="AC46" s="2041">
        <f t="shared" si="1"/>
        <v>70</v>
      </c>
    </row>
    <row r="47" spans="1:29" x14ac:dyDescent="0.25">
      <c r="A47" s="1978">
        <v>39</v>
      </c>
      <c r="B47" s="2026">
        <v>5191421039</v>
      </c>
      <c r="C47" s="2023">
        <v>2</v>
      </c>
      <c r="D47" s="2023">
        <v>2</v>
      </c>
      <c r="E47" s="2023">
        <v>2</v>
      </c>
      <c r="F47" s="1978">
        <v>2</v>
      </c>
      <c r="G47" s="1978">
        <v>2</v>
      </c>
      <c r="H47" s="1978">
        <v>5</v>
      </c>
      <c r="I47" s="1978">
        <v>5</v>
      </c>
      <c r="J47" s="1978"/>
      <c r="K47" s="1978"/>
      <c r="L47" s="1978">
        <v>5</v>
      </c>
      <c r="M47" s="1978">
        <v>5</v>
      </c>
      <c r="N47" s="2023">
        <f t="shared" si="2"/>
        <v>30</v>
      </c>
      <c r="O47" s="2023">
        <v>2</v>
      </c>
      <c r="P47" s="1978">
        <v>2</v>
      </c>
      <c r="Q47" s="2023">
        <v>2</v>
      </c>
      <c r="R47" s="1978">
        <v>2</v>
      </c>
      <c r="S47" s="1978">
        <v>2</v>
      </c>
      <c r="T47" s="1978"/>
      <c r="U47" s="1978"/>
      <c r="V47" s="1978">
        <v>5</v>
      </c>
      <c r="W47" s="1978">
        <v>5</v>
      </c>
      <c r="X47" s="1978">
        <v>5</v>
      </c>
      <c r="Y47" s="1978">
        <v>5</v>
      </c>
      <c r="Z47" s="2023">
        <f t="shared" si="0"/>
        <v>30</v>
      </c>
      <c r="AB47" s="2094" t="s">
        <v>27</v>
      </c>
      <c r="AC47" s="2041">
        <f t="shared" si="1"/>
        <v>90</v>
      </c>
    </row>
    <row r="48" spans="1:29" x14ac:dyDescent="0.25">
      <c r="A48" s="1978">
        <v>40</v>
      </c>
      <c r="B48" s="2026">
        <v>5191421040</v>
      </c>
      <c r="C48" s="2023">
        <v>2</v>
      </c>
      <c r="D48" s="2023"/>
      <c r="E48" s="2023">
        <v>2</v>
      </c>
      <c r="F48" s="1978">
        <v>1</v>
      </c>
      <c r="G48" s="1978"/>
      <c r="H48" s="1978">
        <v>5</v>
      </c>
      <c r="I48" s="1978">
        <v>4</v>
      </c>
      <c r="J48" s="1978"/>
      <c r="K48" s="1978"/>
      <c r="L48" s="1978">
        <v>5</v>
      </c>
      <c r="M48" s="1978">
        <v>5</v>
      </c>
      <c r="N48" s="2023">
        <f t="shared" si="2"/>
        <v>24</v>
      </c>
      <c r="O48" s="2023">
        <v>2</v>
      </c>
      <c r="P48" s="1978">
        <v>2</v>
      </c>
      <c r="Q48" s="2023"/>
      <c r="R48" s="1978">
        <v>1</v>
      </c>
      <c r="S48" s="1978">
        <v>2</v>
      </c>
      <c r="T48" s="1978">
        <v>2</v>
      </c>
      <c r="U48" s="1978"/>
      <c r="V48" s="1978"/>
      <c r="W48" s="1978"/>
      <c r="X48" s="1978">
        <v>5</v>
      </c>
      <c r="Y48" s="1978"/>
      <c r="Z48" s="2023">
        <f t="shared" si="0"/>
        <v>14</v>
      </c>
      <c r="AB48" s="2094" t="s">
        <v>31</v>
      </c>
      <c r="AC48" s="2041">
        <f t="shared" si="1"/>
        <v>70</v>
      </c>
    </row>
    <row r="49" spans="1:29" x14ac:dyDescent="0.25">
      <c r="A49" s="1978">
        <v>41</v>
      </c>
      <c r="B49" s="2026">
        <v>5191421041</v>
      </c>
      <c r="C49" s="2023">
        <v>2</v>
      </c>
      <c r="D49" s="2023"/>
      <c r="E49" s="2023">
        <v>2</v>
      </c>
      <c r="F49" s="1978">
        <v>2</v>
      </c>
      <c r="G49" s="1978">
        <v>2</v>
      </c>
      <c r="H49" s="1978">
        <v>5</v>
      </c>
      <c r="I49" s="1978">
        <v>5</v>
      </c>
      <c r="J49" s="1978"/>
      <c r="K49" s="1978"/>
      <c r="L49" s="1978">
        <v>4</v>
      </c>
      <c r="M49" s="1978">
        <v>4</v>
      </c>
      <c r="N49" s="2023">
        <f t="shared" si="2"/>
        <v>26</v>
      </c>
      <c r="O49" s="2023">
        <v>2</v>
      </c>
      <c r="P49" s="1978">
        <v>2</v>
      </c>
      <c r="Q49" s="2023">
        <v>2</v>
      </c>
      <c r="R49" s="1978">
        <v>2</v>
      </c>
      <c r="S49" s="1978">
        <v>2</v>
      </c>
      <c r="T49" s="1978">
        <v>5</v>
      </c>
      <c r="U49" s="1978">
        <v>3</v>
      </c>
      <c r="V49" s="1978"/>
      <c r="W49" s="1978"/>
      <c r="X49" s="1978">
        <v>5</v>
      </c>
      <c r="Y49" s="1978">
        <v>5</v>
      </c>
      <c r="Z49" s="2023">
        <f t="shared" si="0"/>
        <v>28</v>
      </c>
      <c r="AB49" s="2094" t="s">
        <v>30</v>
      </c>
      <c r="AC49" s="2041">
        <f t="shared" si="1"/>
        <v>95</v>
      </c>
    </row>
    <row r="50" spans="1:29" x14ac:dyDescent="0.25">
      <c r="A50" s="1978">
        <v>42</v>
      </c>
      <c r="B50" s="2026">
        <v>5191421042</v>
      </c>
      <c r="C50" s="2023">
        <v>1</v>
      </c>
      <c r="D50" s="2023"/>
      <c r="E50" s="2023"/>
      <c r="F50" s="1978"/>
      <c r="G50" s="1978"/>
      <c r="H50" s="1978">
        <v>3</v>
      </c>
      <c r="I50" s="1978">
        <v>2</v>
      </c>
      <c r="J50" s="1978"/>
      <c r="K50" s="1978">
        <v>1</v>
      </c>
      <c r="L50" s="1978"/>
      <c r="M50" s="1978"/>
      <c r="N50" s="2023">
        <f t="shared" si="2"/>
        <v>7</v>
      </c>
      <c r="O50" s="2023">
        <v>2</v>
      </c>
      <c r="P50" s="1978">
        <v>2</v>
      </c>
      <c r="Q50" s="2023">
        <v>2</v>
      </c>
      <c r="R50" s="1978">
        <v>1</v>
      </c>
      <c r="S50" s="1978"/>
      <c r="T50" s="1978">
        <v>2</v>
      </c>
      <c r="U50" s="1978"/>
      <c r="V50" s="1978"/>
      <c r="W50" s="1978"/>
      <c r="X50" s="1978"/>
      <c r="Y50" s="1978"/>
      <c r="Z50" s="2023">
        <f t="shared" si="0"/>
        <v>9</v>
      </c>
      <c r="AB50" s="2094" t="s">
        <v>28</v>
      </c>
      <c r="AC50" s="2041">
        <f t="shared" si="1"/>
        <v>49</v>
      </c>
    </row>
    <row r="51" spans="1:29" x14ac:dyDescent="0.25">
      <c r="A51" s="1978">
        <v>43</v>
      </c>
      <c r="B51" s="2026">
        <v>5191421043</v>
      </c>
      <c r="C51" s="2023">
        <v>2</v>
      </c>
      <c r="D51" s="2023">
        <v>2</v>
      </c>
      <c r="E51" s="2023">
        <v>2</v>
      </c>
      <c r="F51" s="1978">
        <v>2</v>
      </c>
      <c r="G51" s="1978">
        <v>2</v>
      </c>
      <c r="H51" s="1978"/>
      <c r="I51" s="1978"/>
      <c r="J51" s="1978">
        <v>5</v>
      </c>
      <c r="K51" s="1978">
        <v>5</v>
      </c>
      <c r="L51" s="1978">
        <v>5</v>
      </c>
      <c r="M51" s="1978">
        <v>5</v>
      </c>
      <c r="N51" s="2023">
        <f t="shared" si="2"/>
        <v>30</v>
      </c>
      <c r="O51" s="2023">
        <v>2</v>
      </c>
      <c r="P51" s="1978">
        <v>2</v>
      </c>
      <c r="Q51" s="2023">
        <v>2</v>
      </c>
      <c r="R51" s="1978">
        <v>2</v>
      </c>
      <c r="S51" s="1978">
        <v>2</v>
      </c>
      <c r="T51" s="1978"/>
      <c r="U51" s="1978"/>
      <c r="V51" s="1978">
        <v>3</v>
      </c>
      <c r="W51" s="1978">
        <v>5</v>
      </c>
      <c r="X51" s="1978">
        <v>4</v>
      </c>
      <c r="Y51" s="1978"/>
      <c r="Z51" s="2023">
        <f t="shared" si="0"/>
        <v>22</v>
      </c>
      <c r="AB51" s="2094" t="s">
        <v>27</v>
      </c>
      <c r="AC51" s="2041">
        <f t="shared" si="1"/>
        <v>90</v>
      </c>
    </row>
    <row r="52" spans="1:29" x14ac:dyDescent="0.25">
      <c r="A52" s="1978">
        <v>44</v>
      </c>
      <c r="B52" s="2026">
        <v>5191421044</v>
      </c>
      <c r="C52" s="2023">
        <v>2</v>
      </c>
      <c r="D52" s="2023">
        <v>2</v>
      </c>
      <c r="E52" s="2023">
        <v>2</v>
      </c>
      <c r="F52" s="1978">
        <v>2</v>
      </c>
      <c r="G52" s="1978">
        <v>2</v>
      </c>
      <c r="H52" s="1978"/>
      <c r="I52" s="1978"/>
      <c r="J52" s="1978">
        <v>5</v>
      </c>
      <c r="K52" s="1978">
        <v>5</v>
      </c>
      <c r="L52" s="1978">
        <v>5</v>
      </c>
      <c r="M52" s="1978">
        <v>5</v>
      </c>
      <c r="N52" s="2023">
        <f t="shared" si="2"/>
        <v>30</v>
      </c>
      <c r="O52" s="2023">
        <v>2</v>
      </c>
      <c r="P52" s="1978">
        <v>2</v>
      </c>
      <c r="Q52" s="2023">
        <v>2</v>
      </c>
      <c r="R52" s="1978">
        <v>2</v>
      </c>
      <c r="S52" s="1978">
        <v>2</v>
      </c>
      <c r="T52" s="1978">
        <v>5</v>
      </c>
      <c r="U52" s="1978">
        <v>5</v>
      </c>
      <c r="V52" s="1978">
        <v>5</v>
      </c>
      <c r="W52" s="1978">
        <v>5</v>
      </c>
      <c r="X52" s="1978"/>
      <c r="Y52" s="1978"/>
      <c r="Z52" s="2023">
        <f>Y52+X52+W52+V52+U52+T52+S52+R52+Q52+P52+O52</f>
        <v>30</v>
      </c>
      <c r="AB52" s="2094" t="s">
        <v>82</v>
      </c>
      <c r="AC52" s="2041">
        <f t="shared" si="1"/>
        <v>100</v>
      </c>
    </row>
    <row r="53" spans="1:29" x14ac:dyDescent="0.25">
      <c r="A53" s="1978">
        <v>45</v>
      </c>
      <c r="B53" s="2026">
        <v>5191421045</v>
      </c>
      <c r="C53" s="2023">
        <v>2</v>
      </c>
      <c r="D53" s="2023"/>
      <c r="E53" s="2023">
        <v>2</v>
      </c>
      <c r="F53" s="1978">
        <v>2</v>
      </c>
      <c r="G53" s="1978"/>
      <c r="H53" s="1978">
        <v>5</v>
      </c>
      <c r="I53" s="1978">
        <v>5</v>
      </c>
      <c r="J53" s="1978"/>
      <c r="K53" s="1978"/>
      <c r="L53" s="1978">
        <v>5</v>
      </c>
      <c r="M53" s="1978"/>
      <c r="N53" s="2023">
        <f t="shared" si="2"/>
        <v>21</v>
      </c>
      <c r="O53" s="2023">
        <v>2</v>
      </c>
      <c r="P53" s="1978">
        <v>2</v>
      </c>
      <c r="Q53" s="2023">
        <v>2</v>
      </c>
      <c r="R53" s="1978">
        <v>1</v>
      </c>
      <c r="S53" s="1978">
        <v>2</v>
      </c>
      <c r="T53" s="1978"/>
      <c r="U53" s="1978"/>
      <c r="V53" s="1978">
        <v>5</v>
      </c>
      <c r="W53" s="1978">
        <v>1</v>
      </c>
      <c r="X53" s="1978"/>
      <c r="Y53" s="1978"/>
      <c r="Z53" s="2023">
        <f>Y53+X53+W53+V53+U53+T53+S53+R53+Q53+P53+O53</f>
        <v>15</v>
      </c>
      <c r="AB53" s="2094" t="s">
        <v>31</v>
      </c>
      <c r="AC53" s="2041">
        <f t="shared" si="1"/>
        <v>70</v>
      </c>
    </row>
    <row r="54" spans="1:29" x14ac:dyDescent="0.25">
      <c r="A54" s="1978">
        <v>46</v>
      </c>
      <c r="B54" s="2026">
        <v>5191421046</v>
      </c>
      <c r="C54" s="2023">
        <v>2</v>
      </c>
      <c r="D54" s="2023">
        <v>1</v>
      </c>
      <c r="E54" s="2023">
        <v>2</v>
      </c>
      <c r="F54" s="1978">
        <v>2</v>
      </c>
      <c r="G54" s="1978"/>
      <c r="H54" s="1978">
        <v>5</v>
      </c>
      <c r="I54" s="1978">
        <v>2</v>
      </c>
      <c r="J54" s="1978"/>
      <c r="K54" s="1978">
        <v>5</v>
      </c>
      <c r="L54" s="1978">
        <v>5</v>
      </c>
      <c r="M54" s="1978"/>
      <c r="N54" s="2023">
        <f t="shared" si="2"/>
        <v>24</v>
      </c>
      <c r="O54" s="2023">
        <v>2</v>
      </c>
      <c r="P54" s="1978">
        <v>2</v>
      </c>
      <c r="Q54" s="2023">
        <v>2</v>
      </c>
      <c r="R54" s="1978">
        <v>2</v>
      </c>
      <c r="S54" s="1978">
        <v>1</v>
      </c>
      <c r="T54" s="1978">
        <v>5</v>
      </c>
      <c r="U54" s="1978"/>
      <c r="V54" s="1978"/>
      <c r="W54" s="1978"/>
      <c r="X54" s="1978"/>
      <c r="Y54" s="1978">
        <v>4</v>
      </c>
      <c r="Z54" s="2023">
        <f t="shared" ref="Z54" si="3">Y54+X54+W54+V54+U54+T54+S54+R54+Q54+P54+O54</f>
        <v>18</v>
      </c>
      <c r="AB54" s="2094" t="s">
        <v>27</v>
      </c>
      <c r="AC54" s="2041">
        <f t="shared" si="1"/>
        <v>90</v>
      </c>
    </row>
    <row r="55" spans="1:29" x14ac:dyDescent="0.25">
      <c r="A55" s="1978">
        <v>47</v>
      </c>
      <c r="B55" s="2026">
        <v>5191421047</v>
      </c>
      <c r="C55" s="2023"/>
      <c r="D55" s="2023"/>
      <c r="E55" s="2023"/>
      <c r="F55" s="1978"/>
      <c r="G55" s="1978"/>
      <c r="H55" s="1978"/>
      <c r="I55" s="1978"/>
      <c r="J55" s="1978"/>
      <c r="K55" s="1978"/>
      <c r="L55" s="1978"/>
      <c r="M55" s="1978"/>
      <c r="N55" s="2023">
        <f t="shared" si="2"/>
        <v>0</v>
      </c>
      <c r="O55" s="2023">
        <v>2</v>
      </c>
      <c r="P55" s="1978">
        <v>2</v>
      </c>
      <c r="Q55" s="2023">
        <v>2</v>
      </c>
      <c r="R55" s="1978"/>
      <c r="S55" s="1978"/>
      <c r="T55" s="1979"/>
      <c r="U55" s="1979"/>
      <c r="V55" s="1979"/>
      <c r="W55" s="1979"/>
      <c r="X55" s="1979"/>
      <c r="Y55" s="1979"/>
      <c r="Z55" s="2023">
        <f>Y55+X55+W55+V55+U55+T55+S55+R55+Q55+P55+O55</f>
        <v>6</v>
      </c>
      <c r="AB55" s="2094" t="s">
        <v>29</v>
      </c>
      <c r="AC55" s="2041">
        <f t="shared" si="1"/>
        <v>39</v>
      </c>
    </row>
    <row r="56" spans="1:29" x14ac:dyDescent="0.25">
      <c r="A56" s="1978">
        <v>48</v>
      </c>
      <c r="B56" s="2026">
        <v>5191421048</v>
      </c>
      <c r="C56" s="2023">
        <v>2</v>
      </c>
      <c r="D56" s="2023"/>
      <c r="E56" s="2023"/>
      <c r="F56" s="1978">
        <v>2</v>
      </c>
      <c r="G56" s="1978">
        <v>1</v>
      </c>
      <c r="H56" s="1978">
        <v>5</v>
      </c>
      <c r="I56" s="1978"/>
      <c r="J56" s="1978">
        <v>4</v>
      </c>
      <c r="K56" s="1978">
        <v>1</v>
      </c>
      <c r="L56" s="1978"/>
      <c r="M56" s="1978"/>
      <c r="N56" s="2023">
        <f t="shared" si="2"/>
        <v>15</v>
      </c>
      <c r="O56" s="2023">
        <v>2</v>
      </c>
      <c r="P56" s="1978">
        <v>2</v>
      </c>
      <c r="Q56" s="2023">
        <v>2</v>
      </c>
      <c r="R56" s="1978">
        <v>2</v>
      </c>
      <c r="S56" s="1978"/>
      <c r="T56" s="1978">
        <v>5</v>
      </c>
      <c r="U56" s="1978"/>
      <c r="V56" s="1978"/>
      <c r="W56" s="1978"/>
      <c r="X56" s="1978"/>
      <c r="Y56" s="1978"/>
      <c r="Z56" s="2023">
        <f t="shared" ref="Z56:Z57" si="4">Y56+X56+W56+V56+U56+T56+S56+R56+Q56+P56+O56</f>
        <v>13</v>
      </c>
      <c r="AB56" s="2094" t="s">
        <v>32</v>
      </c>
      <c r="AC56" s="2041">
        <f t="shared" si="1"/>
        <v>85</v>
      </c>
    </row>
    <row r="57" spans="1:29" x14ac:dyDescent="0.25">
      <c r="A57" s="1978">
        <v>49</v>
      </c>
      <c r="B57" s="2026">
        <v>5191421049</v>
      </c>
      <c r="C57" s="2023"/>
      <c r="D57" s="2023"/>
      <c r="E57" s="2023"/>
      <c r="F57" s="1978"/>
      <c r="G57" s="1978"/>
      <c r="H57" s="1978"/>
      <c r="I57" s="1978"/>
      <c r="J57" s="1978"/>
      <c r="K57" s="1978"/>
      <c r="L57" s="1978"/>
      <c r="M57" s="1978"/>
      <c r="N57" s="2023">
        <f t="shared" si="2"/>
        <v>0</v>
      </c>
      <c r="O57" s="2023">
        <v>2</v>
      </c>
      <c r="P57" s="1978">
        <v>2</v>
      </c>
      <c r="Q57" s="2023">
        <v>2</v>
      </c>
      <c r="R57" s="1978">
        <v>2</v>
      </c>
      <c r="S57" s="1978"/>
      <c r="T57" s="1978">
        <v>1</v>
      </c>
      <c r="U57" s="1978">
        <v>3</v>
      </c>
      <c r="V57" s="1978">
        <v>2</v>
      </c>
      <c r="W57" s="1978">
        <v>4</v>
      </c>
      <c r="X57" s="1978"/>
      <c r="Y57" s="1978"/>
      <c r="Z57" s="2023">
        <f t="shared" si="4"/>
        <v>18</v>
      </c>
      <c r="AB57" s="2094" t="s">
        <v>33</v>
      </c>
      <c r="AC57" s="2041">
        <f t="shared" si="1"/>
        <v>80</v>
      </c>
    </row>
    <row r="58" spans="1:29" x14ac:dyDescent="0.25">
      <c r="C58" s="2020">
        <f t="shared" ref="C58:M58" si="5">COUNT(C9:C57)</f>
        <v>40</v>
      </c>
      <c r="D58" s="2020">
        <f t="shared" si="5"/>
        <v>20</v>
      </c>
      <c r="E58" s="2020">
        <f t="shared" si="5"/>
        <v>27</v>
      </c>
      <c r="F58" s="2020">
        <f t="shared" si="5"/>
        <v>24</v>
      </c>
      <c r="G58" s="2020">
        <f t="shared" si="5"/>
        <v>19</v>
      </c>
      <c r="H58" s="2020">
        <f t="shared" si="5"/>
        <v>38</v>
      </c>
      <c r="I58" s="2020">
        <f t="shared" si="5"/>
        <v>25</v>
      </c>
      <c r="J58" s="2020">
        <f t="shared" si="5"/>
        <v>10</v>
      </c>
      <c r="K58" s="2020">
        <f t="shared" si="5"/>
        <v>17</v>
      </c>
      <c r="L58" s="2020">
        <f t="shared" si="5"/>
        <v>34</v>
      </c>
      <c r="M58" s="2020">
        <f t="shared" si="5"/>
        <v>22</v>
      </c>
      <c r="O58" s="2020">
        <f t="shared" ref="O58:Y58" si="6">COUNT(O9:O57)</f>
        <v>49</v>
      </c>
      <c r="P58" s="2020">
        <f t="shared" si="6"/>
        <v>47</v>
      </c>
      <c r="Q58" s="2020">
        <f t="shared" si="6"/>
        <v>44</v>
      </c>
      <c r="R58" s="2020">
        <f t="shared" si="6"/>
        <v>46</v>
      </c>
      <c r="S58" s="2020">
        <f t="shared" si="6"/>
        <v>37</v>
      </c>
      <c r="T58" s="2020">
        <f t="shared" si="6"/>
        <v>30</v>
      </c>
      <c r="U58" s="2020">
        <f t="shared" si="6"/>
        <v>9</v>
      </c>
      <c r="V58" s="2020">
        <f t="shared" si="6"/>
        <v>24</v>
      </c>
      <c r="W58" s="2020">
        <f t="shared" si="6"/>
        <v>30</v>
      </c>
      <c r="X58" s="2020">
        <f t="shared" si="6"/>
        <v>22</v>
      </c>
      <c r="Y58" s="2020">
        <f t="shared" si="6"/>
        <v>18</v>
      </c>
    </row>
    <row r="59" spans="1:29" ht="19.5" customHeight="1" x14ac:dyDescent="0.25">
      <c r="A59" s="2020" t="s">
        <v>34</v>
      </c>
      <c r="B59" s="2020">
        <v>55</v>
      </c>
      <c r="C59" s="2027">
        <f>C8*(B59/100)</f>
        <v>1.1000000000000001</v>
      </c>
      <c r="D59" s="2027">
        <f>D8*(B59/100)</f>
        <v>1.1000000000000001</v>
      </c>
      <c r="E59" s="2027">
        <f>E8*(B59/100)</f>
        <v>1.1000000000000001</v>
      </c>
      <c r="F59" s="2027">
        <f>F8*(B59/100)</f>
        <v>1.1000000000000001</v>
      </c>
      <c r="G59" s="2027">
        <f>G8*(B59/100)</f>
        <v>1.1000000000000001</v>
      </c>
      <c r="H59" s="2028">
        <f>H8*(B59/100)</f>
        <v>2.75</v>
      </c>
      <c r="I59" s="2028">
        <f>I8*(B59/100)</f>
        <v>2.75</v>
      </c>
      <c r="J59" s="2028">
        <f>J8*(B59/100)</f>
        <v>2.75</v>
      </c>
      <c r="K59" s="2028">
        <f>K8*(B59/100)</f>
        <v>2.75</v>
      </c>
      <c r="L59" s="2028">
        <f>L8*(B59/100)</f>
        <v>2.75</v>
      </c>
      <c r="M59" s="2028">
        <f>M8*(B59/100)</f>
        <v>2.75</v>
      </c>
      <c r="N59" s="2029"/>
      <c r="O59" s="2027">
        <f>O8*(B59/100)</f>
        <v>1.1000000000000001</v>
      </c>
      <c r="P59" s="2027">
        <f>P8*(B59/100)</f>
        <v>1.1000000000000001</v>
      </c>
      <c r="Q59" s="2027">
        <f>Q8*(B59/100)</f>
        <v>1.1000000000000001</v>
      </c>
      <c r="R59" s="2027">
        <f>R8*(B59/100)</f>
        <v>1.1000000000000001</v>
      </c>
      <c r="S59" s="2027">
        <f>S8*(B59/100)</f>
        <v>1.1000000000000001</v>
      </c>
      <c r="T59" s="2028">
        <f>T8*(B59/100)</f>
        <v>2.75</v>
      </c>
      <c r="U59" s="2028">
        <f>U8*(B59/100)</f>
        <v>2.75</v>
      </c>
      <c r="V59" s="2028">
        <f>V8*(B59/100)</f>
        <v>2.75</v>
      </c>
      <c r="W59" s="2028">
        <f>W8*(B59/100)</f>
        <v>2.75</v>
      </c>
      <c r="X59" s="2028">
        <f>X8*(B59/100)</f>
        <v>2.75</v>
      </c>
      <c r="Y59" s="2028">
        <f>Y8*(B59/100)</f>
        <v>2.75</v>
      </c>
      <c r="Z59" s="2029"/>
      <c r="AC59" s="2041">
        <f>COUNTIF(AC9:AC56,"&gt;="&amp;B59)</f>
        <v>37</v>
      </c>
    </row>
    <row r="60" spans="1:29" ht="32.25" customHeight="1" x14ac:dyDescent="0.25">
      <c r="A60" s="2810" t="s">
        <v>35</v>
      </c>
      <c r="B60" s="2810"/>
      <c r="C60" s="2020">
        <f>COUNTIF(C9:C57,"&gt;=1")</f>
        <v>40</v>
      </c>
      <c r="D60" s="2021">
        <f>COUNTIF(D9:D57,"&gt;=1")</f>
        <v>20</v>
      </c>
      <c r="E60" s="2021">
        <f>COUNTIF(E9:E57,"&gt;=1")</f>
        <v>27</v>
      </c>
      <c r="F60" s="2020">
        <f>COUNTIF(F9:F57,"&gt;=1")</f>
        <v>24</v>
      </c>
      <c r="G60" s="2020">
        <f>COUNTIF(G9:G57,"&gt;=1")</f>
        <v>19</v>
      </c>
      <c r="H60" s="2020">
        <f t="shared" ref="H60:M60" si="7">COUNTIF(H9:H57,"&gt;=2.5")</f>
        <v>36</v>
      </c>
      <c r="I60" s="2020">
        <f t="shared" si="7"/>
        <v>20</v>
      </c>
      <c r="J60" s="2020">
        <f t="shared" si="7"/>
        <v>10</v>
      </c>
      <c r="K60" s="2020">
        <f t="shared" si="7"/>
        <v>13</v>
      </c>
      <c r="L60" s="2020">
        <f t="shared" si="7"/>
        <v>34</v>
      </c>
      <c r="M60" s="2020">
        <f t="shared" si="7"/>
        <v>18</v>
      </c>
      <c r="N60" s="2029"/>
      <c r="O60" s="2020">
        <f>COUNTIF(O9:O57,"&gt;=1")</f>
        <v>49</v>
      </c>
      <c r="P60" s="2020">
        <f>COUNTIF(P9:P57,"&gt;=1")</f>
        <v>47</v>
      </c>
      <c r="Q60" s="2021">
        <f>COUNTIF(Q9:Q57,"&gt;=1")</f>
        <v>44</v>
      </c>
      <c r="R60" s="2020">
        <f>COUNTIF(R9:R57,"&gt;=1")</f>
        <v>46</v>
      </c>
      <c r="S60" s="2020">
        <f>COUNTIF(S9:S57,"&gt;=1")</f>
        <v>37</v>
      </c>
      <c r="T60" s="2020">
        <f t="shared" ref="T60:Y60" si="8">COUNTIF(T9:T57,"&gt;=2.5")</f>
        <v>25</v>
      </c>
      <c r="U60" s="2020">
        <f t="shared" si="8"/>
        <v>4</v>
      </c>
      <c r="V60" s="2020">
        <f t="shared" si="8"/>
        <v>20</v>
      </c>
      <c r="W60" s="2020">
        <f t="shared" si="8"/>
        <v>24</v>
      </c>
      <c r="X60" s="2020">
        <f t="shared" si="8"/>
        <v>20</v>
      </c>
      <c r="Y60" s="2020">
        <f t="shared" si="8"/>
        <v>17</v>
      </c>
      <c r="Z60" s="2029"/>
      <c r="AC60" s="2042">
        <f>(AC59/A57)*100</f>
        <v>75.510204081632651</v>
      </c>
    </row>
    <row r="61" spans="1:29" ht="27" customHeight="1" x14ac:dyDescent="0.25">
      <c r="A61" s="2811" t="s">
        <v>36</v>
      </c>
      <c r="B61" s="2811"/>
      <c r="C61" s="2020">
        <f t="shared" ref="C61:Y61" si="9">C60/C58</f>
        <v>1</v>
      </c>
      <c r="D61" s="2020">
        <f t="shared" si="9"/>
        <v>1</v>
      </c>
      <c r="E61" s="2020">
        <f t="shared" si="9"/>
        <v>1</v>
      </c>
      <c r="F61" s="2020">
        <f t="shared" si="9"/>
        <v>1</v>
      </c>
      <c r="G61" s="2020">
        <f t="shared" si="9"/>
        <v>1</v>
      </c>
      <c r="H61" s="2030">
        <f t="shared" si="9"/>
        <v>0.94736842105263153</v>
      </c>
      <c r="I61" s="2020">
        <f t="shared" si="9"/>
        <v>0.8</v>
      </c>
      <c r="J61" s="2020">
        <f t="shared" si="9"/>
        <v>1</v>
      </c>
      <c r="K61" s="2030">
        <f t="shared" si="9"/>
        <v>0.76470588235294112</v>
      </c>
      <c r="L61" s="2020">
        <f t="shared" si="9"/>
        <v>1</v>
      </c>
      <c r="M61" s="2030">
        <f t="shared" si="9"/>
        <v>0.81818181818181823</v>
      </c>
      <c r="N61" s="2029"/>
      <c r="O61" s="2020">
        <f t="shared" si="9"/>
        <v>1</v>
      </c>
      <c r="P61" s="2020">
        <f t="shared" si="9"/>
        <v>1</v>
      </c>
      <c r="Q61" s="2021">
        <f t="shared" si="9"/>
        <v>1</v>
      </c>
      <c r="R61" s="2020">
        <f t="shared" si="9"/>
        <v>1</v>
      </c>
      <c r="S61" s="2020">
        <f t="shared" si="9"/>
        <v>1</v>
      </c>
      <c r="T61" s="2030">
        <f t="shared" si="9"/>
        <v>0.83333333333333337</v>
      </c>
      <c r="U61" s="2030">
        <f t="shared" si="9"/>
        <v>0.44444444444444442</v>
      </c>
      <c r="V61" s="2030">
        <f t="shared" si="9"/>
        <v>0.83333333333333337</v>
      </c>
      <c r="W61" s="2030">
        <f t="shared" si="9"/>
        <v>0.8</v>
      </c>
      <c r="X61" s="2030">
        <f t="shared" si="9"/>
        <v>0.90909090909090906</v>
      </c>
      <c r="Y61" s="2030">
        <f t="shared" si="9"/>
        <v>0.94444444444444442</v>
      </c>
      <c r="Z61" s="2029"/>
    </row>
    <row r="64" spans="1:29" x14ac:dyDescent="0.25">
      <c r="B64" s="2033"/>
      <c r="C64" s="2801" t="s">
        <v>38</v>
      </c>
      <c r="D64" s="2801"/>
      <c r="E64" s="2023" t="s">
        <v>39</v>
      </c>
      <c r="F64" s="2033" t="s">
        <v>37</v>
      </c>
      <c r="G64" s="2036"/>
    </row>
    <row r="65" spans="1:18" x14ac:dyDescent="0.25">
      <c r="B65" s="2033" t="s">
        <v>22</v>
      </c>
      <c r="C65" s="2035">
        <f>AVERAGE(C61,F61,H61,I61,J61,L61)*100</f>
        <v>95.78947368421052</v>
      </c>
      <c r="D65" s="2023">
        <f t="shared" ref="D65:D66" si="10">IF(C65&gt;=70,3,IF(AND(C65&gt;=60,C65&lt;70),2,IF(AND(C65&gt;=50,C65&lt;60),1)))</f>
        <v>3</v>
      </c>
      <c r="E65" s="2023">
        <f>IF(AC60&gt;=70,3,IF(AND(AC60&gt;=60,AC60&lt;70),2,IF(AND(AC60&gt;=50,AC60&lt;60),1)))</f>
        <v>3</v>
      </c>
      <c r="F65" s="2033">
        <f>(70/100)*E65+(30/100)*D65</f>
        <v>2.9999999999999996</v>
      </c>
      <c r="P65" s="2021"/>
      <c r="Q65" s="2020"/>
    </row>
    <row r="66" spans="1:18" x14ac:dyDescent="0.25">
      <c r="B66" s="2033" t="s">
        <v>40</v>
      </c>
      <c r="C66" s="2035">
        <f>AVERAGE(D61,E61,K61,S61,T61)*100</f>
        <v>91.960784313725483</v>
      </c>
      <c r="D66" s="2023">
        <f t="shared" si="10"/>
        <v>3</v>
      </c>
      <c r="E66" s="2023">
        <f>IF(AC60&gt;=70,3,IF(AND(AC60&gt;=60,AC60&lt;70),2,IF(AND(AC60&gt;=50,AC60&lt;60),1)))</f>
        <v>3</v>
      </c>
      <c r="F66" s="2033">
        <f>(70/100)*E66+(30/100)*D66</f>
        <v>2.9999999999999996</v>
      </c>
      <c r="P66" s="2021"/>
      <c r="Q66" s="2020"/>
    </row>
    <row r="67" spans="1:18" x14ac:dyDescent="0.25">
      <c r="B67" s="2033" t="s">
        <v>41</v>
      </c>
      <c r="C67" s="2035">
        <f>AVERAGE(G61,M61,O61,U61,V61)*100</f>
        <v>81.919191919191931</v>
      </c>
      <c r="D67" s="2023">
        <f>IF(C67&gt;=70,3,IF(AND(C67&gt;=60,C67&lt;70),2,IF(AND(C67&gt;=50,C67&lt;60),1)))</f>
        <v>3</v>
      </c>
      <c r="E67" s="2023">
        <f>IF(AC60&gt;=70,3,IF(AND(AC60&gt;=60,AC60&lt;70),2,IF(AND(AC60&gt;=50,AC60&lt;60),1)))</f>
        <v>3</v>
      </c>
      <c r="F67" s="2033">
        <f>(70/100)*E67+(30/100)*D67</f>
        <v>2.9999999999999996</v>
      </c>
      <c r="P67" s="2021"/>
      <c r="Q67" s="2020"/>
    </row>
    <row r="68" spans="1:18" x14ac:dyDescent="0.25">
      <c r="B68" s="2033" t="s">
        <v>42</v>
      </c>
      <c r="C68" s="2035">
        <f>AVERAGE(P61,Q61,W61)*100</f>
        <v>93.333333333333329</v>
      </c>
      <c r="D68" s="2023">
        <f t="shared" ref="D68:D69" si="11">IF(C68&gt;=70,3,IF(AND(C68&gt;=60,C68&lt;70),2,IF(AND(C68&gt;=50,C68&lt;60),1)))</f>
        <v>3</v>
      </c>
      <c r="E68" s="2023">
        <f>IF(AC60&gt;=70,3,IF(AND(AC60&gt;=60,AC60&lt;70),2,IF(AND(AC60&gt;=50,AC60&lt;60),1)))</f>
        <v>3</v>
      </c>
      <c r="F68" s="2033">
        <f>(70/100)*E68+(30/100)*D68</f>
        <v>2.9999999999999996</v>
      </c>
      <c r="P68" s="2021"/>
      <c r="Q68" s="2020"/>
    </row>
    <row r="69" spans="1:18" x14ac:dyDescent="0.25">
      <c r="B69" s="2033" t="s">
        <v>43</v>
      </c>
      <c r="C69" s="2035">
        <f>AVERAGE(R61,X61,Y61)*100</f>
        <v>95.117845117845121</v>
      </c>
      <c r="D69" s="2023">
        <f t="shared" si="11"/>
        <v>3</v>
      </c>
      <c r="E69" s="2023">
        <f>IF(AC60&gt;=70,3,IF(AND(AC60&gt;=60,AC60&lt;70),2,IF(AND(AC60&gt;=50,AC60&lt;60),1)))</f>
        <v>3</v>
      </c>
      <c r="F69" s="2033">
        <f>(70/100)*E69+(30/100)*D69</f>
        <v>2.9999999999999996</v>
      </c>
      <c r="P69" s="2021"/>
      <c r="Q69" s="2020"/>
    </row>
    <row r="70" spans="1:18" x14ac:dyDescent="0.25">
      <c r="B70" s="2806" t="s">
        <v>44</v>
      </c>
      <c r="C70" s="2807"/>
      <c r="D70" s="2807"/>
      <c r="E70" s="2808"/>
      <c r="F70" s="2024">
        <f>AVERAGE(E65:E69)</f>
        <v>3</v>
      </c>
      <c r="G70" s="2077"/>
    </row>
    <row r="72" spans="1:18" ht="20.25" x14ac:dyDescent="0.25">
      <c r="A72" s="2635" t="s">
        <v>261</v>
      </c>
      <c r="B72" s="2635"/>
      <c r="C72" s="2635"/>
      <c r="D72" s="2635"/>
    </row>
    <row r="74" spans="1:18" x14ac:dyDescent="0.25">
      <c r="B74" s="1978" t="s">
        <v>45</v>
      </c>
      <c r="C74" s="1978" t="s">
        <v>68</v>
      </c>
      <c r="D74" s="2023" t="s">
        <v>69</v>
      </c>
      <c r="E74" s="2023" t="s">
        <v>70</v>
      </c>
      <c r="F74" s="1978" t="s">
        <v>71</v>
      </c>
      <c r="G74" s="1978" t="s">
        <v>72</v>
      </c>
      <c r="H74" s="1978" t="s">
        <v>73</v>
      </c>
      <c r="I74" s="1978" t="s">
        <v>74</v>
      </c>
      <c r="J74" s="1978" t="s">
        <v>75</v>
      </c>
      <c r="K74" s="1978" t="s">
        <v>76</v>
      </c>
      <c r="L74" s="1978" t="s">
        <v>77</v>
      </c>
      <c r="M74" s="2023" t="s">
        <v>78</v>
      </c>
      <c r="N74" s="1978" t="s">
        <v>79</v>
      </c>
      <c r="O74" s="2031"/>
      <c r="P74" s="2031"/>
      <c r="Q74" s="2029"/>
      <c r="R74" s="2031"/>
    </row>
    <row r="75" spans="1:18" x14ac:dyDescent="0.25">
      <c r="B75" s="1978" t="s">
        <v>20</v>
      </c>
      <c r="C75" s="814">
        <v>3</v>
      </c>
      <c r="D75" s="814">
        <v>3</v>
      </c>
      <c r="E75" s="814">
        <v>3</v>
      </c>
      <c r="F75" s="814">
        <v>2</v>
      </c>
      <c r="G75" s="814">
        <v>2</v>
      </c>
      <c r="H75" s="814">
        <v>3</v>
      </c>
      <c r="I75" s="814">
        <v>2</v>
      </c>
      <c r="J75" s="814">
        <v>2</v>
      </c>
      <c r="K75" s="814"/>
      <c r="L75" s="814">
        <v>2</v>
      </c>
      <c r="M75" s="814">
        <v>2</v>
      </c>
      <c r="N75" s="814">
        <v>3</v>
      </c>
      <c r="O75" s="2031"/>
      <c r="P75" s="2031"/>
      <c r="Q75" s="2029"/>
      <c r="R75" s="2031"/>
    </row>
    <row r="76" spans="1:18" x14ac:dyDescent="0.25">
      <c r="B76" s="1978" t="s">
        <v>21</v>
      </c>
      <c r="C76" s="814">
        <v>3</v>
      </c>
      <c r="D76" s="814">
        <v>3</v>
      </c>
      <c r="E76" s="814"/>
      <c r="F76" s="814">
        <v>3</v>
      </c>
      <c r="G76" s="814">
        <v>2</v>
      </c>
      <c r="H76" s="814">
        <v>3</v>
      </c>
      <c r="I76" s="814">
        <v>2</v>
      </c>
      <c r="J76" s="814">
        <v>2</v>
      </c>
      <c r="K76" s="814">
        <v>2</v>
      </c>
      <c r="L76" s="814">
        <v>3</v>
      </c>
      <c r="M76" s="814">
        <v>2</v>
      </c>
      <c r="N76" s="814">
        <v>3</v>
      </c>
      <c r="O76" s="2031"/>
      <c r="P76" s="2031"/>
      <c r="Q76" s="2029"/>
      <c r="R76" s="2031"/>
    </row>
    <row r="77" spans="1:18" x14ac:dyDescent="0.25">
      <c r="B77" s="1978" t="s">
        <v>23</v>
      </c>
      <c r="C77" s="814">
        <v>3</v>
      </c>
      <c r="D77" s="814">
        <v>3</v>
      </c>
      <c r="E77" s="814">
        <v>3</v>
      </c>
      <c r="F77" s="814">
        <v>3</v>
      </c>
      <c r="G77" s="814">
        <v>2</v>
      </c>
      <c r="H77" s="814">
        <v>3</v>
      </c>
      <c r="I77" s="814">
        <v>2</v>
      </c>
      <c r="J77" s="814">
        <v>2</v>
      </c>
      <c r="K77" s="814"/>
      <c r="L77" s="814">
        <v>3</v>
      </c>
      <c r="M77" s="814">
        <v>2</v>
      </c>
      <c r="N77" s="814">
        <v>3</v>
      </c>
      <c r="O77" s="2031"/>
      <c r="P77" s="2031"/>
      <c r="Q77" s="2029"/>
      <c r="R77" s="2031"/>
    </row>
    <row r="78" spans="1:18" x14ac:dyDescent="0.25">
      <c r="B78" s="1978" t="s">
        <v>25</v>
      </c>
      <c r="C78" s="814">
        <v>3</v>
      </c>
      <c r="D78" s="814">
        <v>3</v>
      </c>
      <c r="E78" s="814">
        <v>3</v>
      </c>
      <c r="F78" s="814">
        <v>2</v>
      </c>
      <c r="G78" s="814">
        <v>1</v>
      </c>
      <c r="H78" s="814">
        <v>3</v>
      </c>
      <c r="I78" s="814">
        <v>2</v>
      </c>
      <c r="J78" s="814">
        <v>2</v>
      </c>
      <c r="K78" s="814">
        <v>2</v>
      </c>
      <c r="L78" s="814">
        <v>3</v>
      </c>
      <c r="M78" s="814">
        <v>2</v>
      </c>
      <c r="N78" s="814">
        <v>3</v>
      </c>
      <c r="O78" s="2031"/>
      <c r="P78" s="2031"/>
      <c r="Q78" s="2029"/>
      <c r="R78" s="2031"/>
    </row>
    <row r="79" spans="1:18" x14ac:dyDescent="0.25">
      <c r="B79" s="1978" t="s">
        <v>24</v>
      </c>
      <c r="C79" s="814">
        <v>3</v>
      </c>
      <c r="D79" s="814">
        <v>3</v>
      </c>
      <c r="E79" s="814">
        <v>3</v>
      </c>
      <c r="F79" s="814">
        <v>2</v>
      </c>
      <c r="G79" s="814">
        <v>2</v>
      </c>
      <c r="H79" s="814">
        <v>3</v>
      </c>
      <c r="I79" s="814">
        <v>2</v>
      </c>
      <c r="J79" s="814">
        <v>2</v>
      </c>
      <c r="K79" s="814"/>
      <c r="L79" s="814">
        <v>2</v>
      </c>
      <c r="M79" s="814">
        <v>2</v>
      </c>
      <c r="N79" s="814">
        <v>3</v>
      </c>
      <c r="O79" s="2031"/>
      <c r="P79" s="2031"/>
      <c r="Q79" s="2029"/>
      <c r="R79" s="2031"/>
    </row>
    <row r="80" spans="1:18" x14ac:dyDescent="0.25">
      <c r="B80" s="1978" t="s">
        <v>10</v>
      </c>
      <c r="C80" s="1978">
        <f t="shared" ref="C80:N80" si="12">AVERAGE(C75:C79)</f>
        <v>3</v>
      </c>
      <c r="D80" s="2023">
        <f t="shared" si="12"/>
        <v>3</v>
      </c>
      <c r="E80" s="2023">
        <f t="shared" si="12"/>
        <v>3</v>
      </c>
      <c r="F80" s="1978">
        <f t="shared" si="12"/>
        <v>2.4</v>
      </c>
      <c r="G80" s="1978">
        <f t="shared" si="12"/>
        <v>1.8</v>
      </c>
      <c r="H80" s="1978">
        <f t="shared" si="12"/>
        <v>3</v>
      </c>
      <c r="I80" s="1978">
        <f t="shared" si="12"/>
        <v>2</v>
      </c>
      <c r="J80" s="1978">
        <f t="shared" si="12"/>
        <v>2</v>
      </c>
      <c r="K80" s="1978">
        <f t="shared" si="12"/>
        <v>2</v>
      </c>
      <c r="L80" s="1978">
        <f t="shared" si="12"/>
        <v>2.6</v>
      </c>
      <c r="M80" s="1978">
        <f t="shared" si="12"/>
        <v>2</v>
      </c>
      <c r="N80" s="1978">
        <f t="shared" si="12"/>
        <v>3</v>
      </c>
      <c r="O80" s="2031"/>
      <c r="P80" s="2031"/>
      <c r="Q80" s="2029"/>
      <c r="R80" s="2031"/>
    </row>
    <row r="81" spans="1:19" x14ac:dyDescent="0.25">
      <c r="B81" s="1978" t="s">
        <v>58</v>
      </c>
      <c r="C81" s="2812">
        <f>AVERAGE(C80:R80)</f>
        <v>2.4833333333333338</v>
      </c>
      <c r="D81" s="2812"/>
      <c r="E81" s="2812"/>
      <c r="F81" s="2812"/>
      <c r="G81" s="2812"/>
      <c r="H81" s="2812"/>
      <c r="I81" s="2812"/>
      <c r="J81" s="2812"/>
      <c r="K81" s="2812"/>
      <c r="L81" s="2812"/>
      <c r="M81" s="2812"/>
      <c r="N81" s="2812"/>
      <c r="O81" s="2031"/>
      <c r="P81" s="2031"/>
      <c r="Q81" s="2031"/>
      <c r="R81" s="2031"/>
      <c r="S81" s="2031"/>
    </row>
    <row r="82" spans="1:19" s="2034" customFormat="1" x14ac:dyDescent="0.25">
      <c r="B82" s="2036"/>
      <c r="C82" s="2072"/>
      <c r="D82" s="2072"/>
      <c r="E82" s="2072"/>
      <c r="F82" s="2072"/>
      <c r="G82" s="2072"/>
      <c r="H82" s="2072"/>
      <c r="I82" s="2072"/>
      <c r="J82" s="2072"/>
      <c r="K82" s="2072"/>
      <c r="L82" s="2072"/>
      <c r="M82" s="2072"/>
      <c r="N82" s="2072"/>
      <c r="O82" s="2036"/>
      <c r="P82" s="2036"/>
      <c r="Q82" s="2036"/>
      <c r="R82" s="2036"/>
      <c r="S82" s="2036"/>
    </row>
    <row r="83" spans="1:19" s="2034" customFormat="1" ht="18.75" x14ac:dyDescent="0.25">
      <c r="B83" s="2804" t="s">
        <v>264</v>
      </c>
      <c r="C83" s="2804"/>
      <c r="D83" s="2804"/>
      <c r="E83" s="2072"/>
      <c r="F83" s="2072"/>
      <c r="G83" s="2072"/>
      <c r="H83" s="2072"/>
      <c r="I83" s="2072"/>
      <c r="J83" s="2072"/>
      <c r="K83" s="2072"/>
      <c r="L83" s="2072"/>
      <c r="M83" s="2072"/>
      <c r="N83" s="2072"/>
      <c r="O83" s="2036"/>
      <c r="P83" s="2036"/>
      <c r="Q83" s="2036"/>
      <c r="R83" s="2036"/>
      <c r="S83" s="2036"/>
    </row>
    <row r="84" spans="1:19" s="2034" customFormat="1" x14ac:dyDescent="0.25">
      <c r="B84" s="2036"/>
      <c r="C84" s="2072"/>
      <c r="D84" s="2072"/>
      <c r="E84" s="2072"/>
      <c r="F84" s="2072"/>
      <c r="G84" s="2072"/>
      <c r="H84" s="2072"/>
      <c r="I84" s="2072"/>
      <c r="J84" s="2072"/>
      <c r="K84" s="2072"/>
      <c r="L84" s="2072"/>
      <c r="M84" s="2072"/>
      <c r="N84" s="2072"/>
      <c r="O84" s="2036"/>
      <c r="P84" s="2036"/>
      <c r="Q84" s="2036"/>
      <c r="R84" s="2036"/>
      <c r="S84" s="2036"/>
    </row>
    <row r="85" spans="1:19" s="2034" customFormat="1" ht="18.75" x14ac:dyDescent="0.3">
      <c r="B85" s="839" t="s">
        <v>45</v>
      </c>
      <c r="C85" s="1147" t="s">
        <v>68</v>
      </c>
      <c r="D85" s="1147" t="s">
        <v>69</v>
      </c>
      <c r="E85" s="1147" t="s">
        <v>70</v>
      </c>
      <c r="F85" s="1147" t="s">
        <v>71</v>
      </c>
      <c r="G85" s="1147" t="s">
        <v>72</v>
      </c>
      <c r="H85" s="1147" t="s">
        <v>73</v>
      </c>
      <c r="I85" s="1147" t="s">
        <v>74</v>
      </c>
      <c r="J85" s="2078" t="s">
        <v>75</v>
      </c>
      <c r="K85" s="1147" t="s">
        <v>76</v>
      </c>
      <c r="L85" s="1147" t="s">
        <v>77</v>
      </c>
      <c r="M85" s="2079" t="s">
        <v>78</v>
      </c>
      <c r="N85" s="2037" t="s">
        <v>79</v>
      </c>
      <c r="O85" s="2002"/>
      <c r="P85" s="2002"/>
      <c r="Q85" s="2002"/>
      <c r="R85" s="2036"/>
      <c r="S85" s="2036"/>
    </row>
    <row r="86" spans="1:19" s="2034" customFormat="1" ht="18.75" x14ac:dyDescent="0.3">
      <c r="B86" s="838" t="s">
        <v>20</v>
      </c>
      <c r="C86" s="2081">
        <f t="shared" ref="C86:J86" si="13">$F$65*C75/3</f>
        <v>2.9999999999999996</v>
      </c>
      <c r="D86" s="2081">
        <f t="shared" si="13"/>
        <v>2.9999999999999996</v>
      </c>
      <c r="E86" s="2081">
        <f t="shared" si="13"/>
        <v>2.9999999999999996</v>
      </c>
      <c r="F86" s="2081">
        <f t="shared" si="13"/>
        <v>1.9999999999999998</v>
      </c>
      <c r="G86" s="2081">
        <f t="shared" si="13"/>
        <v>1.9999999999999998</v>
      </c>
      <c r="H86" s="2081">
        <f t="shared" si="13"/>
        <v>2.9999999999999996</v>
      </c>
      <c r="I86" s="2081">
        <f t="shared" si="13"/>
        <v>1.9999999999999998</v>
      </c>
      <c r="J86" s="2081">
        <f t="shared" si="13"/>
        <v>1.9999999999999998</v>
      </c>
      <c r="K86" s="2081"/>
      <c r="L86" s="2081">
        <f>$F$65*L75/3</f>
        <v>1.9999999999999998</v>
      </c>
      <c r="M86" s="2081">
        <f>$F$65*M75/3</f>
        <v>1.9999999999999998</v>
      </c>
      <c r="N86" s="2081">
        <f>$F$65*N75/3</f>
        <v>2.9999999999999996</v>
      </c>
      <c r="O86" s="2073"/>
      <c r="P86" s="2073"/>
      <c r="Q86" s="2073"/>
      <c r="R86" s="2036"/>
      <c r="S86" s="2036"/>
    </row>
    <row r="87" spans="1:19" s="2034" customFormat="1" ht="18.75" x14ac:dyDescent="0.3">
      <c r="B87" s="838" t="s">
        <v>21</v>
      </c>
      <c r="C87" s="2081">
        <f t="shared" ref="C87:N87" si="14">$F$66*C76/3</f>
        <v>2.9999999999999996</v>
      </c>
      <c r="D87" s="2081">
        <f t="shared" si="14"/>
        <v>2.9999999999999996</v>
      </c>
      <c r="E87" s="2081"/>
      <c r="F87" s="2081">
        <f t="shared" si="14"/>
        <v>2.9999999999999996</v>
      </c>
      <c r="G87" s="2081">
        <f t="shared" si="14"/>
        <v>1.9999999999999998</v>
      </c>
      <c r="H87" s="2081">
        <f t="shared" si="14"/>
        <v>2.9999999999999996</v>
      </c>
      <c r="I87" s="2081">
        <f t="shared" si="14"/>
        <v>1.9999999999999998</v>
      </c>
      <c r="J87" s="2081">
        <f t="shared" si="14"/>
        <v>1.9999999999999998</v>
      </c>
      <c r="K87" s="2081">
        <f t="shared" si="14"/>
        <v>1.9999999999999998</v>
      </c>
      <c r="L87" s="2081">
        <f t="shared" si="14"/>
        <v>2.9999999999999996</v>
      </c>
      <c r="M87" s="2081">
        <f t="shared" si="14"/>
        <v>1.9999999999999998</v>
      </c>
      <c r="N87" s="2081">
        <f t="shared" si="14"/>
        <v>2.9999999999999996</v>
      </c>
      <c r="O87" s="2073"/>
      <c r="P87" s="2073"/>
      <c r="Q87" s="2073"/>
      <c r="R87" s="2036"/>
      <c r="S87" s="2036"/>
    </row>
    <row r="88" spans="1:19" s="2034" customFormat="1" ht="18.75" x14ac:dyDescent="0.3">
      <c r="B88" s="838" t="s">
        <v>23</v>
      </c>
      <c r="C88" s="2081">
        <f t="shared" ref="C88:J88" si="15">$F$67*C77/3</f>
        <v>2.9999999999999996</v>
      </c>
      <c r="D88" s="2081">
        <f t="shared" si="15"/>
        <v>2.9999999999999996</v>
      </c>
      <c r="E88" s="2081">
        <f t="shared" si="15"/>
        <v>2.9999999999999996</v>
      </c>
      <c r="F88" s="2081">
        <f t="shared" si="15"/>
        <v>2.9999999999999996</v>
      </c>
      <c r="G88" s="2081">
        <f t="shared" si="15"/>
        <v>1.9999999999999998</v>
      </c>
      <c r="H88" s="2081">
        <f t="shared" si="15"/>
        <v>2.9999999999999996</v>
      </c>
      <c r="I88" s="2081">
        <f t="shared" si="15"/>
        <v>1.9999999999999998</v>
      </c>
      <c r="J88" s="2081">
        <f t="shared" si="15"/>
        <v>1.9999999999999998</v>
      </c>
      <c r="K88" s="2081"/>
      <c r="L88" s="2081">
        <f>$F$67*L77/3</f>
        <v>2.9999999999999996</v>
      </c>
      <c r="M88" s="2081">
        <f>$F$67*M77/3</f>
        <v>1.9999999999999998</v>
      </c>
      <c r="N88" s="2081">
        <f>$F$67*N77/3</f>
        <v>2.9999999999999996</v>
      </c>
      <c r="O88" s="2073"/>
      <c r="P88" s="2073"/>
      <c r="Q88" s="2073"/>
      <c r="R88" s="2036"/>
      <c r="S88" s="2036"/>
    </row>
    <row r="89" spans="1:19" s="2034" customFormat="1" ht="18.75" x14ac:dyDescent="0.3">
      <c r="B89" s="838" t="s">
        <v>25</v>
      </c>
      <c r="C89" s="2081">
        <f t="shared" ref="C89:N89" si="16">$F$68*C78/3</f>
        <v>2.9999999999999996</v>
      </c>
      <c r="D89" s="2081">
        <f t="shared" si="16"/>
        <v>2.9999999999999996</v>
      </c>
      <c r="E89" s="2081">
        <f t="shared" si="16"/>
        <v>2.9999999999999996</v>
      </c>
      <c r="F89" s="2081">
        <f t="shared" si="16"/>
        <v>1.9999999999999998</v>
      </c>
      <c r="G89" s="2081">
        <f t="shared" si="16"/>
        <v>0.99999999999999989</v>
      </c>
      <c r="H89" s="2081">
        <f t="shared" si="16"/>
        <v>2.9999999999999996</v>
      </c>
      <c r="I89" s="2081">
        <f t="shared" si="16"/>
        <v>1.9999999999999998</v>
      </c>
      <c r="J89" s="2081">
        <f t="shared" si="16"/>
        <v>1.9999999999999998</v>
      </c>
      <c r="K89" s="2081">
        <f t="shared" si="16"/>
        <v>1.9999999999999998</v>
      </c>
      <c r="L89" s="2081">
        <f t="shared" si="16"/>
        <v>2.9999999999999996</v>
      </c>
      <c r="M89" s="2081">
        <f t="shared" si="16"/>
        <v>1.9999999999999998</v>
      </c>
      <c r="N89" s="2081">
        <f t="shared" si="16"/>
        <v>2.9999999999999996</v>
      </c>
      <c r="O89" s="2073"/>
      <c r="P89" s="2073"/>
      <c r="Q89" s="2073"/>
      <c r="R89" s="2036"/>
      <c r="S89" s="2036"/>
    </row>
    <row r="90" spans="1:19" s="2034" customFormat="1" ht="18.75" x14ac:dyDescent="0.3">
      <c r="B90" s="838" t="s">
        <v>24</v>
      </c>
      <c r="C90" s="2081">
        <f t="shared" ref="C90:J90" si="17">$F$69*C79/3</f>
        <v>2.9999999999999996</v>
      </c>
      <c r="D90" s="2081">
        <f t="shared" si="17"/>
        <v>2.9999999999999996</v>
      </c>
      <c r="E90" s="2081">
        <f t="shared" si="17"/>
        <v>2.9999999999999996</v>
      </c>
      <c r="F90" s="2081">
        <f t="shared" si="17"/>
        <v>1.9999999999999998</v>
      </c>
      <c r="G90" s="2081">
        <f t="shared" si="17"/>
        <v>1.9999999999999998</v>
      </c>
      <c r="H90" s="2081">
        <f t="shared" si="17"/>
        <v>2.9999999999999996</v>
      </c>
      <c r="I90" s="2081">
        <f t="shared" si="17"/>
        <v>1.9999999999999998</v>
      </c>
      <c r="J90" s="2081">
        <f t="shared" si="17"/>
        <v>1.9999999999999998</v>
      </c>
      <c r="K90" s="2081"/>
      <c r="L90" s="2081">
        <f>$F$69*L79/3</f>
        <v>1.9999999999999998</v>
      </c>
      <c r="M90" s="2081">
        <f>$F$69*M79/3</f>
        <v>1.9999999999999998</v>
      </c>
      <c r="N90" s="2081">
        <f>$F$69*N79/3</f>
        <v>2.9999999999999996</v>
      </c>
      <c r="O90" s="2073"/>
      <c r="P90" s="2073"/>
      <c r="Q90" s="2073"/>
      <c r="R90" s="2036"/>
      <c r="S90" s="2036"/>
    </row>
    <row r="91" spans="1:19" ht="18.75" x14ac:dyDescent="0.25">
      <c r="B91" s="2080" t="s">
        <v>10</v>
      </c>
      <c r="C91" s="2033">
        <f t="shared" ref="C91:N91" si="18">AVERAGE(C86:C90)</f>
        <v>2.9999999999999996</v>
      </c>
      <c r="D91" s="2033">
        <f t="shared" si="18"/>
        <v>2.9999999999999996</v>
      </c>
      <c r="E91" s="2033">
        <f t="shared" si="18"/>
        <v>2.9999999999999996</v>
      </c>
      <c r="F91" s="2033">
        <f t="shared" si="18"/>
        <v>2.3999999999999995</v>
      </c>
      <c r="G91" s="2033">
        <f t="shared" si="18"/>
        <v>1.7999999999999996</v>
      </c>
      <c r="H91" s="2033">
        <f t="shared" si="18"/>
        <v>2.9999999999999996</v>
      </c>
      <c r="I91" s="2033">
        <f t="shared" si="18"/>
        <v>1.9999999999999996</v>
      </c>
      <c r="J91" s="2033">
        <f t="shared" si="18"/>
        <v>1.9999999999999996</v>
      </c>
      <c r="K91" s="2033">
        <f t="shared" si="18"/>
        <v>1.9999999999999998</v>
      </c>
      <c r="L91" s="2033">
        <f t="shared" si="18"/>
        <v>2.5999999999999996</v>
      </c>
      <c r="M91" s="2033">
        <f t="shared" si="18"/>
        <v>1.9999999999999996</v>
      </c>
      <c r="N91" s="2033">
        <f t="shared" si="18"/>
        <v>2.9999999999999996</v>
      </c>
      <c r="O91" s="2074"/>
      <c r="P91" s="2074"/>
      <c r="Q91" s="2074"/>
    </row>
    <row r="92" spans="1:19" s="2034" customFormat="1" ht="18.75" x14ac:dyDescent="0.2">
      <c r="B92" s="2075"/>
      <c r="C92" s="2036"/>
      <c r="D92" s="2036"/>
      <c r="E92" s="2036"/>
      <c r="F92" s="2036"/>
      <c r="G92" s="2036"/>
      <c r="H92" s="2036"/>
      <c r="I92" s="2036"/>
      <c r="J92" s="2036"/>
      <c r="K92" s="2036"/>
      <c r="L92" s="2036"/>
      <c r="M92" s="2036"/>
      <c r="N92" s="2036"/>
      <c r="O92" s="2074"/>
      <c r="P92" s="2074"/>
      <c r="Q92" s="2074"/>
    </row>
    <row r="94" spans="1:19" ht="20.25" x14ac:dyDescent="0.25">
      <c r="A94" s="2635" t="s">
        <v>263</v>
      </c>
      <c r="B94" s="2635"/>
      <c r="C94" s="2635"/>
      <c r="D94" s="2635"/>
      <c r="E94" s="2635"/>
      <c r="J94" s="2805" t="s">
        <v>264</v>
      </c>
      <c r="K94" s="2805"/>
      <c r="L94" s="2805"/>
      <c r="M94" s="2805"/>
      <c r="N94" s="2805"/>
    </row>
    <row r="95" spans="1:19" x14ac:dyDescent="0.25">
      <c r="B95" s="1978" t="s">
        <v>59</v>
      </c>
      <c r="C95" s="1978" t="s">
        <v>60</v>
      </c>
      <c r="D95" s="2023" t="s">
        <v>61</v>
      </c>
      <c r="E95" s="2023" t="s">
        <v>62</v>
      </c>
      <c r="K95" s="2032" t="s">
        <v>59</v>
      </c>
      <c r="L95" s="2032" t="s">
        <v>60</v>
      </c>
      <c r="M95" s="2076" t="s">
        <v>61</v>
      </c>
      <c r="N95" s="2076" t="s">
        <v>62</v>
      </c>
    </row>
    <row r="96" spans="1:19" x14ac:dyDescent="0.25">
      <c r="B96" s="2032" t="s">
        <v>20</v>
      </c>
      <c r="C96" s="1978">
        <v>3</v>
      </c>
      <c r="D96" s="2023">
        <v>1</v>
      </c>
      <c r="E96" s="2023">
        <v>3</v>
      </c>
      <c r="K96" s="2032" t="s">
        <v>20</v>
      </c>
      <c r="L96" s="2033">
        <f>C96*$F$65/3</f>
        <v>2.9999999999999996</v>
      </c>
      <c r="M96" s="2033">
        <f t="shared" ref="M96:N96" si="19">D96*$F$65/3</f>
        <v>0.99999999999999989</v>
      </c>
      <c r="N96" s="2033">
        <f t="shared" si="19"/>
        <v>2.9999999999999996</v>
      </c>
    </row>
    <row r="97" spans="2:14" x14ac:dyDescent="0.25">
      <c r="B97" s="1978" t="s">
        <v>21</v>
      </c>
      <c r="C97" s="1978">
        <v>3</v>
      </c>
      <c r="D97" s="2023">
        <v>1</v>
      </c>
      <c r="E97" s="2023">
        <v>3</v>
      </c>
      <c r="K97" s="2033" t="s">
        <v>21</v>
      </c>
      <c r="L97" s="2033">
        <f>C97*$F$66/3</f>
        <v>2.9999999999999996</v>
      </c>
      <c r="M97" s="2033">
        <f t="shared" ref="M97:N97" si="20">D97*$F$66/3</f>
        <v>0.99999999999999989</v>
      </c>
      <c r="N97" s="2033">
        <f t="shared" si="20"/>
        <v>2.9999999999999996</v>
      </c>
    </row>
    <row r="98" spans="2:14" x14ac:dyDescent="0.25">
      <c r="B98" s="1978" t="s">
        <v>23</v>
      </c>
      <c r="C98" s="1978">
        <v>3</v>
      </c>
      <c r="D98" s="2023">
        <v>2</v>
      </c>
      <c r="E98" s="2023">
        <v>3</v>
      </c>
      <c r="K98" s="2033" t="s">
        <v>23</v>
      </c>
      <c r="L98" s="2033">
        <f>C98*$F$67/3</f>
        <v>2.9999999999999996</v>
      </c>
      <c r="M98" s="2033">
        <f t="shared" ref="M98:N98" si="21">D98*$F$67/3</f>
        <v>1.9999999999999998</v>
      </c>
      <c r="N98" s="2033">
        <f t="shared" si="21"/>
        <v>2.9999999999999996</v>
      </c>
    </row>
    <row r="99" spans="2:14" x14ac:dyDescent="0.25">
      <c r="B99" s="1978" t="s">
        <v>25</v>
      </c>
      <c r="C99" s="1978">
        <v>2</v>
      </c>
      <c r="D99" s="2023">
        <v>1</v>
      </c>
      <c r="E99" s="2023">
        <v>3</v>
      </c>
      <c r="K99" s="2033" t="s">
        <v>25</v>
      </c>
      <c r="L99" s="2033">
        <f>C99*$F$68/3</f>
        <v>1.9999999999999998</v>
      </c>
      <c r="M99" s="2033">
        <f t="shared" ref="M99:N99" si="22">D99*$F$68/3</f>
        <v>0.99999999999999989</v>
      </c>
      <c r="N99" s="2033">
        <f t="shared" si="22"/>
        <v>2.9999999999999996</v>
      </c>
    </row>
    <row r="100" spans="2:14" x14ac:dyDescent="0.25">
      <c r="B100" s="1978" t="s">
        <v>24</v>
      </c>
      <c r="C100" s="1978">
        <v>3</v>
      </c>
      <c r="D100" s="2023">
        <v>2</v>
      </c>
      <c r="E100" s="2023">
        <v>2</v>
      </c>
      <c r="K100" s="2033" t="s">
        <v>24</v>
      </c>
      <c r="L100" s="2033">
        <f>C100*$F$69/3</f>
        <v>2.9999999999999996</v>
      </c>
      <c r="M100" s="2033">
        <f t="shared" ref="M100:N100" si="23">D100*$F$69/3</f>
        <v>1.9999999999999998</v>
      </c>
      <c r="N100" s="2033">
        <f t="shared" si="23"/>
        <v>1.9999999999999998</v>
      </c>
    </row>
    <row r="101" spans="2:14" x14ac:dyDescent="0.25">
      <c r="B101" s="1978" t="s">
        <v>10</v>
      </c>
      <c r="C101" s="1978">
        <f>ROUND(AVERAGE(C96:C100),0)</f>
        <v>3</v>
      </c>
      <c r="D101" s="2023">
        <f>ROUND(AVERAGE(D96:D100),0)</f>
        <v>1</v>
      </c>
      <c r="E101" s="2023">
        <f>ROUND(AVERAGE(E96:E100),0)</f>
        <v>3</v>
      </c>
      <c r="K101" s="2033" t="s">
        <v>10</v>
      </c>
      <c r="L101" s="2033">
        <f>ROUND(AVERAGE(L96:L100),0)</f>
        <v>3</v>
      </c>
      <c r="M101" s="2023">
        <f>ROUND(AVERAGE(M96:M100),0)</f>
        <v>1</v>
      </c>
      <c r="N101" s="2023">
        <f>ROUND(AVERAGE(N96:N100),0)</f>
        <v>3</v>
      </c>
    </row>
    <row r="102" spans="2:14" x14ac:dyDescent="0.25">
      <c r="B102" s="1978" t="s">
        <v>58</v>
      </c>
      <c r="C102" s="2793">
        <f>AVERAGE(C101:E101)</f>
        <v>2.3333333333333335</v>
      </c>
      <c r="D102" s="2794"/>
      <c r="E102" s="2795"/>
      <c r="K102" s="2033" t="s">
        <v>58</v>
      </c>
      <c r="L102" s="2793">
        <f>AVERAGE(L101:N101)</f>
        <v>2.3333333333333335</v>
      </c>
      <c r="M102" s="2794"/>
      <c r="N102" s="2795"/>
    </row>
  </sheetData>
  <mergeCells count="26">
    <mergeCell ref="AB5:AB7"/>
    <mergeCell ref="AC5:AC7"/>
    <mergeCell ref="A60:B60"/>
    <mergeCell ref="A61:B61"/>
    <mergeCell ref="C81:N81"/>
    <mergeCell ref="B5:B6"/>
    <mergeCell ref="C5:G5"/>
    <mergeCell ref="H5:I5"/>
    <mergeCell ref="J5:K5"/>
    <mergeCell ref="L5:M5"/>
    <mergeCell ref="L102:N102"/>
    <mergeCell ref="C4:M4"/>
    <mergeCell ref="N4:N7"/>
    <mergeCell ref="O4:Y4"/>
    <mergeCell ref="Z4:Z7"/>
    <mergeCell ref="O5:S5"/>
    <mergeCell ref="T5:U5"/>
    <mergeCell ref="V5:W5"/>
    <mergeCell ref="X5:Y5"/>
    <mergeCell ref="C102:E102"/>
    <mergeCell ref="B83:D83"/>
    <mergeCell ref="A72:D72"/>
    <mergeCell ref="A94:E94"/>
    <mergeCell ref="J94:N94"/>
    <mergeCell ref="C64:D64"/>
    <mergeCell ref="B70:E70"/>
  </mergeCells>
  <conditionalFormatting sqref="AB10:AB57">
    <cfRule type="containsText" dxfId="146" priority="4" operator="containsText" text="F">
      <formula>NOT(ISERROR(SEARCH("F",AB10)))</formula>
    </cfRule>
  </conditionalFormatting>
  <conditionalFormatting sqref="AB10:AB57">
    <cfRule type="containsText" dxfId="145" priority="3" operator="containsText" text="F">
      <formula>NOT(ISERROR(SEARCH("F",AB10)))</formula>
    </cfRule>
  </conditionalFormatting>
  <conditionalFormatting sqref="AB9">
    <cfRule type="containsText" dxfId="144" priority="2" operator="containsText" text="F">
      <formula>NOT(ISERROR(SEARCH("F",AB9)))</formula>
    </cfRule>
  </conditionalFormatting>
  <conditionalFormatting sqref="AB9">
    <cfRule type="containsText" dxfId="143" priority="1" operator="containsText" text="F">
      <formula>NOT(ISERROR(SEARCH("F",AB9)))</formula>
    </cfRule>
  </conditionalFormatting>
  <pageMargins left="0.7" right="0.7" top="0.75" bottom="0.75" header="0.3" footer="0.3"/>
  <pageSetup paperSize="8" scale="24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W103"/>
  <sheetViews>
    <sheetView view="pageBreakPreview" topLeftCell="A61" zoomScale="60" zoomScaleNormal="81" workbookViewId="0">
      <selection activeCell="P91" sqref="P91"/>
    </sheetView>
  </sheetViews>
  <sheetFormatPr defaultColWidth="9.140625" defaultRowHeight="15" x14ac:dyDescent="0.25"/>
  <cols>
    <col min="1" max="1" width="9.5703125" style="33" customWidth="1"/>
    <col min="2" max="2" width="22.7109375" style="156" bestFit="1" customWidth="1"/>
    <col min="3" max="20" width="8.7109375" style="156" customWidth="1"/>
    <col min="21" max="21" width="11.140625" style="236" customWidth="1"/>
    <col min="22" max="22" width="5.7109375" style="156" customWidth="1"/>
    <col min="23" max="23" width="9.140625" style="236"/>
    <col min="24" max="16384" width="9.140625" style="156"/>
  </cols>
  <sheetData>
    <row r="2" spans="1:23" s="158" customFormat="1" ht="23.1" customHeight="1" x14ac:dyDescent="0.2">
      <c r="A2" s="225"/>
      <c r="B2" s="225"/>
      <c r="C2" s="225"/>
      <c r="D2" s="225"/>
      <c r="E2" s="225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</row>
    <row r="3" spans="1:23" s="158" customFormat="1" ht="23.1" customHeight="1" x14ac:dyDescent="0.2">
      <c r="A3" s="2823" t="s">
        <v>0</v>
      </c>
      <c r="B3" s="2824"/>
      <c r="C3" s="2816" t="s">
        <v>138</v>
      </c>
      <c r="D3" s="2817"/>
      <c r="E3" s="2818"/>
      <c r="F3" s="227"/>
      <c r="H3" s="2825" t="s">
        <v>63</v>
      </c>
      <c r="I3" s="2825"/>
      <c r="J3" s="2813" t="s">
        <v>366</v>
      </c>
      <c r="K3" s="2813"/>
      <c r="L3" s="2813"/>
      <c r="U3" s="2356"/>
    </row>
    <row r="4" spans="1:23" s="158" customFormat="1" ht="23.1" customHeight="1" x14ac:dyDescent="0.2">
      <c r="A4" s="2814" t="s">
        <v>1</v>
      </c>
      <c r="B4" s="2815"/>
      <c r="C4" s="2816" t="s">
        <v>376</v>
      </c>
      <c r="D4" s="2817"/>
      <c r="E4" s="2818"/>
      <c r="F4" s="227"/>
      <c r="H4" s="2819" t="s">
        <v>64</v>
      </c>
      <c r="I4" s="2819"/>
      <c r="J4" s="2820" t="s">
        <v>232</v>
      </c>
      <c r="K4" s="2821"/>
      <c r="L4" s="2822"/>
      <c r="M4" s="226"/>
      <c r="U4" s="2356"/>
    </row>
    <row r="5" spans="1:23" s="158" customFormat="1" ht="23.1" customHeight="1" x14ac:dyDescent="0.2">
      <c r="A5" s="228"/>
      <c r="B5" s="229" t="s">
        <v>2</v>
      </c>
      <c r="C5" s="2830" t="s">
        <v>157</v>
      </c>
      <c r="D5" s="2831"/>
      <c r="E5" s="2832"/>
      <c r="F5" s="227"/>
      <c r="H5" s="2833" t="s">
        <v>65</v>
      </c>
      <c r="I5" s="2833"/>
      <c r="J5" s="2826" t="s">
        <v>66</v>
      </c>
      <c r="K5" s="2826"/>
      <c r="L5" s="2826"/>
      <c r="M5" s="230"/>
      <c r="U5" s="2356"/>
    </row>
    <row r="6" spans="1:23" ht="21.95" customHeight="1" x14ac:dyDescent="0.25">
      <c r="A6" s="163"/>
      <c r="B6" s="160"/>
      <c r="C6" s="2827" t="s">
        <v>179</v>
      </c>
      <c r="D6" s="2827"/>
      <c r="E6" s="2827"/>
      <c r="F6" s="2827"/>
      <c r="G6" s="2827"/>
      <c r="H6" s="2827"/>
      <c r="I6" s="2827"/>
      <c r="J6" s="2827"/>
      <c r="K6" s="2827" t="s">
        <v>180</v>
      </c>
      <c r="L6" s="2827"/>
      <c r="M6" s="2827"/>
      <c r="N6" s="2827"/>
      <c r="O6" s="2827"/>
      <c r="P6" s="2827"/>
      <c r="Q6" s="2827"/>
      <c r="R6" s="2827"/>
      <c r="S6" s="158"/>
      <c r="T6" s="158"/>
      <c r="U6" s="2356"/>
      <c r="V6" s="158"/>
      <c r="W6" s="156"/>
    </row>
    <row r="7" spans="1:23" ht="21.95" customHeight="1" x14ac:dyDescent="0.25">
      <c r="A7" s="163"/>
      <c r="B7" s="2828" t="s">
        <v>5</v>
      </c>
      <c r="C7" s="2829" t="s">
        <v>6</v>
      </c>
      <c r="D7" s="2829"/>
      <c r="E7" s="2829"/>
      <c r="F7" s="2829"/>
      <c r="G7" s="2829"/>
      <c r="H7" s="2828" t="s">
        <v>181</v>
      </c>
      <c r="I7" s="2828" t="s">
        <v>182</v>
      </c>
      <c r="J7" s="2828" t="s">
        <v>183</v>
      </c>
      <c r="K7" s="2829" t="s">
        <v>6</v>
      </c>
      <c r="L7" s="2829"/>
      <c r="M7" s="2829"/>
      <c r="N7" s="2829"/>
      <c r="O7" s="2829"/>
      <c r="P7" s="2828" t="s">
        <v>181</v>
      </c>
      <c r="Q7" s="2828" t="s">
        <v>182</v>
      </c>
      <c r="R7" s="2828" t="s">
        <v>183</v>
      </c>
      <c r="S7" s="158"/>
      <c r="T7" s="2834" t="s">
        <v>11</v>
      </c>
      <c r="U7" s="2834" t="s">
        <v>12</v>
      </c>
      <c r="V7" s="158"/>
      <c r="W7" s="156"/>
    </row>
    <row r="8" spans="1:23" ht="21.95" customHeight="1" x14ac:dyDescent="0.25">
      <c r="A8" s="163"/>
      <c r="B8" s="2828"/>
      <c r="C8" s="161" t="s">
        <v>13</v>
      </c>
      <c r="D8" s="161" t="s">
        <v>14</v>
      </c>
      <c r="E8" s="161" t="s">
        <v>15</v>
      </c>
      <c r="F8" s="161" t="s">
        <v>16</v>
      </c>
      <c r="G8" s="161" t="s">
        <v>17</v>
      </c>
      <c r="H8" s="2828"/>
      <c r="I8" s="2828"/>
      <c r="J8" s="2828"/>
      <c r="K8" s="161" t="s">
        <v>13</v>
      </c>
      <c r="L8" s="161" t="s">
        <v>14</v>
      </c>
      <c r="M8" s="161" t="s">
        <v>15</v>
      </c>
      <c r="N8" s="161" t="s">
        <v>16</v>
      </c>
      <c r="O8" s="161" t="s">
        <v>17</v>
      </c>
      <c r="P8" s="2828"/>
      <c r="Q8" s="2828"/>
      <c r="R8" s="2828"/>
      <c r="S8" s="158"/>
      <c r="T8" s="2835"/>
      <c r="U8" s="2835"/>
      <c r="V8" s="158"/>
      <c r="W8" s="156"/>
    </row>
    <row r="9" spans="1:23" ht="21.95" customHeight="1" x14ac:dyDescent="0.25">
      <c r="A9" s="163"/>
      <c r="B9" s="161" t="s">
        <v>19</v>
      </c>
      <c r="C9" s="239">
        <v>1</v>
      </c>
      <c r="D9" s="239">
        <v>2</v>
      </c>
      <c r="E9" s="239">
        <v>2</v>
      </c>
      <c r="F9" s="239">
        <v>1</v>
      </c>
      <c r="G9" s="239">
        <v>3</v>
      </c>
      <c r="H9" s="239">
        <v>1</v>
      </c>
      <c r="I9" s="239">
        <v>3</v>
      </c>
      <c r="J9" s="239">
        <v>2</v>
      </c>
      <c r="K9" s="239">
        <v>1</v>
      </c>
      <c r="L9" s="239">
        <v>1</v>
      </c>
      <c r="M9" s="239">
        <v>1</v>
      </c>
      <c r="N9" s="239">
        <v>4</v>
      </c>
      <c r="O9" s="239">
        <v>1</v>
      </c>
      <c r="P9" s="239">
        <v>2</v>
      </c>
      <c r="Q9" s="239">
        <v>3</v>
      </c>
      <c r="R9" s="239">
        <v>4</v>
      </c>
      <c r="S9" s="158"/>
      <c r="T9" s="2835"/>
      <c r="U9" s="2835"/>
      <c r="V9" s="158"/>
      <c r="W9" s="156"/>
    </row>
    <row r="10" spans="1:23" ht="21.95" customHeight="1" x14ac:dyDescent="0.25">
      <c r="A10" s="163" t="s">
        <v>18</v>
      </c>
      <c r="B10" s="163" t="s">
        <v>26</v>
      </c>
      <c r="C10" s="161">
        <v>2</v>
      </c>
      <c r="D10" s="161">
        <v>2</v>
      </c>
      <c r="E10" s="161">
        <v>2</v>
      </c>
      <c r="F10" s="161">
        <v>2</v>
      </c>
      <c r="G10" s="161">
        <v>2</v>
      </c>
      <c r="H10" s="161">
        <v>10</v>
      </c>
      <c r="I10" s="161">
        <v>10</v>
      </c>
      <c r="J10" s="161">
        <v>10</v>
      </c>
      <c r="K10" s="161">
        <v>2</v>
      </c>
      <c r="L10" s="161">
        <v>2</v>
      </c>
      <c r="M10" s="161">
        <v>2</v>
      </c>
      <c r="N10" s="161">
        <v>2</v>
      </c>
      <c r="O10" s="161">
        <v>2</v>
      </c>
      <c r="P10" s="161">
        <v>10</v>
      </c>
      <c r="Q10" s="161">
        <v>10</v>
      </c>
      <c r="R10" s="161">
        <v>10</v>
      </c>
      <c r="S10" s="158"/>
      <c r="T10" s="2836"/>
      <c r="U10" s="2836">
        <v>70</v>
      </c>
      <c r="V10" s="158"/>
      <c r="W10" s="156"/>
    </row>
    <row r="11" spans="1:23" ht="21.95" customHeight="1" x14ac:dyDescent="0.25">
      <c r="A11" s="163">
        <v>1</v>
      </c>
      <c r="B11" s="1974">
        <v>5191421001</v>
      </c>
      <c r="C11" s="164">
        <v>2</v>
      </c>
      <c r="D11" s="164">
        <v>2</v>
      </c>
      <c r="E11" s="164">
        <v>2</v>
      </c>
      <c r="F11" s="164">
        <v>2</v>
      </c>
      <c r="G11" s="161">
        <v>2</v>
      </c>
      <c r="H11" s="161">
        <v>10</v>
      </c>
      <c r="I11" s="161">
        <v>10</v>
      </c>
      <c r="J11" s="161">
        <v>10</v>
      </c>
      <c r="K11" s="164">
        <v>1</v>
      </c>
      <c r="L11" s="164">
        <v>1</v>
      </c>
      <c r="M11" s="164">
        <v>2</v>
      </c>
      <c r="N11" s="164">
        <v>1</v>
      </c>
      <c r="O11" s="161">
        <v>1</v>
      </c>
      <c r="P11" s="161">
        <v>4</v>
      </c>
      <c r="Q11" s="161"/>
      <c r="R11" s="161">
        <v>10</v>
      </c>
      <c r="S11" s="158"/>
      <c r="T11" s="2108" t="s">
        <v>31</v>
      </c>
      <c r="U11" s="2353">
        <f t="shared" ref="U11:U59" si="0">IF(T11="F",0,IF(T11="O",100,IF(T11="A+",90,IF(T11="A",80,IF(T11="B+",70,IF(T11="B",60,IF(T11="C",55,IF(T11="P",50))))))))</f>
        <v>55</v>
      </c>
      <c r="V11" s="158"/>
      <c r="W11" s="156"/>
    </row>
    <row r="12" spans="1:23" ht="21.95" customHeight="1" x14ac:dyDescent="0.25">
      <c r="A12" s="163">
        <v>2</v>
      </c>
      <c r="B12" s="1974">
        <f>+B11+1</f>
        <v>5191421002</v>
      </c>
      <c r="C12" s="164">
        <v>0</v>
      </c>
      <c r="D12" s="164">
        <v>2</v>
      </c>
      <c r="E12" s="164">
        <v>2</v>
      </c>
      <c r="F12" s="164">
        <v>0</v>
      </c>
      <c r="G12" s="161">
        <v>1</v>
      </c>
      <c r="H12" s="161">
        <v>3</v>
      </c>
      <c r="I12" s="161">
        <v>4</v>
      </c>
      <c r="J12" s="161">
        <v>9</v>
      </c>
      <c r="K12" s="164">
        <v>2</v>
      </c>
      <c r="L12" s="164">
        <v>1</v>
      </c>
      <c r="M12" s="164">
        <v>2</v>
      </c>
      <c r="N12" s="164">
        <v>1</v>
      </c>
      <c r="O12" s="161">
        <v>2</v>
      </c>
      <c r="P12" s="161"/>
      <c r="Q12" s="161">
        <v>5</v>
      </c>
      <c r="R12" s="161">
        <v>8</v>
      </c>
      <c r="S12" s="158"/>
      <c r="T12" s="2110" t="s">
        <v>31</v>
      </c>
      <c r="U12" s="2353">
        <f t="shared" si="0"/>
        <v>55</v>
      </c>
      <c r="V12" s="158"/>
      <c r="W12" s="156"/>
    </row>
    <row r="13" spans="1:23" ht="21.95" customHeight="1" x14ac:dyDescent="0.25">
      <c r="A13" s="163">
        <v>3</v>
      </c>
      <c r="B13" s="1974">
        <f t="shared" ref="B13:B59" si="1">+B12+1</f>
        <v>5191421003</v>
      </c>
      <c r="C13" s="164">
        <v>0</v>
      </c>
      <c r="D13" s="164">
        <v>1</v>
      </c>
      <c r="E13" s="164">
        <v>2</v>
      </c>
      <c r="F13" s="164">
        <v>0</v>
      </c>
      <c r="G13" s="161">
        <v>2</v>
      </c>
      <c r="H13" s="161">
        <v>2</v>
      </c>
      <c r="I13" s="161">
        <v>8</v>
      </c>
      <c r="J13" s="161">
        <v>9</v>
      </c>
      <c r="K13" s="164">
        <v>2</v>
      </c>
      <c r="L13" s="164">
        <v>1</v>
      </c>
      <c r="M13" s="164">
        <v>2</v>
      </c>
      <c r="N13" s="164">
        <v>1</v>
      </c>
      <c r="O13" s="161">
        <v>2</v>
      </c>
      <c r="P13" s="161"/>
      <c r="Q13" s="161">
        <v>9</v>
      </c>
      <c r="R13" s="161">
        <v>10</v>
      </c>
      <c r="S13" s="158"/>
      <c r="T13" s="2108" t="s">
        <v>27</v>
      </c>
      <c r="U13" s="2353">
        <f t="shared" si="0"/>
        <v>80</v>
      </c>
      <c r="V13" s="158"/>
      <c r="W13" s="156"/>
    </row>
    <row r="14" spans="1:23" ht="21.95" customHeight="1" x14ac:dyDescent="0.25">
      <c r="A14" s="163">
        <v>4</v>
      </c>
      <c r="B14" s="1974">
        <f t="shared" si="1"/>
        <v>5191421004</v>
      </c>
      <c r="C14" s="164">
        <v>2</v>
      </c>
      <c r="D14" s="164">
        <v>2</v>
      </c>
      <c r="E14" s="164">
        <v>2</v>
      </c>
      <c r="F14" s="164">
        <v>0</v>
      </c>
      <c r="G14" s="161">
        <v>2</v>
      </c>
      <c r="H14" s="161">
        <v>7</v>
      </c>
      <c r="I14" s="161">
        <v>7</v>
      </c>
      <c r="J14" s="161">
        <v>6</v>
      </c>
      <c r="K14" s="164">
        <v>2</v>
      </c>
      <c r="L14" s="164">
        <v>1</v>
      </c>
      <c r="M14" s="164">
        <v>2</v>
      </c>
      <c r="N14" s="164">
        <v>1</v>
      </c>
      <c r="O14" s="161">
        <v>1</v>
      </c>
      <c r="P14" s="161"/>
      <c r="Q14" s="161">
        <v>7</v>
      </c>
      <c r="R14" s="161"/>
      <c r="S14" s="158"/>
      <c r="T14" s="2109" t="s">
        <v>29</v>
      </c>
      <c r="U14" s="2353">
        <f t="shared" si="0"/>
        <v>0</v>
      </c>
      <c r="V14" s="158"/>
      <c r="W14" s="156"/>
    </row>
    <row r="15" spans="1:23" ht="21.95" customHeight="1" x14ac:dyDescent="0.25">
      <c r="A15" s="163">
        <v>5</v>
      </c>
      <c r="B15" s="1974">
        <f t="shared" si="1"/>
        <v>5191421005</v>
      </c>
      <c r="C15" s="164">
        <v>1</v>
      </c>
      <c r="D15" s="164">
        <v>2</v>
      </c>
      <c r="E15" s="164">
        <v>2</v>
      </c>
      <c r="F15" s="164">
        <v>0</v>
      </c>
      <c r="G15" s="161">
        <v>2</v>
      </c>
      <c r="H15" s="161">
        <v>2</v>
      </c>
      <c r="I15" s="161"/>
      <c r="J15" s="161">
        <v>3</v>
      </c>
      <c r="K15" s="164">
        <v>2</v>
      </c>
      <c r="L15" s="164">
        <v>1</v>
      </c>
      <c r="M15" s="164">
        <v>2</v>
      </c>
      <c r="N15" s="164">
        <v>1</v>
      </c>
      <c r="O15" s="161">
        <v>1</v>
      </c>
      <c r="P15" s="161">
        <v>2</v>
      </c>
      <c r="Q15" s="161">
        <v>3</v>
      </c>
      <c r="R15" s="161"/>
      <c r="S15" s="158"/>
      <c r="T15" s="2108" t="s">
        <v>29</v>
      </c>
      <c r="U15" s="2353">
        <f t="shared" si="0"/>
        <v>0</v>
      </c>
      <c r="V15" s="158"/>
      <c r="W15" s="156"/>
    </row>
    <row r="16" spans="1:23" ht="21.95" customHeight="1" x14ac:dyDescent="0.25">
      <c r="A16" s="163">
        <v>6</v>
      </c>
      <c r="B16" s="1974">
        <f t="shared" si="1"/>
        <v>5191421006</v>
      </c>
      <c r="C16" s="164">
        <v>2</v>
      </c>
      <c r="D16" s="164">
        <v>1</v>
      </c>
      <c r="E16" s="164">
        <v>0</v>
      </c>
      <c r="F16" s="164">
        <v>0</v>
      </c>
      <c r="G16" s="161">
        <v>2</v>
      </c>
      <c r="H16" s="161">
        <v>4</v>
      </c>
      <c r="I16" s="161">
        <v>0</v>
      </c>
      <c r="J16" s="161"/>
      <c r="K16" s="164">
        <v>1</v>
      </c>
      <c r="L16" s="164">
        <v>1</v>
      </c>
      <c r="M16" s="164">
        <v>2</v>
      </c>
      <c r="N16" s="164">
        <v>2</v>
      </c>
      <c r="O16" s="161">
        <v>1</v>
      </c>
      <c r="P16" s="161"/>
      <c r="Q16" s="161">
        <v>2</v>
      </c>
      <c r="R16" s="161"/>
      <c r="S16" s="158"/>
      <c r="T16" s="2109" t="s">
        <v>32</v>
      </c>
      <c r="U16" s="2353">
        <f t="shared" si="0"/>
        <v>70</v>
      </c>
      <c r="V16" s="158"/>
      <c r="W16" s="156"/>
    </row>
    <row r="17" spans="1:23" ht="21.95" customHeight="1" x14ac:dyDescent="0.25">
      <c r="A17" s="163">
        <v>7</v>
      </c>
      <c r="B17" s="1974">
        <f t="shared" si="1"/>
        <v>5191421007</v>
      </c>
      <c r="C17" s="164">
        <v>1</v>
      </c>
      <c r="D17" s="164">
        <v>1</v>
      </c>
      <c r="E17" s="164"/>
      <c r="F17" s="164">
        <v>0</v>
      </c>
      <c r="G17" s="161">
        <v>2</v>
      </c>
      <c r="H17" s="161">
        <v>4</v>
      </c>
      <c r="I17" s="161"/>
      <c r="J17" s="161"/>
      <c r="K17" s="164">
        <v>2</v>
      </c>
      <c r="L17" s="164">
        <v>0</v>
      </c>
      <c r="M17" s="164">
        <v>2</v>
      </c>
      <c r="N17" s="164">
        <v>1</v>
      </c>
      <c r="O17" s="161">
        <v>1</v>
      </c>
      <c r="P17" s="161">
        <v>3</v>
      </c>
      <c r="Q17" s="161">
        <v>4</v>
      </c>
      <c r="R17" s="161"/>
      <c r="S17" s="158"/>
      <c r="T17" s="2108" t="s">
        <v>31</v>
      </c>
      <c r="U17" s="2353">
        <f t="shared" si="0"/>
        <v>55</v>
      </c>
      <c r="V17" s="158"/>
      <c r="W17" s="156"/>
    </row>
    <row r="18" spans="1:23" ht="21.95" customHeight="1" x14ac:dyDescent="0.25">
      <c r="A18" s="163">
        <v>8</v>
      </c>
      <c r="B18" s="1974">
        <f t="shared" si="1"/>
        <v>5191421008</v>
      </c>
      <c r="C18" s="164">
        <v>2</v>
      </c>
      <c r="D18" s="164">
        <v>0</v>
      </c>
      <c r="E18" s="164">
        <v>2</v>
      </c>
      <c r="F18" s="164">
        <v>0</v>
      </c>
      <c r="G18" s="161">
        <v>2</v>
      </c>
      <c r="H18" s="161">
        <v>7</v>
      </c>
      <c r="I18" s="161">
        <v>0</v>
      </c>
      <c r="J18" s="161">
        <v>1</v>
      </c>
      <c r="K18" s="164">
        <v>2</v>
      </c>
      <c r="L18" s="164">
        <v>1</v>
      </c>
      <c r="M18" s="164">
        <v>2</v>
      </c>
      <c r="N18" s="164">
        <v>2</v>
      </c>
      <c r="O18" s="161">
        <v>1</v>
      </c>
      <c r="P18" s="161">
        <v>3</v>
      </c>
      <c r="Q18" s="161">
        <v>6</v>
      </c>
      <c r="R18" s="161"/>
      <c r="S18" s="158"/>
      <c r="T18" s="2109" t="s">
        <v>31</v>
      </c>
      <c r="U18" s="2353">
        <f t="shared" si="0"/>
        <v>55</v>
      </c>
      <c r="V18" s="158"/>
      <c r="W18" s="156"/>
    </row>
    <row r="19" spans="1:23" ht="21.95" customHeight="1" x14ac:dyDescent="0.25">
      <c r="A19" s="163">
        <v>9</v>
      </c>
      <c r="B19" s="1974">
        <f t="shared" si="1"/>
        <v>5191421009</v>
      </c>
      <c r="C19" s="164">
        <v>2</v>
      </c>
      <c r="D19" s="164"/>
      <c r="E19" s="164"/>
      <c r="F19" s="164"/>
      <c r="G19" s="161">
        <v>2</v>
      </c>
      <c r="H19" s="161">
        <v>3</v>
      </c>
      <c r="I19" s="161">
        <v>5</v>
      </c>
      <c r="J19" s="161">
        <v>1</v>
      </c>
      <c r="K19" s="164">
        <v>2</v>
      </c>
      <c r="L19" s="164">
        <v>1</v>
      </c>
      <c r="M19" s="164">
        <v>2</v>
      </c>
      <c r="N19" s="164">
        <v>2</v>
      </c>
      <c r="O19" s="161">
        <v>1</v>
      </c>
      <c r="P19" s="161">
        <v>3</v>
      </c>
      <c r="Q19" s="161">
        <v>6</v>
      </c>
      <c r="R19" s="161"/>
      <c r="S19" s="158"/>
      <c r="T19" s="2108" t="s">
        <v>32</v>
      </c>
      <c r="U19" s="2353">
        <f t="shared" si="0"/>
        <v>70</v>
      </c>
      <c r="V19" s="158"/>
      <c r="W19" s="156"/>
    </row>
    <row r="20" spans="1:23" ht="21.95" customHeight="1" x14ac:dyDescent="0.25">
      <c r="A20" s="163">
        <v>10</v>
      </c>
      <c r="B20" s="1974">
        <f t="shared" si="1"/>
        <v>5191421010</v>
      </c>
      <c r="C20" s="164">
        <v>1</v>
      </c>
      <c r="D20" s="164">
        <v>1</v>
      </c>
      <c r="E20" s="164">
        <v>2</v>
      </c>
      <c r="F20" s="164">
        <v>0</v>
      </c>
      <c r="G20" s="161">
        <v>1</v>
      </c>
      <c r="H20" s="161">
        <v>3</v>
      </c>
      <c r="I20" s="161"/>
      <c r="J20" s="161">
        <v>0</v>
      </c>
      <c r="K20" s="164">
        <v>2</v>
      </c>
      <c r="L20" s="164">
        <v>1</v>
      </c>
      <c r="M20" s="164">
        <v>2</v>
      </c>
      <c r="N20" s="164">
        <v>1</v>
      </c>
      <c r="O20" s="161">
        <v>1</v>
      </c>
      <c r="P20" s="161">
        <v>2</v>
      </c>
      <c r="Q20" s="161">
        <v>3</v>
      </c>
      <c r="R20" s="161"/>
      <c r="S20" s="158"/>
      <c r="T20" s="2109" t="s">
        <v>32</v>
      </c>
      <c r="U20" s="2353">
        <f t="shared" si="0"/>
        <v>70</v>
      </c>
      <c r="V20" s="158"/>
      <c r="W20" s="156"/>
    </row>
    <row r="21" spans="1:23" ht="21.95" customHeight="1" x14ac:dyDescent="0.25">
      <c r="A21" s="163">
        <v>11</v>
      </c>
      <c r="B21" s="1974">
        <f t="shared" si="1"/>
        <v>5191421011</v>
      </c>
      <c r="C21" s="164">
        <v>1</v>
      </c>
      <c r="D21" s="164">
        <v>1</v>
      </c>
      <c r="E21" s="164">
        <v>1</v>
      </c>
      <c r="F21" s="164">
        <v>1</v>
      </c>
      <c r="G21" s="161">
        <v>1</v>
      </c>
      <c r="H21" s="161"/>
      <c r="I21" s="161"/>
      <c r="J21" s="161"/>
      <c r="K21" s="164">
        <v>2</v>
      </c>
      <c r="L21" s="164">
        <v>1</v>
      </c>
      <c r="M21" s="164">
        <v>2</v>
      </c>
      <c r="N21" s="164">
        <v>1</v>
      </c>
      <c r="O21" s="161">
        <v>2</v>
      </c>
      <c r="P21" s="161">
        <v>4</v>
      </c>
      <c r="Q21" s="161"/>
      <c r="R21" s="161">
        <v>3</v>
      </c>
      <c r="S21" s="158"/>
      <c r="T21" s="2108" t="s">
        <v>32</v>
      </c>
      <c r="U21" s="2353">
        <f t="shared" si="0"/>
        <v>70</v>
      </c>
      <c r="V21" s="158"/>
      <c r="W21" s="156"/>
    </row>
    <row r="22" spans="1:23" ht="21.95" customHeight="1" x14ac:dyDescent="0.25">
      <c r="A22" s="163">
        <v>12</v>
      </c>
      <c r="B22" s="1974">
        <f t="shared" si="1"/>
        <v>5191421012</v>
      </c>
      <c r="C22" s="164">
        <v>1</v>
      </c>
      <c r="D22" s="164">
        <v>2</v>
      </c>
      <c r="E22" s="164">
        <v>2</v>
      </c>
      <c r="F22" s="164">
        <v>1</v>
      </c>
      <c r="G22" s="161">
        <v>1</v>
      </c>
      <c r="H22" s="161">
        <v>7</v>
      </c>
      <c r="I22" s="161"/>
      <c r="J22" s="161">
        <v>8</v>
      </c>
      <c r="K22" s="164">
        <v>2</v>
      </c>
      <c r="L22" s="164">
        <v>1</v>
      </c>
      <c r="M22" s="164">
        <v>2</v>
      </c>
      <c r="N22" s="164">
        <v>1</v>
      </c>
      <c r="O22" s="161">
        <v>2</v>
      </c>
      <c r="P22" s="161"/>
      <c r="Q22" s="161">
        <v>2</v>
      </c>
      <c r="R22" s="161">
        <v>1</v>
      </c>
      <c r="S22" s="158"/>
      <c r="T22" s="2109" t="s">
        <v>31</v>
      </c>
      <c r="U22" s="2353">
        <f t="shared" si="0"/>
        <v>55</v>
      </c>
      <c r="V22" s="158"/>
      <c r="W22" s="156"/>
    </row>
    <row r="23" spans="1:23" ht="21.95" customHeight="1" x14ac:dyDescent="0.25">
      <c r="A23" s="163">
        <v>13</v>
      </c>
      <c r="B23" s="1974">
        <f t="shared" si="1"/>
        <v>5191421013</v>
      </c>
      <c r="C23" s="164">
        <v>2</v>
      </c>
      <c r="D23" s="164">
        <v>1</v>
      </c>
      <c r="E23" s="164">
        <v>2</v>
      </c>
      <c r="F23" s="164"/>
      <c r="G23" s="161">
        <v>1</v>
      </c>
      <c r="H23" s="161">
        <v>3</v>
      </c>
      <c r="I23" s="161"/>
      <c r="J23" s="161">
        <v>3</v>
      </c>
      <c r="K23" s="164">
        <v>2</v>
      </c>
      <c r="L23" s="164">
        <v>1</v>
      </c>
      <c r="M23" s="164">
        <v>2</v>
      </c>
      <c r="N23" s="164">
        <v>1</v>
      </c>
      <c r="O23" s="161">
        <v>2</v>
      </c>
      <c r="P23" s="161"/>
      <c r="Q23" s="161">
        <v>3</v>
      </c>
      <c r="R23" s="161"/>
      <c r="S23" s="158"/>
      <c r="T23" s="2108" t="s">
        <v>27</v>
      </c>
      <c r="U23" s="2353">
        <f t="shared" si="0"/>
        <v>80</v>
      </c>
      <c r="V23" s="158"/>
      <c r="W23" s="156"/>
    </row>
    <row r="24" spans="1:23" ht="21.95" customHeight="1" x14ac:dyDescent="0.25">
      <c r="A24" s="163">
        <v>14</v>
      </c>
      <c r="B24" s="1974">
        <f t="shared" si="1"/>
        <v>5191421014</v>
      </c>
      <c r="C24" s="164">
        <v>2</v>
      </c>
      <c r="D24" s="164">
        <v>2</v>
      </c>
      <c r="E24" s="164">
        <v>2</v>
      </c>
      <c r="F24" s="164">
        <v>0</v>
      </c>
      <c r="G24" s="161">
        <v>1</v>
      </c>
      <c r="H24" s="161">
        <v>3</v>
      </c>
      <c r="I24" s="161"/>
      <c r="J24" s="161">
        <v>6</v>
      </c>
      <c r="K24" s="164">
        <v>2</v>
      </c>
      <c r="L24" s="164">
        <v>1</v>
      </c>
      <c r="M24" s="164">
        <v>2</v>
      </c>
      <c r="N24" s="164">
        <v>1</v>
      </c>
      <c r="O24" s="161">
        <v>1</v>
      </c>
      <c r="P24" s="161"/>
      <c r="Q24" s="161">
        <v>2</v>
      </c>
      <c r="R24" s="161">
        <v>1</v>
      </c>
      <c r="S24" s="158"/>
      <c r="T24" s="2109" t="s">
        <v>33</v>
      </c>
      <c r="U24" s="2353">
        <f t="shared" si="0"/>
        <v>60</v>
      </c>
      <c r="V24" s="158"/>
      <c r="W24" s="156"/>
    </row>
    <row r="25" spans="1:23" ht="21.95" customHeight="1" x14ac:dyDescent="0.25">
      <c r="A25" s="163">
        <v>15</v>
      </c>
      <c r="B25" s="1974">
        <f t="shared" si="1"/>
        <v>5191421015</v>
      </c>
      <c r="C25" s="164">
        <v>1</v>
      </c>
      <c r="D25" s="164">
        <v>2</v>
      </c>
      <c r="E25" s="164">
        <v>1</v>
      </c>
      <c r="F25" s="164"/>
      <c r="G25" s="161">
        <v>2</v>
      </c>
      <c r="H25" s="161">
        <v>3</v>
      </c>
      <c r="I25" s="161"/>
      <c r="J25" s="161">
        <v>4</v>
      </c>
      <c r="K25" s="164">
        <v>2</v>
      </c>
      <c r="L25" s="164">
        <v>1</v>
      </c>
      <c r="M25" s="164">
        <v>2</v>
      </c>
      <c r="N25" s="164">
        <v>1</v>
      </c>
      <c r="O25" s="161">
        <v>1</v>
      </c>
      <c r="P25" s="161"/>
      <c r="Q25" s="161">
        <v>1</v>
      </c>
      <c r="R25" s="161">
        <v>1</v>
      </c>
      <c r="S25" s="158"/>
      <c r="T25" s="2108" t="s">
        <v>31</v>
      </c>
      <c r="U25" s="2353">
        <f t="shared" si="0"/>
        <v>55</v>
      </c>
      <c r="V25" s="158"/>
      <c r="W25" s="156"/>
    </row>
    <row r="26" spans="1:23" ht="21.95" customHeight="1" x14ac:dyDescent="0.25">
      <c r="A26" s="163">
        <v>16</v>
      </c>
      <c r="B26" s="1974">
        <f t="shared" si="1"/>
        <v>5191421016</v>
      </c>
      <c r="C26" s="164">
        <v>1</v>
      </c>
      <c r="D26" s="164">
        <v>2</v>
      </c>
      <c r="E26" s="164"/>
      <c r="F26" s="164"/>
      <c r="G26" s="161">
        <v>2</v>
      </c>
      <c r="H26" s="161">
        <v>5</v>
      </c>
      <c r="I26" s="161"/>
      <c r="J26" s="161">
        <v>1</v>
      </c>
      <c r="K26" s="164">
        <v>2</v>
      </c>
      <c r="L26" s="164">
        <v>1</v>
      </c>
      <c r="M26" s="164">
        <v>2</v>
      </c>
      <c r="N26" s="164">
        <v>2</v>
      </c>
      <c r="O26" s="161">
        <v>2</v>
      </c>
      <c r="P26" s="161"/>
      <c r="Q26" s="161">
        <v>3</v>
      </c>
      <c r="R26" s="161"/>
      <c r="S26" s="158"/>
      <c r="T26" s="2109" t="s">
        <v>28</v>
      </c>
      <c r="U26" s="2353">
        <f t="shared" si="0"/>
        <v>50</v>
      </c>
      <c r="V26" s="158"/>
      <c r="W26" s="156"/>
    </row>
    <row r="27" spans="1:23" ht="21.95" customHeight="1" x14ac:dyDescent="0.25">
      <c r="A27" s="163">
        <v>17</v>
      </c>
      <c r="B27" s="1974">
        <f t="shared" si="1"/>
        <v>5191421017</v>
      </c>
      <c r="C27" s="164">
        <v>2</v>
      </c>
      <c r="D27" s="164">
        <v>2</v>
      </c>
      <c r="E27" s="164">
        <v>2</v>
      </c>
      <c r="F27" s="164"/>
      <c r="G27" s="161">
        <v>2</v>
      </c>
      <c r="H27" s="161">
        <v>5</v>
      </c>
      <c r="I27" s="161"/>
      <c r="J27" s="161">
        <v>4</v>
      </c>
      <c r="K27" s="164">
        <v>2</v>
      </c>
      <c r="L27" s="164">
        <v>1</v>
      </c>
      <c r="M27" s="164">
        <v>2</v>
      </c>
      <c r="N27" s="164">
        <v>2</v>
      </c>
      <c r="O27" s="161">
        <v>2</v>
      </c>
      <c r="P27" s="161"/>
      <c r="Q27" s="161">
        <v>10</v>
      </c>
      <c r="R27" s="161">
        <v>3</v>
      </c>
      <c r="S27" s="158"/>
      <c r="T27" s="2108" t="s">
        <v>32</v>
      </c>
      <c r="U27" s="2353">
        <f t="shared" si="0"/>
        <v>70</v>
      </c>
      <c r="V27" s="158"/>
      <c r="W27" s="156"/>
    </row>
    <row r="28" spans="1:23" ht="21.95" customHeight="1" x14ac:dyDescent="0.25">
      <c r="A28" s="163">
        <v>18</v>
      </c>
      <c r="B28" s="1974">
        <f t="shared" si="1"/>
        <v>5191421018</v>
      </c>
      <c r="C28" s="164">
        <v>2</v>
      </c>
      <c r="D28" s="164">
        <v>2</v>
      </c>
      <c r="E28" s="164">
        <v>2</v>
      </c>
      <c r="F28" s="164"/>
      <c r="G28" s="161"/>
      <c r="H28" s="161">
        <v>6</v>
      </c>
      <c r="I28" s="161"/>
      <c r="J28" s="161">
        <v>7</v>
      </c>
      <c r="K28" s="164">
        <v>2</v>
      </c>
      <c r="L28" s="164">
        <v>1</v>
      </c>
      <c r="M28" s="164">
        <v>2</v>
      </c>
      <c r="N28" s="164">
        <v>2</v>
      </c>
      <c r="O28" s="161">
        <v>2</v>
      </c>
      <c r="P28" s="161">
        <v>4</v>
      </c>
      <c r="Q28" s="161">
        <v>8</v>
      </c>
      <c r="R28" s="161"/>
      <c r="S28" s="158"/>
      <c r="T28" s="2109" t="s">
        <v>29</v>
      </c>
      <c r="U28" s="2353">
        <f t="shared" si="0"/>
        <v>0</v>
      </c>
      <c r="V28" s="158"/>
      <c r="W28" s="156"/>
    </row>
    <row r="29" spans="1:23" ht="21.95" customHeight="1" x14ac:dyDescent="0.25">
      <c r="A29" s="163">
        <v>19</v>
      </c>
      <c r="B29" s="1974">
        <f t="shared" si="1"/>
        <v>5191421019</v>
      </c>
      <c r="C29" s="164">
        <v>2</v>
      </c>
      <c r="D29" s="161">
        <v>2</v>
      </c>
      <c r="E29" s="161">
        <v>2</v>
      </c>
      <c r="F29" s="161">
        <v>0</v>
      </c>
      <c r="G29" s="161">
        <v>1</v>
      </c>
      <c r="H29" s="161">
        <v>6</v>
      </c>
      <c r="I29" s="161"/>
      <c r="J29" s="161">
        <v>4</v>
      </c>
      <c r="K29" s="164">
        <v>2</v>
      </c>
      <c r="L29" s="161">
        <v>1</v>
      </c>
      <c r="M29" s="161">
        <v>2</v>
      </c>
      <c r="N29" s="161">
        <v>2</v>
      </c>
      <c r="O29" s="161">
        <v>2</v>
      </c>
      <c r="P29" s="161">
        <v>4</v>
      </c>
      <c r="Q29" s="161"/>
      <c r="R29" s="161"/>
      <c r="S29" s="158"/>
      <c r="T29" s="2108" t="s">
        <v>32</v>
      </c>
      <c r="U29" s="2353">
        <f t="shared" si="0"/>
        <v>70</v>
      </c>
      <c r="V29" s="158"/>
      <c r="W29" s="156"/>
    </row>
    <row r="30" spans="1:23" ht="21.95" customHeight="1" x14ac:dyDescent="0.25">
      <c r="A30" s="163">
        <v>20</v>
      </c>
      <c r="B30" s="1974">
        <f t="shared" si="1"/>
        <v>5191421020</v>
      </c>
      <c r="C30" s="161">
        <v>2</v>
      </c>
      <c r="D30" s="161">
        <v>2</v>
      </c>
      <c r="E30" s="161">
        <v>2</v>
      </c>
      <c r="F30" s="161"/>
      <c r="G30" s="161">
        <v>1</v>
      </c>
      <c r="H30" s="161">
        <v>6</v>
      </c>
      <c r="I30" s="161"/>
      <c r="J30" s="161"/>
      <c r="K30" s="161">
        <v>2</v>
      </c>
      <c r="L30" s="161">
        <v>1</v>
      </c>
      <c r="M30" s="161">
        <v>2</v>
      </c>
      <c r="N30" s="161">
        <v>2</v>
      </c>
      <c r="O30" s="161">
        <v>1</v>
      </c>
      <c r="P30" s="161">
        <v>4</v>
      </c>
      <c r="Q30" s="161">
        <v>3</v>
      </c>
      <c r="R30" s="161"/>
      <c r="S30" s="158"/>
      <c r="T30" s="2109" t="s">
        <v>27</v>
      </c>
      <c r="U30" s="2353">
        <f t="shared" si="0"/>
        <v>80</v>
      </c>
      <c r="V30" s="158"/>
      <c r="W30" s="156"/>
    </row>
    <row r="31" spans="1:23" ht="21.95" customHeight="1" x14ac:dyDescent="0.25">
      <c r="A31" s="163">
        <v>21</v>
      </c>
      <c r="B31" s="1974">
        <f t="shared" si="1"/>
        <v>5191421021</v>
      </c>
      <c r="C31" s="164">
        <v>2</v>
      </c>
      <c r="D31" s="161">
        <v>2</v>
      </c>
      <c r="E31" s="161">
        <v>2</v>
      </c>
      <c r="F31" s="161"/>
      <c r="G31" s="161">
        <v>1</v>
      </c>
      <c r="H31" s="161">
        <v>5</v>
      </c>
      <c r="I31" s="161"/>
      <c r="J31" s="161"/>
      <c r="K31" s="164">
        <v>2</v>
      </c>
      <c r="L31" s="161"/>
      <c r="M31" s="161">
        <v>2</v>
      </c>
      <c r="N31" s="161">
        <v>1</v>
      </c>
      <c r="O31" s="161">
        <v>1</v>
      </c>
      <c r="P31" s="161">
        <v>2</v>
      </c>
      <c r="Q31" s="161">
        <v>6</v>
      </c>
      <c r="R31" s="161">
        <v>4</v>
      </c>
      <c r="S31" s="158"/>
      <c r="T31" s="2108" t="s">
        <v>32</v>
      </c>
      <c r="U31" s="2353">
        <f t="shared" si="0"/>
        <v>70</v>
      </c>
      <c r="V31" s="158"/>
      <c r="W31" s="156"/>
    </row>
    <row r="32" spans="1:23" ht="21.95" customHeight="1" x14ac:dyDescent="0.25">
      <c r="A32" s="163">
        <v>22</v>
      </c>
      <c r="B32" s="1974">
        <f t="shared" si="1"/>
        <v>5191421022</v>
      </c>
      <c r="C32" s="164">
        <v>1</v>
      </c>
      <c r="D32" s="161">
        <v>2</v>
      </c>
      <c r="E32" s="161">
        <v>2</v>
      </c>
      <c r="F32" s="161">
        <v>0</v>
      </c>
      <c r="G32" s="161">
        <v>2</v>
      </c>
      <c r="H32" s="161"/>
      <c r="I32" s="161">
        <v>4</v>
      </c>
      <c r="J32" s="161">
        <v>4</v>
      </c>
      <c r="K32" s="164">
        <v>2</v>
      </c>
      <c r="L32" s="161"/>
      <c r="M32" s="161">
        <v>2</v>
      </c>
      <c r="N32" s="161">
        <v>0</v>
      </c>
      <c r="O32" s="161">
        <v>1</v>
      </c>
      <c r="P32" s="161">
        <v>2</v>
      </c>
      <c r="Q32" s="161">
        <v>5</v>
      </c>
      <c r="R32" s="161"/>
      <c r="S32" s="158"/>
      <c r="T32" s="2109" t="s">
        <v>28</v>
      </c>
      <c r="U32" s="2353">
        <f t="shared" si="0"/>
        <v>50</v>
      </c>
      <c r="V32" s="158"/>
      <c r="W32" s="156"/>
    </row>
    <row r="33" spans="1:23" ht="21.95" customHeight="1" x14ac:dyDescent="0.25">
      <c r="A33" s="163">
        <v>23</v>
      </c>
      <c r="B33" s="1974">
        <f t="shared" si="1"/>
        <v>5191421023</v>
      </c>
      <c r="C33" s="164">
        <v>1</v>
      </c>
      <c r="D33" s="161">
        <v>2</v>
      </c>
      <c r="E33" s="161">
        <v>2</v>
      </c>
      <c r="F33" s="161"/>
      <c r="G33" s="161">
        <v>2</v>
      </c>
      <c r="H33" s="161">
        <v>6</v>
      </c>
      <c r="I33" s="161">
        <v>3</v>
      </c>
      <c r="J33" s="161"/>
      <c r="K33" s="164">
        <v>2</v>
      </c>
      <c r="L33" s="161"/>
      <c r="M33" s="161">
        <v>2</v>
      </c>
      <c r="N33" s="161">
        <v>1</v>
      </c>
      <c r="O33" s="161">
        <v>2</v>
      </c>
      <c r="P33" s="161"/>
      <c r="Q33" s="161">
        <v>3</v>
      </c>
      <c r="R33" s="161"/>
      <c r="S33" s="158"/>
      <c r="T33" s="2108" t="s">
        <v>32</v>
      </c>
      <c r="U33" s="2353">
        <f t="shared" si="0"/>
        <v>70</v>
      </c>
      <c r="V33" s="158"/>
      <c r="W33" s="156"/>
    </row>
    <row r="34" spans="1:23" ht="21.95" customHeight="1" x14ac:dyDescent="0.25">
      <c r="A34" s="163">
        <v>24</v>
      </c>
      <c r="B34" s="1974">
        <f t="shared" si="1"/>
        <v>5191421024</v>
      </c>
      <c r="C34" s="164">
        <v>2</v>
      </c>
      <c r="D34" s="161">
        <v>2</v>
      </c>
      <c r="E34" s="161">
        <v>2</v>
      </c>
      <c r="F34" s="161">
        <v>0</v>
      </c>
      <c r="G34" s="161">
        <v>2</v>
      </c>
      <c r="H34" s="161">
        <v>4</v>
      </c>
      <c r="I34" s="161"/>
      <c r="J34" s="161">
        <v>4</v>
      </c>
      <c r="K34" s="164">
        <v>2</v>
      </c>
      <c r="L34" s="161">
        <v>0</v>
      </c>
      <c r="M34" s="161">
        <v>1</v>
      </c>
      <c r="N34" s="161">
        <v>1</v>
      </c>
      <c r="O34" s="161">
        <v>2</v>
      </c>
      <c r="P34" s="161">
        <v>0</v>
      </c>
      <c r="Q34" s="161">
        <v>3</v>
      </c>
      <c r="R34" s="161"/>
      <c r="S34" s="158"/>
      <c r="T34" s="2109" t="s">
        <v>28</v>
      </c>
      <c r="U34" s="2353">
        <f t="shared" si="0"/>
        <v>50</v>
      </c>
      <c r="V34" s="158"/>
      <c r="W34" s="156"/>
    </row>
    <row r="35" spans="1:23" ht="21.95" customHeight="1" x14ac:dyDescent="0.25">
      <c r="A35" s="163">
        <v>25</v>
      </c>
      <c r="B35" s="1974">
        <f t="shared" si="1"/>
        <v>5191421025</v>
      </c>
      <c r="C35" s="164">
        <v>1</v>
      </c>
      <c r="D35" s="161">
        <v>1</v>
      </c>
      <c r="E35" s="161">
        <v>2</v>
      </c>
      <c r="F35" s="161"/>
      <c r="G35" s="161">
        <v>2</v>
      </c>
      <c r="H35" s="161">
        <v>4</v>
      </c>
      <c r="I35" s="161">
        <v>7</v>
      </c>
      <c r="J35" s="161">
        <v>2</v>
      </c>
      <c r="K35" s="164">
        <v>2</v>
      </c>
      <c r="L35" s="161"/>
      <c r="M35" s="161">
        <v>1</v>
      </c>
      <c r="N35" s="161">
        <v>1</v>
      </c>
      <c r="O35" s="161">
        <v>2</v>
      </c>
      <c r="P35" s="161"/>
      <c r="Q35" s="161">
        <v>3</v>
      </c>
      <c r="R35" s="161">
        <v>3</v>
      </c>
      <c r="S35" s="158"/>
      <c r="T35" s="2108" t="s">
        <v>30</v>
      </c>
      <c r="U35" s="2353">
        <f t="shared" si="0"/>
        <v>90</v>
      </c>
      <c r="V35" s="158"/>
      <c r="W35" s="156"/>
    </row>
    <row r="36" spans="1:23" ht="21.95" customHeight="1" x14ac:dyDescent="0.25">
      <c r="A36" s="163">
        <v>26</v>
      </c>
      <c r="B36" s="1974">
        <f t="shared" si="1"/>
        <v>5191421026</v>
      </c>
      <c r="C36" s="164">
        <v>1</v>
      </c>
      <c r="D36" s="161">
        <v>1</v>
      </c>
      <c r="E36" s="161">
        <v>2</v>
      </c>
      <c r="F36" s="161">
        <v>2</v>
      </c>
      <c r="G36" s="161">
        <v>0</v>
      </c>
      <c r="H36" s="161">
        <v>6</v>
      </c>
      <c r="I36" s="161"/>
      <c r="J36" s="161">
        <v>8</v>
      </c>
      <c r="K36" s="164">
        <v>2</v>
      </c>
      <c r="L36" s="161">
        <v>1</v>
      </c>
      <c r="M36" s="161">
        <v>2</v>
      </c>
      <c r="N36" s="161">
        <v>1</v>
      </c>
      <c r="O36" s="161">
        <v>1</v>
      </c>
      <c r="P36" s="161"/>
      <c r="Q36" s="161">
        <v>3</v>
      </c>
      <c r="R36" s="161">
        <v>0</v>
      </c>
      <c r="S36" s="158"/>
      <c r="T36" s="2109" t="s">
        <v>32</v>
      </c>
      <c r="U36" s="2353">
        <f t="shared" si="0"/>
        <v>70</v>
      </c>
      <c r="V36" s="158"/>
      <c r="W36" s="156"/>
    </row>
    <row r="37" spans="1:23" ht="21.95" customHeight="1" x14ac:dyDescent="0.25">
      <c r="A37" s="163">
        <v>27</v>
      </c>
      <c r="B37" s="1974">
        <f t="shared" si="1"/>
        <v>5191421027</v>
      </c>
      <c r="C37" s="164">
        <v>2</v>
      </c>
      <c r="D37" s="161">
        <v>2</v>
      </c>
      <c r="E37" s="161">
        <v>2</v>
      </c>
      <c r="F37" s="161">
        <v>0</v>
      </c>
      <c r="G37" s="161">
        <v>2</v>
      </c>
      <c r="H37" s="161">
        <v>7</v>
      </c>
      <c r="I37" s="161"/>
      <c r="J37" s="161">
        <v>7</v>
      </c>
      <c r="K37" s="164">
        <v>2</v>
      </c>
      <c r="L37" s="161">
        <v>2</v>
      </c>
      <c r="M37" s="161">
        <v>2</v>
      </c>
      <c r="N37" s="161">
        <v>1</v>
      </c>
      <c r="O37" s="161">
        <v>1</v>
      </c>
      <c r="P37" s="161"/>
      <c r="Q37" s="161">
        <v>4</v>
      </c>
      <c r="R37" s="161">
        <v>3</v>
      </c>
      <c r="S37" s="158"/>
      <c r="T37" s="2108" t="s">
        <v>33</v>
      </c>
      <c r="U37" s="2353">
        <f t="shared" si="0"/>
        <v>60</v>
      </c>
      <c r="V37" s="158"/>
      <c r="W37" s="156"/>
    </row>
    <row r="38" spans="1:23" ht="21.95" customHeight="1" x14ac:dyDescent="0.25">
      <c r="A38" s="163">
        <v>28</v>
      </c>
      <c r="B38" s="1974">
        <f t="shared" si="1"/>
        <v>5191421028</v>
      </c>
      <c r="C38" s="164">
        <v>2</v>
      </c>
      <c r="D38" s="161">
        <v>2</v>
      </c>
      <c r="E38" s="161">
        <v>2</v>
      </c>
      <c r="F38" s="161"/>
      <c r="G38" s="161">
        <v>2</v>
      </c>
      <c r="H38" s="161">
        <v>4</v>
      </c>
      <c r="I38" s="161"/>
      <c r="J38" s="161">
        <v>8</v>
      </c>
      <c r="K38" s="164">
        <v>2</v>
      </c>
      <c r="L38" s="161">
        <v>1</v>
      </c>
      <c r="M38" s="161">
        <v>2</v>
      </c>
      <c r="N38" s="161">
        <v>1</v>
      </c>
      <c r="O38" s="161">
        <v>2</v>
      </c>
      <c r="P38" s="161"/>
      <c r="Q38" s="161">
        <v>5</v>
      </c>
      <c r="R38" s="161">
        <v>4</v>
      </c>
      <c r="S38" s="158"/>
      <c r="T38" s="2109" t="s">
        <v>27</v>
      </c>
      <c r="U38" s="2353">
        <f t="shared" si="0"/>
        <v>80</v>
      </c>
      <c r="V38" s="158"/>
      <c r="W38" s="156"/>
    </row>
    <row r="39" spans="1:23" ht="21.95" customHeight="1" x14ac:dyDescent="0.25">
      <c r="A39" s="163">
        <v>29</v>
      </c>
      <c r="B39" s="1974">
        <f t="shared" si="1"/>
        <v>5191421029</v>
      </c>
      <c r="C39" s="164">
        <v>2</v>
      </c>
      <c r="D39" s="161">
        <v>2</v>
      </c>
      <c r="E39" s="161">
        <v>2</v>
      </c>
      <c r="F39" s="161">
        <v>0</v>
      </c>
      <c r="G39" s="161">
        <v>2</v>
      </c>
      <c r="H39" s="161">
        <v>7</v>
      </c>
      <c r="I39" s="161"/>
      <c r="J39" s="161">
        <v>3</v>
      </c>
      <c r="K39" s="164">
        <v>2</v>
      </c>
      <c r="L39" s="161"/>
      <c r="M39" s="161">
        <v>2</v>
      </c>
      <c r="N39" s="161"/>
      <c r="O39" s="161">
        <v>1</v>
      </c>
      <c r="P39" s="161">
        <v>1</v>
      </c>
      <c r="Q39" s="161">
        <v>2</v>
      </c>
      <c r="R39" s="161"/>
      <c r="S39" s="158"/>
      <c r="T39" s="2108" t="s">
        <v>33</v>
      </c>
      <c r="U39" s="2353">
        <f t="shared" si="0"/>
        <v>60</v>
      </c>
      <c r="V39" s="158"/>
      <c r="W39" s="156"/>
    </row>
    <row r="40" spans="1:23" ht="21.95" customHeight="1" x14ac:dyDescent="0.25">
      <c r="A40" s="163">
        <v>30</v>
      </c>
      <c r="B40" s="1974">
        <f t="shared" si="1"/>
        <v>5191421030</v>
      </c>
      <c r="C40" s="164">
        <v>2</v>
      </c>
      <c r="D40" s="161">
        <v>2</v>
      </c>
      <c r="E40" s="161">
        <v>1</v>
      </c>
      <c r="F40" s="161">
        <v>0</v>
      </c>
      <c r="G40" s="161">
        <v>2</v>
      </c>
      <c r="H40" s="161">
        <v>4</v>
      </c>
      <c r="I40" s="161"/>
      <c r="J40" s="161">
        <v>3</v>
      </c>
      <c r="K40" s="164">
        <v>2</v>
      </c>
      <c r="L40" s="161">
        <v>1</v>
      </c>
      <c r="M40" s="161">
        <v>2</v>
      </c>
      <c r="N40" s="161">
        <v>2</v>
      </c>
      <c r="O40" s="161">
        <v>2</v>
      </c>
      <c r="P40" s="161">
        <v>4</v>
      </c>
      <c r="Q40" s="161">
        <v>3</v>
      </c>
      <c r="R40" s="161"/>
      <c r="S40" s="158"/>
      <c r="T40" s="2109" t="s">
        <v>29</v>
      </c>
      <c r="U40" s="2353">
        <f t="shared" si="0"/>
        <v>0</v>
      </c>
      <c r="V40" s="158"/>
      <c r="W40" s="156"/>
    </row>
    <row r="41" spans="1:23" ht="21.95" customHeight="1" x14ac:dyDescent="0.25">
      <c r="A41" s="163">
        <v>31</v>
      </c>
      <c r="B41" s="1974">
        <f t="shared" si="1"/>
        <v>5191421031</v>
      </c>
      <c r="C41" s="164">
        <v>1</v>
      </c>
      <c r="D41" s="161">
        <v>2</v>
      </c>
      <c r="E41" s="161">
        <v>2</v>
      </c>
      <c r="F41" s="161">
        <v>0</v>
      </c>
      <c r="G41" s="161">
        <v>2</v>
      </c>
      <c r="H41" s="161">
        <v>4</v>
      </c>
      <c r="I41" s="161"/>
      <c r="J41" s="161">
        <v>5</v>
      </c>
      <c r="K41" s="164"/>
      <c r="L41" s="161"/>
      <c r="M41" s="161"/>
      <c r="N41" s="161"/>
      <c r="O41" s="161"/>
      <c r="P41" s="161"/>
      <c r="Q41" s="161"/>
      <c r="R41" s="161"/>
      <c r="S41" s="158"/>
      <c r="T41" s="2108" t="s">
        <v>31</v>
      </c>
      <c r="U41" s="2353">
        <f t="shared" si="0"/>
        <v>55</v>
      </c>
      <c r="V41" s="158"/>
      <c r="W41" s="156"/>
    </row>
    <row r="42" spans="1:23" ht="21.95" customHeight="1" x14ac:dyDescent="0.25">
      <c r="A42" s="163">
        <v>32</v>
      </c>
      <c r="B42" s="1974">
        <f t="shared" si="1"/>
        <v>5191421032</v>
      </c>
      <c r="C42" s="164"/>
      <c r="D42" s="161">
        <v>2</v>
      </c>
      <c r="E42" s="161">
        <v>2</v>
      </c>
      <c r="F42" s="161">
        <v>0</v>
      </c>
      <c r="G42" s="161">
        <v>2</v>
      </c>
      <c r="H42" s="161">
        <v>3</v>
      </c>
      <c r="I42" s="161"/>
      <c r="J42" s="161"/>
      <c r="K42" s="164">
        <v>2</v>
      </c>
      <c r="L42" s="161">
        <v>1</v>
      </c>
      <c r="M42" s="161">
        <v>2</v>
      </c>
      <c r="N42" s="161">
        <v>1</v>
      </c>
      <c r="O42" s="161">
        <v>2</v>
      </c>
      <c r="P42" s="161">
        <v>2</v>
      </c>
      <c r="Q42" s="161">
        <v>3</v>
      </c>
      <c r="R42" s="161"/>
      <c r="S42" s="158"/>
      <c r="T42" s="2109" t="s">
        <v>29</v>
      </c>
      <c r="U42" s="2353">
        <f t="shared" si="0"/>
        <v>0</v>
      </c>
      <c r="V42" s="158"/>
      <c r="W42" s="156"/>
    </row>
    <row r="43" spans="1:23" ht="21.95" customHeight="1" x14ac:dyDescent="0.25">
      <c r="A43" s="163">
        <v>33</v>
      </c>
      <c r="B43" s="1974">
        <f t="shared" si="1"/>
        <v>5191421033</v>
      </c>
      <c r="C43" s="164"/>
      <c r="D43" s="161">
        <v>2</v>
      </c>
      <c r="E43" s="161">
        <v>2</v>
      </c>
      <c r="F43" s="161"/>
      <c r="G43" s="161">
        <v>2</v>
      </c>
      <c r="H43" s="161">
        <v>6</v>
      </c>
      <c r="I43" s="161"/>
      <c r="J43" s="161">
        <v>4</v>
      </c>
      <c r="K43" s="164">
        <v>2</v>
      </c>
      <c r="L43" s="161"/>
      <c r="M43" s="161">
        <v>2</v>
      </c>
      <c r="N43" s="161">
        <v>1</v>
      </c>
      <c r="O43" s="161">
        <v>2</v>
      </c>
      <c r="P43" s="161"/>
      <c r="Q43" s="161">
        <v>4</v>
      </c>
      <c r="R43" s="161"/>
      <c r="S43" s="158"/>
      <c r="T43" s="2108" t="s">
        <v>32</v>
      </c>
      <c r="U43" s="2353">
        <f t="shared" si="0"/>
        <v>70</v>
      </c>
      <c r="V43" s="158"/>
      <c r="W43" s="156"/>
    </row>
    <row r="44" spans="1:23" ht="21.95" customHeight="1" x14ac:dyDescent="0.25">
      <c r="A44" s="163">
        <v>34</v>
      </c>
      <c r="B44" s="1974">
        <f t="shared" si="1"/>
        <v>5191421034</v>
      </c>
      <c r="C44" s="164">
        <v>2</v>
      </c>
      <c r="D44" s="161">
        <v>2</v>
      </c>
      <c r="E44" s="161">
        <v>1</v>
      </c>
      <c r="F44" s="161">
        <v>0</v>
      </c>
      <c r="G44" s="161">
        <v>2</v>
      </c>
      <c r="H44" s="161">
        <v>4</v>
      </c>
      <c r="I44" s="161"/>
      <c r="J44" s="161">
        <v>4</v>
      </c>
      <c r="K44" s="164">
        <v>2</v>
      </c>
      <c r="L44" s="161"/>
      <c r="M44" s="161">
        <v>2</v>
      </c>
      <c r="N44" s="161">
        <v>1</v>
      </c>
      <c r="O44" s="161">
        <v>2</v>
      </c>
      <c r="P44" s="161"/>
      <c r="Q44" s="161">
        <v>8</v>
      </c>
      <c r="R44" s="161">
        <v>4</v>
      </c>
      <c r="S44" s="158"/>
      <c r="T44" s="2109" t="s">
        <v>32</v>
      </c>
      <c r="U44" s="2353">
        <f t="shared" si="0"/>
        <v>70</v>
      </c>
      <c r="V44" s="158"/>
      <c r="W44" s="156"/>
    </row>
    <row r="45" spans="1:23" ht="21.95" customHeight="1" x14ac:dyDescent="0.25">
      <c r="A45" s="163">
        <v>35</v>
      </c>
      <c r="B45" s="1974">
        <f t="shared" si="1"/>
        <v>5191421035</v>
      </c>
      <c r="C45" s="164">
        <v>1</v>
      </c>
      <c r="D45" s="161">
        <v>2</v>
      </c>
      <c r="E45" s="161">
        <v>2</v>
      </c>
      <c r="F45" s="161"/>
      <c r="G45" s="161">
        <v>1</v>
      </c>
      <c r="H45" s="161">
        <v>7</v>
      </c>
      <c r="I45" s="161"/>
      <c r="J45" s="161">
        <v>8</v>
      </c>
      <c r="K45" s="164">
        <v>2</v>
      </c>
      <c r="L45" s="161"/>
      <c r="M45" s="161">
        <v>2</v>
      </c>
      <c r="N45" s="161">
        <v>1</v>
      </c>
      <c r="O45" s="161">
        <v>1</v>
      </c>
      <c r="P45" s="161"/>
      <c r="Q45" s="161">
        <v>4</v>
      </c>
      <c r="R45" s="161">
        <v>1</v>
      </c>
      <c r="S45" s="158"/>
      <c r="T45" s="2108" t="s">
        <v>33</v>
      </c>
      <c r="U45" s="2353">
        <f t="shared" si="0"/>
        <v>60</v>
      </c>
      <c r="V45" s="158"/>
      <c r="W45" s="156"/>
    </row>
    <row r="46" spans="1:23" ht="21.95" customHeight="1" x14ac:dyDescent="0.25">
      <c r="A46" s="163">
        <v>36</v>
      </c>
      <c r="B46" s="1974">
        <f t="shared" si="1"/>
        <v>5191421036</v>
      </c>
      <c r="C46" s="164">
        <v>2</v>
      </c>
      <c r="D46" s="161">
        <v>2</v>
      </c>
      <c r="E46" s="161">
        <v>1</v>
      </c>
      <c r="F46" s="161"/>
      <c r="G46" s="161">
        <v>1</v>
      </c>
      <c r="H46" s="161">
        <v>7</v>
      </c>
      <c r="I46" s="161"/>
      <c r="J46" s="161">
        <v>6</v>
      </c>
      <c r="K46" s="164">
        <v>2</v>
      </c>
      <c r="L46" s="161"/>
      <c r="M46" s="161">
        <v>2</v>
      </c>
      <c r="N46" s="161">
        <v>1</v>
      </c>
      <c r="O46" s="161">
        <v>1</v>
      </c>
      <c r="P46" s="161"/>
      <c r="Q46" s="161">
        <v>1</v>
      </c>
      <c r="R46" s="161">
        <v>1</v>
      </c>
      <c r="S46" s="158"/>
      <c r="T46" s="2109" t="s">
        <v>32</v>
      </c>
      <c r="U46" s="2353">
        <f t="shared" si="0"/>
        <v>70</v>
      </c>
      <c r="V46" s="158"/>
      <c r="W46" s="156"/>
    </row>
    <row r="47" spans="1:23" ht="21.95" customHeight="1" x14ac:dyDescent="0.25">
      <c r="A47" s="163">
        <v>37</v>
      </c>
      <c r="B47" s="1974">
        <f t="shared" si="1"/>
        <v>5191421037</v>
      </c>
      <c r="C47" s="164">
        <v>1</v>
      </c>
      <c r="D47" s="161">
        <v>2</v>
      </c>
      <c r="E47" s="161">
        <v>2</v>
      </c>
      <c r="F47" s="161"/>
      <c r="G47" s="161">
        <v>2</v>
      </c>
      <c r="H47" s="161">
        <v>4</v>
      </c>
      <c r="I47" s="161"/>
      <c r="J47" s="161">
        <v>3</v>
      </c>
      <c r="K47" s="164">
        <v>2</v>
      </c>
      <c r="L47" s="161">
        <v>2</v>
      </c>
      <c r="M47" s="161">
        <v>2</v>
      </c>
      <c r="N47" s="161">
        <v>1</v>
      </c>
      <c r="O47" s="161">
        <v>0</v>
      </c>
      <c r="P47" s="161"/>
      <c r="Q47" s="161">
        <v>2</v>
      </c>
      <c r="R47" s="161">
        <v>0</v>
      </c>
      <c r="S47" s="158"/>
      <c r="T47" s="2108" t="s">
        <v>29</v>
      </c>
      <c r="U47" s="2353">
        <f t="shared" si="0"/>
        <v>0</v>
      </c>
      <c r="V47" s="158"/>
      <c r="W47" s="156"/>
    </row>
    <row r="48" spans="1:23" ht="21.95" customHeight="1" x14ac:dyDescent="0.25">
      <c r="A48" s="163">
        <v>38</v>
      </c>
      <c r="B48" s="1974">
        <f t="shared" si="1"/>
        <v>5191421038</v>
      </c>
      <c r="C48" s="164">
        <v>0</v>
      </c>
      <c r="D48" s="161">
        <v>1</v>
      </c>
      <c r="E48" s="161">
        <v>1</v>
      </c>
      <c r="F48" s="161"/>
      <c r="G48" s="161"/>
      <c r="H48" s="161"/>
      <c r="I48" s="161">
        <v>6</v>
      </c>
      <c r="J48" s="161">
        <v>6</v>
      </c>
      <c r="K48" s="164">
        <v>2</v>
      </c>
      <c r="L48" s="161">
        <v>1</v>
      </c>
      <c r="M48" s="161">
        <v>2</v>
      </c>
      <c r="N48" s="161">
        <v>1</v>
      </c>
      <c r="O48" s="161">
        <v>2</v>
      </c>
      <c r="P48" s="161"/>
      <c r="Q48" s="161">
        <v>2</v>
      </c>
      <c r="R48" s="161">
        <v>2</v>
      </c>
      <c r="S48" s="158"/>
      <c r="T48" s="2109" t="s">
        <v>28</v>
      </c>
      <c r="U48" s="2353">
        <f t="shared" si="0"/>
        <v>50</v>
      </c>
      <c r="V48" s="158"/>
      <c r="W48" s="156"/>
    </row>
    <row r="49" spans="1:23" ht="21.95" customHeight="1" x14ac:dyDescent="0.25">
      <c r="A49" s="163">
        <v>39</v>
      </c>
      <c r="B49" s="1974">
        <f t="shared" si="1"/>
        <v>5191421039</v>
      </c>
      <c r="C49" s="164"/>
      <c r="D49" s="161">
        <v>2</v>
      </c>
      <c r="E49" s="161">
        <v>1</v>
      </c>
      <c r="F49" s="161"/>
      <c r="G49" s="161">
        <v>2</v>
      </c>
      <c r="H49" s="161">
        <v>5</v>
      </c>
      <c r="I49" s="161"/>
      <c r="J49" s="161"/>
      <c r="K49" s="164">
        <v>2</v>
      </c>
      <c r="L49" s="161">
        <v>1</v>
      </c>
      <c r="M49" s="161">
        <v>2</v>
      </c>
      <c r="N49" s="161">
        <v>1</v>
      </c>
      <c r="O49" s="161">
        <v>2</v>
      </c>
      <c r="P49" s="161">
        <v>4</v>
      </c>
      <c r="Q49" s="161">
        <v>3</v>
      </c>
      <c r="R49" s="161"/>
      <c r="S49" s="158"/>
      <c r="T49" s="2108" t="s">
        <v>27</v>
      </c>
      <c r="U49" s="2353">
        <f t="shared" si="0"/>
        <v>80</v>
      </c>
      <c r="V49" s="158"/>
      <c r="W49" s="156"/>
    </row>
    <row r="50" spans="1:23" ht="21.95" customHeight="1" x14ac:dyDescent="0.25">
      <c r="A50" s="163">
        <v>40</v>
      </c>
      <c r="B50" s="1974">
        <f t="shared" si="1"/>
        <v>5191421040</v>
      </c>
      <c r="C50" s="164">
        <v>1</v>
      </c>
      <c r="D50" s="161">
        <v>2</v>
      </c>
      <c r="E50" s="161">
        <v>2</v>
      </c>
      <c r="F50" s="161">
        <v>0</v>
      </c>
      <c r="G50" s="161">
        <v>2</v>
      </c>
      <c r="H50" s="161">
        <v>2</v>
      </c>
      <c r="I50" s="161"/>
      <c r="J50" s="161">
        <v>6</v>
      </c>
      <c r="K50" s="164">
        <v>2</v>
      </c>
      <c r="L50" s="161"/>
      <c r="M50" s="161">
        <v>2</v>
      </c>
      <c r="N50" s="161"/>
      <c r="O50" s="161">
        <v>2</v>
      </c>
      <c r="P50" s="161">
        <v>4</v>
      </c>
      <c r="Q50" s="161">
        <v>3</v>
      </c>
      <c r="R50" s="161"/>
      <c r="S50" s="158"/>
      <c r="T50" s="2109" t="s">
        <v>32</v>
      </c>
      <c r="U50" s="2353">
        <f t="shared" si="0"/>
        <v>70</v>
      </c>
      <c r="V50" s="158"/>
      <c r="W50" s="156"/>
    </row>
    <row r="51" spans="1:23" ht="21.95" customHeight="1" x14ac:dyDescent="0.25">
      <c r="A51" s="163">
        <v>41</v>
      </c>
      <c r="B51" s="1974">
        <f t="shared" si="1"/>
        <v>5191421041</v>
      </c>
      <c r="C51" s="164"/>
      <c r="D51" s="161">
        <v>1</v>
      </c>
      <c r="E51" s="161">
        <v>2</v>
      </c>
      <c r="F51" s="161"/>
      <c r="G51" s="161">
        <v>1</v>
      </c>
      <c r="H51" s="161">
        <v>6</v>
      </c>
      <c r="I51" s="161"/>
      <c r="J51" s="161">
        <v>3</v>
      </c>
      <c r="K51" s="164">
        <v>2</v>
      </c>
      <c r="L51" s="161">
        <v>1</v>
      </c>
      <c r="M51" s="161">
        <v>2</v>
      </c>
      <c r="N51" s="161">
        <v>1</v>
      </c>
      <c r="O51" s="161">
        <v>1</v>
      </c>
      <c r="P51" s="161">
        <v>2</v>
      </c>
      <c r="Q51" s="161">
        <v>7</v>
      </c>
      <c r="R51" s="161"/>
      <c r="S51" s="158"/>
      <c r="T51" s="2108" t="s">
        <v>27</v>
      </c>
      <c r="U51" s="2353">
        <f t="shared" si="0"/>
        <v>80</v>
      </c>
      <c r="V51" s="158"/>
      <c r="W51" s="156"/>
    </row>
    <row r="52" spans="1:23" ht="21.95" customHeight="1" x14ac:dyDescent="0.25">
      <c r="A52" s="163">
        <v>42</v>
      </c>
      <c r="B52" s="1974">
        <f t="shared" si="1"/>
        <v>5191421042</v>
      </c>
      <c r="C52" s="164">
        <v>1</v>
      </c>
      <c r="D52" s="161">
        <v>1</v>
      </c>
      <c r="E52" s="161">
        <v>2</v>
      </c>
      <c r="F52" s="161"/>
      <c r="G52" s="161">
        <v>1</v>
      </c>
      <c r="H52" s="161">
        <v>8</v>
      </c>
      <c r="I52" s="161"/>
      <c r="J52" s="161">
        <v>6</v>
      </c>
      <c r="K52" s="164">
        <v>2</v>
      </c>
      <c r="L52" s="161">
        <v>1</v>
      </c>
      <c r="M52" s="161">
        <v>2</v>
      </c>
      <c r="N52" s="161">
        <v>2</v>
      </c>
      <c r="O52" s="161">
        <v>2</v>
      </c>
      <c r="P52" s="161"/>
      <c r="Q52" s="161">
        <v>7</v>
      </c>
      <c r="R52" s="161"/>
      <c r="S52" s="158"/>
      <c r="T52" s="2109" t="s">
        <v>29</v>
      </c>
      <c r="U52" s="2353">
        <f t="shared" si="0"/>
        <v>0</v>
      </c>
      <c r="V52" s="158"/>
      <c r="W52" s="156"/>
    </row>
    <row r="53" spans="1:23" ht="21.95" customHeight="1" x14ac:dyDescent="0.25">
      <c r="A53" s="163">
        <v>43</v>
      </c>
      <c r="B53" s="1974">
        <f t="shared" si="1"/>
        <v>5191421043</v>
      </c>
      <c r="C53" s="164">
        <v>1</v>
      </c>
      <c r="D53" s="161">
        <v>2</v>
      </c>
      <c r="E53" s="161">
        <v>2</v>
      </c>
      <c r="F53" s="161">
        <v>1</v>
      </c>
      <c r="G53" s="161">
        <v>2</v>
      </c>
      <c r="H53" s="161">
        <v>4</v>
      </c>
      <c r="I53" s="161"/>
      <c r="J53" s="161">
        <v>3</v>
      </c>
      <c r="K53" s="164">
        <v>2</v>
      </c>
      <c r="L53" s="161">
        <v>1</v>
      </c>
      <c r="M53" s="161">
        <v>2</v>
      </c>
      <c r="N53" s="161">
        <v>1</v>
      </c>
      <c r="O53" s="161">
        <v>2</v>
      </c>
      <c r="P53" s="161"/>
      <c r="Q53" s="161">
        <v>9</v>
      </c>
      <c r="R53" s="161"/>
      <c r="S53" s="158"/>
      <c r="T53" s="2108" t="s">
        <v>32</v>
      </c>
      <c r="U53" s="2353">
        <f t="shared" si="0"/>
        <v>70</v>
      </c>
      <c r="V53" s="158"/>
      <c r="W53" s="156"/>
    </row>
    <row r="54" spans="1:23" ht="21.95" customHeight="1" x14ac:dyDescent="0.25">
      <c r="A54" s="163">
        <v>44</v>
      </c>
      <c r="B54" s="1974">
        <f t="shared" si="1"/>
        <v>5191421044</v>
      </c>
      <c r="C54" s="164">
        <v>1</v>
      </c>
      <c r="D54" s="161">
        <v>2</v>
      </c>
      <c r="E54" s="161">
        <v>2</v>
      </c>
      <c r="F54" s="161">
        <v>0</v>
      </c>
      <c r="G54" s="161">
        <v>2</v>
      </c>
      <c r="H54" s="161">
        <v>8</v>
      </c>
      <c r="I54" s="161"/>
      <c r="J54" s="161">
        <v>4</v>
      </c>
      <c r="K54" s="164">
        <v>2</v>
      </c>
      <c r="L54" s="161">
        <v>2</v>
      </c>
      <c r="M54" s="161">
        <v>1</v>
      </c>
      <c r="N54" s="161">
        <v>1</v>
      </c>
      <c r="O54" s="161">
        <v>2</v>
      </c>
      <c r="P54" s="161"/>
      <c r="Q54" s="161">
        <v>8</v>
      </c>
      <c r="R54" s="161">
        <v>5</v>
      </c>
      <c r="S54" s="158"/>
      <c r="T54" s="2109" t="s">
        <v>27</v>
      </c>
      <c r="U54" s="2353">
        <f t="shared" si="0"/>
        <v>80</v>
      </c>
      <c r="V54" s="158"/>
      <c r="W54" s="156"/>
    </row>
    <row r="55" spans="1:23" ht="21.95" customHeight="1" x14ac:dyDescent="0.25">
      <c r="A55" s="163">
        <v>45</v>
      </c>
      <c r="B55" s="1974">
        <f t="shared" si="1"/>
        <v>5191421045</v>
      </c>
      <c r="C55" s="164">
        <v>1</v>
      </c>
      <c r="D55" s="161">
        <v>2</v>
      </c>
      <c r="E55" s="161">
        <v>2</v>
      </c>
      <c r="F55" s="161">
        <v>0</v>
      </c>
      <c r="G55" s="161">
        <v>2</v>
      </c>
      <c r="H55" s="161">
        <v>8</v>
      </c>
      <c r="I55" s="161"/>
      <c r="J55" s="161">
        <v>7</v>
      </c>
      <c r="K55" s="164">
        <v>2</v>
      </c>
      <c r="L55" s="161"/>
      <c r="M55" s="161">
        <v>2</v>
      </c>
      <c r="N55" s="161">
        <v>1</v>
      </c>
      <c r="O55" s="161">
        <v>1</v>
      </c>
      <c r="P55" s="161">
        <v>5</v>
      </c>
      <c r="Q55" s="161">
        <v>4</v>
      </c>
      <c r="R55" s="161"/>
      <c r="S55" s="158"/>
      <c r="T55" s="2108" t="s">
        <v>33</v>
      </c>
      <c r="U55" s="2353">
        <f t="shared" si="0"/>
        <v>60</v>
      </c>
      <c r="V55" s="158"/>
      <c r="W55" s="156"/>
    </row>
    <row r="56" spans="1:23" ht="21.95" customHeight="1" x14ac:dyDescent="0.25">
      <c r="A56" s="163">
        <v>46</v>
      </c>
      <c r="B56" s="1974">
        <f t="shared" si="1"/>
        <v>5191421046</v>
      </c>
      <c r="C56" s="164">
        <v>1</v>
      </c>
      <c r="D56" s="161">
        <v>2</v>
      </c>
      <c r="E56" s="161">
        <v>2</v>
      </c>
      <c r="F56" s="161">
        <v>1</v>
      </c>
      <c r="G56" s="161">
        <v>2</v>
      </c>
      <c r="H56" s="161">
        <v>8</v>
      </c>
      <c r="I56" s="161">
        <v>4</v>
      </c>
      <c r="J56" s="161"/>
      <c r="K56" s="164">
        <v>2</v>
      </c>
      <c r="L56" s="161">
        <v>1</v>
      </c>
      <c r="M56" s="161">
        <v>2</v>
      </c>
      <c r="N56" s="161">
        <v>1</v>
      </c>
      <c r="O56" s="161">
        <v>1</v>
      </c>
      <c r="P56" s="161">
        <v>0</v>
      </c>
      <c r="Q56" s="161">
        <v>4</v>
      </c>
      <c r="R56" s="161">
        <v>4</v>
      </c>
      <c r="S56" s="158"/>
      <c r="T56" s="2109" t="s">
        <v>27</v>
      </c>
      <c r="U56" s="2353">
        <f t="shared" si="0"/>
        <v>80</v>
      </c>
      <c r="V56" s="158"/>
      <c r="W56" s="156"/>
    </row>
    <row r="57" spans="1:23" ht="21.95" customHeight="1" x14ac:dyDescent="0.25">
      <c r="A57" s="163">
        <v>47</v>
      </c>
      <c r="B57" s="1974">
        <f t="shared" si="1"/>
        <v>5191421047</v>
      </c>
      <c r="C57" s="164">
        <v>1</v>
      </c>
      <c r="D57" s="161">
        <v>2</v>
      </c>
      <c r="E57" s="161">
        <v>2</v>
      </c>
      <c r="F57" s="161"/>
      <c r="G57" s="161">
        <v>2</v>
      </c>
      <c r="H57" s="161">
        <v>8</v>
      </c>
      <c r="I57" s="161"/>
      <c r="J57" s="161">
        <v>6</v>
      </c>
      <c r="K57" s="164">
        <v>2</v>
      </c>
      <c r="L57" s="161">
        <v>2</v>
      </c>
      <c r="M57" s="161">
        <v>2</v>
      </c>
      <c r="N57" s="161">
        <v>2</v>
      </c>
      <c r="O57" s="161">
        <v>2</v>
      </c>
      <c r="P57" s="161">
        <v>2</v>
      </c>
      <c r="Q57" s="161"/>
      <c r="R57" s="161">
        <v>7</v>
      </c>
      <c r="S57" s="158"/>
      <c r="T57" s="2108" t="s">
        <v>29</v>
      </c>
      <c r="U57" s="2353">
        <f t="shared" si="0"/>
        <v>0</v>
      </c>
      <c r="V57" s="158"/>
      <c r="W57" s="156"/>
    </row>
    <row r="58" spans="1:23" ht="21.95" customHeight="1" x14ac:dyDescent="0.25">
      <c r="A58" s="163">
        <v>48</v>
      </c>
      <c r="B58" s="1974">
        <f t="shared" si="1"/>
        <v>5191421048</v>
      </c>
      <c r="C58" s="164"/>
      <c r="D58" s="161">
        <v>2</v>
      </c>
      <c r="E58" s="161">
        <v>2</v>
      </c>
      <c r="F58" s="161">
        <v>0</v>
      </c>
      <c r="G58" s="161">
        <v>2</v>
      </c>
      <c r="H58" s="161">
        <v>4</v>
      </c>
      <c r="I58" s="161"/>
      <c r="J58" s="161">
        <v>2</v>
      </c>
      <c r="K58" s="164">
        <v>2</v>
      </c>
      <c r="L58" s="161">
        <v>2</v>
      </c>
      <c r="M58" s="161">
        <v>2</v>
      </c>
      <c r="N58" s="161">
        <v>2</v>
      </c>
      <c r="O58" s="161">
        <v>2</v>
      </c>
      <c r="P58" s="161"/>
      <c r="Q58" s="161">
        <v>3</v>
      </c>
      <c r="R58" s="161">
        <v>7</v>
      </c>
      <c r="S58" s="158"/>
      <c r="T58" s="2109" t="s">
        <v>32</v>
      </c>
      <c r="U58" s="2353">
        <f t="shared" si="0"/>
        <v>70</v>
      </c>
      <c r="V58" s="158"/>
      <c r="W58" s="156"/>
    </row>
    <row r="59" spans="1:23" ht="21.95" customHeight="1" x14ac:dyDescent="0.25">
      <c r="A59" s="163">
        <v>49</v>
      </c>
      <c r="B59" s="1974">
        <f t="shared" si="1"/>
        <v>5191421049</v>
      </c>
      <c r="C59" s="164">
        <v>1</v>
      </c>
      <c r="D59" s="161">
        <v>2</v>
      </c>
      <c r="E59" s="161">
        <v>2</v>
      </c>
      <c r="F59" s="161"/>
      <c r="G59" s="161">
        <v>2</v>
      </c>
      <c r="H59" s="161">
        <v>7</v>
      </c>
      <c r="I59" s="161"/>
      <c r="J59" s="161">
        <v>7</v>
      </c>
      <c r="K59" s="164">
        <v>2</v>
      </c>
      <c r="L59" s="161">
        <v>2</v>
      </c>
      <c r="M59" s="161">
        <v>2</v>
      </c>
      <c r="N59" s="161">
        <v>2</v>
      </c>
      <c r="O59" s="161">
        <v>2</v>
      </c>
      <c r="P59" s="161">
        <v>4</v>
      </c>
      <c r="Q59" s="161">
        <v>3</v>
      </c>
      <c r="R59" s="161"/>
      <c r="S59" s="158"/>
      <c r="T59" s="2108" t="s">
        <v>28</v>
      </c>
      <c r="U59" s="2353">
        <f t="shared" si="0"/>
        <v>50</v>
      </c>
      <c r="V59" s="158"/>
      <c r="W59" s="156"/>
    </row>
    <row r="60" spans="1:23" ht="21.95" customHeight="1" x14ac:dyDescent="0.25">
      <c r="A60" s="163"/>
      <c r="B60" s="161" t="s">
        <v>186</v>
      </c>
      <c r="C60" s="160">
        <f t="shared" ref="C60:R60" si="2">COUNT(C11:C59)</f>
        <v>44</v>
      </c>
      <c r="D60" s="160">
        <f t="shared" si="2"/>
        <v>48</v>
      </c>
      <c r="E60" s="160">
        <f t="shared" si="2"/>
        <v>46</v>
      </c>
      <c r="F60" s="160">
        <f t="shared" si="2"/>
        <v>28</v>
      </c>
      <c r="G60" s="160">
        <f t="shared" si="2"/>
        <v>47</v>
      </c>
      <c r="H60" s="160">
        <f t="shared" si="2"/>
        <v>46</v>
      </c>
      <c r="I60" s="160">
        <f t="shared" si="2"/>
        <v>12</v>
      </c>
      <c r="J60" s="160">
        <f t="shared" si="2"/>
        <v>40</v>
      </c>
      <c r="K60" s="160">
        <f t="shared" si="2"/>
        <v>48</v>
      </c>
      <c r="L60" s="160">
        <f t="shared" si="2"/>
        <v>37</v>
      </c>
      <c r="M60" s="160">
        <f t="shared" si="2"/>
        <v>48</v>
      </c>
      <c r="N60" s="160">
        <f t="shared" si="2"/>
        <v>46</v>
      </c>
      <c r="O60" s="160">
        <f t="shared" si="2"/>
        <v>48</v>
      </c>
      <c r="P60" s="160">
        <f t="shared" si="2"/>
        <v>23</v>
      </c>
      <c r="Q60" s="160">
        <f t="shared" si="2"/>
        <v>44</v>
      </c>
      <c r="R60" s="160">
        <f t="shared" si="2"/>
        <v>22</v>
      </c>
      <c r="S60" s="158"/>
      <c r="T60" s="158"/>
      <c r="U60" s="2356"/>
      <c r="V60" s="158"/>
      <c r="W60" s="156"/>
    </row>
    <row r="61" spans="1:23" ht="21.95" customHeight="1" x14ac:dyDescent="0.25">
      <c r="A61" s="174" t="s">
        <v>34</v>
      </c>
      <c r="B61" s="163">
        <v>55</v>
      </c>
      <c r="C61" s="243">
        <f>C10*(B61/100)</f>
        <v>1.1000000000000001</v>
      </c>
      <c r="D61" s="243">
        <f>D10*(B61/100)</f>
        <v>1.1000000000000001</v>
      </c>
      <c r="E61" s="243">
        <f>E10*(B61/100)</f>
        <v>1.1000000000000001</v>
      </c>
      <c r="F61" s="243">
        <f>F10*(B61/100)</f>
        <v>1.1000000000000001</v>
      </c>
      <c r="G61" s="243">
        <f>G10*(B61/100)</f>
        <v>1.1000000000000001</v>
      </c>
      <c r="H61" s="243">
        <f>H10*(B61/100)</f>
        <v>5.5</v>
      </c>
      <c r="I61" s="243">
        <f>I10*(B61/100)</f>
        <v>5.5</v>
      </c>
      <c r="J61" s="243">
        <f>J10*(B61/100)</f>
        <v>5.5</v>
      </c>
      <c r="K61" s="243">
        <f>K10*(B61/100)</f>
        <v>1.1000000000000001</v>
      </c>
      <c r="L61" s="243">
        <f>L10*(B61/100)</f>
        <v>1.1000000000000001</v>
      </c>
      <c r="M61" s="243">
        <f>M10*(B61/100)</f>
        <v>1.1000000000000001</v>
      </c>
      <c r="N61" s="243">
        <f>N10*(B61/100)</f>
        <v>1.1000000000000001</v>
      </c>
      <c r="O61" s="243">
        <f>O10*(B61/100)</f>
        <v>1.1000000000000001</v>
      </c>
      <c r="P61" s="243">
        <f>P10*(B61/100)</f>
        <v>5.5</v>
      </c>
      <c r="Q61" s="243">
        <f>Q10*(B61/100)</f>
        <v>5.5</v>
      </c>
      <c r="R61" s="243">
        <f>R10*(B61/100)</f>
        <v>5.5</v>
      </c>
      <c r="S61" s="158"/>
      <c r="T61" s="158"/>
      <c r="U61" s="2353">
        <f>COUNTIF(U11:U59,"&gt;="&amp;B61)</f>
        <v>36</v>
      </c>
      <c r="V61" s="158"/>
      <c r="W61" s="156"/>
    </row>
    <row r="62" spans="1:23" ht="21.95" customHeight="1" x14ac:dyDescent="0.25">
      <c r="A62" s="2839" t="s">
        <v>35</v>
      </c>
      <c r="B62" s="2839"/>
      <c r="C62" s="160">
        <f>COUNTIF(C11:C59,"&gt;=1")</f>
        <v>41</v>
      </c>
      <c r="D62" s="160">
        <f>COUNTIF(D11:D59,"&gt;=1")</f>
        <v>47</v>
      </c>
      <c r="E62" s="160">
        <f>COUNTIF(E11:E59,"&gt;=1")</f>
        <v>45</v>
      </c>
      <c r="F62" s="160">
        <f>COUNTIF(F11:F59,"&gt;=1")</f>
        <v>6</v>
      </c>
      <c r="G62" s="160">
        <f>COUNTIF(G11:G59,"&gt;=1")</f>
        <v>46</v>
      </c>
      <c r="H62" s="160">
        <f>COUNTIF(H11:H59,"&gt;=5")</f>
        <v>25</v>
      </c>
      <c r="I62" s="160">
        <f>COUNTIF(I11:I59,"&gt;=5")</f>
        <v>6</v>
      </c>
      <c r="J62" s="160">
        <f>COUNTIF(J11:J59,"&gt;=5")</f>
        <v>19</v>
      </c>
      <c r="K62" s="160">
        <f>COUNTIF(K11:K59,"&gt;=1")</f>
        <v>48</v>
      </c>
      <c r="L62" s="160">
        <f>COUNTIF(L11:L59,"&gt;=1")</f>
        <v>35</v>
      </c>
      <c r="M62" s="160">
        <f>COUNTIF(M11:M59,"&gt;=1")</f>
        <v>48</v>
      </c>
      <c r="N62" s="160">
        <f>COUNTIF(N11:N59,"&gt;=1")</f>
        <v>45</v>
      </c>
      <c r="O62" s="160">
        <f>COUNTIF(O11:O59,"&gt;=1")</f>
        <v>47</v>
      </c>
      <c r="P62" s="160">
        <f>COUNTIF(P11:P59,"&gt;=5")</f>
        <v>1</v>
      </c>
      <c r="Q62" s="160">
        <f>COUNTIF(Q11:Q59,"&gt;=5")</f>
        <v>15</v>
      </c>
      <c r="R62" s="160">
        <f>COUNTIF(R11:R59,"&gt;=5")</f>
        <v>6</v>
      </c>
      <c r="S62" s="158"/>
      <c r="T62" s="158"/>
      <c r="U62" s="2353">
        <f>(U61/COUNT(B10:B59))*100</f>
        <v>73.469387755102048</v>
      </c>
      <c r="V62" s="158"/>
      <c r="W62" s="156"/>
    </row>
    <row r="63" spans="1:23" ht="21.95" customHeight="1" x14ac:dyDescent="0.25">
      <c r="A63" s="2844" t="s">
        <v>36</v>
      </c>
      <c r="B63" s="2844"/>
      <c r="C63" s="241">
        <f t="shared" ref="C63:R63" si="3">C62/C60</f>
        <v>0.93181818181818177</v>
      </c>
      <c r="D63" s="160">
        <f t="shared" si="3"/>
        <v>0.97916666666666663</v>
      </c>
      <c r="E63" s="160">
        <f t="shared" si="3"/>
        <v>0.97826086956521741</v>
      </c>
      <c r="F63" s="160">
        <f t="shared" si="3"/>
        <v>0.21428571428571427</v>
      </c>
      <c r="G63" s="160">
        <f t="shared" si="3"/>
        <v>0.97872340425531912</v>
      </c>
      <c r="H63" s="160">
        <f t="shared" si="3"/>
        <v>0.54347826086956519</v>
      </c>
      <c r="I63" s="160">
        <f t="shared" si="3"/>
        <v>0.5</v>
      </c>
      <c r="J63" s="160">
        <f t="shared" si="3"/>
        <v>0.47499999999999998</v>
      </c>
      <c r="K63" s="160">
        <f t="shared" si="3"/>
        <v>1</v>
      </c>
      <c r="L63" s="160">
        <f t="shared" si="3"/>
        <v>0.94594594594594594</v>
      </c>
      <c r="M63" s="160">
        <f t="shared" si="3"/>
        <v>1</v>
      </c>
      <c r="N63" s="160">
        <f t="shared" si="3"/>
        <v>0.97826086956521741</v>
      </c>
      <c r="O63" s="160">
        <f t="shared" si="3"/>
        <v>0.97916666666666663</v>
      </c>
      <c r="P63" s="160">
        <f t="shared" si="3"/>
        <v>4.3478260869565216E-2</v>
      </c>
      <c r="Q63" s="160">
        <f t="shared" si="3"/>
        <v>0.34090909090909088</v>
      </c>
      <c r="R63" s="160">
        <f t="shared" si="3"/>
        <v>0.27272727272727271</v>
      </c>
      <c r="S63" s="158"/>
      <c r="T63" s="158"/>
      <c r="U63" s="2356"/>
      <c r="V63" s="158"/>
      <c r="W63" s="156"/>
    </row>
    <row r="64" spans="1:23" hidden="1" x14ac:dyDescent="0.25">
      <c r="A64" s="175"/>
      <c r="B64" s="160"/>
      <c r="C64" s="160" t="s">
        <v>187</v>
      </c>
      <c r="D64" s="160" t="s">
        <v>188</v>
      </c>
      <c r="E64" s="160" t="s">
        <v>189</v>
      </c>
      <c r="F64" s="244" t="s">
        <v>190</v>
      </c>
      <c r="G64" s="244" t="s">
        <v>191</v>
      </c>
      <c r="H64" s="244" t="s">
        <v>37</v>
      </c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2356"/>
      <c r="V64" s="158"/>
      <c r="W64" s="156"/>
    </row>
    <row r="65" spans="1:23" hidden="1" x14ac:dyDescent="0.25">
      <c r="A65" s="175"/>
      <c r="B65" s="160" t="s">
        <v>22</v>
      </c>
      <c r="C65" s="241">
        <f>SUM(IF(C9=1,C63,0),IF(D9=1,D63,0),IF(E9=1,E63,0),IF(F9=1,F63,0),IF(G9=1,G63,0),IF(H9=1,H63,0),IF(I9=1,I63,0),IF(J9=1,J63,0),IF(K9=1,K63,0),IF(L9=1,L63,0),IF(M9=1,M63,0),IF(N9=1,N63,0)*IF(O9=1,O63,0),IF(P9=1,P63,0),IF(Q9=1,Q63,0),IF(R9=1,R63,0))*100</f>
        <v>463.55281029194072</v>
      </c>
      <c r="D65" s="160">
        <f>COUNTIF(C9:R9,"=1")</f>
        <v>7</v>
      </c>
      <c r="E65" s="160">
        <f>C65/D65</f>
        <v>66.221830041705815</v>
      </c>
      <c r="F65" s="160">
        <f>IF(E65&gt;=70,3,IF(AND(E65&gt;=60,E65&lt;70),2,IF(AND(E65&gt;=50,E65&lt;60),1)))</f>
        <v>2</v>
      </c>
      <c r="G65" s="160">
        <f>IF(U62&gt;=70,3,IF(AND(U62&gt;=60,U62&lt;70),2,IF(AND(U62&gt;=50,U62&lt;60),1)))</f>
        <v>3</v>
      </c>
      <c r="H65" s="160">
        <f>(70/100)*G65+(30/100)*F65</f>
        <v>2.6999999999999997</v>
      </c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2356"/>
      <c r="V65" s="158"/>
      <c r="W65" s="156"/>
    </row>
    <row r="66" spans="1:23" ht="15" hidden="1" customHeight="1" x14ac:dyDescent="0.25">
      <c r="A66" s="175"/>
      <c r="B66" s="160" t="s">
        <v>40</v>
      </c>
      <c r="C66" s="241">
        <f>SUM(IF(C9=2,C63,0),IF(D9=2,D63,0),IF(E9=2,E63,0),IF(F9=2,F63,0),IF(G9=2,G63,0),IF(H9=2,H63,0),IF(I9=2,I63,0),IF(J9=2,J63,0),IF(K9=2,K63,0),IF(L9=2,L63,0),IF(M9=2,M63,0),IF(N9=2,N63,0),IF(O9=2,O63,0),IF(P9=2,P63,0),IF(Q9=2,Q63,0),IF(R9=2,R63,0))*100</f>
        <v>247.59057971014494</v>
      </c>
      <c r="D66" s="160">
        <f>COUNTIF(C9:R9,"=2")</f>
        <v>4</v>
      </c>
      <c r="E66" s="160">
        <f t="shared" ref="E66:E68" si="4">C66/D66</f>
        <v>61.897644927536234</v>
      </c>
      <c r="F66" s="160">
        <f t="shared" ref="F66:F68" si="5">IF(E66&gt;=70,3,IF(AND(E66&gt;=60,E66&lt;70),2,IF(AND(E66&gt;=50,E66&lt;60),1)))</f>
        <v>2</v>
      </c>
      <c r="G66" s="160">
        <f>IF(U62&gt;=70,3,IF(AND(U62&gt;=60,U62&lt;70),2,IF(AND(U62&gt;=50,U62&lt;60),1)))</f>
        <v>3</v>
      </c>
      <c r="H66" s="160">
        <f t="shared" ref="H66:H68" si="6">(70/100)*G66+(30/100)*F66</f>
        <v>2.6999999999999997</v>
      </c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2356"/>
      <c r="V66" s="158"/>
      <c r="W66" s="156"/>
    </row>
    <row r="67" spans="1:23" hidden="1" x14ac:dyDescent="0.25">
      <c r="A67" s="175"/>
      <c r="B67" s="160" t="s">
        <v>41</v>
      </c>
      <c r="C67" s="241">
        <f>SUM(IF(C9=3,C63,0),IF(D9=3,D63,0),IF(E9=3,E63,0),IF(F9=3,F63,0),IF(G9=3,G63,0),IF(H9=3,H63,0),IF(I9=3,I63,0),IF(J9="3",J63,0),IF(K9=3,K63,0),IF(L9=3,L63,0),IF(M9=3,M63,0),IF(N9="3",N63,0),IF(O9=3,O63,0),IF(P9=3,P63,0),IF(Q9=3,Q63,0),IF(R9=3,R63,0))*100</f>
        <v>181.96324951644098</v>
      </c>
      <c r="D67" s="160">
        <f>COUNTIF(C9:R9,"=3")</f>
        <v>3</v>
      </c>
      <c r="E67" s="160">
        <f t="shared" si="4"/>
        <v>60.654416505480327</v>
      </c>
      <c r="F67" s="160">
        <f t="shared" si="5"/>
        <v>2</v>
      </c>
      <c r="G67" s="160">
        <f>IF(U62&gt;=70,3,IF(AND(U62&gt;=60,U62&lt;70),2,IF(AND(U62&gt;=50,U62&lt;60),1)))</f>
        <v>3</v>
      </c>
      <c r="H67" s="160">
        <f t="shared" si="6"/>
        <v>2.6999999999999997</v>
      </c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2356"/>
      <c r="V67" s="158"/>
      <c r="W67" s="156"/>
    </row>
    <row r="68" spans="1:23" hidden="1" x14ac:dyDescent="0.25">
      <c r="A68" s="175"/>
      <c r="B68" s="160" t="s">
        <v>42</v>
      </c>
      <c r="C68" s="241">
        <f>SUM(IF(C9=4,C63,0),IF(D9=4,D63,0),IF(E9=4,E63,0),IF(F9=4,F63,0),IF(G9=4,G63,0),IF(H9=4,H63,0),IF(I9=4,I63,0),IF(J9=4,J63,0),IF(K9=4,K63,0),IF(L9=4,L63,0),IF(M9=4,M63,0),IF(N9=4,N63,0),IF(O9=4,O63,0),IF(P9=4,P63,0),IF(Q9=4,Q63,0),IF(R9=4,R63,0))*100</f>
        <v>125.09881422924903</v>
      </c>
      <c r="D68" s="160">
        <f>COUNTIF(C9:R9,"=4")</f>
        <v>2</v>
      </c>
      <c r="E68" s="160">
        <f t="shared" si="4"/>
        <v>62.549407114624515</v>
      </c>
      <c r="F68" s="160">
        <f t="shared" si="5"/>
        <v>2</v>
      </c>
      <c r="G68" s="160">
        <f>IF(U62&gt;=70,3,IF(AND(U62&gt;=60,U62&lt;70),2,IF(AND(U62&gt;=50,U62&lt;60),1)))</f>
        <v>3</v>
      </c>
      <c r="H68" s="160">
        <f t="shared" si="6"/>
        <v>2.6999999999999997</v>
      </c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2356"/>
      <c r="V68" s="158"/>
      <c r="W68" s="156"/>
    </row>
    <row r="69" spans="1:23" ht="18" hidden="1" customHeight="1" x14ac:dyDescent="0.25">
      <c r="A69" s="175"/>
      <c r="B69" s="2841" t="s">
        <v>44</v>
      </c>
      <c r="C69" s="2842"/>
      <c r="D69" s="2842"/>
      <c r="E69" s="2842"/>
      <c r="F69" s="2842"/>
      <c r="G69" s="2843"/>
      <c r="H69" s="245">
        <f>AVERAGE(H65:H68)</f>
        <v>2.6999999999999997</v>
      </c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2356"/>
      <c r="V69" s="158"/>
      <c r="W69" s="156"/>
    </row>
    <row r="71" spans="1:23" x14ac:dyDescent="0.25">
      <c r="C71" s="239">
        <v>1</v>
      </c>
      <c r="D71" s="239">
        <v>2</v>
      </c>
      <c r="E71" s="239">
        <v>2</v>
      </c>
      <c r="F71" s="239">
        <v>1</v>
      </c>
      <c r="G71" s="239">
        <v>3</v>
      </c>
      <c r="H71" s="239">
        <v>1</v>
      </c>
      <c r="I71" s="239">
        <v>3</v>
      </c>
      <c r="J71" s="239">
        <v>2</v>
      </c>
      <c r="K71" s="239">
        <v>1</v>
      </c>
      <c r="L71" s="239">
        <v>1</v>
      </c>
      <c r="M71" s="239">
        <v>1</v>
      </c>
      <c r="N71" s="239">
        <v>4</v>
      </c>
      <c r="O71" s="239">
        <v>1</v>
      </c>
      <c r="P71" s="239">
        <v>2</v>
      </c>
      <c r="Q71" s="239">
        <v>3</v>
      </c>
      <c r="R71" s="239">
        <v>4</v>
      </c>
      <c r="W71" s="156"/>
    </row>
    <row r="72" spans="1:23" x14ac:dyDescent="0.25">
      <c r="C72" s="2082"/>
      <c r="D72" s="2082"/>
      <c r="E72" s="2082"/>
      <c r="F72" s="2082"/>
      <c r="G72" s="2082"/>
      <c r="H72" s="2082"/>
      <c r="I72" s="2082"/>
      <c r="J72" s="2082"/>
      <c r="K72" s="2082"/>
      <c r="L72" s="2082"/>
      <c r="M72" s="2082"/>
      <c r="N72" s="2082"/>
      <c r="O72" s="2082"/>
      <c r="P72" s="2082"/>
      <c r="Q72" s="2082"/>
      <c r="R72" s="2082"/>
      <c r="W72" s="156"/>
    </row>
    <row r="73" spans="1:23" ht="15.75" x14ac:dyDescent="0.25">
      <c r="A73" s="158"/>
      <c r="B73" s="354"/>
      <c r="C73" s="354"/>
      <c r="D73" s="348" t="s">
        <v>38</v>
      </c>
      <c r="E73" s="2837" t="s">
        <v>39</v>
      </c>
      <c r="F73" s="2837"/>
      <c r="G73" s="2837" t="s">
        <v>37</v>
      </c>
      <c r="H73" s="2837"/>
      <c r="I73" s="2837"/>
      <c r="J73" s="158"/>
      <c r="K73" s="158"/>
      <c r="L73" s="158"/>
      <c r="M73" s="158"/>
      <c r="N73" s="158"/>
      <c r="O73" s="158"/>
      <c r="P73" s="158"/>
    </row>
    <row r="74" spans="1:23" ht="15.75" x14ac:dyDescent="0.25">
      <c r="A74" s="158"/>
      <c r="B74" s="352" t="s">
        <v>22</v>
      </c>
      <c r="C74" s="353">
        <f>AVERAGE(C63,F63,H63,K63,L63,M63,O63)*100</f>
        <v>80.209925279801055</v>
      </c>
      <c r="D74" s="353">
        <f t="shared" ref="D74:D77" si="7">IF(C74&gt;=70,3,IF(AND(C74&gt;=60,C74&lt;70),2,IF(AND(C74&gt;=50,C74&lt;60),1)))</f>
        <v>3</v>
      </c>
      <c r="E74" s="2046">
        <f>IF(U62&gt;=70,3,IF(AND(U62&gt;=60,U62&lt;70),2,IF(AND(U62&gt;=50,U62&lt;60),1)))</f>
        <v>3</v>
      </c>
      <c r="F74" s="105"/>
      <c r="G74" s="105">
        <f>(70/100)*E74+(30/100)*D74</f>
        <v>2.9999999999999996</v>
      </c>
      <c r="H74" s="329"/>
      <c r="I74" s="329"/>
      <c r="J74" s="158"/>
      <c r="K74" s="158"/>
      <c r="L74" s="158"/>
      <c r="M74" s="158"/>
      <c r="N74" s="158"/>
      <c r="O74" s="158"/>
      <c r="P74" s="158"/>
    </row>
    <row r="75" spans="1:23" ht="15.75" x14ac:dyDescent="0.25">
      <c r="A75" s="158"/>
      <c r="B75" s="352" t="s">
        <v>40</v>
      </c>
      <c r="C75" s="353">
        <f>AVERAGE(D63,E63,J63,P63)*100</f>
        <v>61.897644927536234</v>
      </c>
      <c r="D75" s="353">
        <f t="shared" si="7"/>
        <v>2</v>
      </c>
      <c r="E75" s="105">
        <f>IF(U62&gt;=70,3,IF(AND(U62&gt;=60,U62&lt;70),2,IF(AND(U62&gt;=50,U62&lt;60),1)))</f>
        <v>3</v>
      </c>
      <c r="F75" s="105"/>
      <c r="G75" s="105">
        <f t="shared" ref="G75:G77" si="8">(70/100)*E75+(30/100)*D75</f>
        <v>2.6999999999999997</v>
      </c>
      <c r="H75" s="329"/>
      <c r="I75" s="329"/>
      <c r="J75" s="158"/>
      <c r="K75" s="158"/>
      <c r="L75" s="158"/>
      <c r="M75" s="158"/>
      <c r="N75" s="158"/>
      <c r="O75" s="158"/>
      <c r="P75" s="158"/>
    </row>
    <row r="76" spans="1:23" ht="15.75" x14ac:dyDescent="0.25">
      <c r="A76" s="158"/>
      <c r="B76" s="352" t="s">
        <v>41</v>
      </c>
      <c r="C76" s="353">
        <f>AVERAGE(G63,I63,Q63)*100</f>
        <v>60.654416505480327</v>
      </c>
      <c r="D76" s="353">
        <f t="shared" si="7"/>
        <v>2</v>
      </c>
      <c r="E76" s="105">
        <f>IF(U62&gt;=70,3,IF(AND(U62&gt;=60,U62&lt;70),2,IF(AND(U62&gt;=50,U62&lt;60),1)))</f>
        <v>3</v>
      </c>
      <c r="F76" s="105"/>
      <c r="G76" s="105">
        <f t="shared" si="8"/>
        <v>2.6999999999999997</v>
      </c>
      <c r="H76" s="329"/>
      <c r="I76" s="329"/>
      <c r="J76" s="158"/>
      <c r="K76" s="158"/>
      <c r="L76" s="158"/>
      <c r="M76" s="158"/>
      <c r="N76" s="158"/>
      <c r="O76" s="158"/>
      <c r="P76" s="158"/>
    </row>
    <row r="77" spans="1:23" ht="15.75" x14ac:dyDescent="0.25">
      <c r="A77" s="158"/>
      <c r="B77" s="352" t="s">
        <v>42</v>
      </c>
      <c r="C77" s="353">
        <f>AVERAGE(N63,R63)*100</f>
        <v>62.549407114624515</v>
      </c>
      <c r="D77" s="353">
        <f t="shared" si="7"/>
        <v>2</v>
      </c>
      <c r="E77" s="105">
        <f>IF(U62&gt;=70,3,IF(AND(U62&gt;=60,U62&lt;70),2,IF(AND(U62&gt;=50,U62&lt;60),1)))</f>
        <v>3</v>
      </c>
      <c r="F77" s="105"/>
      <c r="G77" s="105">
        <f t="shared" si="8"/>
        <v>2.6999999999999997</v>
      </c>
      <c r="H77" s="329"/>
      <c r="I77" s="329"/>
      <c r="J77" s="158"/>
      <c r="K77" s="158"/>
      <c r="L77" s="158"/>
      <c r="M77" s="158"/>
      <c r="N77" s="158"/>
      <c r="O77" s="158"/>
      <c r="P77" s="158"/>
    </row>
    <row r="78" spans="1:23" ht="15.75" x14ac:dyDescent="0.25">
      <c r="A78" s="236"/>
      <c r="B78" s="2838" t="s">
        <v>44</v>
      </c>
      <c r="C78" s="2838"/>
      <c r="D78" s="2838"/>
      <c r="E78" s="2838"/>
      <c r="F78" s="2838"/>
      <c r="G78" s="343">
        <f>AVERAGE(G74:G77)</f>
        <v>2.7749999999999995</v>
      </c>
      <c r="H78" s="342"/>
      <c r="I78" s="342"/>
    </row>
    <row r="79" spans="1:23" s="2106" customFormat="1" ht="15.75" x14ac:dyDescent="0.25">
      <c r="A79" s="236"/>
      <c r="B79" s="2107"/>
      <c r="C79" s="2107"/>
      <c r="D79" s="2107"/>
      <c r="E79" s="2107"/>
      <c r="F79" s="2107"/>
      <c r="G79" s="2053"/>
      <c r="H79" s="342"/>
      <c r="I79" s="342"/>
      <c r="U79" s="236"/>
      <c r="W79" s="236"/>
    </row>
    <row r="80" spans="1:23" x14ac:dyDescent="0.25">
      <c r="A80" s="163"/>
      <c r="B80" s="237" t="s">
        <v>46</v>
      </c>
      <c r="C80" s="238" t="s">
        <v>47</v>
      </c>
      <c r="D80" s="238" t="s">
        <v>48</v>
      </c>
      <c r="E80" s="238" t="s">
        <v>49</v>
      </c>
      <c r="F80" s="238" t="s">
        <v>50</v>
      </c>
      <c r="G80" s="238" t="s">
        <v>51</v>
      </c>
      <c r="H80" s="238" t="s">
        <v>52</v>
      </c>
      <c r="I80" s="238" t="s">
        <v>53</v>
      </c>
      <c r="J80" s="238" t="s">
        <v>54</v>
      </c>
      <c r="K80" s="238" t="s">
        <v>55</v>
      </c>
      <c r="L80" s="238" t="s">
        <v>56</v>
      </c>
      <c r="M80" s="238" t="s">
        <v>57</v>
      </c>
      <c r="N80" s="238" t="s">
        <v>87</v>
      </c>
      <c r="O80" s="238" t="s">
        <v>88</v>
      </c>
      <c r="P80" s="238" t="s">
        <v>85</v>
      </c>
    </row>
    <row r="81" spans="1:16" x14ac:dyDescent="0.25">
      <c r="A81" s="163" t="s">
        <v>20</v>
      </c>
      <c r="B81" s="170">
        <v>3</v>
      </c>
      <c r="C81" s="171"/>
      <c r="D81" s="171"/>
      <c r="E81" s="171"/>
      <c r="F81" s="171">
        <v>2</v>
      </c>
      <c r="G81" s="171">
        <v>2</v>
      </c>
      <c r="H81" s="171"/>
      <c r="I81" s="171"/>
      <c r="J81" s="171"/>
      <c r="K81" s="171">
        <v>3</v>
      </c>
      <c r="L81" s="171"/>
      <c r="M81" s="171">
        <v>3</v>
      </c>
      <c r="N81" s="165">
        <v>2</v>
      </c>
      <c r="O81" s="165">
        <v>2</v>
      </c>
      <c r="P81" s="165">
        <v>1</v>
      </c>
    </row>
    <row r="82" spans="1:16" x14ac:dyDescent="0.25">
      <c r="A82" s="163" t="s">
        <v>21</v>
      </c>
      <c r="B82" s="170">
        <v>3</v>
      </c>
      <c r="C82" s="171"/>
      <c r="D82" s="171">
        <v>3</v>
      </c>
      <c r="E82" s="171"/>
      <c r="F82" s="171">
        <v>2</v>
      </c>
      <c r="G82" s="171">
        <v>2</v>
      </c>
      <c r="H82" s="171"/>
      <c r="I82" s="171"/>
      <c r="J82" s="171"/>
      <c r="K82" s="171">
        <v>2</v>
      </c>
      <c r="L82" s="171"/>
      <c r="M82" s="171">
        <v>2</v>
      </c>
      <c r="N82" s="165">
        <v>2</v>
      </c>
      <c r="O82" s="165">
        <v>2</v>
      </c>
      <c r="P82" s="165">
        <v>1</v>
      </c>
    </row>
    <row r="83" spans="1:16" x14ac:dyDescent="0.25">
      <c r="A83" s="163" t="s">
        <v>23</v>
      </c>
      <c r="B83" s="170">
        <v>2</v>
      </c>
      <c r="C83" s="171"/>
      <c r="D83" s="171">
        <v>3</v>
      </c>
      <c r="E83" s="171"/>
      <c r="F83" s="171">
        <v>2</v>
      </c>
      <c r="G83" s="171">
        <v>2</v>
      </c>
      <c r="H83" s="171"/>
      <c r="I83" s="171"/>
      <c r="J83" s="171"/>
      <c r="K83" s="171">
        <v>2</v>
      </c>
      <c r="L83" s="171"/>
      <c r="M83" s="171">
        <v>2</v>
      </c>
      <c r="N83" s="165">
        <v>3</v>
      </c>
      <c r="O83" s="165">
        <v>3</v>
      </c>
      <c r="P83" s="165">
        <v>3</v>
      </c>
    </row>
    <row r="84" spans="1:16" x14ac:dyDescent="0.25">
      <c r="A84" s="163" t="s">
        <v>25</v>
      </c>
      <c r="B84" s="170">
        <v>2</v>
      </c>
      <c r="C84" s="171"/>
      <c r="D84" s="171">
        <v>2</v>
      </c>
      <c r="E84" s="171"/>
      <c r="F84" s="171">
        <v>2</v>
      </c>
      <c r="G84" s="171">
        <v>2</v>
      </c>
      <c r="H84" s="171"/>
      <c r="I84" s="171"/>
      <c r="J84" s="171"/>
      <c r="K84" s="171">
        <v>2</v>
      </c>
      <c r="L84" s="171"/>
      <c r="M84" s="171">
        <v>2</v>
      </c>
      <c r="N84" s="165">
        <v>3</v>
      </c>
      <c r="O84" s="165">
        <v>3</v>
      </c>
      <c r="P84" s="165">
        <v>3</v>
      </c>
    </row>
    <row r="85" spans="1:16" x14ac:dyDescent="0.25">
      <c r="A85" s="212" t="s">
        <v>184</v>
      </c>
      <c r="B85" s="240">
        <f>AVERAGE(B81:B84)</f>
        <v>2.5</v>
      </c>
      <c r="C85" s="240"/>
      <c r="D85" s="240">
        <f t="shared" ref="D85:P85" si="9">AVERAGE(D81:D84)</f>
        <v>2.6666666666666665</v>
      </c>
      <c r="E85" s="240"/>
      <c r="F85" s="240">
        <f t="shared" si="9"/>
        <v>2</v>
      </c>
      <c r="G85" s="240">
        <f t="shared" si="9"/>
        <v>2</v>
      </c>
      <c r="H85" s="240"/>
      <c r="I85" s="240"/>
      <c r="J85" s="240"/>
      <c r="K85" s="240">
        <f t="shared" si="9"/>
        <v>2.25</v>
      </c>
      <c r="L85" s="240"/>
      <c r="M85" s="240">
        <f t="shared" si="9"/>
        <v>2.25</v>
      </c>
      <c r="N85" s="240">
        <f t="shared" si="9"/>
        <v>2.5</v>
      </c>
      <c r="O85" s="240">
        <f t="shared" si="9"/>
        <v>2.5</v>
      </c>
      <c r="P85" s="240">
        <f t="shared" si="9"/>
        <v>2</v>
      </c>
    </row>
    <row r="86" spans="1:16" x14ac:dyDescent="0.25">
      <c r="A86" s="175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</row>
    <row r="87" spans="1:16" x14ac:dyDescent="0.25">
      <c r="A87" s="163" t="s">
        <v>20</v>
      </c>
      <c r="B87" s="241">
        <f>B81*G74/3</f>
        <v>2.9999999999999996</v>
      </c>
      <c r="C87" s="241"/>
      <c r="D87" s="241">
        <f>D81*G74/3</f>
        <v>0</v>
      </c>
      <c r="E87" s="241"/>
      <c r="F87" s="241">
        <f>F81*G74/3</f>
        <v>1.9999999999999998</v>
      </c>
      <c r="G87" s="241">
        <f>G81*G74/3</f>
        <v>1.9999999999999998</v>
      </c>
      <c r="H87" s="241"/>
      <c r="I87" s="241"/>
      <c r="J87" s="241"/>
      <c r="K87" s="241">
        <f>K81*G74/3</f>
        <v>2.9999999999999996</v>
      </c>
      <c r="L87" s="241"/>
      <c r="M87" s="241">
        <f>M81*G74/3</f>
        <v>2.9999999999999996</v>
      </c>
      <c r="N87" s="241">
        <f>N81*G74/3</f>
        <v>1.9999999999999998</v>
      </c>
      <c r="O87" s="241">
        <f>O81*G74/3</f>
        <v>1.9999999999999998</v>
      </c>
      <c r="P87" s="241">
        <f>P81*G74/3</f>
        <v>0.99999999999999989</v>
      </c>
    </row>
    <row r="88" spans="1:16" x14ac:dyDescent="0.25">
      <c r="A88" s="163" t="s">
        <v>21</v>
      </c>
      <c r="B88" s="241">
        <f>B82*G75/3</f>
        <v>2.6999999999999997</v>
      </c>
      <c r="C88" s="241"/>
      <c r="D88" s="241">
        <f>D82*G75/3</f>
        <v>2.6999999999999997</v>
      </c>
      <c r="E88" s="241"/>
      <c r="F88" s="241">
        <f>F82*G75/3</f>
        <v>1.7999999999999998</v>
      </c>
      <c r="G88" s="241">
        <f>G82*G75/3</f>
        <v>1.7999999999999998</v>
      </c>
      <c r="H88" s="241"/>
      <c r="I88" s="241"/>
      <c r="J88" s="241"/>
      <c r="K88" s="241">
        <f>IF(K82=" "," ",(K82/3)*$H66)</f>
        <v>1.7999999999999998</v>
      </c>
      <c r="L88" s="241"/>
      <c r="M88" s="241">
        <f>M82*G75/3</f>
        <v>1.7999999999999998</v>
      </c>
      <c r="N88" s="241">
        <f>N82*G75/3</f>
        <v>1.7999999999999998</v>
      </c>
      <c r="O88" s="241">
        <f>O82*G75/3</f>
        <v>1.7999999999999998</v>
      </c>
      <c r="P88" s="241">
        <f>P82*G75/3</f>
        <v>0.89999999999999991</v>
      </c>
    </row>
    <row r="89" spans="1:16" x14ac:dyDescent="0.25">
      <c r="A89" s="163" t="s">
        <v>23</v>
      </c>
      <c r="B89" s="241">
        <f>B83*G76/3</f>
        <v>1.7999999999999998</v>
      </c>
      <c r="C89" s="241"/>
      <c r="D89" s="241">
        <f>D83*G76/3</f>
        <v>2.6999999999999997</v>
      </c>
      <c r="E89" s="241"/>
      <c r="F89" s="241">
        <f>F83*G76/3</f>
        <v>1.7999999999999998</v>
      </c>
      <c r="G89" s="241">
        <f>G83*G76/3</f>
        <v>1.7999999999999998</v>
      </c>
      <c r="H89" s="241"/>
      <c r="I89" s="241"/>
      <c r="J89" s="241"/>
      <c r="K89" s="241">
        <f>IF(K83=" "," ",(K83/3)*$H67)</f>
        <v>1.7999999999999998</v>
      </c>
      <c r="L89" s="241"/>
      <c r="M89" s="241">
        <f>M83*G76/3</f>
        <v>1.7999999999999998</v>
      </c>
      <c r="N89" s="241">
        <f>N83*G76/3</f>
        <v>2.6999999999999997</v>
      </c>
      <c r="O89" s="241">
        <f>O83*G76/3</f>
        <v>2.6999999999999997</v>
      </c>
      <c r="P89" s="241">
        <f>P83*G76/3</f>
        <v>2.6999999999999997</v>
      </c>
    </row>
    <row r="90" spans="1:16" x14ac:dyDescent="0.25">
      <c r="A90" s="163" t="s">
        <v>25</v>
      </c>
      <c r="B90" s="241">
        <f>B84*G77/3</f>
        <v>1.7999999999999998</v>
      </c>
      <c r="C90" s="241"/>
      <c r="D90" s="241">
        <f>D84*G77/3</f>
        <v>1.7999999999999998</v>
      </c>
      <c r="E90" s="241"/>
      <c r="F90" s="241">
        <f>F84*G77/3</f>
        <v>1.7999999999999998</v>
      </c>
      <c r="G90" s="241">
        <f>G84*G77/3</f>
        <v>1.7999999999999998</v>
      </c>
      <c r="H90" s="241"/>
      <c r="I90" s="241"/>
      <c r="J90" s="241"/>
      <c r="K90" s="241">
        <f>IF(K84=" "," ",(K84/3)*$H68)</f>
        <v>1.7999999999999998</v>
      </c>
      <c r="L90" s="241"/>
      <c r="M90" s="241">
        <f>M84*G77/3</f>
        <v>1.7999999999999998</v>
      </c>
      <c r="N90" s="241">
        <f>N84*G77/3</f>
        <v>2.6999999999999997</v>
      </c>
      <c r="O90" s="241">
        <f>O84*G77/3</f>
        <v>2.6999999999999997</v>
      </c>
      <c r="P90" s="241">
        <f>P84*G77/3</f>
        <v>2.6999999999999997</v>
      </c>
    </row>
    <row r="91" spans="1:16" x14ac:dyDescent="0.25">
      <c r="A91" s="212" t="s">
        <v>185</v>
      </c>
      <c r="B91" s="242">
        <f>AVERAGE(B87:B90)</f>
        <v>2.3249999999999997</v>
      </c>
      <c r="C91" s="242"/>
      <c r="D91" s="242">
        <f t="shared" ref="D91:P91" si="10">AVERAGE(D87:D90)</f>
        <v>1.7999999999999998</v>
      </c>
      <c r="E91" s="242"/>
      <c r="F91" s="242">
        <f t="shared" si="10"/>
        <v>1.8499999999999999</v>
      </c>
      <c r="G91" s="242">
        <f t="shared" si="10"/>
        <v>1.8499999999999999</v>
      </c>
      <c r="H91" s="242"/>
      <c r="I91" s="242"/>
      <c r="J91" s="242"/>
      <c r="K91" s="242">
        <f t="shared" si="10"/>
        <v>2.0999999999999996</v>
      </c>
      <c r="L91" s="242"/>
      <c r="M91" s="242">
        <f t="shared" si="10"/>
        <v>2.0999999999999996</v>
      </c>
      <c r="N91" s="242">
        <f t="shared" si="10"/>
        <v>2.2999999999999998</v>
      </c>
      <c r="O91" s="242">
        <f t="shared" si="10"/>
        <v>2.2999999999999998</v>
      </c>
      <c r="P91" s="242">
        <f t="shared" si="10"/>
        <v>1.8249999999999997</v>
      </c>
    </row>
    <row r="92" spans="1:16" x14ac:dyDescent="0.25">
      <c r="A92" s="236"/>
    </row>
    <row r="93" spans="1:16" ht="20.25" customHeight="1" x14ac:dyDescent="0.25">
      <c r="A93" s="236"/>
    </row>
    <row r="94" spans="1:16" x14ac:dyDescent="0.25">
      <c r="A94" s="236"/>
    </row>
    <row r="95" spans="1:16" x14ac:dyDescent="0.25">
      <c r="A95" s="236"/>
    </row>
    <row r="96" spans="1:16" x14ac:dyDescent="0.25">
      <c r="A96" s="236"/>
      <c r="D96" s="2840" t="s">
        <v>162</v>
      </c>
      <c r="E96" s="2840"/>
      <c r="F96" s="2840"/>
      <c r="G96" s="2840"/>
      <c r="H96" s="2840"/>
      <c r="I96" s="176"/>
      <c r="J96" s="176"/>
      <c r="K96" s="177"/>
      <c r="L96" s="2840" t="s">
        <v>163</v>
      </c>
      <c r="M96" s="2840"/>
      <c r="N96" s="2840"/>
      <c r="O96" s="2840"/>
      <c r="P96" s="2840"/>
    </row>
    <row r="97" spans="1:1" x14ac:dyDescent="0.25">
      <c r="A97" s="236"/>
    </row>
    <row r="98" spans="1:1" x14ac:dyDescent="0.25">
      <c r="A98" s="236"/>
    </row>
    <row r="99" spans="1:1" x14ac:dyDescent="0.25">
      <c r="A99" s="236"/>
    </row>
    <row r="100" spans="1:1" x14ac:dyDescent="0.25">
      <c r="A100" s="236"/>
    </row>
    <row r="101" spans="1:1" x14ac:dyDescent="0.25">
      <c r="A101" s="236"/>
    </row>
    <row r="102" spans="1:1" x14ac:dyDescent="0.25">
      <c r="A102" s="236"/>
    </row>
    <row r="103" spans="1:1" x14ac:dyDescent="0.25">
      <c r="A103" s="236"/>
    </row>
  </sheetData>
  <mergeCells count="32">
    <mergeCell ref="D96:H96"/>
    <mergeCell ref="L96:P96"/>
    <mergeCell ref="B69:G69"/>
    <mergeCell ref="A63:B63"/>
    <mergeCell ref="T7:T10"/>
    <mergeCell ref="U7:U10"/>
    <mergeCell ref="E73:F73"/>
    <mergeCell ref="G73:I73"/>
    <mergeCell ref="B78:F78"/>
    <mergeCell ref="A62:B62"/>
    <mergeCell ref="J5:L5"/>
    <mergeCell ref="C6:J6"/>
    <mergeCell ref="K6:R6"/>
    <mergeCell ref="B7:B8"/>
    <mergeCell ref="C7:G7"/>
    <mergeCell ref="H7:H8"/>
    <mergeCell ref="I7:I8"/>
    <mergeCell ref="J7:J8"/>
    <mergeCell ref="K7:O7"/>
    <mergeCell ref="P7:P8"/>
    <mergeCell ref="Q7:Q8"/>
    <mergeCell ref="R7:R8"/>
    <mergeCell ref="C5:E5"/>
    <mergeCell ref="H5:I5"/>
    <mergeCell ref="J3:L3"/>
    <mergeCell ref="A4:B4"/>
    <mergeCell ref="C4:E4"/>
    <mergeCell ref="H4:I4"/>
    <mergeCell ref="J4:L4"/>
    <mergeCell ref="A3:B3"/>
    <mergeCell ref="C3:E3"/>
    <mergeCell ref="H3:I3"/>
  </mergeCells>
  <conditionalFormatting sqref="T13">
    <cfRule type="containsText" dxfId="142" priority="2" operator="containsText" text="F">
      <formula>NOT(ISERROR(SEARCH("F",T13)))</formula>
    </cfRule>
  </conditionalFormatting>
  <conditionalFormatting sqref="T14:T59">
    <cfRule type="containsText" dxfId="141" priority="3" operator="containsText" text="F">
      <formula>NOT(ISERROR(SEARCH("F",T14)))</formula>
    </cfRule>
  </conditionalFormatting>
  <pageMargins left="0.7" right="0.7" top="0.75" bottom="0.75" header="0.3" footer="0.3"/>
  <pageSetup paperSize="8" scale="4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7"/>
  <sheetViews>
    <sheetView topLeftCell="A82" zoomScale="90" zoomScaleNormal="90" workbookViewId="0">
      <selection activeCell="D80" sqref="D80"/>
    </sheetView>
  </sheetViews>
  <sheetFormatPr defaultRowHeight="21" x14ac:dyDescent="0.35"/>
  <cols>
    <col min="1" max="1" width="9.140625" style="1066"/>
    <col min="2" max="2" width="24.28515625" style="1066" customWidth="1"/>
    <col min="3" max="3" width="24.5703125" style="1066" customWidth="1"/>
    <col min="4" max="4" width="16.140625" style="1066" customWidth="1"/>
    <col min="5" max="5" width="18.85546875" style="1066" customWidth="1"/>
    <col min="6" max="17" width="11.42578125" style="1066" customWidth="1"/>
    <col min="18" max="18" width="12" style="1066" customWidth="1"/>
    <col min="19" max="16384" width="9.140625" style="156"/>
  </cols>
  <sheetData>
    <row r="1" spans="1:18" x14ac:dyDescent="0.35">
      <c r="A1" s="1064"/>
      <c r="B1" s="1064"/>
      <c r="C1" s="1064"/>
      <c r="D1" s="1064"/>
      <c r="E1" s="1064"/>
      <c r="F1" s="1065"/>
      <c r="G1" s="1065"/>
      <c r="H1" s="1065"/>
      <c r="I1" s="1065"/>
      <c r="J1" s="1065"/>
      <c r="K1" s="1065"/>
      <c r="L1" s="1065"/>
      <c r="M1" s="1065"/>
      <c r="N1" s="1065"/>
      <c r="O1" s="1065"/>
      <c r="P1" s="1065"/>
      <c r="Q1" s="1065"/>
    </row>
    <row r="2" spans="1:18" ht="31.5" customHeight="1" x14ac:dyDescent="0.35">
      <c r="A2" s="2845" t="s">
        <v>0</v>
      </c>
      <c r="B2" s="2846"/>
      <c r="C2" s="1067" t="s">
        <v>192</v>
      </c>
      <c r="D2" s="1068" t="s">
        <v>63</v>
      </c>
      <c r="E2" s="2095" t="s">
        <v>366</v>
      </c>
      <c r="F2" s="1069"/>
      <c r="G2" s="1069"/>
      <c r="H2" s="1089"/>
      <c r="I2" s="1089"/>
      <c r="J2" s="1089"/>
      <c r="K2" s="1089"/>
      <c r="L2" s="1089"/>
      <c r="M2" s="1089"/>
      <c r="N2" s="1089"/>
      <c r="O2" s="1089"/>
      <c r="P2" s="1089"/>
      <c r="Q2" s="1089"/>
    </row>
    <row r="3" spans="1:18" ht="31.5" customHeight="1" x14ac:dyDescent="0.35">
      <c r="A3" s="2847" t="s">
        <v>1</v>
      </c>
      <c r="B3" s="2848"/>
      <c r="C3" s="1070" t="s">
        <v>193</v>
      </c>
      <c r="D3" s="1071" t="s">
        <v>64</v>
      </c>
      <c r="E3" s="2095" t="s">
        <v>319</v>
      </c>
      <c r="F3" s="1072"/>
      <c r="G3" s="1072"/>
      <c r="H3" s="1073"/>
      <c r="I3" s="1073"/>
      <c r="J3" s="2044"/>
      <c r="K3" s="2854"/>
      <c r="L3" s="2854"/>
      <c r="M3" s="2854"/>
      <c r="N3" s="2854"/>
      <c r="O3" s="1089"/>
      <c r="P3" s="1089"/>
      <c r="Q3" s="1089"/>
    </row>
    <row r="4" spans="1:18" ht="31.5" customHeight="1" x14ac:dyDescent="0.35">
      <c r="A4" s="1109"/>
      <c r="B4" s="1076" t="s">
        <v>2</v>
      </c>
      <c r="C4" s="1075" t="s">
        <v>157</v>
      </c>
      <c r="D4" s="1076" t="s">
        <v>65</v>
      </c>
      <c r="E4" s="2095" t="s">
        <v>66</v>
      </c>
      <c r="F4" s="1077"/>
      <c r="G4" s="1089"/>
      <c r="H4" s="2044"/>
      <c r="I4" s="1078"/>
      <c r="J4" s="1079"/>
      <c r="K4" s="1080"/>
      <c r="L4" s="1080"/>
      <c r="M4" s="1080"/>
      <c r="N4" s="1080"/>
      <c r="O4" s="1089"/>
      <c r="P4" s="1089"/>
      <c r="Q4" s="1089"/>
    </row>
    <row r="5" spans="1:18" ht="31.5" customHeight="1" x14ac:dyDescent="0.35">
      <c r="A5" s="1110"/>
      <c r="B5" s="2855" t="s">
        <v>5</v>
      </c>
      <c r="C5" s="2857" t="s">
        <v>165</v>
      </c>
      <c r="D5" s="2859" t="s">
        <v>11</v>
      </c>
      <c r="E5" s="2860" t="s">
        <v>12</v>
      </c>
      <c r="F5" s="1089"/>
      <c r="G5" s="1081"/>
      <c r="H5" s="1082"/>
      <c r="I5" s="1082"/>
      <c r="J5" s="1082"/>
      <c r="K5" s="1082"/>
      <c r="L5" s="1082"/>
      <c r="M5" s="1083"/>
      <c r="N5" s="1080"/>
      <c r="O5" s="1089"/>
      <c r="P5" s="1089"/>
      <c r="Q5" s="1089"/>
    </row>
    <row r="6" spans="1:18" ht="31.5" customHeight="1" x14ac:dyDescent="0.35">
      <c r="A6" s="1111"/>
      <c r="B6" s="2856"/>
      <c r="C6" s="2858"/>
      <c r="D6" s="2855"/>
      <c r="E6" s="2861"/>
      <c r="F6" s="1089"/>
      <c r="G6" s="1089"/>
      <c r="H6" s="2044"/>
      <c r="I6" s="1078"/>
      <c r="J6" s="1079"/>
      <c r="K6" s="1080"/>
      <c r="L6" s="1080"/>
      <c r="M6" s="1080"/>
      <c r="N6" s="1080"/>
      <c r="O6" s="1089"/>
      <c r="P6" s="1089"/>
      <c r="Q6" s="1089"/>
    </row>
    <row r="7" spans="1:18" ht="31.5" customHeight="1" x14ac:dyDescent="0.35">
      <c r="A7" s="1111"/>
      <c r="B7" s="1096" t="s">
        <v>19</v>
      </c>
      <c r="C7" s="1084" t="s">
        <v>166</v>
      </c>
      <c r="D7" s="2849" t="s">
        <v>166</v>
      </c>
      <c r="E7" s="2850"/>
      <c r="F7" s="1089"/>
      <c r="G7" s="1089"/>
      <c r="H7" s="2044"/>
      <c r="I7" s="1078"/>
      <c r="J7" s="1079"/>
      <c r="K7" s="1080"/>
      <c r="L7" s="1080"/>
      <c r="M7" s="1080"/>
      <c r="N7" s="1080"/>
      <c r="O7" s="1089"/>
      <c r="P7" s="1089"/>
      <c r="Q7" s="1089"/>
    </row>
    <row r="8" spans="1:18" ht="31.5" customHeight="1" x14ac:dyDescent="0.35">
      <c r="A8" s="1086" t="s">
        <v>18</v>
      </c>
      <c r="B8" s="1112" t="s">
        <v>26</v>
      </c>
      <c r="C8" s="1085">
        <v>50</v>
      </c>
      <c r="D8" s="2851">
        <v>100</v>
      </c>
      <c r="E8" s="2852"/>
      <c r="F8" s="1089"/>
      <c r="G8" s="1089"/>
      <c r="H8" s="1089"/>
      <c r="I8" s="1089"/>
      <c r="J8" s="1089"/>
      <c r="K8" s="1089"/>
      <c r="L8" s="1089"/>
      <c r="M8" s="1089"/>
      <c r="N8" s="1077"/>
      <c r="O8" s="1089"/>
      <c r="P8" s="1089"/>
      <c r="Q8" s="1089"/>
    </row>
    <row r="9" spans="1:18" ht="31.5" customHeight="1" x14ac:dyDescent="0.35">
      <c r="A9" s="1086">
        <v>1</v>
      </c>
      <c r="B9" s="1974">
        <v>5191421001</v>
      </c>
      <c r="C9" s="2322">
        <v>41</v>
      </c>
      <c r="D9" s="1978" t="s">
        <v>27</v>
      </c>
      <c r="E9" s="2063">
        <f t="shared" ref="E9:E57" si="0">IF(D9="O",100,IF(D9="A+",90,IF(D9="A",80,IF(D9="B+",70,IF(D9="B",60,IF(D9="C",55,IF(D9="P",50,IF(D9="F",39))))))))</f>
        <v>80</v>
      </c>
      <c r="F9" s="1089"/>
      <c r="G9" s="1089"/>
      <c r="H9" s="1089"/>
      <c r="I9" s="1089"/>
      <c r="J9" s="1089"/>
      <c r="K9" s="1089"/>
      <c r="L9" s="1089"/>
      <c r="M9" s="1089"/>
      <c r="N9" s="1089"/>
      <c r="O9" s="1089"/>
      <c r="P9" s="1089"/>
      <c r="Q9" s="1089"/>
    </row>
    <row r="10" spans="1:18" ht="31.5" customHeight="1" x14ac:dyDescent="0.35">
      <c r="A10" s="1086">
        <v>2</v>
      </c>
      <c r="B10" s="1974">
        <f>+B9+1</f>
        <v>5191421002</v>
      </c>
      <c r="C10" s="2322">
        <v>45</v>
      </c>
      <c r="D10" s="1978" t="s">
        <v>30</v>
      </c>
      <c r="E10" s="2063">
        <f t="shared" si="0"/>
        <v>90</v>
      </c>
      <c r="F10" s="1089"/>
      <c r="G10" s="1069"/>
      <c r="H10" s="1069"/>
      <c r="I10" s="1069"/>
      <c r="J10" s="1101"/>
      <c r="K10" s="1101"/>
      <c r="L10" s="1101"/>
      <c r="M10" s="1101"/>
      <c r="N10" s="1101"/>
      <c r="O10" s="1101"/>
      <c r="P10" s="1101"/>
      <c r="Q10" s="1101"/>
    </row>
    <row r="11" spans="1:18" ht="31.5" customHeight="1" x14ac:dyDescent="0.35">
      <c r="A11" s="1086">
        <v>3</v>
      </c>
      <c r="B11" s="1974">
        <f t="shared" ref="B11:B57" si="1">+B10+1</f>
        <v>5191421003</v>
      </c>
      <c r="C11" s="2322">
        <v>48.5</v>
      </c>
      <c r="D11" s="1978" t="s">
        <v>82</v>
      </c>
      <c r="E11" s="2063">
        <f t="shared" si="0"/>
        <v>100</v>
      </c>
      <c r="F11" s="1089"/>
      <c r="G11" s="1089"/>
      <c r="H11" s="1101"/>
      <c r="I11" s="1101"/>
      <c r="J11" s="1101"/>
      <c r="K11" s="1101"/>
      <c r="L11" s="1101"/>
      <c r="M11" s="1101"/>
      <c r="N11" s="1101"/>
      <c r="O11" s="1101"/>
      <c r="P11" s="1101"/>
      <c r="Q11" s="1101"/>
      <c r="R11" s="1089"/>
    </row>
    <row r="12" spans="1:18" ht="31.5" customHeight="1" x14ac:dyDescent="0.35">
      <c r="A12" s="1086">
        <v>4</v>
      </c>
      <c r="B12" s="1974">
        <f t="shared" si="1"/>
        <v>5191421004</v>
      </c>
      <c r="C12" s="2322">
        <v>34</v>
      </c>
      <c r="D12" s="1978" t="s">
        <v>27</v>
      </c>
      <c r="E12" s="2063">
        <f t="shared" si="0"/>
        <v>80</v>
      </c>
      <c r="F12" s="1089"/>
      <c r="G12" s="1089"/>
      <c r="H12" s="2096"/>
      <c r="I12" s="1103"/>
      <c r="J12" s="1103"/>
      <c r="K12" s="1103"/>
      <c r="L12" s="1103"/>
      <c r="M12" s="1103"/>
      <c r="N12" s="1103"/>
      <c r="O12" s="1103"/>
      <c r="P12" s="1103"/>
      <c r="Q12" s="1103"/>
      <c r="R12" s="1089"/>
    </row>
    <row r="13" spans="1:18" ht="31.5" customHeight="1" x14ac:dyDescent="0.35">
      <c r="A13" s="1086">
        <v>5</v>
      </c>
      <c r="B13" s="1974">
        <f t="shared" si="1"/>
        <v>5191421005</v>
      </c>
      <c r="C13" s="2322">
        <v>45</v>
      </c>
      <c r="D13" s="1978" t="s">
        <v>30</v>
      </c>
      <c r="E13" s="2063">
        <f t="shared" si="0"/>
        <v>90</v>
      </c>
      <c r="F13" s="1089"/>
      <c r="G13" s="1089"/>
      <c r="H13" s="1103"/>
      <c r="I13" s="1106"/>
      <c r="J13" s="1106"/>
      <c r="K13" s="1106"/>
      <c r="L13" s="1106"/>
      <c r="M13" s="1106"/>
      <c r="N13" s="1106"/>
      <c r="O13" s="1106"/>
      <c r="P13" s="1106"/>
      <c r="Q13" s="1106"/>
      <c r="R13" s="1089"/>
    </row>
    <row r="14" spans="1:18" ht="31.5" customHeight="1" x14ac:dyDescent="0.35">
      <c r="A14" s="1086">
        <v>6</v>
      </c>
      <c r="B14" s="1974">
        <f t="shared" si="1"/>
        <v>5191421006</v>
      </c>
      <c r="C14" s="2322">
        <v>47</v>
      </c>
      <c r="D14" s="1978" t="s">
        <v>82</v>
      </c>
      <c r="E14" s="2063">
        <f t="shared" si="0"/>
        <v>100</v>
      </c>
      <c r="F14" s="1089"/>
      <c r="G14" s="1089"/>
      <c r="H14" s="2097"/>
      <c r="I14" s="2098"/>
      <c r="J14" s="2098"/>
      <c r="K14" s="2098"/>
      <c r="L14" s="2098"/>
      <c r="M14" s="2098"/>
      <c r="N14" s="2098"/>
      <c r="O14" s="2098"/>
      <c r="P14" s="2098"/>
      <c r="Q14" s="2098"/>
      <c r="R14" s="1089"/>
    </row>
    <row r="15" spans="1:18" ht="31.5" customHeight="1" x14ac:dyDescent="0.35">
      <c r="A15" s="1086">
        <v>7</v>
      </c>
      <c r="B15" s="1974">
        <f t="shared" si="1"/>
        <v>5191421007</v>
      </c>
      <c r="C15" s="2322">
        <v>40.5</v>
      </c>
      <c r="D15" s="1978" t="s">
        <v>30</v>
      </c>
      <c r="E15" s="2063">
        <f t="shared" si="0"/>
        <v>90</v>
      </c>
      <c r="F15" s="1089"/>
      <c r="G15" s="1089"/>
      <c r="H15" s="2097"/>
      <c r="I15" s="2864"/>
      <c r="J15" s="2864"/>
      <c r="K15" s="2864"/>
      <c r="L15" s="2864"/>
      <c r="M15" s="2864"/>
      <c r="N15" s="2864"/>
      <c r="O15" s="2864"/>
      <c r="P15" s="2864"/>
      <c r="Q15" s="2864"/>
      <c r="R15" s="1089"/>
    </row>
    <row r="16" spans="1:18" ht="31.5" customHeight="1" x14ac:dyDescent="0.35">
      <c r="A16" s="1086">
        <v>8</v>
      </c>
      <c r="B16" s="1974">
        <f t="shared" si="1"/>
        <v>5191421008</v>
      </c>
      <c r="C16" s="2322">
        <v>44</v>
      </c>
      <c r="D16" s="1978" t="s">
        <v>30</v>
      </c>
      <c r="E16" s="2063">
        <f t="shared" si="0"/>
        <v>90</v>
      </c>
      <c r="F16" s="1089"/>
      <c r="G16" s="1089"/>
      <c r="H16" s="1089"/>
      <c r="I16" s="1089"/>
      <c r="J16" s="1089"/>
      <c r="K16" s="1089"/>
      <c r="L16" s="1089"/>
      <c r="M16" s="1089"/>
      <c r="N16" s="1089"/>
      <c r="O16" s="1089"/>
      <c r="P16" s="1089"/>
      <c r="Q16" s="1089"/>
      <c r="R16" s="1089"/>
    </row>
    <row r="17" spans="1:18" ht="31.5" customHeight="1" x14ac:dyDescent="0.35">
      <c r="A17" s="1086">
        <v>9</v>
      </c>
      <c r="B17" s="1974">
        <f t="shared" si="1"/>
        <v>5191421009</v>
      </c>
      <c r="C17" s="2322">
        <v>47.5</v>
      </c>
      <c r="D17" s="1978" t="s">
        <v>82</v>
      </c>
      <c r="E17" s="2063">
        <f t="shared" si="0"/>
        <v>100</v>
      </c>
      <c r="F17" s="1089"/>
      <c r="G17" s="2099"/>
      <c r="H17" s="2099"/>
      <c r="I17" s="1069"/>
      <c r="J17" s="1073"/>
      <c r="K17" s="1073"/>
      <c r="L17" s="1073"/>
      <c r="M17" s="1073"/>
      <c r="N17" s="1073"/>
      <c r="O17" s="1073"/>
      <c r="P17" s="1073"/>
      <c r="Q17" s="1073"/>
      <c r="R17" s="1089"/>
    </row>
    <row r="18" spans="1:18" ht="31.5" customHeight="1" x14ac:dyDescent="0.35">
      <c r="A18" s="1086">
        <v>10</v>
      </c>
      <c r="B18" s="1974">
        <f t="shared" si="1"/>
        <v>5191421010</v>
      </c>
      <c r="C18" s="2322">
        <v>45</v>
      </c>
      <c r="D18" s="1978" t="s">
        <v>30</v>
      </c>
      <c r="E18" s="2063">
        <f t="shared" si="0"/>
        <v>90</v>
      </c>
      <c r="F18" s="1089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89"/>
    </row>
    <row r="19" spans="1:18" ht="31.5" customHeight="1" x14ac:dyDescent="0.35">
      <c r="A19" s="1086">
        <v>11</v>
      </c>
      <c r="B19" s="1974">
        <f t="shared" si="1"/>
        <v>5191421011</v>
      </c>
      <c r="C19" s="2322">
        <v>46.5</v>
      </c>
      <c r="D19" s="1978" t="s">
        <v>82</v>
      </c>
      <c r="E19" s="2063">
        <f t="shared" si="0"/>
        <v>100</v>
      </c>
      <c r="F19" s="1089"/>
      <c r="G19" s="1073"/>
      <c r="H19" s="1082"/>
      <c r="I19" s="1082"/>
      <c r="J19" s="1082"/>
      <c r="K19" s="1082"/>
      <c r="L19" s="1082"/>
      <c r="M19" s="1082"/>
      <c r="N19" s="1082"/>
      <c r="O19" s="1082"/>
      <c r="P19" s="1082"/>
      <c r="Q19" s="1082"/>
      <c r="R19" s="1089"/>
    </row>
    <row r="20" spans="1:18" ht="31.5" customHeight="1" x14ac:dyDescent="0.35">
      <c r="A20" s="1086">
        <v>12</v>
      </c>
      <c r="B20" s="1974">
        <f t="shared" si="1"/>
        <v>5191421012</v>
      </c>
      <c r="C20" s="2322">
        <v>40.5</v>
      </c>
      <c r="D20" s="1978" t="s">
        <v>27</v>
      </c>
      <c r="E20" s="2063">
        <f t="shared" si="0"/>
        <v>80</v>
      </c>
      <c r="F20" s="1089"/>
      <c r="G20" s="1073"/>
      <c r="H20" s="1082"/>
      <c r="I20" s="2098"/>
      <c r="J20" s="2098"/>
      <c r="K20" s="2098"/>
      <c r="L20" s="2098"/>
      <c r="M20" s="2098"/>
      <c r="N20" s="2098"/>
      <c r="O20" s="2098"/>
      <c r="P20" s="2098"/>
      <c r="Q20" s="2098"/>
    </row>
    <row r="21" spans="1:18" ht="31.5" customHeight="1" x14ac:dyDescent="0.35">
      <c r="A21" s="1086">
        <v>13</v>
      </c>
      <c r="B21" s="1974">
        <f t="shared" si="1"/>
        <v>5191421013</v>
      </c>
      <c r="C21" s="2322">
        <v>45.5</v>
      </c>
      <c r="D21" s="1978" t="s">
        <v>82</v>
      </c>
      <c r="E21" s="2063">
        <f t="shared" si="0"/>
        <v>100</v>
      </c>
      <c r="F21" s="1089"/>
      <c r="G21" s="1073"/>
      <c r="H21" s="1082"/>
      <c r="I21" s="2100"/>
      <c r="J21" s="2100"/>
      <c r="K21" s="2100"/>
      <c r="L21" s="2100"/>
      <c r="M21" s="2100"/>
      <c r="N21" s="2100"/>
      <c r="O21" s="2100"/>
      <c r="P21" s="2100"/>
      <c r="Q21" s="2100"/>
    </row>
    <row r="22" spans="1:18" ht="31.5" customHeight="1" x14ac:dyDescent="0.35">
      <c r="A22" s="1086">
        <v>14</v>
      </c>
      <c r="B22" s="1974">
        <f t="shared" si="1"/>
        <v>5191421014</v>
      </c>
      <c r="C22" s="2322">
        <v>46.5</v>
      </c>
      <c r="D22" s="1978" t="s">
        <v>82</v>
      </c>
      <c r="E22" s="2063">
        <f t="shared" si="0"/>
        <v>100</v>
      </c>
      <c r="F22" s="1089"/>
      <c r="G22" s="1073"/>
      <c r="H22" s="1082"/>
      <c r="I22" s="2865"/>
      <c r="J22" s="2865"/>
      <c r="K22" s="2865"/>
      <c r="L22" s="2865"/>
      <c r="M22" s="2865"/>
      <c r="N22" s="2865"/>
      <c r="O22" s="2865"/>
      <c r="P22" s="2865"/>
      <c r="Q22" s="2865"/>
    </row>
    <row r="23" spans="1:18" ht="31.5" customHeight="1" x14ac:dyDescent="0.35">
      <c r="A23" s="1086">
        <v>15</v>
      </c>
      <c r="B23" s="1974">
        <f t="shared" si="1"/>
        <v>5191421015</v>
      </c>
      <c r="C23" s="2322">
        <v>45.5</v>
      </c>
      <c r="D23" s="1978" t="s">
        <v>82</v>
      </c>
      <c r="E23" s="2063">
        <f t="shared" si="0"/>
        <v>100</v>
      </c>
      <c r="F23" s="1089"/>
      <c r="G23" s="1089"/>
      <c r="H23" s="1089"/>
      <c r="I23" s="1089"/>
      <c r="J23" s="1089"/>
      <c r="K23" s="1089"/>
      <c r="L23" s="1089"/>
      <c r="M23" s="1089"/>
      <c r="N23" s="1089"/>
      <c r="O23" s="1089"/>
      <c r="P23" s="1089"/>
      <c r="Q23" s="1089"/>
    </row>
    <row r="24" spans="1:18" ht="31.5" customHeight="1" x14ac:dyDescent="0.35">
      <c r="A24" s="1086">
        <v>16</v>
      </c>
      <c r="B24" s="1974">
        <f t="shared" si="1"/>
        <v>5191421016</v>
      </c>
      <c r="C24" s="2322">
        <v>46</v>
      </c>
      <c r="D24" s="1978" t="s">
        <v>30</v>
      </c>
      <c r="E24" s="2063">
        <f t="shared" si="0"/>
        <v>90</v>
      </c>
      <c r="F24" s="1089"/>
      <c r="G24" s="1089"/>
      <c r="H24" s="1089"/>
      <c r="I24" s="1089"/>
      <c r="J24" s="1089"/>
      <c r="K24" s="1089"/>
      <c r="L24" s="1089"/>
      <c r="M24" s="1089"/>
      <c r="N24" s="1089"/>
      <c r="O24" s="1089"/>
      <c r="P24" s="1089"/>
      <c r="Q24" s="1089"/>
    </row>
    <row r="25" spans="1:18" ht="31.5" customHeight="1" x14ac:dyDescent="0.35">
      <c r="A25" s="1086">
        <v>17</v>
      </c>
      <c r="B25" s="1974">
        <f t="shared" si="1"/>
        <v>5191421017</v>
      </c>
      <c r="C25" s="2322">
        <v>47.5</v>
      </c>
      <c r="D25" s="1978" t="s">
        <v>82</v>
      </c>
      <c r="E25" s="2063">
        <f t="shared" si="0"/>
        <v>100</v>
      </c>
      <c r="F25" s="1089"/>
      <c r="G25" s="1089"/>
      <c r="H25" s="1089"/>
      <c r="I25" s="1089"/>
      <c r="J25" s="1089"/>
      <c r="K25" s="1089"/>
      <c r="L25" s="1089"/>
      <c r="M25" s="1089"/>
      <c r="N25" s="1089"/>
      <c r="O25" s="1089"/>
      <c r="P25" s="1089"/>
      <c r="Q25" s="1089"/>
    </row>
    <row r="26" spans="1:18" ht="31.5" customHeight="1" x14ac:dyDescent="0.35">
      <c r="A26" s="1086">
        <v>18</v>
      </c>
      <c r="B26" s="1974">
        <f t="shared" si="1"/>
        <v>5191421018</v>
      </c>
      <c r="C26" s="2322">
        <v>35</v>
      </c>
      <c r="D26" s="1978" t="s">
        <v>27</v>
      </c>
      <c r="E26" s="2063">
        <f t="shared" si="0"/>
        <v>80</v>
      </c>
      <c r="F26" s="1089"/>
      <c r="G26" s="1089"/>
      <c r="H26" s="1089"/>
      <c r="I26" s="1089"/>
      <c r="J26" s="1089"/>
      <c r="K26" s="1089"/>
      <c r="L26" s="1089"/>
      <c r="M26" s="1089"/>
      <c r="N26" s="1089"/>
      <c r="O26" s="1089"/>
      <c r="P26" s="1089"/>
      <c r="Q26" s="1089"/>
    </row>
    <row r="27" spans="1:18" ht="31.5" customHeight="1" x14ac:dyDescent="0.35">
      <c r="A27" s="1086">
        <v>19</v>
      </c>
      <c r="B27" s="1974">
        <f t="shared" si="1"/>
        <v>5191421019</v>
      </c>
      <c r="C27" s="2322">
        <v>47</v>
      </c>
      <c r="D27" s="1978" t="s">
        <v>82</v>
      </c>
      <c r="E27" s="2063">
        <f t="shared" si="0"/>
        <v>100</v>
      </c>
      <c r="F27" s="1089"/>
      <c r="G27" s="1089"/>
      <c r="H27" s="1089"/>
      <c r="I27" s="1089"/>
      <c r="J27" s="1089"/>
      <c r="K27" s="1089"/>
      <c r="L27" s="1089"/>
      <c r="M27" s="1089"/>
      <c r="N27" s="1089"/>
      <c r="O27" s="1089"/>
      <c r="P27" s="1089"/>
      <c r="Q27" s="1089"/>
    </row>
    <row r="28" spans="1:18" ht="31.5" customHeight="1" x14ac:dyDescent="0.35">
      <c r="A28" s="1086">
        <v>20</v>
      </c>
      <c r="B28" s="1974">
        <f t="shared" si="1"/>
        <v>5191421020</v>
      </c>
      <c r="C28" s="2322">
        <v>46</v>
      </c>
      <c r="D28" s="1978" t="s">
        <v>82</v>
      </c>
      <c r="E28" s="2063">
        <f t="shared" si="0"/>
        <v>100</v>
      </c>
      <c r="F28" s="1089"/>
      <c r="G28" s="1089"/>
      <c r="H28" s="1089"/>
      <c r="I28" s="1089"/>
      <c r="J28" s="1089"/>
      <c r="K28" s="1089"/>
      <c r="L28" s="1089"/>
      <c r="M28" s="1089"/>
      <c r="N28" s="1089"/>
      <c r="O28" s="1089"/>
      <c r="P28" s="1089"/>
      <c r="Q28" s="1089"/>
    </row>
    <row r="29" spans="1:18" ht="31.5" customHeight="1" x14ac:dyDescent="0.35">
      <c r="A29" s="1086">
        <v>21</v>
      </c>
      <c r="B29" s="1974">
        <f t="shared" si="1"/>
        <v>5191421021</v>
      </c>
      <c r="C29" s="2322">
        <v>44.5</v>
      </c>
      <c r="D29" s="1978" t="s">
        <v>30</v>
      </c>
      <c r="E29" s="2063">
        <f t="shared" si="0"/>
        <v>90</v>
      </c>
      <c r="F29" s="1089"/>
      <c r="G29" s="1089"/>
      <c r="H29" s="1089"/>
      <c r="I29" s="1089"/>
      <c r="J29" s="1089"/>
      <c r="K29" s="1089"/>
      <c r="L29" s="1089"/>
      <c r="M29" s="1089"/>
      <c r="N29" s="1089"/>
      <c r="O29" s="1089"/>
      <c r="P29" s="1089"/>
      <c r="Q29" s="1089"/>
    </row>
    <row r="30" spans="1:18" ht="31.5" customHeight="1" x14ac:dyDescent="0.35">
      <c r="A30" s="1086">
        <v>22</v>
      </c>
      <c r="B30" s="1974">
        <f t="shared" si="1"/>
        <v>5191421022</v>
      </c>
      <c r="C30" s="2322">
        <v>46.5</v>
      </c>
      <c r="D30" s="1978" t="s">
        <v>82</v>
      </c>
      <c r="E30" s="2063">
        <f t="shared" si="0"/>
        <v>100</v>
      </c>
      <c r="F30" s="1089"/>
      <c r="G30" s="1089"/>
      <c r="H30" s="1089"/>
      <c r="I30" s="1089"/>
      <c r="J30" s="1089"/>
      <c r="K30" s="1089"/>
      <c r="L30" s="1089"/>
      <c r="M30" s="1089"/>
      <c r="N30" s="1089"/>
      <c r="O30" s="1089"/>
      <c r="P30" s="1089"/>
      <c r="Q30" s="1089"/>
    </row>
    <row r="31" spans="1:18" ht="31.5" customHeight="1" x14ac:dyDescent="0.35">
      <c r="A31" s="1086">
        <v>23</v>
      </c>
      <c r="B31" s="1974">
        <f t="shared" si="1"/>
        <v>5191421023</v>
      </c>
      <c r="C31" s="2322">
        <v>43.5</v>
      </c>
      <c r="D31" s="1978" t="s">
        <v>82</v>
      </c>
      <c r="E31" s="2063">
        <f t="shared" si="0"/>
        <v>100</v>
      </c>
      <c r="F31" s="1089"/>
      <c r="G31" s="1089"/>
      <c r="H31" s="1089"/>
      <c r="I31" s="1089"/>
      <c r="J31" s="1089"/>
      <c r="K31" s="1089"/>
      <c r="L31" s="1089"/>
      <c r="M31" s="1089"/>
      <c r="N31" s="1089"/>
      <c r="O31" s="1089"/>
      <c r="P31" s="1089"/>
      <c r="Q31" s="1089"/>
    </row>
    <row r="32" spans="1:18" ht="31.5" customHeight="1" x14ac:dyDescent="0.35">
      <c r="A32" s="1086">
        <v>24</v>
      </c>
      <c r="B32" s="1974">
        <f t="shared" si="1"/>
        <v>5191421024</v>
      </c>
      <c r="C32" s="2322">
        <v>40</v>
      </c>
      <c r="D32" s="1978" t="s">
        <v>30</v>
      </c>
      <c r="E32" s="2063">
        <f t="shared" si="0"/>
        <v>90</v>
      </c>
      <c r="F32" s="1089"/>
      <c r="G32" s="1089"/>
      <c r="H32" s="1089"/>
      <c r="I32" s="1089"/>
      <c r="J32" s="1089"/>
      <c r="K32" s="1089"/>
      <c r="L32" s="1089"/>
      <c r="M32" s="1089"/>
      <c r="N32" s="1089"/>
      <c r="O32" s="1089"/>
      <c r="P32" s="1089"/>
      <c r="Q32" s="1089"/>
    </row>
    <row r="33" spans="1:17" ht="31.5" customHeight="1" x14ac:dyDescent="0.35">
      <c r="A33" s="1086">
        <v>25</v>
      </c>
      <c r="B33" s="1974">
        <f t="shared" si="1"/>
        <v>5191421025</v>
      </c>
      <c r="C33" s="2322">
        <v>49</v>
      </c>
      <c r="D33" s="1978" t="s">
        <v>82</v>
      </c>
      <c r="E33" s="2063">
        <f t="shared" si="0"/>
        <v>100</v>
      </c>
      <c r="F33" s="1089"/>
      <c r="G33" s="1082"/>
      <c r="H33" s="1082"/>
      <c r="I33" s="1089"/>
      <c r="J33" s="1089"/>
      <c r="K33" s="1089"/>
      <c r="L33" s="1089"/>
      <c r="M33" s="1089"/>
      <c r="N33" s="1089"/>
      <c r="O33" s="1089"/>
      <c r="P33" s="1089"/>
      <c r="Q33" s="1089"/>
    </row>
    <row r="34" spans="1:17" ht="31.5" customHeight="1" x14ac:dyDescent="0.35">
      <c r="A34" s="1086">
        <v>26</v>
      </c>
      <c r="B34" s="1974">
        <f t="shared" si="1"/>
        <v>5191421026</v>
      </c>
      <c r="C34" s="2322">
        <v>47</v>
      </c>
      <c r="D34" s="1978" t="s">
        <v>82</v>
      </c>
      <c r="E34" s="1086">
        <f t="shared" si="0"/>
        <v>100</v>
      </c>
      <c r="G34" s="1082"/>
      <c r="H34" s="1082"/>
      <c r="I34" s="1089"/>
      <c r="J34" s="1089"/>
      <c r="K34" s="1089"/>
      <c r="L34" s="1089"/>
      <c r="M34" s="1089"/>
      <c r="N34" s="1089"/>
      <c r="O34" s="1089"/>
      <c r="P34" s="1089"/>
      <c r="Q34" s="1089"/>
    </row>
    <row r="35" spans="1:17" ht="31.5" customHeight="1" x14ac:dyDescent="0.35">
      <c r="A35" s="1086">
        <v>27</v>
      </c>
      <c r="B35" s="1974">
        <f t="shared" si="1"/>
        <v>5191421027</v>
      </c>
      <c r="C35" s="2322">
        <v>46</v>
      </c>
      <c r="D35" s="1978" t="s">
        <v>30</v>
      </c>
      <c r="E35" s="1086">
        <f t="shared" si="0"/>
        <v>90</v>
      </c>
      <c r="G35" s="1082"/>
      <c r="H35" s="1082"/>
      <c r="I35" s="1089"/>
      <c r="J35" s="1089"/>
      <c r="K35" s="1089"/>
      <c r="L35" s="1089"/>
      <c r="M35" s="1089"/>
      <c r="N35" s="1089"/>
      <c r="O35" s="1089"/>
      <c r="P35" s="1089"/>
      <c r="Q35" s="1089"/>
    </row>
    <row r="36" spans="1:17" ht="31.5" customHeight="1" x14ac:dyDescent="0.35">
      <c r="A36" s="1086">
        <v>28</v>
      </c>
      <c r="B36" s="1974">
        <f t="shared" si="1"/>
        <v>5191421028</v>
      </c>
      <c r="C36" s="2322">
        <v>47.5</v>
      </c>
      <c r="D36" s="1978" t="s">
        <v>82</v>
      </c>
      <c r="E36" s="1086">
        <f t="shared" si="0"/>
        <v>100</v>
      </c>
      <c r="G36" s="1082"/>
      <c r="H36" s="1082"/>
      <c r="I36" s="1089"/>
      <c r="J36" s="1089"/>
      <c r="K36" s="1089"/>
      <c r="L36" s="1089"/>
      <c r="M36" s="1089"/>
      <c r="N36" s="1089"/>
      <c r="O36" s="1089"/>
      <c r="P36" s="1089"/>
      <c r="Q36" s="1089"/>
    </row>
    <row r="37" spans="1:17" ht="31.5" customHeight="1" x14ac:dyDescent="0.35">
      <c r="A37" s="1086">
        <v>29</v>
      </c>
      <c r="B37" s="1974">
        <f t="shared" si="1"/>
        <v>5191421029</v>
      </c>
      <c r="C37" s="2322">
        <v>47</v>
      </c>
      <c r="D37" s="1978" t="s">
        <v>82</v>
      </c>
      <c r="E37" s="1086">
        <f t="shared" si="0"/>
        <v>100</v>
      </c>
      <c r="G37" s="1082"/>
      <c r="H37" s="1082"/>
      <c r="I37" s="1089"/>
      <c r="J37" s="1089"/>
      <c r="K37" s="1089"/>
      <c r="L37" s="1089"/>
      <c r="M37" s="1089"/>
      <c r="N37" s="1089"/>
      <c r="O37" s="1089"/>
      <c r="P37" s="1089"/>
      <c r="Q37" s="1089"/>
    </row>
    <row r="38" spans="1:17" ht="31.5" customHeight="1" x14ac:dyDescent="0.35">
      <c r="A38" s="1086">
        <v>30</v>
      </c>
      <c r="B38" s="1974">
        <f t="shared" si="1"/>
        <v>5191421030</v>
      </c>
      <c r="C38" s="2322">
        <v>43</v>
      </c>
      <c r="D38" s="1978" t="s">
        <v>30</v>
      </c>
      <c r="E38" s="1086">
        <f t="shared" si="0"/>
        <v>90</v>
      </c>
      <c r="G38" s="1082"/>
      <c r="H38" s="1082"/>
      <c r="I38" s="1089"/>
      <c r="J38" s="1089"/>
      <c r="K38" s="1089"/>
      <c r="L38" s="1089"/>
      <c r="M38" s="1089"/>
      <c r="N38" s="1089"/>
      <c r="O38" s="1089"/>
      <c r="P38" s="1089"/>
      <c r="Q38" s="1089"/>
    </row>
    <row r="39" spans="1:17" ht="31.5" customHeight="1" x14ac:dyDescent="0.35">
      <c r="A39" s="1086">
        <v>31</v>
      </c>
      <c r="B39" s="1974">
        <f t="shared" si="1"/>
        <v>5191421031</v>
      </c>
      <c r="C39" s="2322">
        <v>46</v>
      </c>
      <c r="D39" s="1978" t="s">
        <v>30</v>
      </c>
      <c r="E39" s="1086">
        <f t="shared" si="0"/>
        <v>90</v>
      </c>
      <c r="G39" s="1082"/>
      <c r="H39" s="1082"/>
      <c r="I39" s="1089"/>
      <c r="J39" s="1089"/>
      <c r="K39" s="1089"/>
      <c r="L39" s="1089"/>
      <c r="M39" s="1089"/>
      <c r="N39" s="1089"/>
      <c r="O39" s="1089"/>
      <c r="P39" s="1089"/>
      <c r="Q39" s="1089"/>
    </row>
    <row r="40" spans="1:17" ht="31.5" customHeight="1" x14ac:dyDescent="0.35">
      <c r="A40" s="1086">
        <v>32</v>
      </c>
      <c r="B40" s="1974">
        <f t="shared" si="1"/>
        <v>5191421032</v>
      </c>
      <c r="C40" s="2322">
        <v>34</v>
      </c>
      <c r="D40" s="1978" t="s">
        <v>27</v>
      </c>
      <c r="E40" s="1086">
        <f t="shared" si="0"/>
        <v>80</v>
      </c>
      <c r="G40" s="1082"/>
      <c r="H40" s="1082"/>
      <c r="I40" s="1089"/>
      <c r="J40" s="1089"/>
      <c r="K40" s="1089"/>
      <c r="L40" s="1089"/>
      <c r="M40" s="1089"/>
      <c r="N40" s="1089"/>
      <c r="O40" s="1089"/>
      <c r="P40" s="1089"/>
      <c r="Q40" s="1089"/>
    </row>
    <row r="41" spans="1:17" ht="31.5" customHeight="1" x14ac:dyDescent="0.35">
      <c r="A41" s="1086">
        <v>33</v>
      </c>
      <c r="B41" s="1974">
        <f t="shared" si="1"/>
        <v>5191421033</v>
      </c>
      <c r="C41" s="2322">
        <v>46</v>
      </c>
      <c r="D41" s="1978" t="s">
        <v>82</v>
      </c>
      <c r="E41" s="1086">
        <f t="shared" si="0"/>
        <v>100</v>
      </c>
      <c r="G41" s="1082"/>
      <c r="H41" s="1082"/>
      <c r="I41" s="1089"/>
      <c r="J41" s="1089"/>
      <c r="K41" s="1089"/>
      <c r="L41" s="1089"/>
      <c r="M41" s="1089"/>
      <c r="N41" s="1089"/>
      <c r="O41" s="1089"/>
      <c r="P41" s="1089"/>
      <c r="Q41" s="1089"/>
    </row>
    <row r="42" spans="1:17" ht="31.5" customHeight="1" x14ac:dyDescent="0.35">
      <c r="A42" s="1086">
        <v>34</v>
      </c>
      <c r="B42" s="1974">
        <f t="shared" si="1"/>
        <v>5191421034</v>
      </c>
      <c r="C42" s="2322">
        <v>45.5</v>
      </c>
      <c r="D42" s="1978" t="s">
        <v>82</v>
      </c>
      <c r="E42" s="1086">
        <f t="shared" si="0"/>
        <v>100</v>
      </c>
      <c r="G42" s="1082"/>
      <c r="H42" s="1082"/>
      <c r="I42" s="1089"/>
      <c r="J42" s="1089"/>
      <c r="K42" s="1089"/>
      <c r="L42" s="1089"/>
      <c r="M42" s="1089"/>
      <c r="N42" s="1089"/>
      <c r="O42" s="1089"/>
      <c r="P42" s="1089"/>
      <c r="Q42" s="1089"/>
    </row>
    <row r="43" spans="1:17" ht="31.5" customHeight="1" x14ac:dyDescent="0.35">
      <c r="A43" s="1086">
        <v>35</v>
      </c>
      <c r="B43" s="1974">
        <f t="shared" si="1"/>
        <v>5191421035</v>
      </c>
      <c r="C43" s="2322">
        <v>45</v>
      </c>
      <c r="D43" s="1978" t="s">
        <v>30</v>
      </c>
      <c r="E43" s="1086">
        <f t="shared" si="0"/>
        <v>90</v>
      </c>
      <c r="G43" s="1082"/>
      <c r="H43" s="1082"/>
      <c r="I43" s="1089"/>
      <c r="J43" s="1089"/>
      <c r="K43" s="1089"/>
      <c r="L43" s="1089"/>
      <c r="M43" s="1089"/>
      <c r="N43" s="1089"/>
      <c r="O43" s="1089"/>
      <c r="P43" s="1089"/>
      <c r="Q43" s="1089"/>
    </row>
    <row r="44" spans="1:17" ht="31.5" customHeight="1" x14ac:dyDescent="0.35">
      <c r="A44" s="1086">
        <v>36</v>
      </c>
      <c r="B44" s="1974">
        <f t="shared" si="1"/>
        <v>5191421036</v>
      </c>
      <c r="C44" s="2322">
        <v>47</v>
      </c>
      <c r="D44" s="1978" t="s">
        <v>82</v>
      </c>
      <c r="E44" s="1086">
        <f t="shared" si="0"/>
        <v>100</v>
      </c>
      <c r="G44" s="1082"/>
      <c r="H44" s="1082"/>
      <c r="I44" s="1089"/>
      <c r="J44" s="1089"/>
      <c r="K44" s="1089"/>
      <c r="L44" s="1089"/>
      <c r="M44" s="1089"/>
      <c r="N44" s="1089"/>
      <c r="O44" s="1089"/>
      <c r="P44" s="1089"/>
      <c r="Q44" s="1089"/>
    </row>
    <row r="45" spans="1:17" ht="31.5" customHeight="1" x14ac:dyDescent="0.35">
      <c r="A45" s="1086">
        <v>37</v>
      </c>
      <c r="B45" s="1974">
        <f t="shared" si="1"/>
        <v>5191421037</v>
      </c>
      <c r="C45" s="2322">
        <v>33</v>
      </c>
      <c r="D45" s="1978" t="s">
        <v>27</v>
      </c>
      <c r="E45" s="1086">
        <f t="shared" si="0"/>
        <v>80</v>
      </c>
      <c r="G45" s="1082"/>
      <c r="H45" s="1082"/>
      <c r="I45" s="1089"/>
      <c r="J45" s="1089"/>
      <c r="K45" s="1089"/>
      <c r="L45" s="1089"/>
      <c r="M45" s="1089"/>
      <c r="N45" s="1089"/>
      <c r="O45" s="1089"/>
      <c r="P45" s="1089"/>
      <c r="Q45" s="1089"/>
    </row>
    <row r="46" spans="1:17" ht="31.5" customHeight="1" x14ac:dyDescent="0.35">
      <c r="A46" s="1086">
        <v>38</v>
      </c>
      <c r="B46" s="1974">
        <f t="shared" si="1"/>
        <v>5191421038</v>
      </c>
      <c r="C46" s="2322">
        <v>40.5</v>
      </c>
      <c r="D46" s="1978" t="s">
        <v>30</v>
      </c>
      <c r="E46" s="1086">
        <f t="shared" si="0"/>
        <v>90</v>
      </c>
      <c r="G46" s="1082"/>
      <c r="H46" s="1082"/>
      <c r="I46" s="1089"/>
      <c r="J46" s="1089"/>
      <c r="K46" s="1089"/>
      <c r="L46" s="1089"/>
      <c r="M46" s="1089"/>
      <c r="N46" s="1089"/>
      <c r="O46" s="1089"/>
      <c r="P46" s="1089"/>
      <c r="Q46" s="1089"/>
    </row>
    <row r="47" spans="1:17" ht="31.5" customHeight="1" x14ac:dyDescent="0.35">
      <c r="A47" s="1086">
        <v>39</v>
      </c>
      <c r="B47" s="1974">
        <f t="shared" si="1"/>
        <v>5191421039</v>
      </c>
      <c r="C47" s="2322">
        <v>46.5</v>
      </c>
      <c r="D47" s="1978" t="s">
        <v>82</v>
      </c>
      <c r="E47" s="1086">
        <f t="shared" si="0"/>
        <v>100</v>
      </c>
      <c r="G47" s="1082"/>
      <c r="H47" s="1082"/>
      <c r="I47" s="1089"/>
      <c r="J47" s="1089"/>
      <c r="K47" s="1089"/>
      <c r="L47" s="1089"/>
      <c r="M47" s="1089"/>
      <c r="N47" s="1089"/>
      <c r="O47" s="1089"/>
      <c r="P47" s="1089"/>
      <c r="Q47" s="1089"/>
    </row>
    <row r="48" spans="1:17" ht="31.5" customHeight="1" x14ac:dyDescent="0.35">
      <c r="A48" s="1086">
        <v>40</v>
      </c>
      <c r="B48" s="1974">
        <f t="shared" si="1"/>
        <v>5191421040</v>
      </c>
      <c r="C48" s="2322">
        <v>46.5</v>
      </c>
      <c r="D48" s="1978" t="s">
        <v>82</v>
      </c>
      <c r="E48" s="1086">
        <f t="shared" si="0"/>
        <v>100</v>
      </c>
      <c r="G48" s="1082"/>
      <c r="H48" s="1082"/>
      <c r="I48" s="1089"/>
      <c r="J48" s="1089"/>
      <c r="K48" s="1089"/>
      <c r="L48" s="1089"/>
      <c r="M48" s="1089"/>
      <c r="N48" s="1089"/>
      <c r="O48" s="1089"/>
      <c r="P48" s="1089"/>
      <c r="Q48" s="1089"/>
    </row>
    <row r="49" spans="1:18" ht="31.5" customHeight="1" x14ac:dyDescent="0.35">
      <c r="A49" s="1086">
        <v>41</v>
      </c>
      <c r="B49" s="1974">
        <f t="shared" si="1"/>
        <v>5191421041</v>
      </c>
      <c r="C49" s="2322">
        <v>48</v>
      </c>
      <c r="D49" s="1978" t="s">
        <v>82</v>
      </c>
      <c r="E49" s="1086">
        <f t="shared" si="0"/>
        <v>100</v>
      </c>
      <c r="G49" s="1082"/>
      <c r="H49" s="1082"/>
      <c r="I49" s="1089"/>
      <c r="J49" s="1089"/>
      <c r="K49" s="1089"/>
      <c r="L49" s="1089"/>
      <c r="M49" s="1089"/>
      <c r="N49" s="1089"/>
      <c r="O49" s="1089"/>
      <c r="P49" s="1089"/>
      <c r="Q49" s="1089"/>
    </row>
    <row r="50" spans="1:18" ht="31.5" customHeight="1" x14ac:dyDescent="0.35">
      <c r="A50" s="1086">
        <v>42</v>
      </c>
      <c r="B50" s="1974">
        <f t="shared" si="1"/>
        <v>5191421042</v>
      </c>
      <c r="C50" s="2322">
        <v>37.5</v>
      </c>
      <c r="D50" s="1978" t="s">
        <v>27</v>
      </c>
      <c r="E50" s="1086">
        <f t="shared" si="0"/>
        <v>80</v>
      </c>
      <c r="G50" s="1082"/>
      <c r="H50" s="1082"/>
      <c r="I50" s="1089"/>
      <c r="J50" s="1089"/>
      <c r="K50" s="1089"/>
      <c r="L50" s="1089"/>
      <c r="M50" s="1089"/>
      <c r="N50" s="1089"/>
      <c r="O50" s="1089"/>
      <c r="P50" s="1089"/>
      <c r="Q50" s="1089"/>
    </row>
    <row r="51" spans="1:18" ht="31.5" customHeight="1" x14ac:dyDescent="0.35">
      <c r="A51" s="1086">
        <v>43</v>
      </c>
      <c r="B51" s="1974">
        <f t="shared" si="1"/>
        <v>5191421043</v>
      </c>
      <c r="C51" s="2322">
        <v>47.5</v>
      </c>
      <c r="D51" s="1978" t="s">
        <v>82</v>
      </c>
      <c r="E51" s="1086">
        <f t="shared" si="0"/>
        <v>100</v>
      </c>
      <c r="G51" s="1082"/>
      <c r="H51" s="1082"/>
      <c r="I51" s="1089"/>
      <c r="J51" s="1089"/>
      <c r="K51" s="1089"/>
      <c r="L51" s="1089"/>
      <c r="M51" s="1089"/>
      <c r="N51" s="1089"/>
      <c r="O51" s="1089"/>
      <c r="P51" s="1089"/>
      <c r="Q51" s="1089"/>
    </row>
    <row r="52" spans="1:18" ht="31.5" customHeight="1" x14ac:dyDescent="0.35">
      <c r="A52" s="1086">
        <v>44</v>
      </c>
      <c r="B52" s="1974">
        <f t="shared" si="1"/>
        <v>5191421044</v>
      </c>
      <c r="C52" s="2322">
        <v>49</v>
      </c>
      <c r="D52" s="1978" t="s">
        <v>82</v>
      </c>
      <c r="E52" s="1086">
        <f t="shared" si="0"/>
        <v>100</v>
      </c>
      <c r="G52" s="1082"/>
      <c r="H52" s="1082"/>
      <c r="I52" s="1089"/>
      <c r="J52" s="1089"/>
      <c r="K52" s="1089"/>
      <c r="L52" s="1089"/>
      <c r="M52" s="1089"/>
      <c r="N52" s="1089"/>
      <c r="O52" s="1089"/>
      <c r="P52" s="1089"/>
      <c r="Q52" s="1089"/>
    </row>
    <row r="53" spans="1:18" ht="31.5" customHeight="1" x14ac:dyDescent="0.35">
      <c r="A53" s="1086">
        <v>45</v>
      </c>
      <c r="B53" s="1974">
        <f t="shared" si="1"/>
        <v>5191421045</v>
      </c>
      <c r="C53" s="2322">
        <v>46.5</v>
      </c>
      <c r="D53" s="1978" t="s">
        <v>30</v>
      </c>
      <c r="E53" s="1086">
        <f t="shared" si="0"/>
        <v>90</v>
      </c>
      <c r="G53" s="1082"/>
      <c r="H53" s="1082"/>
      <c r="I53" s="1089"/>
      <c r="J53" s="1089"/>
      <c r="K53" s="1089"/>
      <c r="L53" s="1089"/>
      <c r="M53" s="1089"/>
      <c r="N53" s="1089"/>
      <c r="O53" s="1089"/>
      <c r="P53" s="1089"/>
      <c r="Q53" s="1089"/>
    </row>
    <row r="54" spans="1:18" ht="31.5" customHeight="1" x14ac:dyDescent="0.35">
      <c r="A54" s="1086">
        <v>46</v>
      </c>
      <c r="B54" s="1974">
        <f t="shared" si="1"/>
        <v>5191421046</v>
      </c>
      <c r="C54" s="2322">
        <v>47.5</v>
      </c>
      <c r="D54" s="1978" t="s">
        <v>30</v>
      </c>
      <c r="E54" s="1086">
        <f t="shared" si="0"/>
        <v>90</v>
      </c>
      <c r="G54" s="1082"/>
      <c r="H54" s="1082"/>
      <c r="I54" s="1089"/>
      <c r="J54" s="1089"/>
      <c r="K54" s="1089"/>
      <c r="L54" s="1089"/>
      <c r="M54" s="1089"/>
      <c r="N54" s="1089"/>
      <c r="O54" s="1089"/>
      <c r="P54" s="1089"/>
      <c r="Q54" s="1089"/>
    </row>
    <row r="55" spans="1:18" ht="31.5" customHeight="1" x14ac:dyDescent="0.35">
      <c r="A55" s="1086">
        <v>47</v>
      </c>
      <c r="B55" s="1974">
        <f t="shared" si="1"/>
        <v>5191421047</v>
      </c>
      <c r="C55" s="2322">
        <v>30</v>
      </c>
      <c r="D55" s="1978" t="s">
        <v>32</v>
      </c>
      <c r="E55" s="1086">
        <f t="shared" si="0"/>
        <v>70</v>
      </c>
      <c r="G55" s="1082"/>
      <c r="H55" s="1082"/>
      <c r="I55" s="1089"/>
      <c r="J55" s="1089"/>
      <c r="K55" s="1089"/>
      <c r="L55" s="1089"/>
      <c r="M55" s="1089"/>
      <c r="N55" s="1089"/>
      <c r="O55" s="1089"/>
      <c r="P55" s="1089"/>
      <c r="Q55" s="1089"/>
    </row>
    <row r="56" spans="1:18" ht="31.5" customHeight="1" x14ac:dyDescent="0.35">
      <c r="A56" s="1086">
        <v>48</v>
      </c>
      <c r="B56" s="1974">
        <f t="shared" si="1"/>
        <v>5191421048</v>
      </c>
      <c r="C56" s="2322">
        <v>44.5</v>
      </c>
      <c r="D56" s="1978" t="s">
        <v>30</v>
      </c>
      <c r="E56" s="1086">
        <f t="shared" si="0"/>
        <v>90</v>
      </c>
      <c r="G56" s="1082"/>
      <c r="H56" s="1082"/>
      <c r="I56" s="1089"/>
      <c r="J56" s="1089"/>
      <c r="K56" s="1089"/>
      <c r="L56" s="1089"/>
      <c r="M56" s="1089"/>
      <c r="N56" s="1089"/>
      <c r="O56" s="1089"/>
      <c r="P56" s="1089"/>
      <c r="Q56" s="1089"/>
    </row>
    <row r="57" spans="1:18" ht="31.5" customHeight="1" x14ac:dyDescent="0.35">
      <c r="A57" s="1086">
        <v>49</v>
      </c>
      <c r="B57" s="1974">
        <f t="shared" si="1"/>
        <v>5191421049</v>
      </c>
      <c r="C57" s="2322">
        <v>35</v>
      </c>
      <c r="D57" s="1978" t="s">
        <v>27</v>
      </c>
      <c r="E57" s="1086">
        <f t="shared" si="0"/>
        <v>80</v>
      </c>
      <c r="G57" s="1082"/>
      <c r="H57" s="1082"/>
      <c r="I57" s="1089"/>
      <c r="J57" s="1089"/>
      <c r="K57" s="1089"/>
      <c r="L57" s="1089"/>
      <c r="M57" s="1089"/>
      <c r="N57" s="1089"/>
      <c r="O57" s="1089"/>
      <c r="P57" s="1089"/>
      <c r="Q57" s="1089"/>
    </row>
    <row r="58" spans="1:18" ht="31.5" customHeight="1" x14ac:dyDescent="0.35">
      <c r="A58" s="1113" t="s">
        <v>34</v>
      </c>
      <c r="B58" s="1102"/>
      <c r="C58" s="982">
        <f>COUNT(C9:C57)</f>
        <v>49</v>
      </c>
      <c r="D58" s="1102"/>
      <c r="E58" s="1102"/>
      <c r="G58" s="1089"/>
      <c r="H58" s="1089"/>
      <c r="I58" s="1089"/>
      <c r="J58" s="1089"/>
      <c r="K58" s="1089"/>
      <c r="L58" s="1103"/>
      <c r="M58" s="1104"/>
      <c r="N58" s="1104"/>
      <c r="O58" s="1089"/>
      <c r="P58" s="1089"/>
      <c r="Q58" s="1089"/>
    </row>
    <row r="59" spans="1:18" ht="31.5" customHeight="1" x14ac:dyDescent="0.35">
      <c r="A59" s="1114"/>
      <c r="B59" s="982">
        <v>65</v>
      </c>
      <c r="C59" s="1105">
        <f>C8*(B59/100)</f>
        <v>32.5</v>
      </c>
      <c r="D59" s="1102"/>
      <c r="E59" s="1102"/>
      <c r="G59" s="1089"/>
      <c r="H59" s="1089"/>
      <c r="I59" s="1089"/>
      <c r="J59" s="1089"/>
      <c r="K59" s="1089"/>
      <c r="L59" s="1106"/>
      <c r="M59" s="1104"/>
      <c r="N59" s="1104"/>
      <c r="O59" s="1089"/>
      <c r="P59" s="1089"/>
      <c r="Q59" s="1089"/>
    </row>
    <row r="60" spans="1:18" ht="31.5" customHeight="1" x14ac:dyDescent="0.35">
      <c r="A60" s="2853" t="s">
        <v>35</v>
      </c>
      <c r="B60" s="2853"/>
      <c r="C60" s="982">
        <f>COUNTIF(C9:C57,"&gt;=" &amp;C59)</f>
        <v>48</v>
      </c>
      <c r="D60" s="1102"/>
      <c r="E60" s="982">
        <f>COUNTIF(E9:E57,"&gt;="&amp;B59)</f>
        <v>49</v>
      </c>
      <c r="G60" s="1089"/>
      <c r="H60" s="2862"/>
      <c r="I60" s="2862"/>
      <c r="J60" s="2862"/>
      <c r="K60" s="2862"/>
      <c r="L60" s="2862"/>
      <c r="M60" s="1104"/>
      <c r="N60" s="1104"/>
      <c r="O60" s="1089"/>
      <c r="P60" s="2862"/>
      <c r="Q60" s="2862"/>
    </row>
    <row r="61" spans="1:18" ht="31.5" customHeight="1" x14ac:dyDescent="0.35">
      <c r="A61" s="2863" t="s">
        <v>36</v>
      </c>
      <c r="B61" s="2863"/>
      <c r="C61" s="1107">
        <f t="shared" ref="C61" si="2">C60/C58</f>
        <v>0.97959183673469385</v>
      </c>
      <c r="D61" s="1102"/>
      <c r="E61" s="1108">
        <f>(E60/A57)*100</f>
        <v>100</v>
      </c>
      <c r="G61" s="1089"/>
      <c r="H61" s="1089"/>
      <c r="I61" s="1089"/>
      <c r="J61" s="1089"/>
      <c r="K61" s="1089"/>
      <c r="L61" s="1106"/>
      <c r="M61" s="1104"/>
      <c r="N61" s="1104"/>
      <c r="O61" s="1089"/>
      <c r="P61" s="1089"/>
      <c r="Q61" s="1089"/>
    </row>
    <row r="63" spans="1:18" x14ac:dyDescent="0.35">
      <c r="C63" s="2044" t="s">
        <v>22</v>
      </c>
      <c r="D63" s="1078">
        <f>AVERAGE(C61)*100</f>
        <v>97.959183673469383</v>
      </c>
      <c r="E63" s="1079">
        <f>IF(D63&gt;=70,3,IF(AND(D63&gt;=60,D63&lt;70),2,IF(AND(D63&gt;=50,D63&lt;60),1)))</f>
        <v>3</v>
      </c>
      <c r="F63" s="1080">
        <f>IF(E61&gt;=70,3,IF(AND(E61&gt;=60,E61&lt;70),2,IF(AND(E61&gt;=50,E61&lt;60),1)))</f>
        <v>3</v>
      </c>
      <c r="G63" s="1080">
        <f>(70/100)*F63+(30/100)*E63</f>
        <v>2.9999999999999996</v>
      </c>
      <c r="H63" s="1080"/>
      <c r="R63" s="156"/>
    </row>
    <row r="64" spans="1:18" x14ac:dyDescent="0.35">
      <c r="B64" s="1081"/>
      <c r="C64" s="1082" t="s">
        <v>44</v>
      </c>
      <c r="D64" s="1082"/>
      <c r="E64" s="1082"/>
      <c r="F64" s="1082"/>
      <c r="G64" s="1083">
        <f>AVERAGE(G63)</f>
        <v>2.9999999999999996</v>
      </c>
      <c r="H64" s="1080"/>
      <c r="R64" s="156"/>
    </row>
    <row r="65" spans="2:15" x14ac:dyDescent="0.35">
      <c r="C65" s="2044"/>
      <c r="D65" s="1078"/>
      <c r="E65" s="1079"/>
      <c r="F65" s="1080"/>
      <c r="G65" s="1080"/>
      <c r="H65" s="1080"/>
      <c r="I65" s="1080"/>
    </row>
    <row r="66" spans="2:15" x14ac:dyDescent="0.35">
      <c r="C66" s="2044"/>
      <c r="D66" s="1078"/>
      <c r="E66" s="1079"/>
      <c r="F66" s="1080"/>
      <c r="G66" s="1080"/>
      <c r="H66" s="1080"/>
      <c r="I66" s="1080"/>
    </row>
    <row r="67" spans="2:15" x14ac:dyDescent="0.35">
      <c r="I67" s="1077"/>
    </row>
    <row r="69" spans="2:15" x14ac:dyDescent="0.35">
      <c r="B69" s="1087" t="s">
        <v>159</v>
      </c>
      <c r="C69" s="1087"/>
      <c r="D69" s="1087"/>
      <c r="E69" s="1088"/>
      <c r="F69" s="1088"/>
      <c r="G69" s="1088"/>
      <c r="H69" s="1088"/>
      <c r="I69" s="1088"/>
      <c r="J69" s="1088"/>
      <c r="K69" s="1088"/>
      <c r="L69" s="1088"/>
      <c r="M69" s="1088"/>
      <c r="N69" s="1088"/>
      <c r="O69" s="1088"/>
    </row>
    <row r="70" spans="2:15" x14ac:dyDescent="0.35">
      <c r="C70" s="1088"/>
      <c r="D70" s="1088"/>
      <c r="E70" s="1088"/>
      <c r="F70" s="1088"/>
      <c r="G70" s="1088"/>
      <c r="H70" s="1088"/>
      <c r="I70" s="1088"/>
      <c r="J70" s="1088"/>
      <c r="K70" s="1088"/>
      <c r="L70" s="1088"/>
      <c r="M70" s="1088"/>
      <c r="N70" s="1088"/>
      <c r="O70" s="1088"/>
    </row>
    <row r="71" spans="2:15" x14ac:dyDescent="0.35">
      <c r="C71" s="1090" t="s">
        <v>167</v>
      </c>
      <c r="D71" s="1091" t="s">
        <v>46</v>
      </c>
      <c r="E71" s="1091" t="s">
        <v>135</v>
      </c>
      <c r="F71" s="1091" t="s">
        <v>48</v>
      </c>
      <c r="G71" s="1091" t="s">
        <v>49</v>
      </c>
      <c r="H71" s="1091" t="s">
        <v>50</v>
      </c>
      <c r="I71" s="1091" t="s">
        <v>136</v>
      </c>
      <c r="J71" s="1091" t="s">
        <v>52</v>
      </c>
      <c r="K71" s="1091" t="s">
        <v>53</v>
      </c>
      <c r="L71" s="1091" t="s">
        <v>54</v>
      </c>
      <c r="M71" s="1091" t="s">
        <v>55</v>
      </c>
      <c r="N71" s="1091" t="s">
        <v>56</v>
      </c>
      <c r="O71" s="1091" t="s">
        <v>57</v>
      </c>
    </row>
    <row r="72" spans="2:15" x14ac:dyDescent="0.35">
      <c r="C72" s="1091" t="s">
        <v>22</v>
      </c>
      <c r="D72" s="1093">
        <v>3</v>
      </c>
      <c r="E72" s="1093">
        <v>3</v>
      </c>
      <c r="F72" s="1093">
        <v>1</v>
      </c>
      <c r="G72" s="1093">
        <v>3</v>
      </c>
      <c r="H72" s="1093">
        <v>1</v>
      </c>
      <c r="I72" s="1093">
        <v>3</v>
      </c>
      <c r="J72" s="1093">
        <v>2</v>
      </c>
      <c r="K72" s="1093">
        <v>3</v>
      </c>
      <c r="L72" s="1093">
        <v>3</v>
      </c>
      <c r="M72" s="1093">
        <v>3</v>
      </c>
      <c r="N72" s="1093">
        <v>2</v>
      </c>
      <c r="O72" s="1093">
        <v>3</v>
      </c>
    </row>
    <row r="73" spans="2:15" x14ac:dyDescent="0.35">
      <c r="C73" s="1092" t="s">
        <v>168</v>
      </c>
      <c r="D73" s="1094">
        <f t="shared" ref="D73:O73" si="3">AVERAGE(D72:D72)</f>
        <v>3</v>
      </c>
      <c r="E73" s="1094">
        <f t="shared" si="3"/>
        <v>3</v>
      </c>
      <c r="F73" s="1094">
        <f t="shared" si="3"/>
        <v>1</v>
      </c>
      <c r="G73" s="1094">
        <f t="shared" si="3"/>
        <v>3</v>
      </c>
      <c r="H73" s="1094">
        <f t="shared" si="3"/>
        <v>1</v>
      </c>
      <c r="I73" s="1094">
        <f t="shared" si="3"/>
        <v>3</v>
      </c>
      <c r="J73" s="1094">
        <f t="shared" si="3"/>
        <v>2</v>
      </c>
      <c r="K73" s="1094">
        <f t="shared" si="3"/>
        <v>3</v>
      </c>
      <c r="L73" s="1094">
        <f t="shared" si="3"/>
        <v>3</v>
      </c>
      <c r="M73" s="1094">
        <f t="shared" si="3"/>
        <v>3</v>
      </c>
      <c r="N73" s="1094">
        <f t="shared" si="3"/>
        <v>2</v>
      </c>
      <c r="O73" s="1094">
        <f t="shared" si="3"/>
        <v>3</v>
      </c>
    </row>
    <row r="74" spans="2:15" x14ac:dyDescent="0.35">
      <c r="C74" s="1092" t="s">
        <v>169</v>
      </c>
      <c r="D74" s="2866">
        <f>AVERAGE(D73:O73)</f>
        <v>2.5</v>
      </c>
      <c r="E74" s="2867"/>
      <c r="F74" s="2867"/>
      <c r="G74" s="2867"/>
      <c r="H74" s="2867"/>
      <c r="I74" s="2867"/>
      <c r="J74" s="2867"/>
      <c r="K74" s="2867"/>
      <c r="L74" s="2867"/>
      <c r="M74" s="2867"/>
      <c r="N74" s="2867"/>
      <c r="O74" s="2868"/>
    </row>
    <row r="76" spans="2:15" x14ac:dyDescent="0.35">
      <c r="B76" s="2070" t="s">
        <v>161</v>
      </c>
      <c r="C76" s="2070"/>
      <c r="D76" s="1087"/>
      <c r="E76" s="1095"/>
      <c r="F76" s="1095"/>
      <c r="G76" s="1095"/>
      <c r="H76" s="1095"/>
      <c r="I76" s="1095"/>
      <c r="J76" s="1095"/>
      <c r="K76" s="1095"/>
      <c r="L76" s="1095"/>
      <c r="M76" s="1095"/>
      <c r="N76" s="1095"/>
      <c r="O76" s="1095"/>
    </row>
    <row r="77" spans="2:15" x14ac:dyDescent="0.35">
      <c r="B77" s="1095"/>
      <c r="C77" s="1095"/>
      <c r="D77" s="1095"/>
      <c r="E77" s="1095"/>
      <c r="F77" s="1095"/>
      <c r="G77" s="1095"/>
      <c r="H77" s="1095"/>
      <c r="I77" s="1095"/>
      <c r="J77" s="1095"/>
      <c r="K77" s="1095"/>
      <c r="L77" s="1095"/>
      <c r="M77" s="1095"/>
      <c r="N77" s="1095"/>
      <c r="O77" s="1095"/>
    </row>
    <row r="78" spans="2:15" x14ac:dyDescent="0.35">
      <c r="B78" s="1095"/>
      <c r="C78" s="1096" t="s">
        <v>45</v>
      </c>
      <c r="D78" s="1097" t="s">
        <v>68</v>
      </c>
      <c r="E78" s="1097" t="s">
        <v>69</v>
      </c>
      <c r="F78" s="1097" t="s">
        <v>70</v>
      </c>
      <c r="G78" s="1097" t="s">
        <v>71</v>
      </c>
      <c r="H78" s="1097" t="s">
        <v>72</v>
      </c>
      <c r="I78" s="1097" t="s">
        <v>73</v>
      </c>
      <c r="J78" s="1097" t="s">
        <v>74</v>
      </c>
      <c r="K78" s="1097" t="s">
        <v>75</v>
      </c>
      <c r="L78" s="1097" t="s">
        <v>76</v>
      </c>
      <c r="M78" s="1097" t="s">
        <v>77</v>
      </c>
      <c r="N78" s="1097" t="s">
        <v>78</v>
      </c>
      <c r="O78" s="1097" t="s">
        <v>79</v>
      </c>
    </row>
    <row r="79" spans="2:15" x14ac:dyDescent="0.35">
      <c r="B79" s="1095"/>
      <c r="C79" s="1098" t="s">
        <v>20</v>
      </c>
      <c r="D79" s="1099">
        <f>ROUND((D72/3)*$G$63,0)</f>
        <v>3</v>
      </c>
      <c r="E79" s="1099">
        <f t="shared" ref="E79:O79" si="4">ROUND((E72/3)*$G$63,0)</f>
        <v>3</v>
      </c>
      <c r="F79" s="1099">
        <f t="shared" si="4"/>
        <v>1</v>
      </c>
      <c r="G79" s="1099">
        <f t="shared" si="4"/>
        <v>3</v>
      </c>
      <c r="H79" s="1099">
        <f t="shared" si="4"/>
        <v>1</v>
      </c>
      <c r="I79" s="1099">
        <f t="shared" si="4"/>
        <v>3</v>
      </c>
      <c r="J79" s="1099">
        <f t="shared" si="4"/>
        <v>2</v>
      </c>
      <c r="K79" s="1099">
        <f t="shared" si="4"/>
        <v>3</v>
      </c>
      <c r="L79" s="1099">
        <f t="shared" si="4"/>
        <v>3</v>
      </c>
      <c r="M79" s="1099">
        <f t="shared" si="4"/>
        <v>3</v>
      </c>
      <c r="N79" s="1099">
        <f t="shared" si="4"/>
        <v>2</v>
      </c>
      <c r="O79" s="1099">
        <f t="shared" si="4"/>
        <v>3</v>
      </c>
    </row>
    <row r="80" spans="2:15" x14ac:dyDescent="0.35">
      <c r="B80" s="1095"/>
      <c r="C80" s="1096" t="s">
        <v>10</v>
      </c>
      <c r="D80" s="1100">
        <f t="shared" ref="D80:O80" si="5">ROUND(AVERAGE(D79:D79),2)</f>
        <v>3</v>
      </c>
      <c r="E80" s="1100">
        <f t="shared" si="5"/>
        <v>3</v>
      </c>
      <c r="F80" s="1100">
        <f t="shared" si="5"/>
        <v>1</v>
      </c>
      <c r="G80" s="1100">
        <f t="shared" si="5"/>
        <v>3</v>
      </c>
      <c r="H80" s="1100">
        <f t="shared" si="5"/>
        <v>1</v>
      </c>
      <c r="I80" s="1100">
        <f t="shared" si="5"/>
        <v>3</v>
      </c>
      <c r="J80" s="1100">
        <f t="shared" si="5"/>
        <v>2</v>
      </c>
      <c r="K80" s="1100">
        <f t="shared" si="5"/>
        <v>3</v>
      </c>
      <c r="L80" s="1100">
        <f t="shared" si="5"/>
        <v>3</v>
      </c>
      <c r="M80" s="1100">
        <f t="shared" si="5"/>
        <v>3</v>
      </c>
      <c r="N80" s="1100">
        <f t="shared" si="5"/>
        <v>2</v>
      </c>
      <c r="O80" s="1100">
        <f t="shared" si="5"/>
        <v>3</v>
      </c>
    </row>
    <row r="81" spans="2:15" x14ac:dyDescent="0.35">
      <c r="B81" s="1095"/>
      <c r="C81" s="1096" t="s">
        <v>58</v>
      </c>
      <c r="D81" s="2869">
        <f>AVERAGE(D80:O80)</f>
        <v>2.5</v>
      </c>
      <c r="E81" s="2870"/>
      <c r="F81" s="2870"/>
      <c r="G81" s="2870"/>
      <c r="H81" s="2870"/>
      <c r="I81" s="2870"/>
      <c r="J81" s="2870"/>
      <c r="K81" s="2870"/>
      <c r="L81" s="2870"/>
      <c r="M81" s="2870"/>
      <c r="N81" s="2870"/>
      <c r="O81" s="2871"/>
    </row>
    <row r="84" spans="2:15" x14ac:dyDescent="0.35">
      <c r="B84" s="2872" t="s">
        <v>137</v>
      </c>
      <c r="C84" s="2872"/>
      <c r="D84" s="19"/>
      <c r="E84" s="19"/>
      <c r="F84" s="19"/>
      <c r="G84" s="22"/>
      <c r="H84" s="2872" t="s">
        <v>324</v>
      </c>
      <c r="I84" s="2872"/>
      <c r="J84" s="22"/>
      <c r="K84" s="22"/>
    </row>
    <row r="85" spans="2:15" x14ac:dyDescent="0.35">
      <c r="B85" s="939"/>
      <c r="C85" s="472"/>
      <c r="D85" s="472"/>
      <c r="E85" s="19"/>
      <c r="F85" s="19"/>
      <c r="G85" s="22"/>
      <c r="H85" s="2872"/>
      <c r="I85" s="2872"/>
      <c r="J85" s="22"/>
      <c r="K85" s="22"/>
    </row>
    <row r="86" spans="2:15" x14ac:dyDescent="0.35">
      <c r="B86" s="939"/>
      <c r="C86" s="980" t="s">
        <v>59</v>
      </c>
      <c r="D86" s="748" t="s">
        <v>87</v>
      </c>
      <c r="E86" s="748" t="s">
        <v>88</v>
      </c>
      <c r="F86" s="748" t="s">
        <v>85</v>
      </c>
      <c r="G86" s="953"/>
      <c r="H86" s="980" t="s">
        <v>59</v>
      </c>
      <c r="I86" s="2051" t="s">
        <v>60</v>
      </c>
      <c r="J86" s="2051" t="s">
        <v>61</v>
      </c>
      <c r="K86" s="2051" t="s">
        <v>62</v>
      </c>
    </row>
    <row r="87" spans="2:15" x14ac:dyDescent="0.35">
      <c r="B87" s="939"/>
      <c r="C87" s="572" t="s">
        <v>22</v>
      </c>
      <c r="D87" s="856">
        <v>3</v>
      </c>
      <c r="E87" s="856">
        <v>3</v>
      </c>
      <c r="F87" s="856">
        <v>2</v>
      </c>
      <c r="G87" s="953"/>
      <c r="H87" s="967" t="s">
        <v>20</v>
      </c>
      <c r="I87" s="907">
        <f>$G$64*D87/3</f>
        <v>2.9999999999999996</v>
      </c>
      <c r="J87" s="907">
        <f t="shared" ref="J87:K87" si="6">$G$64*E87/3</f>
        <v>2.9999999999999996</v>
      </c>
      <c r="K87" s="907">
        <f t="shared" si="6"/>
        <v>1.9999999999999998</v>
      </c>
    </row>
  </sheetData>
  <mergeCells count="21">
    <mergeCell ref="D74:O74"/>
    <mergeCell ref="D81:O81"/>
    <mergeCell ref="B84:C84"/>
    <mergeCell ref="H84:I84"/>
    <mergeCell ref="H85:I85"/>
    <mergeCell ref="P60:Q60"/>
    <mergeCell ref="A61:B61"/>
    <mergeCell ref="I15:Q15"/>
    <mergeCell ref="I22:Q22"/>
    <mergeCell ref="H60:L60"/>
    <mergeCell ref="K3:L3"/>
    <mergeCell ref="M3:N3"/>
    <mergeCell ref="B5:B6"/>
    <mergeCell ref="C5:C6"/>
    <mergeCell ref="D5:D6"/>
    <mergeCell ref="E5:E6"/>
    <mergeCell ref="A2:B2"/>
    <mergeCell ref="A3:B3"/>
    <mergeCell ref="D7:E7"/>
    <mergeCell ref="D8:E8"/>
    <mergeCell ref="A60:B60"/>
  </mergeCells>
  <conditionalFormatting sqref="I13:L13">
    <cfRule type="cellIs" dxfId="140" priority="5" operator="equal">
      <formula>FALSE</formula>
    </cfRule>
  </conditionalFormatting>
  <conditionalFormatting sqref="D46">
    <cfRule type="containsText" dxfId="139" priority="2" operator="containsText" text="F">
      <formula>NOT(ISERROR(SEARCH("F",D46)))</formula>
    </cfRule>
  </conditionalFormatting>
  <conditionalFormatting sqref="D47:D57 D9:D45">
    <cfRule type="containsText" dxfId="138" priority="3" operator="containsText" text="F">
      <formula>NOT(ISERROR(SEARCH("F",D9)))</formula>
    </cfRule>
  </conditionalFormatting>
  <conditionalFormatting sqref="D72:G72">
    <cfRule type="cellIs" dxfId="137" priority="1" operator="equal">
      <formula>FALSE</formula>
    </cfRule>
  </conditionalFormatting>
  <pageMargins left="0.7" right="0.7" top="0.75" bottom="0.75" header="0.3" footer="0.3"/>
  <pageSetup paperSize="8" scale="34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80"/>
  <sheetViews>
    <sheetView topLeftCell="A55" zoomScale="90" zoomScaleNormal="90" workbookViewId="0">
      <selection activeCell="A60" sqref="A60:B60"/>
    </sheetView>
  </sheetViews>
  <sheetFormatPr defaultRowHeight="15" x14ac:dyDescent="0.25"/>
  <cols>
    <col min="2" max="2" width="19.42578125" customWidth="1"/>
    <col min="3" max="3" width="16.28515625" customWidth="1"/>
    <col min="4" max="4" width="15.140625" customWidth="1"/>
    <col min="5" max="5" width="15.5703125" customWidth="1"/>
    <col min="6" max="6" width="12.140625" customWidth="1"/>
    <col min="7" max="7" width="10.5703125" customWidth="1"/>
    <col min="8" max="8" width="9" customWidth="1"/>
    <col min="9" max="9" width="8.140625" bestFit="1" customWidth="1"/>
    <col min="11" max="11" width="7.42578125" customWidth="1"/>
    <col min="12" max="12" width="7.28515625" bestFit="1" customWidth="1"/>
    <col min="13" max="13" width="10.85546875" customWidth="1"/>
    <col min="14" max="14" width="7.42578125" bestFit="1" customWidth="1"/>
  </cols>
  <sheetData>
    <row r="1" spans="1:24" ht="15.75" x14ac:dyDescent="0.25">
      <c r="A1" s="128"/>
      <c r="B1" s="128"/>
      <c r="C1" s="128"/>
      <c r="D1" s="128"/>
      <c r="E1" s="128"/>
      <c r="F1" s="129"/>
    </row>
    <row r="2" spans="1:24" ht="15.75" x14ac:dyDescent="0.25">
      <c r="A2" s="2873" t="s">
        <v>0</v>
      </c>
      <c r="B2" s="2874"/>
      <c r="C2" s="178" t="s">
        <v>194</v>
      </c>
      <c r="D2" s="179" t="s">
        <v>63</v>
      </c>
      <c r="E2" s="131" t="s">
        <v>366</v>
      </c>
      <c r="F2" s="180"/>
    </row>
    <row r="3" spans="1:24" ht="19.5" customHeight="1" x14ac:dyDescent="0.25">
      <c r="A3" s="2875" t="s">
        <v>1</v>
      </c>
      <c r="B3" s="2876"/>
      <c r="C3" s="181" t="s">
        <v>195</v>
      </c>
      <c r="D3" s="3" t="s">
        <v>64</v>
      </c>
      <c r="E3" s="131" t="s">
        <v>319</v>
      </c>
      <c r="F3" s="75"/>
    </row>
    <row r="4" spans="1:24" ht="15.75" x14ac:dyDescent="0.25">
      <c r="A4" s="97"/>
      <c r="B4" s="5" t="s">
        <v>2</v>
      </c>
      <c r="C4" s="130" t="s">
        <v>157</v>
      </c>
      <c r="D4" s="5" t="s">
        <v>65</v>
      </c>
      <c r="E4" s="131" t="s">
        <v>66</v>
      </c>
      <c r="F4" s="15"/>
    </row>
    <row r="5" spans="1:24" ht="15.75" x14ac:dyDescent="0.25">
      <c r="A5" s="67"/>
      <c r="B5" s="2662" t="s">
        <v>5</v>
      </c>
      <c r="C5" s="2889" t="s">
        <v>165</v>
      </c>
      <c r="D5" s="2661" t="s">
        <v>11</v>
      </c>
      <c r="E5" s="2661" t="s">
        <v>12</v>
      </c>
    </row>
    <row r="6" spans="1:24" ht="15.75" x14ac:dyDescent="0.25">
      <c r="A6" s="16"/>
      <c r="B6" s="2651"/>
      <c r="C6" s="2890"/>
      <c r="D6" s="2662"/>
      <c r="E6" s="2662"/>
    </row>
    <row r="7" spans="1:24" ht="15.75" x14ac:dyDescent="0.25">
      <c r="A7" s="16"/>
      <c r="B7" s="116" t="s">
        <v>19</v>
      </c>
      <c r="C7" s="110" t="s">
        <v>166</v>
      </c>
      <c r="D7" s="2884" t="s">
        <v>166</v>
      </c>
      <c r="E7" s="2885"/>
    </row>
    <row r="8" spans="1:24" ht="15.75" x14ac:dyDescent="0.25">
      <c r="A8" s="108" t="s">
        <v>18</v>
      </c>
      <c r="B8" s="109" t="s">
        <v>26</v>
      </c>
      <c r="C8" s="184">
        <v>50</v>
      </c>
      <c r="D8" s="2886">
        <v>100</v>
      </c>
      <c r="E8" s="2887"/>
    </row>
    <row r="9" spans="1:24" ht="20.25" x14ac:dyDescent="0.25">
      <c r="A9" s="185">
        <v>1</v>
      </c>
      <c r="B9" s="1973">
        <v>5191421001</v>
      </c>
      <c r="C9" s="539">
        <v>35</v>
      </c>
      <c r="D9" s="2112" t="s">
        <v>32</v>
      </c>
      <c r="E9" s="185">
        <f t="shared" ref="E9:E57" si="0">IF(D9="O",100,IF(D9="A+",90,IF(D9="A",80,IF(D9="B+",70,IF(D9="B",60,IF(D9="C",55,IF(D9="P",50,IF(D9="F",39))))))))</f>
        <v>70</v>
      </c>
    </row>
    <row r="10" spans="1:24" ht="20.25" x14ac:dyDescent="0.25">
      <c r="A10" s="185">
        <v>2</v>
      </c>
      <c r="B10" s="1973">
        <f>+B9+1</f>
        <v>5191421002</v>
      </c>
      <c r="C10" s="539">
        <v>44</v>
      </c>
      <c r="D10" s="2113" t="s">
        <v>30</v>
      </c>
      <c r="E10" s="185">
        <f t="shared" si="0"/>
        <v>90</v>
      </c>
    </row>
    <row r="11" spans="1:24" ht="20.25" x14ac:dyDescent="0.25">
      <c r="A11" s="185">
        <v>3</v>
      </c>
      <c r="B11" s="1973">
        <f t="shared" ref="B11:B57" si="1">+B10+1</f>
        <v>5191421003</v>
      </c>
      <c r="C11" s="539">
        <v>46</v>
      </c>
      <c r="D11" s="2112" t="s">
        <v>82</v>
      </c>
      <c r="E11" s="185">
        <f t="shared" si="0"/>
        <v>100</v>
      </c>
      <c r="X11" s="153"/>
    </row>
    <row r="12" spans="1:24" ht="20.25" x14ac:dyDescent="0.25">
      <c r="A12" s="185">
        <v>4</v>
      </c>
      <c r="B12" s="1973">
        <f t="shared" si="1"/>
        <v>5191421004</v>
      </c>
      <c r="C12" s="539">
        <v>34</v>
      </c>
      <c r="D12" s="2113" t="s">
        <v>32</v>
      </c>
      <c r="E12" s="185">
        <f t="shared" si="0"/>
        <v>70</v>
      </c>
      <c r="X12" s="153"/>
    </row>
    <row r="13" spans="1:24" ht="20.25" x14ac:dyDescent="0.25">
      <c r="A13" s="185">
        <v>5</v>
      </c>
      <c r="B13" s="1973">
        <f t="shared" si="1"/>
        <v>5191421005</v>
      </c>
      <c r="C13" s="539">
        <v>37</v>
      </c>
      <c r="D13" s="2112" t="s">
        <v>27</v>
      </c>
      <c r="E13" s="185">
        <f t="shared" si="0"/>
        <v>80</v>
      </c>
      <c r="X13" s="153"/>
    </row>
    <row r="14" spans="1:24" ht="20.25" x14ac:dyDescent="0.25">
      <c r="A14" s="185">
        <v>6</v>
      </c>
      <c r="B14" s="1973">
        <f t="shared" si="1"/>
        <v>5191421006</v>
      </c>
      <c r="C14" s="542">
        <v>46</v>
      </c>
      <c r="D14" s="2113" t="s">
        <v>30</v>
      </c>
      <c r="E14" s="185">
        <f t="shared" si="0"/>
        <v>90</v>
      </c>
      <c r="X14" s="153"/>
    </row>
    <row r="15" spans="1:24" ht="20.25" x14ac:dyDescent="0.25">
      <c r="A15" s="185">
        <v>7</v>
      </c>
      <c r="B15" s="1973">
        <f t="shared" si="1"/>
        <v>5191421007</v>
      </c>
      <c r="C15" s="542">
        <v>40</v>
      </c>
      <c r="D15" s="2112" t="s">
        <v>30</v>
      </c>
      <c r="E15" s="185">
        <f t="shared" si="0"/>
        <v>90</v>
      </c>
      <c r="X15" s="153"/>
    </row>
    <row r="16" spans="1:24" ht="20.25" x14ac:dyDescent="0.25">
      <c r="A16" s="185">
        <v>8</v>
      </c>
      <c r="B16" s="1973">
        <f t="shared" si="1"/>
        <v>5191421008</v>
      </c>
      <c r="C16" s="542">
        <v>46</v>
      </c>
      <c r="D16" s="2113" t="s">
        <v>82</v>
      </c>
      <c r="E16" s="185">
        <f t="shared" si="0"/>
        <v>100</v>
      </c>
      <c r="X16" s="153"/>
    </row>
    <row r="17" spans="1:24" ht="20.25" x14ac:dyDescent="0.25">
      <c r="A17" s="185">
        <v>9</v>
      </c>
      <c r="B17" s="1973">
        <f t="shared" si="1"/>
        <v>5191421009</v>
      </c>
      <c r="C17" s="539">
        <v>45</v>
      </c>
      <c r="D17" s="2112" t="s">
        <v>30</v>
      </c>
      <c r="E17" s="185">
        <f t="shared" si="0"/>
        <v>90</v>
      </c>
      <c r="X17" s="153"/>
    </row>
    <row r="18" spans="1:24" ht="20.25" x14ac:dyDescent="0.25">
      <c r="A18" s="185">
        <v>10</v>
      </c>
      <c r="B18" s="1973">
        <f t="shared" si="1"/>
        <v>5191421010</v>
      </c>
      <c r="C18" s="542">
        <v>45</v>
      </c>
      <c r="D18" s="2113" t="s">
        <v>30</v>
      </c>
      <c r="E18" s="185">
        <f t="shared" si="0"/>
        <v>90</v>
      </c>
      <c r="X18" s="153"/>
    </row>
    <row r="19" spans="1:24" ht="20.25" x14ac:dyDescent="0.25">
      <c r="A19" s="185">
        <v>11</v>
      </c>
      <c r="B19" s="1973">
        <f t="shared" si="1"/>
        <v>5191421011</v>
      </c>
      <c r="C19" s="539">
        <v>47</v>
      </c>
      <c r="D19" s="2112" t="s">
        <v>82</v>
      </c>
      <c r="E19" s="185">
        <f t="shared" si="0"/>
        <v>100</v>
      </c>
      <c r="X19" s="153"/>
    </row>
    <row r="20" spans="1:24" ht="20.25" x14ac:dyDescent="0.25">
      <c r="A20" s="185">
        <v>12</v>
      </c>
      <c r="B20" s="1973">
        <f t="shared" si="1"/>
        <v>5191421012</v>
      </c>
      <c r="C20" s="539">
        <v>44</v>
      </c>
      <c r="D20" s="2113" t="s">
        <v>27</v>
      </c>
      <c r="E20" s="185">
        <f t="shared" si="0"/>
        <v>80</v>
      </c>
    </row>
    <row r="21" spans="1:24" ht="20.25" x14ac:dyDescent="0.25">
      <c r="A21" s="185">
        <v>13</v>
      </c>
      <c r="B21" s="1973">
        <f t="shared" si="1"/>
        <v>5191421013</v>
      </c>
      <c r="C21" s="539">
        <v>46</v>
      </c>
      <c r="D21" s="2112" t="s">
        <v>82</v>
      </c>
      <c r="E21" s="185">
        <f t="shared" si="0"/>
        <v>100</v>
      </c>
    </row>
    <row r="22" spans="1:24" ht="20.25" x14ac:dyDescent="0.25">
      <c r="A22" s="185">
        <v>14</v>
      </c>
      <c r="B22" s="1973">
        <f t="shared" si="1"/>
        <v>5191421014</v>
      </c>
      <c r="C22" s="539">
        <v>42</v>
      </c>
      <c r="D22" s="2113" t="s">
        <v>27</v>
      </c>
      <c r="E22" s="185">
        <f t="shared" si="0"/>
        <v>80</v>
      </c>
    </row>
    <row r="23" spans="1:24" ht="20.25" x14ac:dyDescent="0.25">
      <c r="A23" s="185">
        <v>15</v>
      </c>
      <c r="B23" s="1973">
        <f t="shared" si="1"/>
        <v>5191421015</v>
      </c>
      <c r="C23" s="539">
        <v>42</v>
      </c>
      <c r="D23" s="2112" t="s">
        <v>30</v>
      </c>
      <c r="E23" s="185">
        <f t="shared" si="0"/>
        <v>90</v>
      </c>
    </row>
    <row r="24" spans="1:24" ht="20.25" x14ac:dyDescent="0.25">
      <c r="A24" s="185">
        <v>16</v>
      </c>
      <c r="B24" s="1973">
        <f t="shared" si="1"/>
        <v>5191421016</v>
      </c>
      <c r="C24" s="542">
        <v>38</v>
      </c>
      <c r="D24" s="2113" t="s">
        <v>32</v>
      </c>
      <c r="E24" s="185">
        <f t="shared" si="0"/>
        <v>70</v>
      </c>
    </row>
    <row r="25" spans="1:24" ht="20.25" x14ac:dyDescent="0.25">
      <c r="A25" s="185">
        <v>17</v>
      </c>
      <c r="B25" s="1973">
        <f t="shared" si="1"/>
        <v>5191421017</v>
      </c>
      <c r="C25" s="542">
        <v>45</v>
      </c>
      <c r="D25" s="2112" t="s">
        <v>82</v>
      </c>
      <c r="E25" s="185">
        <f t="shared" si="0"/>
        <v>100</v>
      </c>
    </row>
    <row r="26" spans="1:24" ht="20.25" x14ac:dyDescent="0.25">
      <c r="A26" s="185">
        <v>18</v>
      </c>
      <c r="B26" s="1973">
        <f t="shared" si="1"/>
        <v>5191421018</v>
      </c>
      <c r="C26" s="542">
        <v>37</v>
      </c>
      <c r="D26" s="2113" t="s">
        <v>32</v>
      </c>
      <c r="E26" s="185">
        <f t="shared" si="0"/>
        <v>70</v>
      </c>
    </row>
    <row r="27" spans="1:24" ht="20.25" x14ac:dyDescent="0.25">
      <c r="A27" s="185">
        <v>19</v>
      </c>
      <c r="B27" s="1973">
        <f t="shared" si="1"/>
        <v>5191421019</v>
      </c>
      <c r="C27" s="542">
        <v>46</v>
      </c>
      <c r="D27" s="2112" t="s">
        <v>82</v>
      </c>
      <c r="E27" s="185">
        <f t="shared" si="0"/>
        <v>100</v>
      </c>
    </row>
    <row r="28" spans="1:24" ht="20.25" x14ac:dyDescent="0.25">
      <c r="A28" s="185">
        <v>20</v>
      </c>
      <c r="B28" s="1973">
        <f t="shared" si="1"/>
        <v>5191421020</v>
      </c>
      <c r="C28" s="539">
        <v>47</v>
      </c>
      <c r="D28" s="2113" t="s">
        <v>82</v>
      </c>
      <c r="E28" s="185">
        <f t="shared" si="0"/>
        <v>100</v>
      </c>
    </row>
    <row r="29" spans="1:24" ht="20.25" x14ac:dyDescent="0.25">
      <c r="A29" s="185">
        <v>21</v>
      </c>
      <c r="B29" s="1973">
        <f t="shared" si="1"/>
        <v>5191421021</v>
      </c>
      <c r="C29" s="539">
        <v>40</v>
      </c>
      <c r="D29" s="2112" t="s">
        <v>30</v>
      </c>
      <c r="E29" s="185">
        <f t="shared" si="0"/>
        <v>90</v>
      </c>
    </row>
    <row r="30" spans="1:24" ht="20.25" x14ac:dyDescent="0.25">
      <c r="A30" s="185">
        <v>22</v>
      </c>
      <c r="B30" s="1973">
        <f t="shared" si="1"/>
        <v>5191421022</v>
      </c>
      <c r="C30" s="542">
        <v>41</v>
      </c>
      <c r="D30" s="2113" t="s">
        <v>30</v>
      </c>
      <c r="E30" s="185">
        <f t="shared" si="0"/>
        <v>90</v>
      </c>
    </row>
    <row r="31" spans="1:24" ht="20.25" x14ac:dyDescent="0.25">
      <c r="A31" s="185">
        <v>23</v>
      </c>
      <c r="B31" s="1973">
        <f t="shared" si="1"/>
        <v>5191421023</v>
      </c>
      <c r="C31" s="542">
        <v>40</v>
      </c>
      <c r="D31" s="2112" t="s">
        <v>30</v>
      </c>
      <c r="E31" s="185">
        <f t="shared" si="0"/>
        <v>90</v>
      </c>
    </row>
    <row r="32" spans="1:24" ht="20.25" x14ac:dyDescent="0.25">
      <c r="A32" s="185">
        <v>24</v>
      </c>
      <c r="B32" s="1973">
        <f t="shared" si="1"/>
        <v>5191421024</v>
      </c>
      <c r="C32" s="539">
        <v>40</v>
      </c>
      <c r="D32" s="2113" t="s">
        <v>30</v>
      </c>
      <c r="E32" s="185">
        <f t="shared" si="0"/>
        <v>90</v>
      </c>
    </row>
    <row r="33" spans="1:23" ht="20.25" x14ac:dyDescent="0.25">
      <c r="A33" s="185">
        <v>25</v>
      </c>
      <c r="B33" s="1973">
        <f t="shared" si="1"/>
        <v>5191421025</v>
      </c>
      <c r="C33" s="542">
        <v>47</v>
      </c>
      <c r="D33" s="2112" t="s">
        <v>82</v>
      </c>
      <c r="E33" s="185">
        <f t="shared" si="0"/>
        <v>100</v>
      </c>
      <c r="G33" s="121"/>
      <c r="H33" s="121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69"/>
      <c r="U33" s="69"/>
      <c r="V33" s="22"/>
      <c r="W33" s="19"/>
    </row>
    <row r="34" spans="1:23" ht="20.25" x14ac:dyDescent="0.25">
      <c r="A34" s="185">
        <v>26</v>
      </c>
      <c r="B34" s="1973">
        <f t="shared" si="1"/>
        <v>5191421026</v>
      </c>
      <c r="C34" s="542">
        <v>48</v>
      </c>
      <c r="D34" s="2113" t="s">
        <v>82</v>
      </c>
      <c r="E34" s="185">
        <f t="shared" si="0"/>
        <v>100</v>
      </c>
      <c r="G34" s="121"/>
      <c r="H34" s="121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69"/>
      <c r="U34" s="69"/>
      <c r="V34" s="22"/>
      <c r="W34" s="19"/>
    </row>
    <row r="35" spans="1:23" ht="20.25" x14ac:dyDescent="0.25">
      <c r="A35" s="185">
        <v>27</v>
      </c>
      <c r="B35" s="1973">
        <f t="shared" si="1"/>
        <v>5191421027</v>
      </c>
      <c r="C35" s="542">
        <v>45</v>
      </c>
      <c r="D35" s="2112" t="s">
        <v>30</v>
      </c>
      <c r="E35" s="185">
        <f t="shared" si="0"/>
        <v>90</v>
      </c>
      <c r="G35" s="121"/>
      <c r="H35" s="121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69"/>
      <c r="U35" s="69"/>
      <c r="V35" s="22"/>
      <c r="W35" s="19"/>
    </row>
    <row r="36" spans="1:23" ht="20.25" x14ac:dyDescent="0.25">
      <c r="A36" s="185">
        <v>28</v>
      </c>
      <c r="B36" s="1973">
        <f t="shared" si="1"/>
        <v>5191421028</v>
      </c>
      <c r="C36" s="542">
        <v>48</v>
      </c>
      <c r="D36" s="2113" t="s">
        <v>82</v>
      </c>
      <c r="E36" s="185">
        <f t="shared" si="0"/>
        <v>100</v>
      </c>
      <c r="G36" s="121"/>
      <c r="H36" s="121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69"/>
      <c r="U36" s="69"/>
      <c r="V36" s="22"/>
      <c r="W36" s="19"/>
    </row>
    <row r="37" spans="1:23" ht="20.25" x14ac:dyDescent="0.25">
      <c r="A37" s="185">
        <v>29</v>
      </c>
      <c r="B37" s="1973">
        <f t="shared" si="1"/>
        <v>5191421029</v>
      </c>
      <c r="C37" s="542">
        <v>40</v>
      </c>
      <c r="D37" s="2112" t="s">
        <v>30</v>
      </c>
      <c r="E37" s="185">
        <f t="shared" si="0"/>
        <v>90</v>
      </c>
      <c r="G37" s="121"/>
      <c r="H37" s="121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69"/>
      <c r="U37" s="69"/>
      <c r="V37" s="22"/>
      <c r="W37" s="19"/>
    </row>
    <row r="38" spans="1:23" ht="20.25" x14ac:dyDescent="0.25">
      <c r="A38" s="185">
        <v>30</v>
      </c>
      <c r="B38" s="1973">
        <f t="shared" si="1"/>
        <v>5191421030</v>
      </c>
      <c r="C38" s="542">
        <v>39</v>
      </c>
      <c r="D38" s="2113" t="s">
        <v>27</v>
      </c>
      <c r="E38" s="185">
        <f t="shared" si="0"/>
        <v>80</v>
      </c>
      <c r="G38" s="121"/>
      <c r="H38" s="121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69"/>
      <c r="U38" s="69"/>
      <c r="V38" s="22"/>
      <c r="W38" s="19"/>
    </row>
    <row r="39" spans="1:23" ht="20.25" x14ac:dyDescent="0.25">
      <c r="A39" s="185">
        <v>31</v>
      </c>
      <c r="B39" s="1973">
        <f t="shared" si="1"/>
        <v>5191421031</v>
      </c>
      <c r="C39" s="542">
        <v>44</v>
      </c>
      <c r="D39" s="2112" t="s">
        <v>30</v>
      </c>
      <c r="E39" s="185">
        <f t="shared" si="0"/>
        <v>90</v>
      </c>
      <c r="G39" s="121"/>
      <c r="H39" s="121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69"/>
      <c r="U39" s="69"/>
      <c r="V39" s="22"/>
      <c r="W39" s="19"/>
    </row>
    <row r="40" spans="1:23" ht="20.25" x14ac:dyDescent="0.25">
      <c r="A40" s="185">
        <v>32</v>
      </c>
      <c r="B40" s="1973">
        <f t="shared" si="1"/>
        <v>5191421032</v>
      </c>
      <c r="C40" s="542">
        <v>36</v>
      </c>
      <c r="D40" s="2113" t="s">
        <v>32</v>
      </c>
      <c r="E40" s="185">
        <f t="shared" si="0"/>
        <v>70</v>
      </c>
      <c r="G40" s="121"/>
      <c r="H40" s="121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69"/>
      <c r="U40" s="69"/>
      <c r="V40" s="22"/>
      <c r="W40" s="19"/>
    </row>
    <row r="41" spans="1:23" ht="20.25" x14ac:dyDescent="0.25">
      <c r="A41" s="185">
        <v>33</v>
      </c>
      <c r="B41" s="1973">
        <f t="shared" si="1"/>
        <v>5191421033</v>
      </c>
      <c r="C41" s="542">
        <v>42</v>
      </c>
      <c r="D41" s="2112" t="s">
        <v>30</v>
      </c>
      <c r="E41" s="185">
        <f t="shared" si="0"/>
        <v>90</v>
      </c>
      <c r="G41" s="121"/>
      <c r="H41" s="121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69"/>
      <c r="U41" s="69"/>
      <c r="V41" s="22"/>
      <c r="W41" s="19"/>
    </row>
    <row r="42" spans="1:23" ht="20.25" x14ac:dyDescent="0.25">
      <c r="A42" s="185">
        <v>34</v>
      </c>
      <c r="B42" s="1973">
        <f t="shared" si="1"/>
        <v>5191421034</v>
      </c>
      <c r="C42" s="542">
        <v>46</v>
      </c>
      <c r="D42" s="2113" t="s">
        <v>82</v>
      </c>
      <c r="E42" s="185">
        <f t="shared" si="0"/>
        <v>100</v>
      </c>
      <c r="G42" s="121"/>
      <c r="H42" s="121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69"/>
      <c r="U42" s="69"/>
      <c r="V42" s="22"/>
      <c r="W42" s="19"/>
    </row>
    <row r="43" spans="1:23" ht="20.25" x14ac:dyDescent="0.25">
      <c r="A43" s="185">
        <v>35</v>
      </c>
      <c r="B43" s="1973">
        <f t="shared" si="1"/>
        <v>5191421035</v>
      </c>
      <c r="C43" s="542">
        <v>43</v>
      </c>
      <c r="D43" s="2112" t="s">
        <v>27</v>
      </c>
      <c r="E43" s="185">
        <f t="shared" si="0"/>
        <v>80</v>
      </c>
      <c r="G43" s="121"/>
      <c r="H43" s="121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69"/>
      <c r="U43" s="69"/>
      <c r="V43" s="22"/>
      <c r="W43" s="19"/>
    </row>
    <row r="44" spans="1:23" ht="20.25" x14ac:dyDescent="0.25">
      <c r="A44" s="185">
        <v>36</v>
      </c>
      <c r="B44" s="1973">
        <f t="shared" si="1"/>
        <v>5191421036</v>
      </c>
      <c r="C44" s="542">
        <v>45</v>
      </c>
      <c r="D44" s="2113" t="s">
        <v>82</v>
      </c>
      <c r="E44" s="185">
        <f t="shared" si="0"/>
        <v>100</v>
      </c>
      <c r="G44" s="121"/>
      <c r="H44" s="121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69"/>
      <c r="U44" s="69"/>
      <c r="V44" s="22"/>
      <c r="W44" s="19"/>
    </row>
    <row r="45" spans="1:23" ht="20.25" x14ac:dyDescent="0.25">
      <c r="A45" s="185">
        <v>37</v>
      </c>
      <c r="B45" s="1973">
        <f t="shared" si="1"/>
        <v>5191421037</v>
      </c>
      <c r="C45" s="539">
        <v>38</v>
      </c>
      <c r="D45" s="2112" t="s">
        <v>32</v>
      </c>
      <c r="E45" s="185">
        <f t="shared" si="0"/>
        <v>70</v>
      </c>
      <c r="G45" s="121"/>
      <c r="H45" s="121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69"/>
      <c r="U45" s="69"/>
      <c r="V45" s="22"/>
      <c r="W45" s="19"/>
    </row>
    <row r="46" spans="1:23" ht="20.25" x14ac:dyDescent="0.25">
      <c r="A46" s="185">
        <v>38</v>
      </c>
      <c r="B46" s="1973">
        <f t="shared" si="1"/>
        <v>5191421038</v>
      </c>
      <c r="C46" s="542">
        <v>42</v>
      </c>
      <c r="D46" s="2113" t="s">
        <v>30</v>
      </c>
      <c r="E46" s="185">
        <f t="shared" si="0"/>
        <v>90</v>
      </c>
      <c r="G46" s="121"/>
      <c r="H46" s="121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69"/>
      <c r="U46" s="69"/>
      <c r="V46" s="22"/>
      <c r="W46" s="19"/>
    </row>
    <row r="47" spans="1:23" ht="20.25" x14ac:dyDescent="0.25">
      <c r="A47" s="185">
        <v>39</v>
      </c>
      <c r="B47" s="1973">
        <f t="shared" si="1"/>
        <v>5191421039</v>
      </c>
      <c r="C47" s="539">
        <v>45</v>
      </c>
      <c r="D47" s="2112" t="s">
        <v>30</v>
      </c>
      <c r="E47" s="185">
        <f t="shared" si="0"/>
        <v>90</v>
      </c>
      <c r="G47" s="121"/>
      <c r="H47" s="121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69"/>
      <c r="U47" s="69"/>
      <c r="V47" s="22"/>
      <c r="W47" s="19"/>
    </row>
    <row r="48" spans="1:23" ht="20.25" x14ac:dyDescent="0.25">
      <c r="A48" s="185">
        <v>40</v>
      </c>
      <c r="B48" s="1973">
        <f t="shared" si="1"/>
        <v>5191421040</v>
      </c>
      <c r="C48" s="542">
        <v>38</v>
      </c>
      <c r="D48" s="2113" t="s">
        <v>27</v>
      </c>
      <c r="E48" s="185">
        <f t="shared" si="0"/>
        <v>80</v>
      </c>
      <c r="G48" s="121"/>
      <c r="H48" s="121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69"/>
      <c r="U48" s="69"/>
      <c r="V48" s="22"/>
      <c r="W48" s="19"/>
    </row>
    <row r="49" spans="1:23" ht="20.25" x14ac:dyDescent="0.25">
      <c r="A49" s="185">
        <v>41</v>
      </c>
      <c r="B49" s="1973">
        <f t="shared" si="1"/>
        <v>5191421041</v>
      </c>
      <c r="C49" s="542">
        <v>49</v>
      </c>
      <c r="D49" s="2112" t="s">
        <v>82</v>
      </c>
      <c r="E49" s="185">
        <f t="shared" si="0"/>
        <v>100</v>
      </c>
      <c r="G49" s="121"/>
      <c r="H49" s="121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69"/>
      <c r="U49" s="69"/>
      <c r="V49" s="22"/>
      <c r="W49" s="19"/>
    </row>
    <row r="50" spans="1:23" ht="20.25" x14ac:dyDescent="0.25">
      <c r="A50" s="185">
        <v>42</v>
      </c>
      <c r="B50" s="1973">
        <f t="shared" si="1"/>
        <v>5191421042</v>
      </c>
      <c r="C50" s="542">
        <v>39</v>
      </c>
      <c r="D50" s="2113" t="s">
        <v>27</v>
      </c>
      <c r="E50" s="185">
        <f t="shared" si="0"/>
        <v>80</v>
      </c>
      <c r="G50" s="121"/>
      <c r="H50" s="121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69"/>
      <c r="U50" s="69"/>
      <c r="V50" s="22"/>
      <c r="W50" s="19"/>
    </row>
    <row r="51" spans="1:23" ht="20.25" x14ac:dyDescent="0.25">
      <c r="A51" s="185">
        <v>43</v>
      </c>
      <c r="B51" s="1973">
        <f t="shared" si="1"/>
        <v>5191421043</v>
      </c>
      <c r="C51" s="542">
        <v>47</v>
      </c>
      <c r="D51" s="2112" t="s">
        <v>82</v>
      </c>
      <c r="E51" s="185">
        <f t="shared" si="0"/>
        <v>100</v>
      </c>
      <c r="G51" s="121"/>
      <c r="H51" s="121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69"/>
      <c r="U51" s="69"/>
      <c r="V51" s="22"/>
      <c r="W51" s="19"/>
    </row>
    <row r="52" spans="1:23" ht="20.25" x14ac:dyDescent="0.25">
      <c r="A52" s="185">
        <v>44</v>
      </c>
      <c r="B52" s="1973">
        <f t="shared" si="1"/>
        <v>5191421044</v>
      </c>
      <c r="C52" s="539">
        <v>43</v>
      </c>
      <c r="D52" s="2113" t="s">
        <v>30</v>
      </c>
      <c r="E52" s="185">
        <f t="shared" si="0"/>
        <v>90</v>
      </c>
      <c r="G52" s="121"/>
      <c r="H52" s="121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69"/>
      <c r="U52" s="69"/>
      <c r="V52" s="22"/>
      <c r="W52" s="19"/>
    </row>
    <row r="53" spans="1:23" ht="20.25" x14ac:dyDescent="0.25">
      <c r="A53" s="185">
        <v>45</v>
      </c>
      <c r="B53" s="1973">
        <f t="shared" si="1"/>
        <v>5191421045</v>
      </c>
      <c r="C53" s="542">
        <v>43</v>
      </c>
      <c r="D53" s="2112" t="s">
        <v>30</v>
      </c>
      <c r="E53" s="185">
        <f t="shared" si="0"/>
        <v>90</v>
      </c>
      <c r="G53" s="121"/>
      <c r="H53" s="121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69"/>
      <c r="U53" s="69"/>
      <c r="V53" s="22"/>
      <c r="W53" s="19"/>
    </row>
    <row r="54" spans="1:23" ht="20.25" x14ac:dyDescent="0.25">
      <c r="A54" s="185">
        <v>46</v>
      </c>
      <c r="B54" s="1973">
        <f t="shared" si="1"/>
        <v>5191421046</v>
      </c>
      <c r="C54" s="542">
        <v>47</v>
      </c>
      <c r="D54" s="2113" t="s">
        <v>82</v>
      </c>
      <c r="E54" s="185">
        <f t="shared" si="0"/>
        <v>100</v>
      </c>
      <c r="G54" s="121"/>
      <c r="H54" s="121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69"/>
      <c r="U54" s="69"/>
      <c r="V54" s="22"/>
      <c r="W54" s="19"/>
    </row>
    <row r="55" spans="1:23" ht="20.25" x14ac:dyDescent="0.25">
      <c r="A55" s="185">
        <v>47</v>
      </c>
      <c r="B55" s="1973">
        <f t="shared" si="1"/>
        <v>5191421047</v>
      </c>
      <c r="C55" s="542">
        <v>27</v>
      </c>
      <c r="D55" s="2112" t="s">
        <v>33</v>
      </c>
      <c r="E55" s="185">
        <f t="shared" si="0"/>
        <v>60</v>
      </c>
      <c r="G55" s="121"/>
      <c r="H55" s="121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69"/>
      <c r="U55" s="69"/>
      <c r="V55" s="22"/>
      <c r="W55" s="19"/>
    </row>
    <row r="56" spans="1:23" ht="20.25" x14ac:dyDescent="0.25">
      <c r="A56" s="185">
        <v>48</v>
      </c>
      <c r="B56" s="1973">
        <f t="shared" si="1"/>
        <v>5191421048</v>
      </c>
      <c r="C56" s="539">
        <v>40</v>
      </c>
      <c r="D56" s="2113" t="s">
        <v>30</v>
      </c>
      <c r="E56" s="185">
        <f t="shared" si="0"/>
        <v>90</v>
      </c>
      <c r="G56" s="121"/>
      <c r="H56" s="121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69"/>
      <c r="U56" s="69"/>
      <c r="V56" s="22"/>
      <c r="W56" s="19"/>
    </row>
    <row r="57" spans="1:23" ht="20.25" x14ac:dyDescent="0.25">
      <c r="A57" s="185">
        <v>49</v>
      </c>
      <c r="B57" s="1973">
        <f t="shared" si="1"/>
        <v>5191421049</v>
      </c>
      <c r="C57" s="542">
        <v>38</v>
      </c>
      <c r="D57" s="2112" t="s">
        <v>27</v>
      </c>
      <c r="E57" s="185">
        <f t="shared" si="0"/>
        <v>80</v>
      </c>
      <c r="G57" s="121"/>
      <c r="H57" s="121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69"/>
      <c r="U57" s="69"/>
      <c r="V57" s="22"/>
      <c r="W57" s="19"/>
    </row>
    <row r="58" spans="1:23" ht="18.75" x14ac:dyDescent="0.3">
      <c r="A58" s="192" t="s">
        <v>34</v>
      </c>
      <c r="B58" s="193"/>
      <c r="C58" s="125">
        <f>COUNT(C9:C57)</f>
        <v>49</v>
      </c>
      <c r="D58" s="193"/>
      <c r="E58" s="193"/>
      <c r="G58" s="153"/>
      <c r="H58" s="153"/>
      <c r="I58" s="153"/>
      <c r="J58" s="153"/>
      <c r="K58" s="153"/>
      <c r="L58" s="120"/>
      <c r="M58" s="8"/>
      <c r="N58" s="8"/>
      <c r="O58" s="153"/>
      <c r="P58" s="153"/>
      <c r="Q58" s="153"/>
      <c r="R58" s="153"/>
      <c r="S58" s="153"/>
      <c r="T58" s="153"/>
      <c r="U58" s="153"/>
      <c r="V58" s="153"/>
    </row>
    <row r="59" spans="1:23" ht="18.75" x14ac:dyDescent="0.3">
      <c r="A59" s="194"/>
      <c r="B59" s="125">
        <v>65</v>
      </c>
      <c r="C59" s="195">
        <f>C8*(B59/100)</f>
        <v>32.5</v>
      </c>
      <c r="D59" s="193"/>
      <c r="E59" s="193"/>
      <c r="G59" s="153"/>
      <c r="H59" s="153"/>
      <c r="I59" s="153"/>
      <c r="J59" s="153"/>
      <c r="K59" s="153"/>
      <c r="L59" s="24"/>
      <c r="M59" s="8"/>
      <c r="N59" s="8"/>
      <c r="O59" s="153"/>
      <c r="P59" s="153"/>
      <c r="Q59" s="153"/>
      <c r="R59" s="153"/>
      <c r="S59" s="153"/>
      <c r="T59" s="153"/>
      <c r="U59" s="153"/>
      <c r="V59" s="153"/>
    </row>
    <row r="60" spans="1:23" ht="18.75" x14ac:dyDescent="0.3">
      <c r="A60" s="2888" t="s">
        <v>35</v>
      </c>
      <c r="B60" s="2888"/>
      <c r="C60" s="125">
        <f>COUNTIF(C9:C57,"&gt;=" &amp;C59)</f>
        <v>48</v>
      </c>
      <c r="D60" s="193"/>
      <c r="E60" s="125">
        <f>COUNTIF(E9:E57,"&gt;="&amp;B59)</f>
        <v>48</v>
      </c>
      <c r="G60" s="153"/>
      <c r="H60" s="2872"/>
      <c r="I60" s="2872"/>
      <c r="J60" s="2872"/>
      <c r="K60" s="2872"/>
      <c r="L60" s="2872"/>
      <c r="M60" s="8"/>
      <c r="N60" s="8"/>
      <c r="O60" s="153"/>
      <c r="P60" s="2872"/>
      <c r="Q60" s="2872"/>
      <c r="R60" s="2872"/>
      <c r="S60" s="2872"/>
      <c r="T60" s="2872"/>
      <c r="U60" s="153"/>
      <c r="V60" s="153"/>
    </row>
    <row r="61" spans="1:23" ht="18.75" x14ac:dyDescent="0.3">
      <c r="A61" s="2877" t="s">
        <v>36</v>
      </c>
      <c r="B61" s="2877"/>
      <c r="C61" s="196">
        <f t="shared" ref="C61" si="2">C60/C58</f>
        <v>0.97959183673469385</v>
      </c>
      <c r="D61" s="193"/>
      <c r="E61" s="197">
        <f>(E60/A57)*100</f>
        <v>97.959183673469383</v>
      </c>
      <c r="G61" s="153"/>
      <c r="H61" s="153"/>
      <c r="I61" s="153"/>
      <c r="J61" s="153"/>
      <c r="K61" s="153"/>
      <c r="L61" s="24"/>
      <c r="M61" s="8"/>
      <c r="N61" s="8"/>
      <c r="O61" s="153"/>
      <c r="P61" s="153"/>
      <c r="Q61" s="153"/>
      <c r="R61" s="153"/>
      <c r="S61" s="153"/>
      <c r="T61" s="153"/>
      <c r="U61" s="153"/>
      <c r="V61" s="153"/>
    </row>
    <row r="63" spans="1:23" ht="15.75" x14ac:dyDescent="0.25">
      <c r="B63" s="180"/>
    </row>
    <row r="64" spans="1:23" ht="15.75" x14ac:dyDescent="0.25">
      <c r="B64" s="75"/>
      <c r="C64" s="30"/>
      <c r="D64" s="30"/>
      <c r="E64" s="119" t="s">
        <v>38</v>
      </c>
      <c r="F64" s="2897" t="s">
        <v>39</v>
      </c>
      <c r="G64" s="2897"/>
      <c r="H64" s="2897" t="s">
        <v>37</v>
      </c>
      <c r="I64" s="2897"/>
    </row>
    <row r="65" spans="2:18" ht="15.75" x14ac:dyDescent="0.25">
      <c r="C65" s="119" t="s">
        <v>22</v>
      </c>
      <c r="D65" s="48">
        <f>AVERAGE(C61)*100</f>
        <v>97.959183673469383</v>
      </c>
      <c r="E65" s="123">
        <f>IF(D65&gt;=70,3,IF(AND(D65&gt;=60,D65&lt;70),2,IF(AND(D65&gt;=50,D65&lt;60),1)))</f>
        <v>3</v>
      </c>
      <c r="F65" s="27">
        <f>IF(E61&gt;=70,3,IF(AND(E61&gt;=60,E61&lt;70),2,IF(AND(E61&gt;=50,E61&lt;60),1)))</f>
        <v>3</v>
      </c>
      <c r="G65" s="27"/>
      <c r="H65" s="27">
        <f>(70/100)*F65+(30/100)*E65</f>
        <v>2.9999999999999996</v>
      </c>
      <c r="I65" s="27"/>
    </row>
    <row r="66" spans="2:18" ht="15.75" x14ac:dyDescent="0.25">
      <c r="B66" s="182"/>
      <c r="C66" s="122" t="s">
        <v>44</v>
      </c>
      <c r="D66" s="122"/>
      <c r="E66" s="122"/>
      <c r="F66" s="122"/>
      <c r="G66" s="122"/>
      <c r="H66" s="183">
        <f>AVERAGE(H65)</f>
        <v>2.9999999999999996</v>
      </c>
      <c r="I66" s="27"/>
    </row>
    <row r="68" spans="2:18" ht="15.75" x14ac:dyDescent="0.25">
      <c r="B68" s="18" t="s">
        <v>159</v>
      </c>
      <c r="C68" s="18"/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2:18" ht="15.75" x14ac:dyDescent="0.25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2:18" ht="15.75" x14ac:dyDescent="0.25">
      <c r="C70" s="187" t="s">
        <v>167</v>
      </c>
      <c r="D70" s="74" t="s">
        <v>46</v>
      </c>
      <c r="E70" s="74" t="s">
        <v>135</v>
      </c>
      <c r="F70" s="74" t="s">
        <v>48</v>
      </c>
      <c r="G70" s="74" t="s">
        <v>49</v>
      </c>
      <c r="H70" s="74" t="s">
        <v>50</v>
      </c>
      <c r="I70" s="74" t="s">
        <v>136</v>
      </c>
      <c r="J70" s="74" t="s">
        <v>52</v>
      </c>
      <c r="K70" s="74" t="s">
        <v>53</v>
      </c>
      <c r="L70" s="74" t="s">
        <v>54</v>
      </c>
      <c r="M70" s="74" t="s">
        <v>55</v>
      </c>
      <c r="N70" s="74" t="s">
        <v>56</v>
      </c>
      <c r="O70" s="74" t="s">
        <v>57</v>
      </c>
      <c r="P70" s="112" t="s">
        <v>87</v>
      </c>
      <c r="Q70" s="112" t="s">
        <v>88</v>
      </c>
      <c r="R70" s="112" t="s">
        <v>85</v>
      </c>
    </row>
    <row r="71" spans="2:18" ht="15.75" x14ac:dyDescent="0.25">
      <c r="C71" s="74" t="s">
        <v>22</v>
      </c>
      <c r="D71" s="20">
        <v>1</v>
      </c>
      <c r="E71" s="19"/>
      <c r="F71" s="188"/>
      <c r="G71" s="19"/>
      <c r="H71" s="20"/>
      <c r="I71" s="20">
        <v>2</v>
      </c>
      <c r="J71" s="20"/>
      <c r="K71" s="20"/>
      <c r="L71" s="20">
        <v>3</v>
      </c>
      <c r="M71" s="20">
        <v>2</v>
      </c>
      <c r="N71" s="20">
        <v>3</v>
      </c>
      <c r="O71" s="20">
        <v>3</v>
      </c>
      <c r="P71" s="74">
        <v>3</v>
      </c>
      <c r="Q71" s="74">
        <v>3</v>
      </c>
      <c r="R71" s="74">
        <v>2</v>
      </c>
    </row>
    <row r="72" spans="2:18" ht="15.75" x14ac:dyDescent="0.25">
      <c r="C72" s="112" t="s">
        <v>168</v>
      </c>
      <c r="D72" s="188">
        <f t="shared" ref="D72:R72" si="3">AVERAGE(D71:D71)</f>
        <v>1</v>
      </c>
      <c r="E72" s="188"/>
      <c r="F72" s="188"/>
      <c r="G72" s="188"/>
      <c r="H72" s="188"/>
      <c r="I72" s="188">
        <f t="shared" si="3"/>
        <v>2</v>
      </c>
      <c r="J72" s="188"/>
      <c r="K72" s="188"/>
      <c r="L72" s="188">
        <f t="shared" si="3"/>
        <v>3</v>
      </c>
      <c r="M72" s="188">
        <f t="shared" si="3"/>
        <v>2</v>
      </c>
      <c r="N72" s="188">
        <f t="shared" si="3"/>
        <v>3</v>
      </c>
      <c r="O72" s="188">
        <f t="shared" si="3"/>
        <v>3</v>
      </c>
      <c r="P72" s="188">
        <f t="shared" si="3"/>
        <v>3</v>
      </c>
      <c r="Q72" s="188">
        <f t="shared" si="3"/>
        <v>3</v>
      </c>
      <c r="R72" s="188">
        <f t="shared" si="3"/>
        <v>2</v>
      </c>
    </row>
    <row r="73" spans="2:18" ht="15.75" x14ac:dyDescent="0.25">
      <c r="C73" s="112" t="s">
        <v>169</v>
      </c>
      <c r="D73" s="2878">
        <f>AVERAGE(D72:O72)</f>
        <v>2.3333333333333335</v>
      </c>
      <c r="E73" s="2879"/>
      <c r="F73" s="2879"/>
      <c r="G73" s="2879"/>
      <c r="H73" s="2879"/>
      <c r="I73" s="2879"/>
      <c r="J73" s="2879"/>
      <c r="K73" s="2879"/>
      <c r="L73" s="2879"/>
      <c r="M73" s="2879"/>
      <c r="N73" s="2879"/>
      <c r="O73" s="2880"/>
      <c r="P73" s="2881">
        <f>ROUND(AVERAGE(P72:R72),2)</f>
        <v>2.67</v>
      </c>
      <c r="Q73" s="2882"/>
      <c r="R73" s="2883"/>
    </row>
    <row r="75" spans="2:18" x14ac:dyDescent="0.25">
      <c r="B75" s="189" t="s">
        <v>161</v>
      </c>
      <c r="C75" s="189"/>
      <c r="D75" s="1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2:18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2:18" x14ac:dyDescent="0.25">
      <c r="B77" s="7"/>
      <c r="C77" s="117" t="s">
        <v>45</v>
      </c>
      <c r="D77" s="12" t="s">
        <v>68</v>
      </c>
      <c r="E77" s="12" t="s">
        <v>69</v>
      </c>
      <c r="F77" s="12" t="s">
        <v>70</v>
      </c>
      <c r="G77" s="12" t="s">
        <v>71</v>
      </c>
      <c r="H77" s="12" t="s">
        <v>72</v>
      </c>
      <c r="I77" s="12" t="s">
        <v>73</v>
      </c>
      <c r="J77" s="12" t="s">
        <v>74</v>
      </c>
      <c r="K77" s="12" t="s">
        <v>75</v>
      </c>
      <c r="L77" s="12" t="s">
        <v>76</v>
      </c>
      <c r="M77" s="12" t="s">
        <v>77</v>
      </c>
      <c r="N77" s="12" t="s">
        <v>78</v>
      </c>
      <c r="O77" s="12" t="s">
        <v>79</v>
      </c>
      <c r="P77" s="117" t="s">
        <v>60</v>
      </c>
      <c r="Q77" s="117" t="s">
        <v>61</v>
      </c>
      <c r="R77" s="117" t="s">
        <v>62</v>
      </c>
    </row>
    <row r="78" spans="2:18" ht="15.75" x14ac:dyDescent="0.25">
      <c r="B78" s="7"/>
      <c r="C78" s="114" t="s">
        <v>20</v>
      </c>
      <c r="D78" s="113">
        <f>ROUND((D71/3)*$H65,0)</f>
        <v>1</v>
      </c>
      <c r="E78" s="113"/>
      <c r="F78" s="113"/>
      <c r="G78" s="113"/>
      <c r="H78" s="113"/>
      <c r="I78" s="113">
        <f>ROUND((I71/3)*$H65,0)</f>
        <v>2</v>
      </c>
      <c r="J78" s="113"/>
      <c r="K78" s="113"/>
      <c r="L78" s="113">
        <f t="shared" ref="L78:R78" si="4">ROUND((L71/3)*$H65,0)</f>
        <v>3</v>
      </c>
      <c r="M78" s="113">
        <f t="shared" si="4"/>
        <v>2</v>
      </c>
      <c r="N78" s="113">
        <f t="shared" si="4"/>
        <v>3</v>
      </c>
      <c r="O78" s="113">
        <f t="shared" si="4"/>
        <v>3</v>
      </c>
      <c r="P78" s="113">
        <f t="shared" si="4"/>
        <v>3</v>
      </c>
      <c r="Q78" s="113">
        <f t="shared" si="4"/>
        <v>3</v>
      </c>
      <c r="R78" s="113">
        <f t="shared" si="4"/>
        <v>2</v>
      </c>
    </row>
    <row r="79" spans="2:18" x14ac:dyDescent="0.25">
      <c r="B79" s="7"/>
      <c r="C79" s="117" t="s">
        <v>10</v>
      </c>
      <c r="D79" s="190">
        <f t="shared" ref="D79:O79" si="5">ROUND(AVERAGE(D78:D78),2)</f>
        <v>1</v>
      </c>
      <c r="E79" s="190"/>
      <c r="F79" s="190"/>
      <c r="G79" s="190"/>
      <c r="H79" s="190"/>
      <c r="I79" s="190">
        <f t="shared" si="5"/>
        <v>2</v>
      </c>
      <c r="J79" s="190"/>
      <c r="K79" s="190"/>
      <c r="L79" s="190">
        <f t="shared" si="5"/>
        <v>3</v>
      </c>
      <c r="M79" s="190">
        <f t="shared" si="5"/>
        <v>2</v>
      </c>
      <c r="N79" s="190">
        <f t="shared" si="5"/>
        <v>3</v>
      </c>
      <c r="O79" s="190">
        <f t="shared" si="5"/>
        <v>3</v>
      </c>
      <c r="P79" s="191">
        <f>AVERAGE(P78:P78)</f>
        <v>3</v>
      </c>
      <c r="Q79" s="191">
        <f>AVERAGE(Q78:Q78)</f>
        <v>3</v>
      </c>
      <c r="R79" s="191">
        <f>AVERAGE(R78:R78)</f>
        <v>2</v>
      </c>
    </row>
    <row r="80" spans="2:18" x14ac:dyDescent="0.25">
      <c r="B80" s="7"/>
      <c r="C80" s="117" t="s">
        <v>58</v>
      </c>
      <c r="D80" s="2891">
        <f>AVERAGE(D79:O79)</f>
        <v>2.3333333333333335</v>
      </c>
      <c r="E80" s="2892"/>
      <c r="F80" s="2892"/>
      <c r="G80" s="2892"/>
      <c r="H80" s="2892"/>
      <c r="I80" s="2892"/>
      <c r="J80" s="2892"/>
      <c r="K80" s="2892"/>
      <c r="L80" s="2892"/>
      <c r="M80" s="2892"/>
      <c r="N80" s="2892"/>
      <c r="O80" s="2893"/>
      <c r="P80" s="2894">
        <f>ROUND(AVERAGE(P79:R79),2)</f>
        <v>2.67</v>
      </c>
      <c r="Q80" s="2895"/>
      <c r="R80" s="2896"/>
    </row>
  </sheetData>
  <mergeCells count="18">
    <mergeCell ref="D80:O80"/>
    <mergeCell ref="P80:R80"/>
    <mergeCell ref="H60:L60"/>
    <mergeCell ref="F64:G64"/>
    <mergeCell ref="H64:I64"/>
    <mergeCell ref="A2:B2"/>
    <mergeCell ref="A3:B3"/>
    <mergeCell ref="P60:T60"/>
    <mergeCell ref="A61:B61"/>
    <mergeCell ref="D73:O73"/>
    <mergeCell ref="P73:R73"/>
    <mergeCell ref="D7:E7"/>
    <mergeCell ref="D8:E8"/>
    <mergeCell ref="A60:B60"/>
    <mergeCell ref="B5:B6"/>
    <mergeCell ref="C5:C6"/>
    <mergeCell ref="D5:D6"/>
    <mergeCell ref="E5:E6"/>
  </mergeCells>
  <conditionalFormatting sqref="D9:D57">
    <cfRule type="containsText" dxfId="136" priority="3" operator="containsText" text="F">
      <formula>NOT(ISERROR(SEARCH("F",D9)))</formula>
    </cfRule>
  </conditionalFormatting>
  <conditionalFormatting sqref="D71">
    <cfRule type="cellIs" dxfId="135" priority="2" operator="equal">
      <formula>FALSE</formula>
    </cfRule>
  </conditionalFormatting>
  <conditionalFormatting sqref="P71:R71">
    <cfRule type="cellIs" dxfId="134" priority="1" operator="equal">
      <formula>FALSE</formula>
    </cfRule>
  </conditionalFormatting>
  <pageMargins left="0.7" right="0.7" top="0.75" bottom="0.75" header="0.3" footer="0.3"/>
  <pageSetup paperSize="8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N101"/>
  <sheetViews>
    <sheetView topLeftCell="A73" zoomScale="82" zoomScaleNormal="82" workbookViewId="0">
      <selection activeCell="H93" sqref="H93"/>
    </sheetView>
  </sheetViews>
  <sheetFormatPr defaultRowHeight="15" x14ac:dyDescent="0.25"/>
  <cols>
    <col min="1" max="1" width="10" style="236" customWidth="1"/>
    <col min="2" max="2" width="23.28515625" style="156" customWidth="1"/>
    <col min="3" max="7" width="10.28515625" style="156" customWidth="1"/>
    <col min="8" max="8" width="10.28515625" style="2280" customWidth="1"/>
    <col min="9" max="9" width="10.28515625" style="156" customWidth="1"/>
    <col min="10" max="10" width="10.28515625" style="2280" customWidth="1"/>
    <col min="11" max="11" width="10.28515625" style="156" customWidth="1"/>
    <col min="12" max="12" width="10.28515625" style="2280" customWidth="1"/>
    <col min="13" max="21" width="10.28515625" style="156" customWidth="1"/>
    <col min="22" max="22" width="7.28515625" style="156" customWidth="1"/>
    <col min="23" max="23" width="10.28515625" style="256" customWidth="1"/>
    <col min="24" max="24" width="9.42578125" style="156" bestFit="1" customWidth="1"/>
    <col min="25" max="26" width="5.5703125" style="156" customWidth="1"/>
    <col min="27" max="37" width="9.140625" style="156"/>
    <col min="38" max="41" width="9.85546875" style="156" customWidth="1"/>
    <col min="42" max="16384" width="9.140625" style="156"/>
  </cols>
  <sheetData>
    <row r="1" spans="1:24" s="158" customFormat="1" ht="23.1" customHeight="1" x14ac:dyDescent="0.2">
      <c r="A1" s="225"/>
      <c r="B1" s="225"/>
      <c r="C1" s="225"/>
      <c r="D1" s="225"/>
      <c r="E1" s="225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</row>
    <row r="2" spans="1:24" s="158" customFormat="1" ht="23.1" customHeight="1" x14ac:dyDescent="0.2">
      <c r="A2" s="2823" t="s">
        <v>0</v>
      </c>
      <c r="B2" s="2824"/>
      <c r="C2" s="2816" t="s">
        <v>196</v>
      </c>
      <c r="D2" s="2817"/>
      <c r="E2" s="2818"/>
      <c r="F2" s="227"/>
      <c r="I2" s="2825" t="s">
        <v>63</v>
      </c>
      <c r="J2" s="2899"/>
      <c r="K2" s="2825"/>
      <c r="L2" s="2324"/>
      <c r="M2" s="2813" t="s">
        <v>366</v>
      </c>
      <c r="N2" s="2813"/>
      <c r="O2" s="2813"/>
    </row>
    <row r="3" spans="1:24" s="158" customFormat="1" ht="23.1" customHeight="1" x14ac:dyDescent="0.2">
      <c r="A3" s="2814" t="s">
        <v>1</v>
      </c>
      <c r="B3" s="2815"/>
      <c r="C3" s="2816" t="s">
        <v>197</v>
      </c>
      <c r="D3" s="2817"/>
      <c r="E3" s="2818"/>
      <c r="F3" s="227"/>
      <c r="I3" s="2819" t="s">
        <v>64</v>
      </c>
      <c r="J3" s="2900"/>
      <c r="K3" s="2819"/>
      <c r="L3" s="2325"/>
      <c r="M3" s="2820" t="s">
        <v>232</v>
      </c>
      <c r="N3" s="2821"/>
      <c r="O3" s="2822"/>
      <c r="P3" s="226"/>
    </row>
    <row r="4" spans="1:24" s="158" customFormat="1" ht="23.1" customHeight="1" x14ac:dyDescent="0.2">
      <c r="A4" s="228"/>
      <c r="B4" s="229" t="s">
        <v>2</v>
      </c>
      <c r="C4" s="2830" t="s">
        <v>164</v>
      </c>
      <c r="D4" s="2831"/>
      <c r="E4" s="2832"/>
      <c r="F4" s="227"/>
      <c r="I4" s="2833" t="s">
        <v>65</v>
      </c>
      <c r="J4" s="2898"/>
      <c r="K4" s="2833"/>
      <c r="L4" s="2326"/>
      <c r="M4" s="2826" t="s">
        <v>66</v>
      </c>
      <c r="N4" s="2826"/>
      <c r="O4" s="2826"/>
      <c r="P4" s="230"/>
    </row>
    <row r="5" spans="1:24" s="158" customFormat="1" ht="14.25" x14ac:dyDescent="0.2">
      <c r="A5" s="209"/>
      <c r="B5" s="157"/>
      <c r="C5" s="2825" t="s">
        <v>3</v>
      </c>
      <c r="D5" s="2825"/>
      <c r="E5" s="2825"/>
      <c r="F5" s="2825"/>
      <c r="G5" s="2825"/>
      <c r="H5" s="2899"/>
      <c r="I5" s="2825"/>
      <c r="J5" s="2899"/>
      <c r="K5" s="2825"/>
      <c r="L5" s="2899"/>
      <c r="M5" s="2825"/>
      <c r="N5" s="2827" t="s">
        <v>4</v>
      </c>
      <c r="O5" s="2827"/>
      <c r="P5" s="2827"/>
      <c r="Q5" s="2827"/>
      <c r="R5" s="2827"/>
      <c r="S5" s="2827"/>
      <c r="T5" s="2827"/>
      <c r="U5" s="2827"/>
      <c r="W5" s="210"/>
    </row>
    <row r="6" spans="1:24" s="158" customFormat="1" ht="61.5" customHeight="1" x14ac:dyDescent="0.2">
      <c r="A6" s="163"/>
      <c r="B6" s="2906" t="s">
        <v>5</v>
      </c>
      <c r="C6" s="2908" t="s">
        <v>6</v>
      </c>
      <c r="D6" s="2908"/>
      <c r="E6" s="2908"/>
      <c r="F6" s="2908"/>
      <c r="G6" s="2908"/>
      <c r="H6" s="2912" t="s">
        <v>7</v>
      </c>
      <c r="I6" s="2913"/>
      <c r="J6" s="2912" t="s">
        <v>8</v>
      </c>
      <c r="K6" s="2913"/>
      <c r="L6" s="2912" t="s">
        <v>9</v>
      </c>
      <c r="M6" s="2913"/>
      <c r="N6" s="2908" t="s">
        <v>6</v>
      </c>
      <c r="O6" s="2908"/>
      <c r="P6" s="2908"/>
      <c r="Q6" s="2908"/>
      <c r="R6" s="2908"/>
      <c r="S6" s="250" t="s">
        <v>7</v>
      </c>
      <c r="T6" s="250" t="s">
        <v>8</v>
      </c>
      <c r="U6" s="174" t="s">
        <v>9</v>
      </c>
      <c r="V6" s="211"/>
      <c r="W6" s="2909" t="s">
        <v>11</v>
      </c>
      <c r="X6" s="2902" t="s">
        <v>12</v>
      </c>
    </row>
    <row r="7" spans="1:24" s="158" customFormat="1" ht="21.95" customHeight="1" x14ac:dyDescent="0.2">
      <c r="A7" s="163"/>
      <c r="B7" s="2907"/>
      <c r="C7" s="2330" t="s">
        <v>22</v>
      </c>
      <c r="D7" s="2330" t="s">
        <v>22</v>
      </c>
      <c r="E7" s="2330" t="s">
        <v>40</v>
      </c>
      <c r="F7" s="2331" t="s">
        <v>22</v>
      </c>
      <c r="G7" s="2331" t="s">
        <v>22</v>
      </c>
      <c r="H7" s="2331" t="s">
        <v>22</v>
      </c>
      <c r="I7" s="2331" t="s">
        <v>22</v>
      </c>
      <c r="J7" s="2332" t="s">
        <v>40</v>
      </c>
      <c r="K7" s="2332" t="s">
        <v>40</v>
      </c>
      <c r="L7" s="2332" t="s">
        <v>40</v>
      </c>
      <c r="M7" s="2332" t="s">
        <v>40</v>
      </c>
      <c r="N7" s="163" t="s">
        <v>13</v>
      </c>
      <c r="O7" s="163" t="s">
        <v>14</v>
      </c>
      <c r="P7" s="163" t="s">
        <v>15</v>
      </c>
      <c r="Q7" s="163" t="s">
        <v>16</v>
      </c>
      <c r="R7" s="163" t="s">
        <v>17</v>
      </c>
      <c r="S7" s="174" t="s">
        <v>13</v>
      </c>
      <c r="T7" s="174" t="s">
        <v>13</v>
      </c>
      <c r="U7" s="174" t="s">
        <v>13</v>
      </c>
      <c r="V7" s="211"/>
      <c r="W7" s="2910"/>
      <c r="X7" s="2903"/>
    </row>
    <row r="8" spans="1:24" s="158" customFormat="1" ht="21.95" customHeight="1" x14ac:dyDescent="0.3">
      <c r="A8" s="163"/>
      <c r="B8" s="173" t="s">
        <v>19</v>
      </c>
      <c r="C8" s="2333">
        <v>3</v>
      </c>
      <c r="D8" s="2333">
        <v>3</v>
      </c>
      <c r="E8" s="2333">
        <v>3</v>
      </c>
      <c r="F8" s="2334">
        <v>5</v>
      </c>
      <c r="G8" s="2335">
        <v>5</v>
      </c>
      <c r="H8" s="2335">
        <v>3</v>
      </c>
      <c r="I8" s="2335">
        <v>3</v>
      </c>
      <c r="J8" s="2334">
        <v>3</v>
      </c>
      <c r="K8" s="2336">
        <v>3</v>
      </c>
      <c r="L8" s="2334">
        <v>5</v>
      </c>
      <c r="M8" s="2336">
        <v>5</v>
      </c>
      <c r="N8" s="162" t="s">
        <v>40</v>
      </c>
      <c r="O8" s="162" t="s">
        <v>41</v>
      </c>
      <c r="P8" s="162" t="s">
        <v>41</v>
      </c>
      <c r="Q8" s="162" t="s">
        <v>22</v>
      </c>
      <c r="R8" s="162" t="s">
        <v>40</v>
      </c>
      <c r="S8" s="163" t="s">
        <v>40</v>
      </c>
      <c r="T8" s="163" t="s">
        <v>41</v>
      </c>
      <c r="U8" s="163" t="s">
        <v>22</v>
      </c>
      <c r="V8" s="211"/>
      <c r="W8" s="2911"/>
      <c r="X8" s="2904"/>
    </row>
    <row r="9" spans="1:24" s="158" customFormat="1" ht="21.95" customHeight="1" x14ac:dyDescent="0.2">
      <c r="A9" s="163" t="s">
        <v>18</v>
      </c>
      <c r="B9" s="173" t="s">
        <v>26</v>
      </c>
      <c r="C9" s="161">
        <v>2</v>
      </c>
      <c r="D9" s="161">
        <v>2</v>
      </c>
      <c r="E9" s="161">
        <v>2</v>
      </c>
      <c r="F9" s="161">
        <v>2</v>
      </c>
      <c r="G9" s="161">
        <v>2</v>
      </c>
      <c r="H9" s="2323">
        <v>5</v>
      </c>
      <c r="I9" s="161">
        <v>5</v>
      </c>
      <c r="J9" s="2323">
        <v>5</v>
      </c>
      <c r="K9" s="161">
        <v>5</v>
      </c>
      <c r="L9" s="2323">
        <v>5</v>
      </c>
      <c r="M9" s="161">
        <v>5</v>
      </c>
      <c r="N9" s="161">
        <v>2</v>
      </c>
      <c r="O9" s="161">
        <v>2</v>
      </c>
      <c r="P9" s="161">
        <v>2</v>
      </c>
      <c r="Q9" s="161">
        <v>2</v>
      </c>
      <c r="R9" s="161">
        <v>2</v>
      </c>
      <c r="S9" s="161">
        <v>10</v>
      </c>
      <c r="T9" s="161">
        <v>10</v>
      </c>
      <c r="U9" s="161">
        <v>10</v>
      </c>
      <c r="W9" s="2905">
        <v>100</v>
      </c>
      <c r="X9" s="2905"/>
    </row>
    <row r="10" spans="1:24" s="158" customFormat="1" ht="21.95" customHeight="1" x14ac:dyDescent="0.2">
      <c r="A10" s="161">
        <v>1</v>
      </c>
      <c r="B10" s="1974">
        <v>5191421001</v>
      </c>
      <c r="C10" s="2337">
        <v>1</v>
      </c>
      <c r="D10" s="2337">
        <v>1</v>
      </c>
      <c r="E10" s="2337"/>
      <c r="F10" s="2338"/>
      <c r="G10" s="2339">
        <v>2</v>
      </c>
      <c r="H10" s="2339"/>
      <c r="I10" s="2339"/>
      <c r="J10" s="2227"/>
      <c r="K10" s="2227">
        <v>5</v>
      </c>
      <c r="L10" s="2227">
        <v>1</v>
      </c>
      <c r="M10" s="2227"/>
      <c r="N10" s="164">
        <v>2</v>
      </c>
      <c r="O10" s="164">
        <v>2</v>
      </c>
      <c r="P10" s="164">
        <v>2</v>
      </c>
      <c r="Q10" s="164">
        <v>2</v>
      </c>
      <c r="R10" s="161">
        <v>2</v>
      </c>
      <c r="S10" s="163">
        <v>10</v>
      </c>
      <c r="T10" s="163">
        <v>10</v>
      </c>
      <c r="U10" s="163"/>
      <c r="V10" s="251"/>
      <c r="W10" s="2114" t="s">
        <v>27</v>
      </c>
      <c r="X10" s="161">
        <f>IF(W10="O",100,IF(W10="A+",90,IF(W10="A",80,IF(W10="B+",70,IF(W10="B",60,IF(W10="C",55,IF(W10="P",50,IF(W10="F",39))))))))</f>
        <v>80</v>
      </c>
    </row>
    <row r="11" spans="1:24" s="158" customFormat="1" ht="21.95" customHeight="1" x14ac:dyDescent="0.2">
      <c r="A11" s="161">
        <v>2</v>
      </c>
      <c r="B11" s="1974">
        <f>+B10+1</f>
        <v>5191421002</v>
      </c>
      <c r="C11" s="2218">
        <v>1</v>
      </c>
      <c r="D11" s="2218">
        <v>2</v>
      </c>
      <c r="E11" s="2218">
        <v>2</v>
      </c>
      <c r="F11" s="2227"/>
      <c r="G11" s="2227">
        <v>2</v>
      </c>
      <c r="H11" s="2227"/>
      <c r="I11" s="2227"/>
      <c r="J11" s="2227">
        <v>5</v>
      </c>
      <c r="K11" s="2227">
        <v>5</v>
      </c>
      <c r="L11" s="2227">
        <v>3</v>
      </c>
      <c r="M11" s="2227"/>
      <c r="N11" s="164">
        <v>2</v>
      </c>
      <c r="O11" s="164">
        <v>2</v>
      </c>
      <c r="P11" s="164">
        <v>1</v>
      </c>
      <c r="Q11" s="164"/>
      <c r="R11" s="161"/>
      <c r="S11" s="163">
        <v>10</v>
      </c>
      <c r="T11" s="163">
        <v>10</v>
      </c>
      <c r="U11" s="163"/>
      <c r="V11" s="251"/>
      <c r="W11" s="2115" t="s">
        <v>27</v>
      </c>
      <c r="X11" s="161">
        <f t="shared" ref="X11:X58" si="0">IF(W11="O",100,IF(W11="A+",90,IF(W11="A",80,IF(W11="B+",70,IF(W11="B",60,IF(W11="C",55,IF(W11="P",50,IF(W11="F",39))))))))</f>
        <v>80</v>
      </c>
    </row>
    <row r="12" spans="1:24" s="158" customFormat="1" ht="21.95" customHeight="1" x14ac:dyDescent="0.2">
      <c r="A12" s="161">
        <v>3</v>
      </c>
      <c r="B12" s="1974">
        <f t="shared" ref="B12:B58" si="1">+B11+1</f>
        <v>5191421003</v>
      </c>
      <c r="C12" s="2220">
        <v>2</v>
      </c>
      <c r="D12" s="2220">
        <v>2</v>
      </c>
      <c r="E12" s="2220">
        <v>2</v>
      </c>
      <c r="F12" s="2227">
        <v>2</v>
      </c>
      <c r="G12" s="2227">
        <v>2</v>
      </c>
      <c r="H12" s="2227"/>
      <c r="I12" s="2227"/>
      <c r="J12" s="2227">
        <v>5</v>
      </c>
      <c r="K12" s="2227">
        <v>5</v>
      </c>
      <c r="L12" s="2227">
        <v>5</v>
      </c>
      <c r="M12" s="2227">
        <v>5</v>
      </c>
      <c r="N12" s="164">
        <v>2</v>
      </c>
      <c r="O12" s="164">
        <v>2</v>
      </c>
      <c r="P12" s="164">
        <v>2</v>
      </c>
      <c r="Q12" s="164">
        <v>2</v>
      </c>
      <c r="R12" s="161">
        <v>2</v>
      </c>
      <c r="S12" s="163">
        <v>10</v>
      </c>
      <c r="T12" s="163">
        <v>10</v>
      </c>
      <c r="U12" s="163"/>
      <c r="V12" s="251"/>
      <c r="W12" s="2114" t="s">
        <v>82</v>
      </c>
      <c r="X12" s="161">
        <f t="shared" si="0"/>
        <v>100</v>
      </c>
    </row>
    <row r="13" spans="1:24" s="158" customFormat="1" ht="21.95" customHeight="1" x14ac:dyDescent="0.2">
      <c r="A13" s="161">
        <v>4</v>
      </c>
      <c r="B13" s="1974">
        <f t="shared" si="1"/>
        <v>5191421004</v>
      </c>
      <c r="C13" s="2220">
        <v>1</v>
      </c>
      <c r="D13" s="2220"/>
      <c r="E13" s="2220"/>
      <c r="F13" s="2227"/>
      <c r="G13" s="2227"/>
      <c r="H13" s="2227"/>
      <c r="I13" s="2227"/>
      <c r="J13" s="2227"/>
      <c r="K13" s="2227">
        <v>1</v>
      </c>
      <c r="L13" s="2227">
        <v>3</v>
      </c>
      <c r="M13" s="2227">
        <v>3</v>
      </c>
      <c r="N13" s="164">
        <v>2</v>
      </c>
      <c r="O13" s="164">
        <v>1</v>
      </c>
      <c r="P13" s="164"/>
      <c r="Q13" s="164"/>
      <c r="R13" s="161"/>
      <c r="S13" s="163">
        <v>10</v>
      </c>
      <c r="T13" s="163">
        <v>10</v>
      </c>
      <c r="U13" s="163"/>
      <c r="V13" s="251"/>
      <c r="W13" s="2115" t="s">
        <v>33</v>
      </c>
      <c r="X13" s="161">
        <f t="shared" si="0"/>
        <v>60</v>
      </c>
    </row>
    <row r="14" spans="1:24" s="158" customFormat="1" ht="21.95" customHeight="1" x14ac:dyDescent="0.2">
      <c r="A14" s="161">
        <v>5</v>
      </c>
      <c r="B14" s="1974">
        <f t="shared" si="1"/>
        <v>5191421005</v>
      </c>
      <c r="C14" s="2220">
        <v>1</v>
      </c>
      <c r="D14" s="2220"/>
      <c r="E14" s="2220"/>
      <c r="F14" s="2227"/>
      <c r="G14" s="2227"/>
      <c r="H14" s="2227"/>
      <c r="I14" s="2227"/>
      <c r="J14" s="2227">
        <v>1</v>
      </c>
      <c r="K14" s="2227">
        <v>4</v>
      </c>
      <c r="L14" s="2227">
        <v>4</v>
      </c>
      <c r="M14" s="2227">
        <v>4</v>
      </c>
      <c r="N14" s="164">
        <v>2</v>
      </c>
      <c r="O14" s="164">
        <v>2</v>
      </c>
      <c r="P14" s="164"/>
      <c r="Q14" s="164">
        <v>1</v>
      </c>
      <c r="R14" s="161"/>
      <c r="S14" s="163">
        <v>10</v>
      </c>
      <c r="T14" s="163">
        <v>10</v>
      </c>
      <c r="U14" s="163"/>
      <c r="V14" s="251"/>
      <c r="W14" s="2114" t="s">
        <v>32</v>
      </c>
      <c r="X14" s="161">
        <f t="shared" si="0"/>
        <v>70</v>
      </c>
    </row>
    <row r="15" spans="1:24" s="158" customFormat="1" ht="21.95" customHeight="1" x14ac:dyDescent="0.2">
      <c r="A15" s="161">
        <v>6</v>
      </c>
      <c r="B15" s="1974">
        <f t="shared" si="1"/>
        <v>5191421006</v>
      </c>
      <c r="C15" s="2220">
        <v>2</v>
      </c>
      <c r="D15" s="2220">
        <v>2</v>
      </c>
      <c r="E15" s="2220">
        <v>2</v>
      </c>
      <c r="F15" s="2227"/>
      <c r="G15" s="2227">
        <v>2</v>
      </c>
      <c r="H15" s="2227">
        <v>5</v>
      </c>
      <c r="I15" s="2227">
        <v>2</v>
      </c>
      <c r="J15" s="2227">
        <v>3</v>
      </c>
      <c r="K15" s="2227">
        <v>5</v>
      </c>
      <c r="L15" s="2227"/>
      <c r="M15" s="2227"/>
      <c r="N15" s="164">
        <v>2</v>
      </c>
      <c r="O15" s="164">
        <v>2</v>
      </c>
      <c r="P15" s="164"/>
      <c r="Q15" s="164"/>
      <c r="R15" s="161"/>
      <c r="S15" s="163">
        <v>10</v>
      </c>
      <c r="T15" s="163">
        <v>5</v>
      </c>
      <c r="U15" s="163"/>
      <c r="V15" s="251"/>
      <c r="W15" s="2115" t="s">
        <v>30</v>
      </c>
      <c r="X15" s="161">
        <f t="shared" si="0"/>
        <v>90</v>
      </c>
    </row>
    <row r="16" spans="1:24" s="158" customFormat="1" ht="21.95" customHeight="1" x14ac:dyDescent="0.2">
      <c r="A16" s="161">
        <v>7</v>
      </c>
      <c r="B16" s="1974">
        <f t="shared" si="1"/>
        <v>5191421007</v>
      </c>
      <c r="C16" s="2220">
        <v>2</v>
      </c>
      <c r="D16" s="2220">
        <v>2</v>
      </c>
      <c r="E16" s="2220">
        <v>1</v>
      </c>
      <c r="F16" s="2227">
        <v>2</v>
      </c>
      <c r="G16" s="2227">
        <v>2</v>
      </c>
      <c r="H16" s="2227">
        <v>5</v>
      </c>
      <c r="I16" s="2227">
        <v>4</v>
      </c>
      <c r="J16" s="2227">
        <v>3</v>
      </c>
      <c r="K16" s="2227">
        <v>5</v>
      </c>
      <c r="L16" s="2227"/>
      <c r="M16" s="2227"/>
      <c r="N16" s="164">
        <v>2</v>
      </c>
      <c r="O16" s="164">
        <v>2</v>
      </c>
      <c r="P16" s="164">
        <v>2</v>
      </c>
      <c r="Q16" s="164">
        <v>2</v>
      </c>
      <c r="R16" s="161">
        <v>2</v>
      </c>
      <c r="S16" s="163">
        <v>10</v>
      </c>
      <c r="T16" s="163">
        <v>10</v>
      </c>
      <c r="U16" s="163"/>
      <c r="V16" s="251"/>
      <c r="W16" s="2114" t="s">
        <v>30</v>
      </c>
      <c r="X16" s="161">
        <f t="shared" si="0"/>
        <v>90</v>
      </c>
    </row>
    <row r="17" spans="1:24" s="158" customFormat="1" ht="21.95" customHeight="1" x14ac:dyDescent="0.2">
      <c r="A17" s="161">
        <v>8</v>
      </c>
      <c r="B17" s="1974">
        <f t="shared" si="1"/>
        <v>5191421008</v>
      </c>
      <c r="C17" s="2220"/>
      <c r="D17" s="2220"/>
      <c r="E17" s="2220">
        <v>1</v>
      </c>
      <c r="F17" s="2227"/>
      <c r="G17" s="2227">
        <v>2</v>
      </c>
      <c r="H17" s="2227"/>
      <c r="I17" s="2227"/>
      <c r="J17" s="2227"/>
      <c r="K17" s="2227">
        <v>1</v>
      </c>
      <c r="L17" s="2227">
        <v>2</v>
      </c>
      <c r="M17" s="2227"/>
      <c r="N17" s="164">
        <v>2</v>
      </c>
      <c r="O17" s="164"/>
      <c r="P17" s="164">
        <v>2</v>
      </c>
      <c r="Q17" s="164"/>
      <c r="R17" s="161"/>
      <c r="S17" s="163">
        <v>10</v>
      </c>
      <c r="T17" s="163">
        <v>10</v>
      </c>
      <c r="U17" s="163"/>
      <c r="V17" s="251"/>
      <c r="W17" s="2115" t="s">
        <v>32</v>
      </c>
      <c r="X17" s="161">
        <f t="shared" si="0"/>
        <v>70</v>
      </c>
    </row>
    <row r="18" spans="1:24" s="158" customFormat="1" ht="21.95" customHeight="1" x14ac:dyDescent="0.2">
      <c r="A18" s="161">
        <v>9</v>
      </c>
      <c r="B18" s="1974">
        <f t="shared" si="1"/>
        <v>5191421009</v>
      </c>
      <c r="C18" s="2220">
        <v>2</v>
      </c>
      <c r="D18" s="2220">
        <v>2</v>
      </c>
      <c r="E18" s="2220">
        <v>2</v>
      </c>
      <c r="F18" s="2227"/>
      <c r="G18" s="2227">
        <v>2</v>
      </c>
      <c r="H18" s="2227"/>
      <c r="I18" s="2227"/>
      <c r="J18" s="2227">
        <v>3</v>
      </c>
      <c r="K18" s="2227">
        <v>5</v>
      </c>
      <c r="L18" s="2227"/>
      <c r="M18" s="2227"/>
      <c r="N18" s="164">
        <v>2</v>
      </c>
      <c r="O18" s="164">
        <v>2</v>
      </c>
      <c r="P18" s="164"/>
      <c r="Q18" s="164"/>
      <c r="R18" s="161"/>
      <c r="S18" s="163">
        <v>5</v>
      </c>
      <c r="T18" s="163"/>
      <c r="U18" s="163">
        <v>10</v>
      </c>
      <c r="V18" s="251"/>
      <c r="W18" s="2114" t="s">
        <v>31</v>
      </c>
      <c r="X18" s="161">
        <f t="shared" si="0"/>
        <v>55</v>
      </c>
    </row>
    <row r="19" spans="1:24" s="158" customFormat="1" ht="21.95" customHeight="1" x14ac:dyDescent="0.2">
      <c r="A19" s="161">
        <v>10</v>
      </c>
      <c r="B19" s="1974">
        <f t="shared" si="1"/>
        <v>5191421010</v>
      </c>
      <c r="C19" s="2220">
        <v>2</v>
      </c>
      <c r="D19" s="2220">
        <v>2</v>
      </c>
      <c r="E19" s="2220">
        <v>2</v>
      </c>
      <c r="F19" s="2227"/>
      <c r="G19" s="2227">
        <v>2</v>
      </c>
      <c r="H19" s="2227"/>
      <c r="I19" s="2227"/>
      <c r="J19" s="2227"/>
      <c r="K19" s="2227">
        <v>3</v>
      </c>
      <c r="L19" s="2227"/>
      <c r="M19" s="2227"/>
      <c r="N19" s="164">
        <v>2</v>
      </c>
      <c r="O19" s="164"/>
      <c r="P19" s="164">
        <v>1</v>
      </c>
      <c r="Q19" s="164"/>
      <c r="R19" s="161"/>
      <c r="S19" s="163">
        <v>10</v>
      </c>
      <c r="T19" s="163"/>
      <c r="U19" s="163">
        <v>10</v>
      </c>
      <c r="V19" s="251"/>
      <c r="W19" s="2115" t="s">
        <v>33</v>
      </c>
      <c r="X19" s="161">
        <f t="shared" si="0"/>
        <v>60</v>
      </c>
    </row>
    <row r="20" spans="1:24" s="158" customFormat="1" ht="21.95" customHeight="1" x14ac:dyDescent="0.2">
      <c r="A20" s="161">
        <v>11</v>
      </c>
      <c r="B20" s="1974">
        <f t="shared" si="1"/>
        <v>5191421011</v>
      </c>
      <c r="C20" s="2220">
        <v>1</v>
      </c>
      <c r="D20" s="2220">
        <v>2</v>
      </c>
      <c r="E20" s="2220">
        <v>2</v>
      </c>
      <c r="F20" s="2227"/>
      <c r="G20" s="2227">
        <v>2</v>
      </c>
      <c r="H20" s="2227">
        <v>5</v>
      </c>
      <c r="I20" s="2227"/>
      <c r="J20" s="2227">
        <v>5</v>
      </c>
      <c r="K20" s="2227">
        <v>5</v>
      </c>
      <c r="L20" s="2227"/>
      <c r="M20" s="2227"/>
      <c r="N20" s="164">
        <v>2</v>
      </c>
      <c r="O20" s="164">
        <v>2</v>
      </c>
      <c r="P20" s="164"/>
      <c r="Q20" s="164"/>
      <c r="R20" s="161"/>
      <c r="S20" s="163">
        <v>5</v>
      </c>
      <c r="T20" s="163"/>
      <c r="U20" s="163"/>
      <c r="V20" s="251"/>
      <c r="W20" s="2114" t="s">
        <v>27</v>
      </c>
      <c r="X20" s="161">
        <f t="shared" si="0"/>
        <v>80</v>
      </c>
    </row>
    <row r="21" spans="1:24" s="158" customFormat="1" ht="21.95" customHeight="1" x14ac:dyDescent="0.2">
      <c r="A21" s="161">
        <v>12</v>
      </c>
      <c r="B21" s="1974">
        <f t="shared" si="1"/>
        <v>5191421012</v>
      </c>
      <c r="C21" s="2220"/>
      <c r="D21" s="2220"/>
      <c r="E21" s="2220"/>
      <c r="F21" s="2227"/>
      <c r="G21" s="2227"/>
      <c r="H21" s="2227"/>
      <c r="I21" s="2227"/>
      <c r="J21" s="2227"/>
      <c r="K21" s="2227">
        <v>1</v>
      </c>
      <c r="L21" s="2227"/>
      <c r="M21" s="2227"/>
      <c r="N21" s="164">
        <v>2</v>
      </c>
      <c r="O21" s="164"/>
      <c r="P21" s="164"/>
      <c r="Q21" s="164"/>
      <c r="R21" s="161"/>
      <c r="S21" s="163">
        <v>9</v>
      </c>
      <c r="T21" s="163">
        <v>10</v>
      </c>
      <c r="U21" s="163"/>
      <c r="V21" s="251"/>
      <c r="W21" s="2115" t="s">
        <v>28</v>
      </c>
      <c r="X21" s="161">
        <f t="shared" si="0"/>
        <v>50</v>
      </c>
    </row>
    <row r="22" spans="1:24" s="158" customFormat="1" ht="21.95" customHeight="1" x14ac:dyDescent="0.2">
      <c r="A22" s="161">
        <v>13</v>
      </c>
      <c r="B22" s="1974">
        <f t="shared" si="1"/>
        <v>5191421013</v>
      </c>
      <c r="C22" s="2220">
        <v>2</v>
      </c>
      <c r="D22" s="2220">
        <v>2</v>
      </c>
      <c r="E22" s="2220">
        <v>2</v>
      </c>
      <c r="F22" s="2227">
        <v>1</v>
      </c>
      <c r="G22" s="2227">
        <v>2</v>
      </c>
      <c r="H22" s="2227"/>
      <c r="I22" s="2227"/>
      <c r="J22" s="2227">
        <v>2</v>
      </c>
      <c r="K22" s="2227">
        <v>5</v>
      </c>
      <c r="L22" s="2227">
        <v>5</v>
      </c>
      <c r="M22" s="2227">
        <v>5</v>
      </c>
      <c r="N22" s="164">
        <v>2</v>
      </c>
      <c r="O22" s="164">
        <v>2</v>
      </c>
      <c r="P22" s="164"/>
      <c r="Q22" s="164">
        <v>2</v>
      </c>
      <c r="R22" s="161"/>
      <c r="S22" s="163">
        <v>10</v>
      </c>
      <c r="T22" s="163">
        <v>10</v>
      </c>
      <c r="U22" s="163"/>
      <c r="V22" s="251"/>
      <c r="W22" s="2114" t="s">
        <v>30</v>
      </c>
      <c r="X22" s="161">
        <f t="shared" si="0"/>
        <v>90</v>
      </c>
    </row>
    <row r="23" spans="1:24" s="158" customFormat="1" ht="21.95" customHeight="1" x14ac:dyDescent="0.2">
      <c r="A23" s="161">
        <v>14</v>
      </c>
      <c r="B23" s="1974">
        <f t="shared" si="1"/>
        <v>5191421014</v>
      </c>
      <c r="C23" s="2218">
        <v>1</v>
      </c>
      <c r="D23" s="2218">
        <v>1</v>
      </c>
      <c r="E23" s="2218"/>
      <c r="F23" s="2227"/>
      <c r="G23" s="2227"/>
      <c r="H23" s="2227"/>
      <c r="I23" s="2227">
        <v>4</v>
      </c>
      <c r="J23" s="2227">
        <v>2</v>
      </c>
      <c r="K23" s="2227">
        <v>3</v>
      </c>
      <c r="L23" s="2227"/>
      <c r="M23" s="2227"/>
      <c r="N23" s="164">
        <v>2</v>
      </c>
      <c r="O23" s="164"/>
      <c r="P23" s="164"/>
      <c r="Q23" s="164"/>
      <c r="R23" s="161"/>
      <c r="S23" s="163">
        <v>10</v>
      </c>
      <c r="T23" s="163"/>
      <c r="U23" s="163">
        <v>10</v>
      </c>
      <c r="V23" s="251"/>
      <c r="W23" s="2115" t="s">
        <v>27</v>
      </c>
      <c r="X23" s="161">
        <f t="shared" si="0"/>
        <v>80</v>
      </c>
    </row>
    <row r="24" spans="1:24" s="158" customFormat="1" ht="21.95" customHeight="1" x14ac:dyDescent="0.2">
      <c r="A24" s="161">
        <v>15</v>
      </c>
      <c r="B24" s="1974">
        <f t="shared" si="1"/>
        <v>5191421015</v>
      </c>
      <c r="C24" s="2220">
        <v>2</v>
      </c>
      <c r="D24" s="2220">
        <v>2</v>
      </c>
      <c r="E24" s="2220">
        <v>2</v>
      </c>
      <c r="F24" s="2227"/>
      <c r="G24" s="2227">
        <v>2</v>
      </c>
      <c r="H24" s="2227"/>
      <c r="I24" s="2227">
        <v>1</v>
      </c>
      <c r="J24" s="2227">
        <v>5</v>
      </c>
      <c r="K24" s="2227">
        <v>5</v>
      </c>
      <c r="L24" s="2227">
        <v>5</v>
      </c>
      <c r="M24" s="2227">
        <v>5</v>
      </c>
      <c r="N24" s="164">
        <v>2</v>
      </c>
      <c r="O24" s="164">
        <v>2</v>
      </c>
      <c r="P24" s="164"/>
      <c r="Q24" s="164"/>
      <c r="R24" s="161"/>
      <c r="S24" s="253">
        <v>5</v>
      </c>
      <c r="T24" s="253">
        <v>5</v>
      </c>
      <c r="U24" s="253"/>
      <c r="V24" s="251"/>
      <c r="W24" s="2114" t="s">
        <v>32</v>
      </c>
      <c r="X24" s="161">
        <f t="shared" si="0"/>
        <v>70</v>
      </c>
    </row>
    <row r="25" spans="1:24" s="158" customFormat="1" ht="21.95" customHeight="1" x14ac:dyDescent="0.2">
      <c r="A25" s="161">
        <v>16</v>
      </c>
      <c r="B25" s="1974">
        <f t="shared" si="1"/>
        <v>5191421016</v>
      </c>
      <c r="C25" s="2220">
        <v>2</v>
      </c>
      <c r="D25" s="2220">
        <v>2</v>
      </c>
      <c r="E25" s="2220"/>
      <c r="F25" s="2227"/>
      <c r="G25" s="2227">
        <v>2</v>
      </c>
      <c r="H25" s="2227"/>
      <c r="I25" s="2227"/>
      <c r="J25" s="2227">
        <v>2</v>
      </c>
      <c r="K25" s="2227">
        <v>3</v>
      </c>
      <c r="L25" s="2227">
        <v>3</v>
      </c>
      <c r="M25" s="2227"/>
      <c r="N25" s="164">
        <v>2</v>
      </c>
      <c r="O25" s="164">
        <v>2</v>
      </c>
      <c r="P25" s="164"/>
      <c r="Q25" s="164">
        <v>2</v>
      </c>
      <c r="R25" s="161"/>
      <c r="S25" s="163">
        <v>10</v>
      </c>
      <c r="T25" s="163"/>
      <c r="U25" s="163">
        <v>10</v>
      </c>
      <c r="V25" s="251"/>
      <c r="W25" s="2115" t="s">
        <v>33</v>
      </c>
      <c r="X25" s="161">
        <f t="shared" si="0"/>
        <v>60</v>
      </c>
    </row>
    <row r="26" spans="1:24" s="158" customFormat="1" ht="21.95" customHeight="1" x14ac:dyDescent="0.2">
      <c r="A26" s="161">
        <v>17</v>
      </c>
      <c r="B26" s="1974">
        <f t="shared" si="1"/>
        <v>5191421017</v>
      </c>
      <c r="C26" s="2220">
        <v>2</v>
      </c>
      <c r="D26" s="2220">
        <v>2</v>
      </c>
      <c r="E26" s="2220"/>
      <c r="F26" s="2227"/>
      <c r="G26" s="2227">
        <v>1</v>
      </c>
      <c r="H26" s="2227"/>
      <c r="I26" s="2227">
        <v>3</v>
      </c>
      <c r="J26" s="2227">
        <v>2</v>
      </c>
      <c r="K26" s="2227">
        <v>2</v>
      </c>
      <c r="L26" s="2227"/>
      <c r="M26" s="2227"/>
      <c r="N26" s="164">
        <v>2</v>
      </c>
      <c r="O26" s="164">
        <v>2</v>
      </c>
      <c r="P26" s="164"/>
      <c r="Q26" s="164">
        <v>1</v>
      </c>
      <c r="R26" s="161"/>
      <c r="S26" s="163">
        <v>5</v>
      </c>
      <c r="T26" s="163">
        <v>5</v>
      </c>
      <c r="U26" s="163"/>
      <c r="V26" s="251"/>
      <c r="W26" s="2114" t="s">
        <v>28</v>
      </c>
      <c r="X26" s="161">
        <f t="shared" si="0"/>
        <v>50</v>
      </c>
    </row>
    <row r="27" spans="1:24" s="158" customFormat="1" ht="21.95" customHeight="1" x14ac:dyDescent="0.2">
      <c r="A27" s="161">
        <v>18</v>
      </c>
      <c r="B27" s="1974">
        <f t="shared" si="1"/>
        <v>5191421018</v>
      </c>
      <c r="C27" s="2220">
        <v>1</v>
      </c>
      <c r="D27" s="2220">
        <v>1</v>
      </c>
      <c r="E27" s="2220">
        <v>2</v>
      </c>
      <c r="F27" s="2227"/>
      <c r="G27" s="2227">
        <v>2</v>
      </c>
      <c r="H27" s="2227"/>
      <c r="I27" s="2227"/>
      <c r="J27" s="2227"/>
      <c r="K27" s="2227">
        <v>1</v>
      </c>
      <c r="L27" s="2227"/>
      <c r="M27" s="2227"/>
      <c r="N27" s="164">
        <v>2</v>
      </c>
      <c r="O27" s="164">
        <v>2</v>
      </c>
      <c r="P27" s="164">
        <v>2</v>
      </c>
      <c r="Q27" s="164">
        <v>2</v>
      </c>
      <c r="R27" s="161">
        <v>2</v>
      </c>
      <c r="S27" s="163">
        <v>10</v>
      </c>
      <c r="T27" s="163"/>
      <c r="U27" s="163"/>
      <c r="V27" s="251"/>
      <c r="W27" s="2115" t="s">
        <v>31</v>
      </c>
      <c r="X27" s="161">
        <f t="shared" si="0"/>
        <v>55</v>
      </c>
    </row>
    <row r="28" spans="1:24" s="158" customFormat="1" ht="21.95" customHeight="1" x14ac:dyDescent="0.2">
      <c r="A28" s="161">
        <v>19</v>
      </c>
      <c r="B28" s="1974">
        <f t="shared" si="1"/>
        <v>5191421019</v>
      </c>
      <c r="C28" s="2220">
        <v>2</v>
      </c>
      <c r="D28" s="2218">
        <v>2</v>
      </c>
      <c r="E28" s="2218">
        <v>2</v>
      </c>
      <c r="F28" s="2227"/>
      <c r="G28" s="2227">
        <v>2</v>
      </c>
      <c r="H28" s="2227"/>
      <c r="I28" s="2227"/>
      <c r="J28" s="2227">
        <v>5</v>
      </c>
      <c r="K28" s="2227">
        <v>5</v>
      </c>
      <c r="L28" s="2227">
        <v>5</v>
      </c>
      <c r="M28" s="2227">
        <v>5</v>
      </c>
      <c r="N28" s="164">
        <v>2</v>
      </c>
      <c r="O28" s="161">
        <v>2</v>
      </c>
      <c r="P28" s="161"/>
      <c r="Q28" s="161"/>
      <c r="R28" s="161"/>
      <c r="S28" s="163">
        <v>10</v>
      </c>
      <c r="T28" s="163">
        <v>5</v>
      </c>
      <c r="U28" s="163"/>
      <c r="V28" s="251"/>
      <c r="W28" s="2114" t="s">
        <v>30</v>
      </c>
      <c r="X28" s="161">
        <f t="shared" si="0"/>
        <v>90</v>
      </c>
    </row>
    <row r="29" spans="1:24" s="158" customFormat="1" ht="21.95" customHeight="1" x14ac:dyDescent="0.2">
      <c r="A29" s="161">
        <v>20</v>
      </c>
      <c r="B29" s="1974">
        <f t="shared" si="1"/>
        <v>5191421020</v>
      </c>
      <c r="C29" s="2218">
        <v>1</v>
      </c>
      <c r="D29" s="2218">
        <v>2</v>
      </c>
      <c r="E29" s="2218">
        <v>2</v>
      </c>
      <c r="F29" s="2227"/>
      <c r="G29" s="2227">
        <v>2</v>
      </c>
      <c r="H29" s="2227"/>
      <c r="I29" s="2227"/>
      <c r="J29" s="2227">
        <v>4</v>
      </c>
      <c r="K29" s="2227">
        <v>5</v>
      </c>
      <c r="L29" s="2227">
        <v>5</v>
      </c>
      <c r="M29" s="2227">
        <v>2</v>
      </c>
      <c r="N29" s="161">
        <v>2</v>
      </c>
      <c r="O29" s="161">
        <v>2</v>
      </c>
      <c r="P29" s="161"/>
      <c r="Q29" s="161">
        <v>2</v>
      </c>
      <c r="R29" s="161"/>
      <c r="S29" s="163">
        <v>9</v>
      </c>
      <c r="T29" s="163">
        <v>9</v>
      </c>
      <c r="U29" s="163"/>
      <c r="V29" s="251"/>
      <c r="W29" s="2115" t="s">
        <v>27</v>
      </c>
      <c r="X29" s="161">
        <f t="shared" si="0"/>
        <v>80</v>
      </c>
    </row>
    <row r="30" spans="1:24" s="158" customFormat="1" ht="21.95" customHeight="1" x14ac:dyDescent="0.2">
      <c r="A30" s="161">
        <v>21</v>
      </c>
      <c r="B30" s="1974">
        <f t="shared" si="1"/>
        <v>5191421021</v>
      </c>
      <c r="C30" s="2218">
        <v>1</v>
      </c>
      <c r="D30" s="2218"/>
      <c r="E30" s="2218">
        <v>2</v>
      </c>
      <c r="F30" s="2227"/>
      <c r="G30" s="2227">
        <v>2</v>
      </c>
      <c r="H30" s="2227">
        <v>2</v>
      </c>
      <c r="I30" s="2227"/>
      <c r="J30" s="2227">
        <v>3</v>
      </c>
      <c r="K30" s="2227">
        <v>5</v>
      </c>
      <c r="L30" s="2227"/>
      <c r="M30" s="2227"/>
      <c r="N30" s="164">
        <v>2</v>
      </c>
      <c r="O30" s="161">
        <v>2</v>
      </c>
      <c r="P30" s="161"/>
      <c r="Q30" s="161">
        <v>2</v>
      </c>
      <c r="R30" s="161">
        <v>2</v>
      </c>
      <c r="S30" s="163">
        <v>10</v>
      </c>
      <c r="T30" s="163">
        <v>10</v>
      </c>
      <c r="U30" s="163"/>
      <c r="V30" s="251"/>
      <c r="W30" s="2114" t="s">
        <v>32</v>
      </c>
      <c r="X30" s="161">
        <f t="shared" si="0"/>
        <v>70</v>
      </c>
    </row>
    <row r="31" spans="1:24" s="158" customFormat="1" ht="21.95" customHeight="1" x14ac:dyDescent="0.2">
      <c r="A31" s="161">
        <v>22</v>
      </c>
      <c r="B31" s="1974">
        <f t="shared" si="1"/>
        <v>5191421022</v>
      </c>
      <c r="C31" s="2220">
        <v>1</v>
      </c>
      <c r="D31" s="2218"/>
      <c r="E31" s="2218"/>
      <c r="F31" s="2227"/>
      <c r="G31" s="2227">
        <v>2</v>
      </c>
      <c r="H31" s="2227"/>
      <c r="I31" s="2227">
        <v>1</v>
      </c>
      <c r="J31" s="2227"/>
      <c r="K31" s="2227"/>
      <c r="L31" s="2227">
        <v>5</v>
      </c>
      <c r="M31" s="2227"/>
      <c r="N31" s="164">
        <v>2</v>
      </c>
      <c r="O31" s="161">
        <v>2</v>
      </c>
      <c r="P31" s="161"/>
      <c r="Q31" s="161">
        <v>2</v>
      </c>
      <c r="R31" s="161">
        <v>2</v>
      </c>
      <c r="S31" s="163">
        <v>10</v>
      </c>
      <c r="T31" s="163">
        <v>10</v>
      </c>
      <c r="U31" s="163"/>
      <c r="V31" s="251"/>
      <c r="W31" s="2115" t="s">
        <v>33</v>
      </c>
      <c r="X31" s="161">
        <f t="shared" si="0"/>
        <v>60</v>
      </c>
    </row>
    <row r="32" spans="1:24" s="158" customFormat="1" ht="21.95" customHeight="1" x14ac:dyDescent="0.2">
      <c r="A32" s="161">
        <v>23</v>
      </c>
      <c r="B32" s="1974">
        <f t="shared" si="1"/>
        <v>5191421023</v>
      </c>
      <c r="C32" s="2220">
        <v>1</v>
      </c>
      <c r="D32" s="2218"/>
      <c r="E32" s="2218">
        <v>1</v>
      </c>
      <c r="F32" s="2227"/>
      <c r="G32" s="2227">
        <v>1</v>
      </c>
      <c r="H32" s="2227"/>
      <c r="I32" s="2227">
        <v>1</v>
      </c>
      <c r="J32" s="2227"/>
      <c r="K32" s="2227">
        <v>1</v>
      </c>
      <c r="L32" s="2227">
        <v>1</v>
      </c>
      <c r="M32" s="2227"/>
      <c r="N32" s="164">
        <v>2</v>
      </c>
      <c r="O32" s="161">
        <v>2</v>
      </c>
      <c r="P32" s="161"/>
      <c r="Q32" s="161"/>
      <c r="R32" s="161"/>
      <c r="S32" s="163">
        <v>10</v>
      </c>
      <c r="T32" s="163">
        <v>10</v>
      </c>
      <c r="U32" s="163"/>
      <c r="V32" s="251"/>
      <c r="W32" s="2114" t="s">
        <v>31</v>
      </c>
      <c r="X32" s="161">
        <f t="shared" si="0"/>
        <v>55</v>
      </c>
    </row>
    <row r="33" spans="1:24" s="158" customFormat="1" ht="21.95" customHeight="1" x14ac:dyDescent="0.2">
      <c r="A33" s="161">
        <v>24</v>
      </c>
      <c r="B33" s="1974">
        <f t="shared" si="1"/>
        <v>5191421024</v>
      </c>
      <c r="C33" s="2220"/>
      <c r="D33" s="2218"/>
      <c r="E33" s="2218"/>
      <c r="F33" s="2227">
        <v>1</v>
      </c>
      <c r="G33" s="2227"/>
      <c r="H33" s="2227"/>
      <c r="I33" s="2227"/>
      <c r="J33" s="2227"/>
      <c r="K33" s="2227"/>
      <c r="L33" s="2227"/>
      <c r="M33" s="2227"/>
      <c r="N33" s="164">
        <v>2</v>
      </c>
      <c r="O33" s="161">
        <v>2</v>
      </c>
      <c r="P33" s="161">
        <v>2</v>
      </c>
      <c r="Q33" s="161">
        <v>1</v>
      </c>
      <c r="R33" s="161"/>
      <c r="S33" s="253">
        <v>10</v>
      </c>
      <c r="T33" s="253">
        <v>10</v>
      </c>
      <c r="U33" s="253"/>
      <c r="V33" s="251"/>
      <c r="W33" s="2115" t="s">
        <v>31</v>
      </c>
      <c r="X33" s="161">
        <f t="shared" si="0"/>
        <v>55</v>
      </c>
    </row>
    <row r="34" spans="1:24" s="158" customFormat="1" ht="21.95" customHeight="1" x14ac:dyDescent="0.2">
      <c r="A34" s="161">
        <v>25</v>
      </c>
      <c r="B34" s="1974">
        <f t="shared" si="1"/>
        <v>5191421025</v>
      </c>
      <c r="C34" s="2220">
        <v>2</v>
      </c>
      <c r="D34" s="2218">
        <v>2</v>
      </c>
      <c r="E34" s="2218">
        <v>2</v>
      </c>
      <c r="F34" s="2227">
        <v>2</v>
      </c>
      <c r="G34" s="2227">
        <v>2</v>
      </c>
      <c r="H34" s="2227"/>
      <c r="I34" s="2227"/>
      <c r="J34" s="2227">
        <v>5</v>
      </c>
      <c r="K34" s="2227">
        <v>5</v>
      </c>
      <c r="L34" s="2227">
        <v>5</v>
      </c>
      <c r="M34" s="2227">
        <v>5</v>
      </c>
      <c r="N34" s="164">
        <v>2</v>
      </c>
      <c r="O34" s="161">
        <v>2</v>
      </c>
      <c r="P34" s="161">
        <v>2</v>
      </c>
      <c r="Q34" s="161"/>
      <c r="R34" s="161"/>
      <c r="S34" s="163">
        <v>10</v>
      </c>
      <c r="T34" s="163">
        <v>10</v>
      </c>
      <c r="U34" s="163"/>
      <c r="V34" s="251"/>
      <c r="W34" s="2114" t="s">
        <v>30</v>
      </c>
      <c r="X34" s="161">
        <f t="shared" si="0"/>
        <v>90</v>
      </c>
    </row>
    <row r="35" spans="1:24" s="158" customFormat="1" ht="21.95" customHeight="1" x14ac:dyDescent="0.2">
      <c r="A35" s="161">
        <v>26</v>
      </c>
      <c r="B35" s="1974">
        <f t="shared" si="1"/>
        <v>5191421026</v>
      </c>
      <c r="C35" s="2220">
        <v>1</v>
      </c>
      <c r="D35" s="2218">
        <v>2</v>
      </c>
      <c r="E35" s="2218">
        <v>1</v>
      </c>
      <c r="F35" s="2227"/>
      <c r="G35" s="2227">
        <v>2</v>
      </c>
      <c r="H35" s="2227"/>
      <c r="I35" s="2227"/>
      <c r="J35" s="2227">
        <v>3</v>
      </c>
      <c r="K35" s="2227">
        <v>5</v>
      </c>
      <c r="L35" s="2227">
        <v>5</v>
      </c>
      <c r="M35" s="2227">
        <v>5</v>
      </c>
      <c r="N35" s="164">
        <v>2</v>
      </c>
      <c r="O35" s="161">
        <v>2</v>
      </c>
      <c r="P35" s="161">
        <v>2</v>
      </c>
      <c r="Q35" s="161">
        <v>2</v>
      </c>
      <c r="R35" s="161"/>
      <c r="S35" s="163">
        <v>10</v>
      </c>
      <c r="T35" s="163">
        <v>10</v>
      </c>
      <c r="U35" s="163"/>
      <c r="V35" s="251"/>
      <c r="W35" s="2115" t="s">
        <v>32</v>
      </c>
      <c r="X35" s="161">
        <f t="shared" si="0"/>
        <v>70</v>
      </c>
    </row>
    <row r="36" spans="1:24" s="158" customFormat="1" ht="21.95" customHeight="1" x14ac:dyDescent="0.2">
      <c r="A36" s="161">
        <v>27</v>
      </c>
      <c r="B36" s="1974">
        <f t="shared" si="1"/>
        <v>5191421027</v>
      </c>
      <c r="C36" s="2220">
        <v>2</v>
      </c>
      <c r="D36" s="2218">
        <v>2</v>
      </c>
      <c r="E36" s="2218">
        <v>1</v>
      </c>
      <c r="F36" s="2227"/>
      <c r="G36" s="2227">
        <v>2</v>
      </c>
      <c r="H36" s="2227"/>
      <c r="I36" s="2227"/>
      <c r="J36" s="2227">
        <v>4</v>
      </c>
      <c r="K36" s="2227">
        <v>5</v>
      </c>
      <c r="L36" s="2227">
        <v>5</v>
      </c>
      <c r="M36" s="2227">
        <v>5</v>
      </c>
      <c r="N36" s="164">
        <v>2</v>
      </c>
      <c r="O36" s="161">
        <v>2</v>
      </c>
      <c r="P36" s="161">
        <v>2</v>
      </c>
      <c r="Q36" s="161">
        <v>2</v>
      </c>
      <c r="R36" s="161">
        <v>2</v>
      </c>
      <c r="S36" s="163">
        <v>10</v>
      </c>
      <c r="T36" s="163">
        <v>10</v>
      </c>
      <c r="U36" s="163"/>
      <c r="V36" s="251"/>
      <c r="W36" s="2114" t="s">
        <v>27</v>
      </c>
      <c r="X36" s="161">
        <f t="shared" si="0"/>
        <v>80</v>
      </c>
    </row>
    <row r="37" spans="1:24" s="158" customFormat="1" ht="21.95" customHeight="1" x14ac:dyDescent="0.2">
      <c r="A37" s="161">
        <v>28</v>
      </c>
      <c r="B37" s="1974">
        <f t="shared" si="1"/>
        <v>5191421028</v>
      </c>
      <c r="C37" s="2220">
        <v>1</v>
      </c>
      <c r="D37" s="2218">
        <v>2</v>
      </c>
      <c r="E37" s="2218">
        <v>2</v>
      </c>
      <c r="F37" s="2227"/>
      <c r="G37" s="2227"/>
      <c r="H37" s="2227"/>
      <c r="I37" s="2227"/>
      <c r="J37" s="2227">
        <v>5</v>
      </c>
      <c r="K37" s="2227">
        <v>3</v>
      </c>
      <c r="L37" s="2227">
        <v>4</v>
      </c>
      <c r="M37" s="2227"/>
      <c r="N37" s="164">
        <v>2</v>
      </c>
      <c r="O37" s="161">
        <v>2</v>
      </c>
      <c r="P37" s="161">
        <v>2</v>
      </c>
      <c r="Q37" s="161">
        <v>2</v>
      </c>
      <c r="R37" s="161"/>
      <c r="S37" s="163">
        <v>10</v>
      </c>
      <c r="T37" s="163">
        <v>10</v>
      </c>
      <c r="U37" s="163"/>
      <c r="V37" s="251"/>
      <c r="W37" s="2115" t="s">
        <v>32</v>
      </c>
      <c r="X37" s="161">
        <f t="shared" si="0"/>
        <v>70</v>
      </c>
    </row>
    <row r="38" spans="1:24" s="158" customFormat="1" ht="21.95" customHeight="1" x14ac:dyDescent="0.2">
      <c r="A38" s="161">
        <v>29</v>
      </c>
      <c r="B38" s="1974">
        <f t="shared" si="1"/>
        <v>5191421029</v>
      </c>
      <c r="C38" s="2220">
        <v>1</v>
      </c>
      <c r="D38" s="2218"/>
      <c r="E38" s="2218"/>
      <c r="F38" s="2227"/>
      <c r="G38" s="2227"/>
      <c r="H38" s="2227">
        <v>1</v>
      </c>
      <c r="I38" s="2227"/>
      <c r="J38" s="2227">
        <v>1</v>
      </c>
      <c r="K38" s="2227">
        <v>1</v>
      </c>
      <c r="L38" s="2227"/>
      <c r="M38" s="2227"/>
      <c r="N38" s="164"/>
      <c r="O38" s="161"/>
      <c r="P38" s="161"/>
      <c r="Q38" s="161"/>
      <c r="R38" s="161"/>
      <c r="S38" s="163">
        <v>5</v>
      </c>
      <c r="T38" s="163"/>
      <c r="U38" s="163"/>
      <c r="V38" s="251"/>
      <c r="W38" s="2114" t="s">
        <v>27</v>
      </c>
      <c r="X38" s="161">
        <f t="shared" si="0"/>
        <v>80</v>
      </c>
    </row>
    <row r="39" spans="1:24" s="158" customFormat="1" ht="21.95" customHeight="1" x14ac:dyDescent="0.2">
      <c r="A39" s="161">
        <v>30</v>
      </c>
      <c r="B39" s="1974">
        <f t="shared" si="1"/>
        <v>5191421030</v>
      </c>
      <c r="C39" s="2220"/>
      <c r="D39" s="2218"/>
      <c r="E39" s="2218"/>
      <c r="F39" s="2227"/>
      <c r="G39" s="2227"/>
      <c r="H39" s="2227"/>
      <c r="I39" s="2227"/>
      <c r="J39" s="2227"/>
      <c r="K39" s="2227"/>
      <c r="L39" s="2227"/>
      <c r="M39" s="2227"/>
      <c r="N39" s="164">
        <v>2</v>
      </c>
      <c r="O39" s="161">
        <v>2</v>
      </c>
      <c r="P39" s="161">
        <v>2</v>
      </c>
      <c r="Q39" s="161">
        <v>2</v>
      </c>
      <c r="R39" s="161">
        <v>2</v>
      </c>
      <c r="S39" s="163">
        <v>10</v>
      </c>
      <c r="T39" s="163">
        <v>10</v>
      </c>
      <c r="U39" s="163"/>
      <c r="V39" s="251"/>
      <c r="W39" s="2115" t="s">
        <v>31</v>
      </c>
      <c r="X39" s="161">
        <f t="shared" si="0"/>
        <v>55</v>
      </c>
    </row>
    <row r="40" spans="1:24" s="158" customFormat="1" ht="21.95" customHeight="1" x14ac:dyDescent="0.2">
      <c r="A40" s="161">
        <v>31</v>
      </c>
      <c r="B40" s="1974">
        <f t="shared" si="1"/>
        <v>5191421031</v>
      </c>
      <c r="C40" s="2220">
        <v>2</v>
      </c>
      <c r="D40" s="2218">
        <v>1</v>
      </c>
      <c r="E40" s="2218"/>
      <c r="F40" s="2227"/>
      <c r="G40" s="2227">
        <v>2</v>
      </c>
      <c r="H40" s="2227"/>
      <c r="I40" s="2227">
        <v>2</v>
      </c>
      <c r="J40" s="2227"/>
      <c r="K40" s="2227"/>
      <c r="L40" s="2227">
        <v>2</v>
      </c>
      <c r="M40" s="2227">
        <v>3</v>
      </c>
      <c r="N40" s="164">
        <v>2</v>
      </c>
      <c r="O40" s="161"/>
      <c r="P40" s="161"/>
      <c r="Q40" s="161"/>
      <c r="R40" s="161"/>
      <c r="S40" s="163">
        <v>10</v>
      </c>
      <c r="T40" s="163">
        <v>5</v>
      </c>
      <c r="U40" s="163"/>
      <c r="V40" s="251"/>
      <c r="W40" s="2114" t="s">
        <v>31</v>
      </c>
      <c r="X40" s="161">
        <f t="shared" si="0"/>
        <v>55</v>
      </c>
    </row>
    <row r="41" spans="1:24" s="158" customFormat="1" ht="21.95" customHeight="1" x14ac:dyDescent="0.2">
      <c r="A41" s="161">
        <v>32</v>
      </c>
      <c r="B41" s="1974">
        <f t="shared" si="1"/>
        <v>5191421032</v>
      </c>
      <c r="C41" s="2220">
        <v>1</v>
      </c>
      <c r="D41" s="2218">
        <v>2</v>
      </c>
      <c r="E41" s="2218">
        <v>2</v>
      </c>
      <c r="F41" s="2227"/>
      <c r="G41" s="2227"/>
      <c r="H41" s="2227"/>
      <c r="I41" s="2227"/>
      <c r="J41" s="2227"/>
      <c r="K41" s="2227">
        <v>2</v>
      </c>
      <c r="L41" s="2227"/>
      <c r="M41" s="2227"/>
      <c r="N41" s="164">
        <v>2</v>
      </c>
      <c r="O41" s="161">
        <v>1</v>
      </c>
      <c r="P41" s="161"/>
      <c r="Q41" s="161"/>
      <c r="R41" s="161"/>
      <c r="S41" s="163">
        <v>10</v>
      </c>
      <c r="T41" s="163">
        <v>5</v>
      </c>
      <c r="U41" s="163"/>
      <c r="V41" s="251"/>
      <c r="W41" s="2115" t="s">
        <v>28</v>
      </c>
      <c r="X41" s="161">
        <f t="shared" si="0"/>
        <v>50</v>
      </c>
    </row>
    <row r="42" spans="1:24" s="158" customFormat="1" ht="21.95" customHeight="1" x14ac:dyDescent="0.2">
      <c r="A42" s="161">
        <v>33</v>
      </c>
      <c r="B42" s="1974">
        <f t="shared" si="1"/>
        <v>5191421033</v>
      </c>
      <c r="C42" s="2220">
        <v>2</v>
      </c>
      <c r="D42" s="2218">
        <v>2</v>
      </c>
      <c r="E42" s="2218">
        <v>2</v>
      </c>
      <c r="F42" s="2227"/>
      <c r="G42" s="2227">
        <v>2</v>
      </c>
      <c r="H42" s="2227"/>
      <c r="I42" s="2227"/>
      <c r="J42" s="2227">
        <v>5</v>
      </c>
      <c r="K42" s="2227">
        <v>5</v>
      </c>
      <c r="L42" s="2227">
        <v>5</v>
      </c>
      <c r="M42" s="2227">
        <v>5</v>
      </c>
      <c r="N42" s="164">
        <v>2</v>
      </c>
      <c r="O42" s="161">
        <v>1</v>
      </c>
      <c r="P42" s="161"/>
      <c r="Q42" s="161"/>
      <c r="R42" s="161"/>
      <c r="S42" s="163">
        <v>10</v>
      </c>
      <c r="T42" s="163"/>
      <c r="U42" s="163"/>
      <c r="V42" s="251"/>
      <c r="W42" s="2114" t="s">
        <v>32</v>
      </c>
      <c r="X42" s="161">
        <f t="shared" si="0"/>
        <v>70</v>
      </c>
    </row>
    <row r="43" spans="1:24" s="158" customFormat="1" ht="21.95" customHeight="1" x14ac:dyDescent="0.2">
      <c r="A43" s="161">
        <v>34</v>
      </c>
      <c r="B43" s="1974">
        <f t="shared" si="1"/>
        <v>5191421034</v>
      </c>
      <c r="C43" s="2220">
        <v>2</v>
      </c>
      <c r="D43" s="2218">
        <v>2</v>
      </c>
      <c r="E43" s="2218">
        <v>2</v>
      </c>
      <c r="F43" s="2227"/>
      <c r="G43" s="2227">
        <v>2</v>
      </c>
      <c r="H43" s="2227"/>
      <c r="I43" s="2227"/>
      <c r="J43" s="2227">
        <v>5</v>
      </c>
      <c r="K43" s="2227">
        <v>5</v>
      </c>
      <c r="L43" s="2227">
        <v>5</v>
      </c>
      <c r="M43" s="2227">
        <v>5</v>
      </c>
      <c r="N43" s="164">
        <v>2</v>
      </c>
      <c r="O43" s="161">
        <v>2</v>
      </c>
      <c r="P43" s="161">
        <v>2</v>
      </c>
      <c r="Q43" s="161"/>
      <c r="R43" s="161"/>
      <c r="S43" s="163">
        <v>10</v>
      </c>
      <c r="T43" s="163">
        <v>10</v>
      </c>
      <c r="U43" s="163"/>
      <c r="V43" s="251"/>
      <c r="W43" s="2115" t="s">
        <v>32</v>
      </c>
      <c r="X43" s="161">
        <f t="shared" si="0"/>
        <v>70</v>
      </c>
    </row>
    <row r="44" spans="1:24" s="158" customFormat="1" ht="21.95" customHeight="1" x14ac:dyDescent="0.2">
      <c r="A44" s="161">
        <v>35</v>
      </c>
      <c r="B44" s="1974">
        <f t="shared" si="1"/>
        <v>5191421035</v>
      </c>
      <c r="C44" s="2218"/>
      <c r="D44" s="2218"/>
      <c r="E44" s="2218"/>
      <c r="F44" s="2227"/>
      <c r="G44" s="2227"/>
      <c r="H44" s="2227"/>
      <c r="I44" s="2227"/>
      <c r="J44" s="2227"/>
      <c r="K44" s="2227">
        <v>2</v>
      </c>
      <c r="L44" s="2227">
        <v>2</v>
      </c>
      <c r="M44" s="2227"/>
      <c r="N44" s="164">
        <v>2</v>
      </c>
      <c r="O44" s="161">
        <v>2</v>
      </c>
      <c r="P44" s="161">
        <v>2</v>
      </c>
      <c r="Q44" s="161">
        <v>2</v>
      </c>
      <c r="R44" s="161">
        <v>2</v>
      </c>
      <c r="S44" s="163">
        <v>10</v>
      </c>
      <c r="T44" s="163">
        <v>10</v>
      </c>
      <c r="U44" s="163"/>
      <c r="V44" s="251"/>
      <c r="W44" s="2114" t="s">
        <v>28</v>
      </c>
      <c r="X44" s="161">
        <f t="shared" si="0"/>
        <v>50</v>
      </c>
    </row>
    <row r="45" spans="1:24" s="158" customFormat="1" ht="21.95" customHeight="1" x14ac:dyDescent="0.2">
      <c r="A45" s="161">
        <v>36</v>
      </c>
      <c r="B45" s="1974">
        <f t="shared" si="1"/>
        <v>5191421036</v>
      </c>
      <c r="C45" s="2220">
        <v>2</v>
      </c>
      <c r="D45" s="2218">
        <v>2</v>
      </c>
      <c r="E45" s="2218">
        <v>2</v>
      </c>
      <c r="F45" s="2227">
        <v>2</v>
      </c>
      <c r="G45" s="2227">
        <v>1</v>
      </c>
      <c r="H45" s="2227"/>
      <c r="I45" s="2227"/>
      <c r="J45" s="2227">
        <v>5</v>
      </c>
      <c r="K45" s="2227">
        <v>5</v>
      </c>
      <c r="L45" s="2227">
        <v>5</v>
      </c>
      <c r="M45" s="2227"/>
      <c r="N45" s="164">
        <v>2</v>
      </c>
      <c r="O45" s="161">
        <v>2</v>
      </c>
      <c r="P45" s="161">
        <v>2</v>
      </c>
      <c r="Q45" s="161">
        <v>1</v>
      </c>
      <c r="R45" s="161"/>
      <c r="S45" s="163">
        <v>10</v>
      </c>
      <c r="T45" s="163">
        <v>10</v>
      </c>
      <c r="U45" s="163"/>
      <c r="V45" s="251"/>
      <c r="W45" s="2115" t="s">
        <v>30</v>
      </c>
      <c r="X45" s="161">
        <f t="shared" si="0"/>
        <v>90</v>
      </c>
    </row>
    <row r="46" spans="1:24" s="158" customFormat="1" ht="21.95" customHeight="1" x14ac:dyDescent="0.2">
      <c r="A46" s="161">
        <v>37</v>
      </c>
      <c r="B46" s="1974">
        <f t="shared" si="1"/>
        <v>5191421037</v>
      </c>
      <c r="C46" s="2220">
        <v>2</v>
      </c>
      <c r="D46" s="2218">
        <v>1</v>
      </c>
      <c r="E46" s="2218">
        <v>1</v>
      </c>
      <c r="F46" s="2227"/>
      <c r="G46" s="2227"/>
      <c r="H46" s="2227"/>
      <c r="I46" s="2227"/>
      <c r="J46" s="2227">
        <v>3</v>
      </c>
      <c r="K46" s="2227">
        <v>2</v>
      </c>
      <c r="L46" s="2227"/>
      <c r="M46" s="2227"/>
      <c r="N46" s="164" t="s">
        <v>27</v>
      </c>
      <c r="O46" s="161"/>
      <c r="P46" s="161"/>
      <c r="Q46" s="161"/>
      <c r="R46" s="161"/>
      <c r="S46" s="163"/>
      <c r="T46" s="163"/>
      <c r="U46" s="163"/>
      <c r="V46" s="251"/>
      <c r="W46" s="2114" t="s">
        <v>29</v>
      </c>
      <c r="X46" s="161">
        <f t="shared" si="0"/>
        <v>39</v>
      </c>
    </row>
    <row r="47" spans="1:24" s="158" customFormat="1" ht="21.95" customHeight="1" x14ac:dyDescent="0.2">
      <c r="A47" s="161">
        <v>38</v>
      </c>
      <c r="B47" s="1974">
        <f t="shared" si="1"/>
        <v>5191421038</v>
      </c>
      <c r="C47" s="2220">
        <v>2</v>
      </c>
      <c r="D47" s="2218">
        <v>1</v>
      </c>
      <c r="E47" s="2218">
        <v>1</v>
      </c>
      <c r="F47" s="2227"/>
      <c r="G47" s="2227"/>
      <c r="H47" s="2227"/>
      <c r="I47" s="2227"/>
      <c r="J47" s="2227"/>
      <c r="K47" s="2227">
        <v>2</v>
      </c>
      <c r="L47" s="2227"/>
      <c r="M47" s="2227"/>
      <c r="N47" s="164"/>
      <c r="O47" s="161"/>
      <c r="P47" s="161"/>
      <c r="Q47" s="161"/>
      <c r="R47" s="161"/>
      <c r="S47" s="163">
        <v>10</v>
      </c>
      <c r="T47" s="163">
        <v>10</v>
      </c>
      <c r="U47" s="163"/>
      <c r="V47" s="251"/>
      <c r="W47" s="2115" t="s">
        <v>28</v>
      </c>
      <c r="X47" s="161">
        <f t="shared" si="0"/>
        <v>50</v>
      </c>
    </row>
    <row r="48" spans="1:24" s="158" customFormat="1" ht="21.95" customHeight="1" x14ac:dyDescent="0.2">
      <c r="A48" s="161">
        <v>39</v>
      </c>
      <c r="B48" s="1974">
        <f t="shared" si="1"/>
        <v>5191421039</v>
      </c>
      <c r="C48" s="2220">
        <v>2</v>
      </c>
      <c r="D48" s="2218">
        <v>2</v>
      </c>
      <c r="E48" s="2218">
        <v>2</v>
      </c>
      <c r="F48" s="2227"/>
      <c r="G48" s="2227">
        <v>2</v>
      </c>
      <c r="H48" s="2227">
        <v>4</v>
      </c>
      <c r="I48" s="2227"/>
      <c r="J48" s="2227"/>
      <c r="K48" s="2227"/>
      <c r="L48" s="2227">
        <v>4</v>
      </c>
      <c r="M48" s="2227">
        <v>2</v>
      </c>
      <c r="N48" s="164">
        <v>2</v>
      </c>
      <c r="O48" s="161">
        <v>2</v>
      </c>
      <c r="P48" s="161">
        <v>2</v>
      </c>
      <c r="Q48" s="161"/>
      <c r="R48" s="161"/>
      <c r="S48" s="163">
        <v>10</v>
      </c>
      <c r="T48" s="163">
        <v>10</v>
      </c>
      <c r="U48" s="163"/>
      <c r="V48" s="251"/>
      <c r="W48" s="2114" t="s">
        <v>32</v>
      </c>
      <c r="X48" s="161">
        <f t="shared" si="0"/>
        <v>70</v>
      </c>
    </row>
    <row r="49" spans="1:40" s="158" customFormat="1" ht="21.95" customHeight="1" x14ac:dyDescent="0.2">
      <c r="A49" s="161">
        <v>40</v>
      </c>
      <c r="B49" s="1974">
        <f t="shared" si="1"/>
        <v>5191421040</v>
      </c>
      <c r="C49" s="2220">
        <v>1</v>
      </c>
      <c r="D49" s="2218">
        <v>2</v>
      </c>
      <c r="E49" s="2218">
        <v>2</v>
      </c>
      <c r="F49" s="2227"/>
      <c r="G49" s="2227">
        <v>2</v>
      </c>
      <c r="H49" s="2227"/>
      <c r="I49" s="2227">
        <v>3</v>
      </c>
      <c r="J49" s="2227">
        <v>4</v>
      </c>
      <c r="K49" s="2227">
        <v>1</v>
      </c>
      <c r="L49" s="2227"/>
      <c r="M49" s="2227"/>
      <c r="N49" s="164">
        <v>2</v>
      </c>
      <c r="O49" s="161">
        <v>2</v>
      </c>
      <c r="P49" s="161">
        <v>1</v>
      </c>
      <c r="Q49" s="161"/>
      <c r="R49" s="161"/>
      <c r="S49" s="163">
        <v>10</v>
      </c>
      <c r="T49" s="163"/>
      <c r="U49" s="163">
        <v>10</v>
      </c>
      <c r="V49" s="251"/>
      <c r="W49" s="2115" t="s">
        <v>31</v>
      </c>
      <c r="X49" s="161">
        <f t="shared" si="0"/>
        <v>55</v>
      </c>
    </row>
    <row r="50" spans="1:40" s="158" customFormat="1" ht="21.95" customHeight="1" x14ac:dyDescent="0.2">
      <c r="A50" s="161">
        <v>41</v>
      </c>
      <c r="B50" s="1974">
        <f t="shared" si="1"/>
        <v>5191421041</v>
      </c>
      <c r="C50" s="2218">
        <v>1</v>
      </c>
      <c r="D50" s="2218">
        <v>2</v>
      </c>
      <c r="E50" s="2218"/>
      <c r="F50" s="2227"/>
      <c r="G50" s="2227"/>
      <c r="H50" s="2227">
        <v>5</v>
      </c>
      <c r="I50" s="2227">
        <v>5</v>
      </c>
      <c r="J50" s="2227"/>
      <c r="K50" s="2227">
        <v>5</v>
      </c>
      <c r="L50" s="2227"/>
      <c r="M50" s="2227"/>
      <c r="N50" s="164">
        <v>2</v>
      </c>
      <c r="O50" s="161">
        <v>2</v>
      </c>
      <c r="P50" s="161"/>
      <c r="Q50" s="161"/>
      <c r="R50" s="161"/>
      <c r="S50" s="163">
        <v>10</v>
      </c>
      <c r="T50" s="163">
        <v>10</v>
      </c>
      <c r="U50" s="163"/>
      <c r="V50" s="251"/>
      <c r="W50" s="2114" t="s">
        <v>32</v>
      </c>
      <c r="X50" s="161">
        <f t="shared" si="0"/>
        <v>70</v>
      </c>
    </row>
    <row r="51" spans="1:40" s="158" customFormat="1" ht="21.95" customHeight="1" x14ac:dyDescent="0.2">
      <c r="A51" s="161">
        <v>42</v>
      </c>
      <c r="B51" s="1974">
        <f t="shared" si="1"/>
        <v>5191421042</v>
      </c>
      <c r="C51" s="2220"/>
      <c r="D51" s="2218"/>
      <c r="E51" s="2218"/>
      <c r="F51" s="2227"/>
      <c r="G51" s="2227">
        <v>1</v>
      </c>
      <c r="H51" s="2227"/>
      <c r="I51" s="2227"/>
      <c r="J51" s="2227"/>
      <c r="K51" s="2227"/>
      <c r="L51" s="2227">
        <v>1</v>
      </c>
      <c r="M51" s="2227">
        <v>2</v>
      </c>
      <c r="N51" s="164">
        <v>2</v>
      </c>
      <c r="O51" s="161">
        <v>2</v>
      </c>
      <c r="P51" s="161"/>
      <c r="Q51" s="161"/>
      <c r="R51" s="161"/>
      <c r="S51" s="163">
        <v>10</v>
      </c>
      <c r="T51" s="163">
        <v>3</v>
      </c>
      <c r="U51" s="163"/>
      <c r="V51" s="254"/>
      <c r="W51" s="2114" t="s">
        <v>33</v>
      </c>
      <c r="X51" s="161">
        <f t="shared" si="0"/>
        <v>60</v>
      </c>
    </row>
    <row r="52" spans="1:40" s="158" customFormat="1" ht="21.95" customHeight="1" x14ac:dyDescent="0.2">
      <c r="A52" s="161">
        <v>43</v>
      </c>
      <c r="B52" s="1974">
        <f t="shared" si="1"/>
        <v>5191421043</v>
      </c>
      <c r="C52" s="2220">
        <v>2</v>
      </c>
      <c r="D52" s="2218">
        <v>2</v>
      </c>
      <c r="E52" s="2218">
        <v>2</v>
      </c>
      <c r="F52" s="2227">
        <v>2</v>
      </c>
      <c r="G52" s="2227">
        <v>2</v>
      </c>
      <c r="H52" s="2227"/>
      <c r="I52" s="2227"/>
      <c r="J52" s="2227"/>
      <c r="K52" s="2227">
        <v>4</v>
      </c>
      <c r="L52" s="2227">
        <v>5</v>
      </c>
      <c r="M52" s="2227">
        <v>5</v>
      </c>
      <c r="N52" s="164">
        <v>2</v>
      </c>
      <c r="O52" s="161">
        <v>2</v>
      </c>
      <c r="P52" s="161">
        <v>2</v>
      </c>
      <c r="Q52" s="161"/>
      <c r="R52" s="161"/>
      <c r="S52" s="163">
        <v>10</v>
      </c>
      <c r="T52" s="163">
        <v>3</v>
      </c>
      <c r="U52" s="163"/>
      <c r="V52" s="251"/>
      <c r="W52" s="2114" t="s">
        <v>32</v>
      </c>
      <c r="X52" s="161">
        <f t="shared" si="0"/>
        <v>70</v>
      </c>
    </row>
    <row r="53" spans="1:40" s="158" customFormat="1" ht="21.95" customHeight="1" x14ac:dyDescent="0.2">
      <c r="A53" s="161">
        <v>44</v>
      </c>
      <c r="B53" s="1974">
        <f t="shared" si="1"/>
        <v>5191421044</v>
      </c>
      <c r="C53" s="2220">
        <v>2</v>
      </c>
      <c r="D53" s="2218">
        <v>2</v>
      </c>
      <c r="E53" s="2218">
        <v>2</v>
      </c>
      <c r="F53" s="2227">
        <v>2</v>
      </c>
      <c r="G53" s="2227">
        <v>2</v>
      </c>
      <c r="H53" s="2227">
        <v>5</v>
      </c>
      <c r="I53" s="2227">
        <v>5</v>
      </c>
      <c r="J53" s="2227">
        <v>5</v>
      </c>
      <c r="K53" s="2227">
        <v>5</v>
      </c>
      <c r="L53" s="2227">
        <v>5</v>
      </c>
      <c r="M53" s="2227">
        <v>5</v>
      </c>
      <c r="N53" s="164">
        <v>2</v>
      </c>
      <c r="O53" s="161">
        <v>2</v>
      </c>
      <c r="P53" s="161">
        <v>2</v>
      </c>
      <c r="Q53" s="161">
        <v>2</v>
      </c>
      <c r="R53" s="161">
        <v>2</v>
      </c>
      <c r="S53" s="163">
        <v>10</v>
      </c>
      <c r="T53" s="163"/>
      <c r="U53" s="163">
        <v>10</v>
      </c>
      <c r="V53" s="251"/>
      <c r="W53" s="2114" t="s">
        <v>27</v>
      </c>
      <c r="X53" s="161">
        <f t="shared" si="0"/>
        <v>80</v>
      </c>
    </row>
    <row r="54" spans="1:40" s="158" customFormat="1" ht="21.95" customHeight="1" x14ac:dyDescent="0.2">
      <c r="A54" s="161">
        <v>45</v>
      </c>
      <c r="B54" s="1974">
        <f t="shared" si="1"/>
        <v>5191421045</v>
      </c>
      <c r="C54" s="2220">
        <v>2</v>
      </c>
      <c r="D54" s="2218">
        <v>2</v>
      </c>
      <c r="E54" s="2218">
        <v>2</v>
      </c>
      <c r="F54" s="2227"/>
      <c r="G54" s="2227">
        <v>2</v>
      </c>
      <c r="H54" s="2227"/>
      <c r="I54" s="2227">
        <v>4</v>
      </c>
      <c r="J54" s="2227"/>
      <c r="K54" s="2227">
        <v>4</v>
      </c>
      <c r="L54" s="2227">
        <v>2</v>
      </c>
      <c r="M54" s="2227"/>
      <c r="N54" s="164">
        <v>2</v>
      </c>
      <c r="O54" s="161">
        <v>2</v>
      </c>
      <c r="P54" s="161"/>
      <c r="Q54" s="161"/>
      <c r="R54" s="161"/>
      <c r="S54" s="163">
        <v>10</v>
      </c>
      <c r="T54" s="163">
        <v>10</v>
      </c>
      <c r="U54" s="163"/>
      <c r="V54" s="251"/>
      <c r="W54" s="2114" t="s">
        <v>32</v>
      </c>
      <c r="X54" s="161">
        <f t="shared" si="0"/>
        <v>70</v>
      </c>
    </row>
    <row r="55" spans="1:40" s="158" customFormat="1" ht="21.95" customHeight="1" x14ac:dyDescent="0.2">
      <c r="A55" s="161">
        <v>46</v>
      </c>
      <c r="B55" s="1974">
        <f t="shared" si="1"/>
        <v>5191421046</v>
      </c>
      <c r="C55" s="2220">
        <v>2</v>
      </c>
      <c r="D55" s="2218">
        <v>2</v>
      </c>
      <c r="E55" s="2218">
        <v>2</v>
      </c>
      <c r="F55" s="2227"/>
      <c r="G55" s="2227">
        <v>2</v>
      </c>
      <c r="H55" s="2340"/>
      <c r="I55" s="2227">
        <v>4</v>
      </c>
      <c r="J55" s="2227"/>
      <c r="K55" s="2227">
        <v>4</v>
      </c>
      <c r="L55" s="2227"/>
      <c r="M55" s="2227"/>
      <c r="N55" s="164">
        <v>2</v>
      </c>
      <c r="O55" s="161">
        <v>2</v>
      </c>
      <c r="P55" s="161">
        <v>2</v>
      </c>
      <c r="Q55" s="161">
        <v>2</v>
      </c>
      <c r="R55" s="161">
        <v>2</v>
      </c>
      <c r="S55" s="253">
        <v>10</v>
      </c>
      <c r="T55" s="253">
        <v>10</v>
      </c>
      <c r="U55" s="253"/>
      <c r="V55" s="251"/>
      <c r="W55" s="2114" t="s">
        <v>30</v>
      </c>
      <c r="X55" s="161">
        <f t="shared" si="0"/>
        <v>90</v>
      </c>
    </row>
    <row r="56" spans="1:40" s="158" customFormat="1" ht="21.95" customHeight="1" x14ac:dyDescent="0.2">
      <c r="A56" s="161">
        <v>47</v>
      </c>
      <c r="B56" s="1974">
        <f t="shared" si="1"/>
        <v>5191421047</v>
      </c>
      <c r="C56" s="2220"/>
      <c r="D56" s="2218"/>
      <c r="E56" s="2218"/>
      <c r="F56" s="2227"/>
      <c r="G56" s="2227"/>
      <c r="H56" s="2227"/>
      <c r="I56" s="2227"/>
      <c r="J56" s="2227"/>
      <c r="K56" s="2227"/>
      <c r="L56" s="2227"/>
      <c r="M56" s="2227"/>
      <c r="N56" s="164">
        <v>2</v>
      </c>
      <c r="O56" s="161"/>
      <c r="P56" s="161"/>
      <c r="Q56" s="161"/>
      <c r="R56" s="161"/>
      <c r="S56" s="163">
        <v>10</v>
      </c>
      <c r="T56" s="163"/>
      <c r="U56" s="163">
        <v>10</v>
      </c>
      <c r="V56" s="251"/>
      <c r="W56" s="2114" t="s">
        <v>28</v>
      </c>
      <c r="X56" s="161">
        <f t="shared" si="0"/>
        <v>50</v>
      </c>
    </row>
    <row r="57" spans="1:40" s="158" customFormat="1" ht="21.95" customHeight="1" x14ac:dyDescent="0.2">
      <c r="A57" s="161">
        <v>48</v>
      </c>
      <c r="B57" s="1974">
        <f t="shared" si="1"/>
        <v>5191421048</v>
      </c>
      <c r="C57" s="2220">
        <v>2</v>
      </c>
      <c r="D57" s="2218">
        <v>2</v>
      </c>
      <c r="E57" s="2218">
        <v>2</v>
      </c>
      <c r="F57" s="2227"/>
      <c r="G57" s="2227">
        <v>1</v>
      </c>
      <c r="H57" s="2340"/>
      <c r="I57" s="2227"/>
      <c r="J57" s="2227">
        <v>4</v>
      </c>
      <c r="K57" s="2227">
        <v>1</v>
      </c>
      <c r="L57" s="2227">
        <v>5</v>
      </c>
      <c r="M57" s="2227">
        <v>4</v>
      </c>
      <c r="N57" s="164">
        <v>2</v>
      </c>
      <c r="O57" s="161">
        <v>2</v>
      </c>
      <c r="P57" s="161"/>
      <c r="Q57" s="161"/>
      <c r="R57" s="161"/>
      <c r="S57" s="163">
        <v>10</v>
      </c>
      <c r="T57" s="163">
        <v>10</v>
      </c>
      <c r="U57" s="163"/>
      <c r="V57" s="251"/>
      <c r="W57" s="2114" t="s">
        <v>32</v>
      </c>
      <c r="X57" s="161">
        <f t="shared" si="0"/>
        <v>70</v>
      </c>
    </row>
    <row r="58" spans="1:40" s="158" customFormat="1" ht="21.95" customHeight="1" x14ac:dyDescent="0.2">
      <c r="A58" s="161">
        <v>49</v>
      </c>
      <c r="B58" s="1974">
        <f t="shared" si="1"/>
        <v>5191421049</v>
      </c>
      <c r="C58" s="2220">
        <v>1</v>
      </c>
      <c r="D58" s="2218">
        <v>2</v>
      </c>
      <c r="E58" s="2218">
        <v>2</v>
      </c>
      <c r="F58" s="2227"/>
      <c r="G58" s="2227">
        <v>2</v>
      </c>
      <c r="H58" s="2227"/>
      <c r="I58" s="2227"/>
      <c r="J58" s="2227"/>
      <c r="K58" s="2227">
        <v>5</v>
      </c>
      <c r="L58" s="2227"/>
      <c r="M58" s="2227"/>
      <c r="N58" s="164"/>
      <c r="O58" s="161"/>
      <c r="P58" s="161"/>
      <c r="Q58" s="161"/>
      <c r="R58" s="161"/>
      <c r="S58" s="163"/>
      <c r="T58" s="163"/>
      <c r="U58" s="163"/>
      <c r="V58" s="251"/>
      <c r="W58" s="2115" t="s">
        <v>32</v>
      </c>
      <c r="X58" s="161">
        <f t="shared" si="0"/>
        <v>70</v>
      </c>
    </row>
    <row r="59" spans="1:40" s="158" customFormat="1" ht="21.95" customHeight="1" x14ac:dyDescent="0.2">
      <c r="A59" s="159"/>
      <c r="B59" s="255"/>
      <c r="C59" s="159">
        <f t="shared" ref="C59:U59" si="2">COUNT(C10:C58)</f>
        <v>42</v>
      </c>
      <c r="D59" s="159">
        <f t="shared" si="2"/>
        <v>36</v>
      </c>
      <c r="E59" s="159">
        <f t="shared" si="2"/>
        <v>33</v>
      </c>
      <c r="F59" s="159">
        <f t="shared" si="2"/>
        <v>8</v>
      </c>
      <c r="G59" s="159">
        <f t="shared" si="2"/>
        <v>35</v>
      </c>
      <c r="H59" s="2084">
        <f t="shared" ref="H59:M59" si="3">COUNT(H10:H58)</f>
        <v>8</v>
      </c>
      <c r="I59" s="2084">
        <f t="shared" si="3"/>
        <v>13</v>
      </c>
      <c r="J59" s="2084">
        <f t="shared" si="3"/>
        <v>27</v>
      </c>
      <c r="K59" s="2084">
        <f t="shared" si="3"/>
        <v>42</v>
      </c>
      <c r="L59" s="2084">
        <f t="shared" si="3"/>
        <v>28</v>
      </c>
      <c r="M59" s="2084">
        <f t="shared" si="3"/>
        <v>18</v>
      </c>
      <c r="N59" s="159">
        <f t="shared" si="2"/>
        <v>45</v>
      </c>
      <c r="O59" s="159">
        <f t="shared" si="2"/>
        <v>39</v>
      </c>
      <c r="P59" s="159">
        <f t="shared" si="2"/>
        <v>21</v>
      </c>
      <c r="Q59" s="159">
        <f t="shared" si="2"/>
        <v>20</v>
      </c>
      <c r="R59" s="159">
        <f t="shared" si="2"/>
        <v>11</v>
      </c>
      <c r="S59" s="159">
        <f t="shared" si="2"/>
        <v>47</v>
      </c>
      <c r="T59" s="159">
        <f t="shared" si="2"/>
        <v>36</v>
      </c>
      <c r="U59" s="159">
        <f t="shared" si="2"/>
        <v>7</v>
      </c>
      <c r="V59" s="159"/>
      <c r="W59" s="214"/>
      <c r="X59" s="159"/>
    </row>
    <row r="60" spans="1:40" s="158" customFormat="1" ht="21.95" customHeight="1" x14ac:dyDescent="0.2">
      <c r="A60" s="159" t="s">
        <v>34</v>
      </c>
      <c r="B60" s="213">
        <v>60</v>
      </c>
      <c r="C60" s="215">
        <f>ROUNDUP(C9*(B60/100),1)</f>
        <v>1.2</v>
      </c>
      <c r="D60" s="215">
        <f>D9*(B60/100)</f>
        <v>1.2</v>
      </c>
      <c r="E60" s="215">
        <f>E9*(B60/100)</f>
        <v>1.2</v>
      </c>
      <c r="F60" s="215">
        <f>F9*(B60/100)</f>
        <v>1.2</v>
      </c>
      <c r="G60" s="215">
        <f>G9*(B60/100)</f>
        <v>1.2</v>
      </c>
      <c r="H60" s="215">
        <f>H9*($B$60/100)</f>
        <v>3</v>
      </c>
      <c r="I60" s="215">
        <f t="shared" ref="I60:M60" si="4">I9*($B$60/100)</f>
        <v>3</v>
      </c>
      <c r="J60" s="215">
        <f t="shared" si="4"/>
        <v>3</v>
      </c>
      <c r="K60" s="215">
        <f t="shared" si="4"/>
        <v>3</v>
      </c>
      <c r="L60" s="215">
        <f t="shared" si="4"/>
        <v>3</v>
      </c>
      <c r="M60" s="215">
        <f t="shared" si="4"/>
        <v>3</v>
      </c>
      <c r="N60" s="215">
        <f>N9*(B60/100)</f>
        <v>1.2</v>
      </c>
      <c r="O60" s="215">
        <f>O9*(B60/100)</f>
        <v>1.2</v>
      </c>
      <c r="P60" s="215">
        <f>P9*(B60/100)</f>
        <v>1.2</v>
      </c>
      <c r="Q60" s="215">
        <f>Q9*(B60/100)</f>
        <v>1.2</v>
      </c>
      <c r="R60" s="215">
        <f>R9*(B60/100)</f>
        <v>1.2</v>
      </c>
      <c r="S60" s="216">
        <f>S9*(B60/100)</f>
        <v>6</v>
      </c>
      <c r="T60" s="216">
        <f>T9*(B60/100)</f>
        <v>6</v>
      </c>
      <c r="U60" s="216">
        <f>U9*(B60/100)</f>
        <v>6</v>
      </c>
      <c r="V60" s="159"/>
      <c r="W60" s="214"/>
      <c r="X60" s="159">
        <f>COUNTIF(X10:X58,"&gt;="&amp;B60)</f>
        <v>35</v>
      </c>
    </row>
    <row r="61" spans="1:40" s="158" customFormat="1" ht="21.95" customHeight="1" x14ac:dyDescent="0.2">
      <c r="A61" s="2901" t="s">
        <v>35</v>
      </c>
      <c r="B61" s="2901"/>
      <c r="C61" s="159">
        <f>COUNTIF(C10:C58,"&gt;=1")</f>
        <v>42</v>
      </c>
      <c r="D61" s="159">
        <f>COUNTIF(D10:D58,"&gt;=1")</f>
        <v>36</v>
      </c>
      <c r="E61" s="159">
        <f>COUNTIF(E10:E58,"&gt;=1")</f>
        <v>33</v>
      </c>
      <c r="F61" s="159">
        <f>COUNTIF(F10:F58,"&gt;=1")</f>
        <v>8</v>
      </c>
      <c r="G61" s="159">
        <f>COUNTIF(G10:G58,"&gt;=1")</f>
        <v>35</v>
      </c>
      <c r="H61" s="2084">
        <f t="shared" ref="H61:M61" si="5">COUNTIF(H10:H58,"&gt;=1")</f>
        <v>8</v>
      </c>
      <c r="I61" s="2084">
        <f t="shared" si="5"/>
        <v>13</v>
      </c>
      <c r="J61" s="2084">
        <f t="shared" si="5"/>
        <v>27</v>
      </c>
      <c r="K61" s="2084">
        <f t="shared" si="5"/>
        <v>42</v>
      </c>
      <c r="L61" s="2084">
        <f t="shared" si="5"/>
        <v>28</v>
      </c>
      <c r="M61" s="2084">
        <f t="shared" si="5"/>
        <v>18</v>
      </c>
      <c r="N61" s="159">
        <f>COUNTIF(N10:N58,"&gt;=1")</f>
        <v>45</v>
      </c>
      <c r="O61" s="159">
        <f>COUNTIF(O10:O58,"&gt;=1")</f>
        <v>39</v>
      </c>
      <c r="P61" s="159">
        <f>COUNTIF(P10:P58,"&gt;=1")</f>
        <v>21</v>
      </c>
      <c r="Q61" s="159">
        <f>COUNTIF(Q10:Q58,"&gt;=1")</f>
        <v>20</v>
      </c>
      <c r="R61" s="159">
        <f>COUNTIF(R10:R58,"&gt;=1")</f>
        <v>11</v>
      </c>
      <c r="S61" s="159">
        <f>COUNTIF(S10:S58,"&gt;=5")</f>
        <v>47</v>
      </c>
      <c r="T61" s="159">
        <f>COUNTIF(T10:T58,"&gt;=5")</f>
        <v>34</v>
      </c>
      <c r="U61" s="159">
        <f>COUNTIF(U10:U58,"&gt;=5")</f>
        <v>7</v>
      </c>
      <c r="V61" s="159"/>
      <c r="W61" s="214"/>
      <c r="X61" s="159">
        <f>(X60/A58)*100</f>
        <v>71.428571428571431</v>
      </c>
    </row>
    <row r="62" spans="1:40" s="158" customFormat="1" ht="21.95" customHeight="1" x14ac:dyDescent="0.25">
      <c r="A62" s="2916" t="s">
        <v>36</v>
      </c>
      <c r="B62" s="2916"/>
      <c r="C62" s="159">
        <f t="shared" ref="C62:U62" si="6">C61/C59</f>
        <v>1</v>
      </c>
      <c r="D62" s="159">
        <f t="shared" si="6"/>
        <v>1</v>
      </c>
      <c r="E62" s="159">
        <f t="shared" si="6"/>
        <v>1</v>
      </c>
      <c r="F62" s="159">
        <f t="shared" si="6"/>
        <v>1</v>
      </c>
      <c r="G62" s="159">
        <f t="shared" si="6"/>
        <v>1</v>
      </c>
      <c r="H62" s="2084">
        <f t="shared" ref="H62:M62" si="7">H61/H59</f>
        <v>1</v>
      </c>
      <c r="I62" s="2084">
        <f t="shared" si="7"/>
        <v>1</v>
      </c>
      <c r="J62" s="2084">
        <f t="shared" si="7"/>
        <v>1</v>
      </c>
      <c r="K62" s="2084">
        <f t="shared" si="7"/>
        <v>1</v>
      </c>
      <c r="L62" s="2084">
        <f t="shared" si="7"/>
        <v>1</v>
      </c>
      <c r="M62" s="2084">
        <f t="shared" si="7"/>
        <v>1</v>
      </c>
      <c r="N62" s="159">
        <f t="shared" si="6"/>
        <v>1</v>
      </c>
      <c r="O62" s="159">
        <f t="shared" si="6"/>
        <v>1</v>
      </c>
      <c r="P62" s="159">
        <f t="shared" si="6"/>
        <v>1</v>
      </c>
      <c r="Q62" s="159">
        <f t="shared" si="6"/>
        <v>1</v>
      </c>
      <c r="R62" s="159">
        <f t="shared" si="6"/>
        <v>1</v>
      </c>
      <c r="S62" s="159">
        <f t="shared" si="6"/>
        <v>1</v>
      </c>
      <c r="T62" s="159">
        <f t="shared" si="6"/>
        <v>0.94444444444444442</v>
      </c>
      <c r="U62" s="159">
        <f t="shared" si="6"/>
        <v>1</v>
      </c>
      <c r="V62" s="159"/>
      <c r="W62" s="214"/>
      <c r="X62" s="159"/>
      <c r="AB62" s="2840"/>
      <c r="AC62" s="2840"/>
      <c r="AD62" s="2840"/>
      <c r="AE62" s="2840"/>
      <c r="AF62" s="2840"/>
      <c r="AG62" s="176"/>
      <c r="AH62" s="176"/>
      <c r="AI62" s="177"/>
      <c r="AJ62" s="2840"/>
      <c r="AK62" s="2840"/>
      <c r="AL62" s="2840"/>
      <c r="AM62" s="2840"/>
      <c r="AN62" s="2840"/>
    </row>
    <row r="63" spans="1:40" s="158" customFormat="1" ht="21.95" customHeight="1" x14ac:dyDescent="0.2">
      <c r="A63" s="159"/>
      <c r="B63" s="175">
        <v>50</v>
      </c>
      <c r="W63" s="210"/>
    </row>
    <row r="66" spans="4:26" x14ac:dyDescent="0.25">
      <c r="D66" s="159"/>
      <c r="E66" s="158"/>
      <c r="F66" s="158" t="s">
        <v>38</v>
      </c>
      <c r="G66" s="158"/>
      <c r="H66" s="158"/>
      <c r="I66" s="158" t="s">
        <v>39</v>
      </c>
      <c r="J66" s="158"/>
      <c r="K66" s="158"/>
      <c r="L66" s="158"/>
      <c r="M66" s="158" t="s">
        <v>37</v>
      </c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spans="4:26" x14ac:dyDescent="0.25">
      <c r="D67" s="159"/>
      <c r="E67" s="158" t="s">
        <v>22</v>
      </c>
      <c r="F67" s="158">
        <f>AVERAGE(Q62,U62)*100</f>
        <v>100</v>
      </c>
      <c r="G67" s="158">
        <f>IF(F67&gt;=70,3,IF(AND(F67&gt;=60,F67&lt;70),2,IF(AND(F67&gt;=50,F67&lt;60),1)))</f>
        <v>3</v>
      </c>
      <c r="H67" s="158"/>
      <c r="I67" s="158">
        <f>IF(X61&gt;=70,3,IF(AND(X61&gt;=60,X61&lt;70),2,IF(AND(X61&gt;=50,X61&lt;60),1)))</f>
        <v>3</v>
      </c>
      <c r="J67" s="158"/>
      <c r="K67" s="158"/>
      <c r="L67" s="158"/>
      <c r="M67" s="158">
        <f>(70/100)*I67+(30/100)*G67</f>
        <v>2.9999999999999996</v>
      </c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spans="4:26" x14ac:dyDescent="0.25">
      <c r="D68" s="159"/>
      <c r="E68" s="158" t="s">
        <v>40</v>
      </c>
      <c r="F68" s="158">
        <f>AVERAGE(N62,R62,S62)*100</f>
        <v>100</v>
      </c>
      <c r="G68" s="158">
        <f>IF(F68&gt;=70,3,IF(AND(F68&gt;=60,F68&lt;70),2,IF(AND(F68&gt;=50,F68&lt;60),1)))</f>
        <v>3</v>
      </c>
      <c r="H68" s="158"/>
      <c r="I68" s="158">
        <f>IF(X61&gt;=70,3,IF(AND(X61&gt;=60,X61&lt;70),2,IF(AND(X61&gt;=50,X61&lt;60),1)))</f>
        <v>3</v>
      </c>
      <c r="J68" s="158"/>
      <c r="K68" s="158"/>
      <c r="L68" s="158"/>
      <c r="M68" s="158">
        <f>(70/100)*I68+(30/100)*G68</f>
        <v>2.9999999999999996</v>
      </c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spans="4:26" x14ac:dyDescent="0.25">
      <c r="D69" s="159"/>
      <c r="E69" s="158" t="s">
        <v>41</v>
      </c>
      <c r="F69" s="158">
        <f>AVERAGE(O62,P62,T62)*100</f>
        <v>98.148148148148152</v>
      </c>
      <c r="G69" s="158">
        <f>IF(F69&gt;=70,3,IF(AND(F69&gt;=60,F69&lt;70),2,IF(AND(F69&gt;=50,F69&lt;60),1)))</f>
        <v>3</v>
      </c>
      <c r="H69" s="158"/>
      <c r="I69" s="158">
        <f>IF(X61&gt;=70,3,IF(AND(X61&gt;=60,X61&lt;70),2,IF(AND(X61&gt;=50,X61&lt;60),1)))</f>
        <v>3</v>
      </c>
      <c r="J69" s="158"/>
      <c r="K69" s="158"/>
      <c r="L69" s="158"/>
      <c r="M69" s="158">
        <f>(70/100)*I69+(30/100)*G69</f>
        <v>2.9999999999999996</v>
      </c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spans="4:26" x14ac:dyDescent="0.25">
      <c r="D70" s="159"/>
      <c r="E70" s="158" t="s">
        <v>42</v>
      </c>
      <c r="F70" s="158">
        <f>AVERAGE(C62,D62,E62,F62,G62,I62,K62,M62)*100</f>
        <v>100</v>
      </c>
      <c r="G70" s="158">
        <v>3</v>
      </c>
      <c r="H70" s="158"/>
      <c r="I70" s="158">
        <f>IF(X61&gt;=70,3,IF(AND(X61&gt;=60,X61&lt;70),2,IF(AND(X61&gt;=50,X61&lt;60),1)))</f>
        <v>3</v>
      </c>
      <c r="J70" s="158"/>
      <c r="K70" s="158"/>
      <c r="L70" s="158"/>
      <c r="M70" s="158">
        <f>(70/100)*I70+(30/100)*G70</f>
        <v>2.9999999999999996</v>
      </c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spans="4:26" x14ac:dyDescent="0.25">
      <c r="D71" s="159"/>
      <c r="E71" s="2917" t="s">
        <v>44</v>
      </c>
      <c r="F71" s="2917"/>
      <c r="G71" s="2917"/>
      <c r="H71" s="2917"/>
      <c r="I71" s="2917"/>
      <c r="J71" s="2917"/>
      <c r="K71" s="2917"/>
      <c r="L71" s="2084"/>
      <c r="M71" s="166">
        <f>AVERAGE(M67:M70)</f>
        <v>2.9999999999999996</v>
      </c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spans="4:26" x14ac:dyDescent="0.25"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spans="4:26" x14ac:dyDescent="0.25"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spans="4:26" x14ac:dyDescent="0.25">
      <c r="D74" s="2914" t="s">
        <v>159</v>
      </c>
      <c r="E74" s="2914"/>
      <c r="F74" s="2914"/>
      <c r="G74" s="2914"/>
      <c r="H74" s="2085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58"/>
      <c r="V74" s="158"/>
      <c r="W74" s="158"/>
      <c r="X74" s="158"/>
      <c r="Y74" s="158"/>
      <c r="Z74" s="158"/>
    </row>
    <row r="75" spans="4:26" x14ac:dyDescent="0.25">
      <c r="D75" s="159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58"/>
      <c r="V75" s="158"/>
      <c r="W75" s="158"/>
      <c r="X75" s="158"/>
      <c r="Y75" s="158"/>
      <c r="Z75" s="158"/>
    </row>
    <row r="76" spans="4:26" ht="28.5" x14ac:dyDescent="0.25">
      <c r="D76" s="159"/>
      <c r="E76" s="249" t="s">
        <v>198</v>
      </c>
      <c r="F76" s="2522" t="s">
        <v>46</v>
      </c>
      <c r="G76" s="2522" t="s">
        <v>135</v>
      </c>
      <c r="H76" s="2522" t="s">
        <v>48</v>
      </c>
      <c r="I76" s="2522" t="s">
        <v>49</v>
      </c>
      <c r="J76" s="2522" t="s">
        <v>50</v>
      </c>
      <c r="K76" s="2522" t="s">
        <v>136</v>
      </c>
      <c r="L76" s="2522" t="s">
        <v>52</v>
      </c>
      <c r="M76" s="2522" t="s">
        <v>53</v>
      </c>
      <c r="N76" s="2522" t="s">
        <v>54</v>
      </c>
      <c r="O76" s="2522" t="s">
        <v>55</v>
      </c>
      <c r="P76" s="2522" t="s">
        <v>56</v>
      </c>
      <c r="Q76" s="2522" t="s">
        <v>57</v>
      </c>
      <c r="R76" s="169" t="s">
        <v>87</v>
      </c>
      <c r="S76" s="169" t="s">
        <v>88</v>
      </c>
      <c r="T76" s="169" t="s">
        <v>85</v>
      </c>
      <c r="U76" s="158"/>
      <c r="V76" s="158"/>
      <c r="W76" s="158"/>
    </row>
    <row r="77" spans="4:26" ht="15.75" x14ac:dyDescent="0.25">
      <c r="D77" s="159"/>
      <c r="E77" s="2521" t="s">
        <v>22</v>
      </c>
      <c r="F77" s="2270">
        <v>3</v>
      </c>
      <c r="G77" s="2270">
        <v>3</v>
      </c>
      <c r="H77" s="2270">
        <v>1</v>
      </c>
      <c r="I77" s="2270">
        <v>2</v>
      </c>
      <c r="J77" s="2270">
        <v>1</v>
      </c>
      <c r="K77" s="2270"/>
      <c r="L77" s="2270"/>
      <c r="M77" s="2270"/>
      <c r="N77" s="2270"/>
      <c r="O77" s="2270"/>
      <c r="P77" s="2270"/>
      <c r="Q77" s="2270">
        <v>2</v>
      </c>
      <c r="R77" s="2270">
        <v>3</v>
      </c>
      <c r="S77" s="2270">
        <v>2</v>
      </c>
      <c r="T77" s="2270">
        <v>1</v>
      </c>
      <c r="U77" s="158"/>
      <c r="V77" s="158"/>
      <c r="W77" s="158"/>
    </row>
    <row r="78" spans="4:26" ht="15.75" x14ac:dyDescent="0.25">
      <c r="D78" s="159"/>
      <c r="E78" s="2521" t="s">
        <v>40</v>
      </c>
      <c r="F78" s="2270">
        <v>3</v>
      </c>
      <c r="G78" s="2270">
        <v>3</v>
      </c>
      <c r="H78" s="2270">
        <v>2</v>
      </c>
      <c r="I78" s="2270">
        <v>2</v>
      </c>
      <c r="J78" s="2270">
        <v>1</v>
      </c>
      <c r="K78" s="2270"/>
      <c r="L78" s="2270"/>
      <c r="M78" s="2270"/>
      <c r="N78" s="2270"/>
      <c r="O78" s="2270"/>
      <c r="P78" s="2270"/>
      <c r="Q78" s="2270">
        <v>2</v>
      </c>
      <c r="R78" s="2270">
        <v>3</v>
      </c>
      <c r="S78" s="2270">
        <v>2</v>
      </c>
      <c r="T78" s="2270">
        <v>1</v>
      </c>
      <c r="U78" s="158"/>
      <c r="V78" s="158"/>
      <c r="W78" s="158"/>
    </row>
    <row r="79" spans="4:26" ht="15.75" x14ac:dyDescent="0.25">
      <c r="D79" s="159"/>
      <c r="E79" s="2521" t="s">
        <v>41</v>
      </c>
      <c r="F79" s="2270">
        <v>3</v>
      </c>
      <c r="G79" s="2270">
        <v>2</v>
      </c>
      <c r="H79" s="2270">
        <v>1</v>
      </c>
      <c r="I79" s="2270">
        <v>1</v>
      </c>
      <c r="J79" s="2270">
        <v>1</v>
      </c>
      <c r="K79" s="2270"/>
      <c r="L79" s="2270"/>
      <c r="M79" s="2270"/>
      <c r="N79" s="2270"/>
      <c r="O79" s="2270"/>
      <c r="P79" s="2270"/>
      <c r="Q79" s="2270">
        <v>2</v>
      </c>
      <c r="R79" s="2270">
        <v>2</v>
      </c>
      <c r="S79" s="2270">
        <v>2</v>
      </c>
      <c r="T79" s="2270">
        <v>1</v>
      </c>
      <c r="U79" s="158"/>
      <c r="V79" s="158"/>
      <c r="W79" s="158"/>
    </row>
    <row r="80" spans="4:26" ht="15.75" x14ac:dyDescent="0.25">
      <c r="D80" s="159"/>
      <c r="E80" s="2521" t="s">
        <v>42</v>
      </c>
      <c r="F80" s="2270">
        <v>3</v>
      </c>
      <c r="G80" s="2270">
        <v>3</v>
      </c>
      <c r="H80" s="2270">
        <v>2</v>
      </c>
      <c r="I80" s="2270">
        <v>3</v>
      </c>
      <c r="J80" s="2270">
        <v>1</v>
      </c>
      <c r="K80" s="2270"/>
      <c r="L80" s="2270"/>
      <c r="M80" s="2270"/>
      <c r="N80" s="2270"/>
      <c r="O80" s="2270"/>
      <c r="P80" s="2270"/>
      <c r="Q80" s="2270">
        <v>2</v>
      </c>
      <c r="R80" s="2270">
        <v>3</v>
      </c>
      <c r="S80" s="2270">
        <v>2</v>
      </c>
      <c r="T80" s="2270">
        <v>1</v>
      </c>
      <c r="U80" s="158"/>
      <c r="V80" s="158"/>
      <c r="W80" s="158"/>
    </row>
    <row r="81" spans="4:26" x14ac:dyDescent="0.25">
      <c r="D81" s="159"/>
      <c r="E81" s="252" t="s">
        <v>189</v>
      </c>
      <c r="F81" s="2523">
        <f t="shared" ref="F81:Q81" si="8">AVERAGE(F77:F80)</f>
        <v>3</v>
      </c>
      <c r="G81" s="2523">
        <f t="shared" si="8"/>
        <v>2.75</v>
      </c>
      <c r="H81" s="2523">
        <f t="shared" si="8"/>
        <v>1.5</v>
      </c>
      <c r="I81" s="2523">
        <f t="shared" si="8"/>
        <v>2</v>
      </c>
      <c r="J81" s="2523">
        <f t="shared" si="8"/>
        <v>1</v>
      </c>
      <c r="K81" s="2523"/>
      <c r="L81" s="2523"/>
      <c r="M81" s="2523"/>
      <c r="N81" s="2523"/>
      <c r="O81" s="2523"/>
      <c r="P81" s="2523"/>
      <c r="Q81" s="2523">
        <f t="shared" si="8"/>
        <v>2</v>
      </c>
      <c r="R81" s="172">
        <f>AVERAGE(R77:R80)</f>
        <v>2.75</v>
      </c>
      <c r="S81" s="172">
        <f>AVERAGE(S77:S80)</f>
        <v>2</v>
      </c>
      <c r="T81" s="172">
        <f>AVERAGE(T77:T80)</f>
        <v>1</v>
      </c>
      <c r="U81" s="158"/>
      <c r="V81" s="158"/>
      <c r="W81" s="158"/>
    </row>
    <row r="82" spans="4:26" x14ac:dyDescent="0.25">
      <c r="D82" s="159"/>
      <c r="E82" s="168" t="s">
        <v>160</v>
      </c>
      <c r="F82" s="2918">
        <f>AVERAGE(F81:Q81)</f>
        <v>2.0416666666666665</v>
      </c>
      <c r="G82" s="2919"/>
      <c r="H82" s="2919"/>
      <c r="I82" s="2919"/>
      <c r="J82" s="2919"/>
      <c r="K82" s="2919"/>
      <c r="L82" s="2919"/>
      <c r="M82" s="2919"/>
      <c r="N82" s="2919"/>
      <c r="O82" s="2919"/>
      <c r="P82" s="2919"/>
      <c r="Q82" s="2919"/>
      <c r="R82" s="2922">
        <f>AVERAGE(R81:T81)</f>
        <v>1.9166666666666667</v>
      </c>
      <c r="S82" s="2922"/>
      <c r="T82" s="2922"/>
      <c r="U82" s="2327"/>
      <c r="V82" s="2327"/>
      <c r="W82" s="2327"/>
      <c r="X82" s="158"/>
      <c r="Y82" s="158"/>
      <c r="Z82" s="158"/>
    </row>
    <row r="83" spans="4:26" x14ac:dyDescent="0.25"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2328"/>
      <c r="W83" s="2328"/>
      <c r="X83" s="158"/>
      <c r="Y83" s="158"/>
      <c r="Z83" s="158"/>
    </row>
    <row r="84" spans="4:26" x14ac:dyDescent="0.25"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spans="4:26" x14ac:dyDescent="0.25">
      <c r="D85" s="2914" t="s">
        <v>161</v>
      </c>
      <c r="E85" s="2914"/>
      <c r="F85" s="2914"/>
      <c r="G85" s="2914"/>
      <c r="H85" s="2914"/>
      <c r="I85" s="2914"/>
      <c r="J85" s="2914"/>
      <c r="K85" s="2914"/>
      <c r="L85" s="2085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spans="4:26" x14ac:dyDescent="0.25">
      <c r="D86" s="159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spans="4:26" x14ac:dyDescent="0.25">
      <c r="D87" s="159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spans="4:26" ht="28.5" x14ac:dyDescent="0.25">
      <c r="D88" s="159"/>
      <c r="E88" s="249" t="s">
        <v>198</v>
      </c>
      <c r="F88" s="231" t="s">
        <v>68</v>
      </c>
      <c r="G88" s="231" t="s">
        <v>69</v>
      </c>
      <c r="H88" s="231" t="s">
        <v>70</v>
      </c>
      <c r="I88" s="231" t="s">
        <v>71</v>
      </c>
      <c r="J88" s="231" t="s">
        <v>72</v>
      </c>
      <c r="K88" s="231" t="s">
        <v>73</v>
      </c>
      <c r="L88" s="231" t="s">
        <v>74</v>
      </c>
      <c r="M88" s="231" t="s">
        <v>75</v>
      </c>
      <c r="N88" s="231" t="s">
        <v>76</v>
      </c>
      <c r="O88" s="231" t="s">
        <v>77</v>
      </c>
      <c r="P88" s="231" t="s">
        <v>78</v>
      </c>
      <c r="Q88" s="231" t="s">
        <v>79</v>
      </c>
      <c r="R88" s="231" t="s">
        <v>60</v>
      </c>
      <c r="S88" s="231" t="s">
        <v>61</v>
      </c>
      <c r="T88" s="231" t="s">
        <v>62</v>
      </c>
      <c r="U88" s="158"/>
      <c r="V88" s="158"/>
      <c r="W88" s="158"/>
    </row>
    <row r="89" spans="4:26" x14ac:dyDescent="0.25">
      <c r="D89" s="159"/>
      <c r="E89" s="232" t="s">
        <v>20</v>
      </c>
      <c r="F89" s="174">
        <f>($M67*F77)/3</f>
        <v>2.9999999999999996</v>
      </c>
      <c r="G89" s="2478">
        <f t="shared" ref="G89:J89" si="9">($M67*G77)/3</f>
        <v>2.9999999999999996</v>
      </c>
      <c r="H89" s="2478">
        <f t="shared" si="9"/>
        <v>0.99999999999999989</v>
      </c>
      <c r="I89" s="2478">
        <f t="shared" si="9"/>
        <v>1.9999999999999998</v>
      </c>
      <c r="J89" s="2478">
        <f t="shared" si="9"/>
        <v>0.99999999999999989</v>
      </c>
      <c r="K89" s="174"/>
      <c r="L89" s="174"/>
      <c r="M89" s="174"/>
      <c r="N89" s="174"/>
      <c r="O89" s="174"/>
      <c r="P89" s="174"/>
      <c r="Q89" s="174">
        <f>($M67*Q77)/3</f>
        <v>1.9999999999999998</v>
      </c>
      <c r="R89" s="174">
        <f t="shared" ref="R89:R92" si="10">$M67*R77/3</f>
        <v>2.9999999999999996</v>
      </c>
      <c r="S89" s="2478">
        <f t="shared" ref="S89:T89" si="11">$M67*S77/3</f>
        <v>1.9999999999999998</v>
      </c>
      <c r="T89" s="2478">
        <f t="shared" si="11"/>
        <v>0.99999999999999989</v>
      </c>
      <c r="U89" s="158"/>
      <c r="V89" s="158"/>
      <c r="W89" s="158"/>
    </row>
    <row r="90" spans="4:26" x14ac:dyDescent="0.25">
      <c r="D90" s="159"/>
      <c r="E90" s="232" t="s">
        <v>21</v>
      </c>
      <c r="F90" s="174">
        <f>($M68*F78)/3</f>
        <v>2.9999999999999996</v>
      </c>
      <c r="G90" s="2478">
        <f t="shared" ref="G90:J90" si="12">($M68*G78)/3</f>
        <v>2.9999999999999996</v>
      </c>
      <c r="H90" s="2478">
        <f t="shared" si="12"/>
        <v>1.9999999999999998</v>
      </c>
      <c r="I90" s="2478">
        <f t="shared" si="12"/>
        <v>1.9999999999999998</v>
      </c>
      <c r="J90" s="2478">
        <f t="shared" si="12"/>
        <v>0.99999999999999989</v>
      </c>
      <c r="K90" s="174"/>
      <c r="L90" s="174"/>
      <c r="M90" s="174"/>
      <c r="N90" s="174"/>
      <c r="O90" s="174"/>
      <c r="P90" s="174"/>
      <c r="Q90" s="174">
        <f>($M68*Q78)/3</f>
        <v>1.9999999999999998</v>
      </c>
      <c r="R90" s="174">
        <f t="shared" si="10"/>
        <v>2.9999999999999996</v>
      </c>
      <c r="S90" s="2478">
        <f t="shared" ref="S90:T90" si="13">$M68*S78/3</f>
        <v>1.9999999999999998</v>
      </c>
      <c r="T90" s="2478">
        <f t="shared" si="13"/>
        <v>0.99999999999999989</v>
      </c>
      <c r="U90" s="158"/>
      <c r="V90" s="158"/>
      <c r="W90" s="158"/>
    </row>
    <row r="91" spans="4:26" x14ac:dyDescent="0.25">
      <c r="D91" s="159"/>
      <c r="E91" s="232" t="s">
        <v>23</v>
      </c>
      <c r="F91" s="174">
        <f>($M69*F79)/3</f>
        <v>2.9999999999999996</v>
      </c>
      <c r="G91" s="2478">
        <f t="shared" ref="G91:J91" si="14">($M69*G79)/3</f>
        <v>1.9999999999999998</v>
      </c>
      <c r="H91" s="2478">
        <f t="shared" si="14"/>
        <v>0.99999999999999989</v>
      </c>
      <c r="I91" s="2478">
        <f t="shared" si="14"/>
        <v>0.99999999999999989</v>
      </c>
      <c r="J91" s="2478">
        <f t="shared" si="14"/>
        <v>0.99999999999999989</v>
      </c>
      <c r="K91" s="174"/>
      <c r="L91" s="174"/>
      <c r="M91" s="174"/>
      <c r="N91" s="174"/>
      <c r="O91" s="174"/>
      <c r="P91" s="174"/>
      <c r="Q91" s="174">
        <f>($M69*Q79)/3</f>
        <v>1.9999999999999998</v>
      </c>
      <c r="R91" s="174">
        <f t="shared" si="10"/>
        <v>1.9999999999999998</v>
      </c>
      <c r="S91" s="2478">
        <f t="shared" ref="S91:T91" si="15">$M69*S79/3</f>
        <v>1.9999999999999998</v>
      </c>
      <c r="T91" s="2478">
        <f t="shared" si="15"/>
        <v>0.99999999999999989</v>
      </c>
      <c r="U91" s="158"/>
      <c r="V91" s="158"/>
      <c r="W91" s="158"/>
    </row>
    <row r="92" spans="4:26" x14ac:dyDescent="0.25">
      <c r="D92" s="159"/>
      <c r="E92" s="232" t="s">
        <v>25</v>
      </c>
      <c r="F92" s="174">
        <f>($M70*F80)/3</f>
        <v>2.9999999999999996</v>
      </c>
      <c r="G92" s="2478">
        <f t="shared" ref="G92:J92" si="16">($M70*G80)/3</f>
        <v>2.9999999999999996</v>
      </c>
      <c r="H92" s="2478">
        <f t="shared" si="16"/>
        <v>1.9999999999999998</v>
      </c>
      <c r="I92" s="2478">
        <f t="shared" si="16"/>
        <v>2.9999999999999996</v>
      </c>
      <c r="J92" s="2478">
        <f t="shared" si="16"/>
        <v>0.99999999999999989</v>
      </c>
      <c r="K92" s="174"/>
      <c r="L92" s="174"/>
      <c r="M92" s="174"/>
      <c r="N92" s="174"/>
      <c r="O92" s="174"/>
      <c r="P92" s="174"/>
      <c r="Q92" s="174">
        <f>($M70*Q80)/3</f>
        <v>1.9999999999999998</v>
      </c>
      <c r="R92" s="174">
        <f t="shared" si="10"/>
        <v>2.9999999999999996</v>
      </c>
      <c r="S92" s="2478">
        <f t="shared" ref="S92:T92" si="17">$M70*S80/3</f>
        <v>1.9999999999999998</v>
      </c>
      <c r="T92" s="2478">
        <f t="shared" si="17"/>
        <v>0.99999999999999989</v>
      </c>
      <c r="U92" s="158"/>
      <c r="V92" s="158"/>
      <c r="W92" s="158"/>
    </row>
    <row r="93" spans="4:26" x14ac:dyDescent="0.25">
      <c r="D93" s="158"/>
      <c r="E93" s="252" t="s">
        <v>189</v>
      </c>
      <c r="F93" s="233">
        <f t="shared" ref="F93:Q93" si="18">AVERAGE(F89:F92)</f>
        <v>2.9999999999999996</v>
      </c>
      <c r="G93" s="233">
        <f t="shared" si="18"/>
        <v>2.7499999999999996</v>
      </c>
      <c r="H93" s="233">
        <f t="shared" si="18"/>
        <v>1.4999999999999998</v>
      </c>
      <c r="I93" s="233">
        <f t="shared" si="18"/>
        <v>1.9999999999999996</v>
      </c>
      <c r="J93" s="233">
        <f t="shared" si="18"/>
        <v>0.99999999999999989</v>
      </c>
      <c r="K93" s="233"/>
      <c r="L93" s="233"/>
      <c r="M93" s="233"/>
      <c r="N93" s="233"/>
      <c r="O93" s="233"/>
      <c r="P93" s="233"/>
      <c r="Q93" s="233">
        <f t="shared" si="18"/>
        <v>1.9999999999999998</v>
      </c>
      <c r="R93" s="2329">
        <f>AVERAGE(R89:R92)</f>
        <v>2.7499999999999996</v>
      </c>
      <c r="S93" s="2329">
        <f>AVERAGE(S89:S92)</f>
        <v>1.9999999999999998</v>
      </c>
      <c r="T93" s="2329">
        <f>AVERAGE(T89:T92)</f>
        <v>0.99999999999999989</v>
      </c>
      <c r="U93" s="158"/>
      <c r="V93" s="158"/>
      <c r="W93" s="158"/>
    </row>
    <row r="94" spans="4:26" x14ac:dyDescent="0.25">
      <c r="D94" s="158"/>
      <c r="E94" s="168" t="s">
        <v>160</v>
      </c>
      <c r="F94" s="2920">
        <f>AVERAGE(F93:Q93)</f>
        <v>2.0416666666666665</v>
      </c>
      <c r="G94" s="2921"/>
      <c r="H94" s="2921"/>
      <c r="I94" s="2921"/>
      <c r="J94" s="2921"/>
      <c r="K94" s="2921"/>
      <c r="L94" s="2921"/>
      <c r="M94" s="2921"/>
      <c r="N94" s="2921"/>
      <c r="O94" s="2921"/>
      <c r="P94" s="2921"/>
      <c r="Q94" s="2921"/>
      <c r="R94" s="2922">
        <f>AVERAGE(R93:T93)</f>
        <v>1.9166666666666663</v>
      </c>
      <c r="S94" s="2922"/>
      <c r="T94" s="2922"/>
      <c r="U94" s="2915"/>
      <c r="V94" s="2915"/>
      <c r="W94" s="2915"/>
      <c r="X94" s="158"/>
      <c r="Y94" s="158"/>
      <c r="Z94" s="158"/>
    </row>
    <row r="95" spans="4:26" x14ac:dyDescent="0.25"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spans="4:26" x14ac:dyDescent="0.25"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spans="4:26" x14ac:dyDescent="0.25"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spans="4:26" x14ac:dyDescent="0.25"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spans="4:26" x14ac:dyDescent="0.25"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spans="4:26" x14ac:dyDescent="0.25"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spans="4:26" x14ac:dyDescent="0.25"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</sheetData>
  <mergeCells count="34">
    <mergeCell ref="D85:K85"/>
    <mergeCell ref="U94:W94"/>
    <mergeCell ref="A62:B62"/>
    <mergeCell ref="E71:K71"/>
    <mergeCell ref="D74:G74"/>
    <mergeCell ref="F82:Q82"/>
    <mergeCell ref="F94:Q94"/>
    <mergeCell ref="R82:T82"/>
    <mergeCell ref="R94:T94"/>
    <mergeCell ref="AB62:AF62"/>
    <mergeCell ref="AJ62:AN62"/>
    <mergeCell ref="A61:B61"/>
    <mergeCell ref="X6:X8"/>
    <mergeCell ref="W9:X9"/>
    <mergeCell ref="B6:B7"/>
    <mergeCell ref="C6:G6"/>
    <mergeCell ref="N6:R6"/>
    <mergeCell ref="W6:W8"/>
    <mergeCell ref="H6:I6"/>
    <mergeCell ref="J6:K6"/>
    <mergeCell ref="L6:M6"/>
    <mergeCell ref="A2:B2"/>
    <mergeCell ref="C2:E2"/>
    <mergeCell ref="I2:K2"/>
    <mergeCell ref="M2:O2"/>
    <mergeCell ref="C3:E3"/>
    <mergeCell ref="I3:K3"/>
    <mergeCell ref="M3:O3"/>
    <mergeCell ref="A3:B3"/>
    <mergeCell ref="C4:E4"/>
    <mergeCell ref="I4:K4"/>
    <mergeCell ref="M4:O4"/>
    <mergeCell ref="C5:M5"/>
    <mergeCell ref="N5:U5"/>
  </mergeCells>
  <conditionalFormatting sqref="V10">
    <cfRule type="containsText" dxfId="133" priority="1" operator="containsText" text="F">
      <formula>NOT(ISERROR(SEARCH("F",V10)))</formula>
    </cfRule>
  </conditionalFormatting>
  <conditionalFormatting sqref="V10:W58">
    <cfRule type="containsText" dxfId="132" priority="6" operator="containsText" text="F">
      <formula>NOT(ISERROR(SEARCH("F",V10)))</formula>
    </cfRule>
  </conditionalFormatting>
  <pageMargins left="0.7" right="0.7" top="0.75" bottom="0.75" header="0.3" footer="0.3"/>
  <pageSetup paperSize="8"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P101"/>
  <sheetViews>
    <sheetView topLeftCell="A28" zoomScale="62" zoomScaleNormal="62" workbookViewId="0">
      <selection activeCell="F94" sqref="F94"/>
    </sheetView>
  </sheetViews>
  <sheetFormatPr defaultRowHeight="15" x14ac:dyDescent="0.25"/>
  <cols>
    <col min="1" max="1" width="12.28515625" customWidth="1"/>
    <col min="2" max="2" width="25.85546875" customWidth="1"/>
    <col min="3" max="5" width="12" customWidth="1"/>
    <col min="6" max="6" width="10.7109375" customWidth="1"/>
    <col min="7" max="8" width="9.140625" customWidth="1"/>
    <col min="11" max="21" width="9.42578125" bestFit="1" customWidth="1"/>
    <col min="22" max="22" width="10" customWidth="1"/>
    <col min="24" max="25" width="9.140625" hidden="1" customWidth="1"/>
    <col min="26" max="26" width="0" hidden="1" customWidth="1"/>
    <col min="27" max="27" width="2.7109375" customWidth="1"/>
    <col min="29" max="43" width="11" customWidth="1"/>
  </cols>
  <sheetData>
    <row r="1" spans="1:26" s="134" customFormat="1" ht="24" customHeight="1" x14ac:dyDescent="0.25">
      <c r="A1" s="217"/>
      <c r="B1" s="217"/>
      <c r="C1" s="217"/>
      <c r="D1" s="217"/>
      <c r="E1" s="217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26" s="134" customFormat="1" ht="24" customHeight="1" x14ac:dyDescent="0.25">
      <c r="A2" s="2923" t="s">
        <v>0</v>
      </c>
      <c r="B2" s="2924"/>
      <c r="C2" s="2925" t="s">
        <v>102</v>
      </c>
      <c r="D2" s="2926"/>
      <c r="E2" s="2927"/>
      <c r="F2" s="219"/>
      <c r="H2" s="199" t="s">
        <v>63</v>
      </c>
      <c r="I2" s="2928" t="s">
        <v>366</v>
      </c>
      <c r="J2" s="2928"/>
    </row>
    <row r="3" spans="1:26" s="134" customFormat="1" ht="24" customHeight="1" x14ac:dyDescent="0.25">
      <c r="A3" s="2930" t="s">
        <v>1</v>
      </c>
      <c r="B3" s="2931"/>
      <c r="C3" s="2925" t="s">
        <v>156</v>
      </c>
      <c r="D3" s="2926"/>
      <c r="E3" s="2927"/>
      <c r="F3" s="219"/>
      <c r="H3" s="289" t="s">
        <v>64</v>
      </c>
      <c r="I3" s="2932" t="s">
        <v>232</v>
      </c>
      <c r="J3" s="2933"/>
    </row>
    <row r="4" spans="1:26" s="134" customFormat="1" ht="24" customHeight="1" x14ac:dyDescent="0.25">
      <c r="A4" s="220"/>
      <c r="B4" s="221" t="s">
        <v>2</v>
      </c>
      <c r="C4" s="2934" t="s">
        <v>164</v>
      </c>
      <c r="D4" s="2935"/>
      <c r="E4" s="2936"/>
      <c r="F4" s="219"/>
      <c r="H4" s="220" t="s">
        <v>65</v>
      </c>
      <c r="I4" s="2937" t="s">
        <v>66</v>
      </c>
      <c r="J4" s="2937"/>
    </row>
    <row r="5" spans="1:26" s="134" customFormat="1" ht="24" customHeight="1" x14ac:dyDescent="0.25">
      <c r="A5" s="132"/>
      <c r="B5" s="133"/>
      <c r="C5" s="2938" t="s">
        <v>3</v>
      </c>
      <c r="D5" s="2938"/>
      <c r="E5" s="2938"/>
      <c r="F5" s="2938"/>
      <c r="G5" s="2938"/>
      <c r="H5" s="2938"/>
      <c r="I5" s="2938"/>
      <c r="J5" s="2938"/>
      <c r="K5" s="2939" t="s">
        <v>4</v>
      </c>
      <c r="L5" s="2939"/>
      <c r="M5" s="2939"/>
      <c r="N5" s="2939"/>
      <c r="O5" s="2939"/>
      <c r="P5" s="2939"/>
      <c r="Q5" s="2939"/>
      <c r="R5" s="2939"/>
      <c r="S5" s="290"/>
      <c r="T5" s="290"/>
    </row>
    <row r="6" spans="1:26" s="134" customFormat="1" ht="24" customHeight="1" x14ac:dyDescent="0.25">
      <c r="A6" s="235"/>
      <c r="B6" s="2940" t="s">
        <v>5</v>
      </c>
      <c r="C6" s="2939" t="s">
        <v>6</v>
      </c>
      <c r="D6" s="2939"/>
      <c r="E6" s="2939"/>
      <c r="F6" s="2939"/>
      <c r="G6" s="2939"/>
      <c r="H6" s="2941" t="s">
        <v>7</v>
      </c>
      <c r="I6" s="2941" t="s">
        <v>8</v>
      </c>
      <c r="J6" s="2941" t="s">
        <v>9</v>
      </c>
      <c r="K6" s="2939" t="s">
        <v>6</v>
      </c>
      <c r="L6" s="2939"/>
      <c r="M6" s="2939"/>
      <c r="N6" s="2939"/>
      <c r="O6" s="2939"/>
      <c r="P6" s="2941" t="s">
        <v>7</v>
      </c>
      <c r="Q6" s="2943" t="s">
        <v>8</v>
      </c>
      <c r="R6" s="2944" t="s">
        <v>9</v>
      </c>
      <c r="S6" s="2943" t="s">
        <v>208</v>
      </c>
      <c r="T6" s="2943" t="s">
        <v>209</v>
      </c>
      <c r="U6" s="2940" t="s">
        <v>10</v>
      </c>
      <c r="V6" s="2943" t="s">
        <v>11</v>
      </c>
      <c r="W6" s="2946" t="s">
        <v>12</v>
      </c>
      <c r="X6" s="2948" t="s">
        <v>210</v>
      </c>
      <c r="Y6" s="2950" t="s">
        <v>211</v>
      </c>
    </row>
    <row r="7" spans="1:26" s="134" customFormat="1" ht="24" customHeight="1" x14ac:dyDescent="0.25">
      <c r="A7" s="235"/>
      <c r="B7" s="2940"/>
      <c r="C7" s="201" t="s">
        <v>13</v>
      </c>
      <c r="D7" s="201" t="s">
        <v>14</v>
      </c>
      <c r="E7" s="201" t="s">
        <v>15</v>
      </c>
      <c r="F7" s="201" t="s">
        <v>16</v>
      </c>
      <c r="G7" s="201" t="s">
        <v>17</v>
      </c>
      <c r="H7" s="2942"/>
      <c r="I7" s="2942"/>
      <c r="J7" s="2942"/>
      <c r="K7" s="201" t="s">
        <v>13</v>
      </c>
      <c r="L7" s="201" t="s">
        <v>14</v>
      </c>
      <c r="M7" s="201" t="s">
        <v>15</v>
      </c>
      <c r="N7" s="201" t="s">
        <v>16</v>
      </c>
      <c r="O7" s="201" t="s">
        <v>17</v>
      </c>
      <c r="P7" s="2942"/>
      <c r="Q7" s="2943"/>
      <c r="R7" s="2945"/>
      <c r="S7" s="2943"/>
      <c r="T7" s="2943"/>
      <c r="U7" s="2940"/>
      <c r="V7" s="2943"/>
      <c r="W7" s="2947"/>
      <c r="X7" s="2949"/>
      <c r="Y7" s="2950"/>
    </row>
    <row r="8" spans="1:26" s="134" customFormat="1" ht="24" customHeight="1" x14ac:dyDescent="0.25">
      <c r="A8" s="291" t="s">
        <v>18</v>
      </c>
      <c r="B8" s="148" t="s">
        <v>19</v>
      </c>
      <c r="C8" s="148" t="s">
        <v>20</v>
      </c>
      <c r="D8" s="148" t="s">
        <v>20</v>
      </c>
      <c r="E8" s="148" t="s">
        <v>23</v>
      </c>
      <c r="F8" s="148" t="s">
        <v>20</v>
      </c>
      <c r="G8" s="148" t="s">
        <v>20</v>
      </c>
      <c r="H8" s="148" t="s">
        <v>22</v>
      </c>
      <c r="I8" s="148" t="s">
        <v>21</v>
      </c>
      <c r="J8" s="148" t="s">
        <v>23</v>
      </c>
      <c r="K8" s="148" t="s">
        <v>23</v>
      </c>
      <c r="L8" s="148" t="s">
        <v>23</v>
      </c>
      <c r="M8" s="148" t="s">
        <v>25</v>
      </c>
      <c r="N8" s="148" t="s">
        <v>24</v>
      </c>
      <c r="O8" s="148" t="s">
        <v>24</v>
      </c>
      <c r="P8" s="148" t="s">
        <v>41</v>
      </c>
      <c r="Q8" s="148" t="s">
        <v>42</v>
      </c>
      <c r="R8" s="148" t="s">
        <v>43</v>
      </c>
      <c r="S8" s="145"/>
      <c r="T8" s="145"/>
      <c r="U8" s="201"/>
      <c r="V8" s="222"/>
      <c r="W8" s="222"/>
      <c r="X8" s="136"/>
    </row>
    <row r="9" spans="1:26" s="134" customFormat="1" ht="24" customHeight="1" x14ac:dyDescent="0.25">
      <c r="A9" s="291"/>
      <c r="B9" s="148" t="s">
        <v>26</v>
      </c>
      <c r="C9" s="201">
        <v>2</v>
      </c>
      <c r="D9" s="201">
        <v>2</v>
      </c>
      <c r="E9" s="201">
        <v>2</v>
      </c>
      <c r="F9" s="201">
        <v>2</v>
      </c>
      <c r="G9" s="201">
        <v>2</v>
      </c>
      <c r="H9" s="201">
        <v>10</v>
      </c>
      <c r="I9" s="201">
        <v>10</v>
      </c>
      <c r="J9" s="201">
        <v>10</v>
      </c>
      <c r="K9" s="201">
        <v>2</v>
      </c>
      <c r="L9" s="201">
        <v>2</v>
      </c>
      <c r="M9" s="201">
        <v>2</v>
      </c>
      <c r="N9" s="201">
        <v>2</v>
      </c>
      <c r="O9" s="201">
        <v>2</v>
      </c>
      <c r="P9" s="201">
        <v>10</v>
      </c>
      <c r="Q9" s="201">
        <v>10</v>
      </c>
      <c r="R9" s="201">
        <v>10</v>
      </c>
      <c r="S9" s="292"/>
      <c r="T9" s="292"/>
      <c r="U9" s="293"/>
      <c r="V9" s="2940">
        <v>100</v>
      </c>
      <c r="W9" s="2940"/>
      <c r="X9" s="137" t="b">
        <f>IF(V9="F",0,IF(V9="O",10,IF(V9="A+",9,IF(V9="A",8,IF(V9="B+",7,IF(V9="B",6,IF(V9="C",5,IF(V9="P",4))))))))</f>
        <v>0</v>
      </c>
      <c r="Y9" s="151">
        <f>X9*10</f>
        <v>0</v>
      </c>
      <c r="Z9" s="294">
        <f>Y9-U9</f>
        <v>0</v>
      </c>
    </row>
    <row r="10" spans="1:26" s="134" customFormat="1" ht="24" customHeight="1" x14ac:dyDescent="0.25">
      <c r="A10" s="295">
        <v>1</v>
      </c>
      <c r="B10" s="1973">
        <v>5191421001</v>
      </c>
      <c r="C10" s="139">
        <v>2</v>
      </c>
      <c r="D10" s="139">
        <v>2</v>
      </c>
      <c r="E10" s="139">
        <v>1</v>
      </c>
      <c r="F10" s="139">
        <v>2</v>
      </c>
      <c r="G10" s="137">
        <v>2</v>
      </c>
      <c r="H10" s="137">
        <v>9</v>
      </c>
      <c r="I10" s="137">
        <v>5</v>
      </c>
      <c r="J10" s="137"/>
      <c r="K10" s="139">
        <v>1</v>
      </c>
      <c r="L10" s="139">
        <v>2</v>
      </c>
      <c r="M10" s="139">
        <v>2</v>
      </c>
      <c r="N10" s="139">
        <v>2</v>
      </c>
      <c r="O10" s="137"/>
      <c r="P10" s="137">
        <v>7</v>
      </c>
      <c r="Q10" s="137"/>
      <c r="R10" s="137">
        <v>5</v>
      </c>
      <c r="S10" s="296">
        <f>SUM(C10:J10)</f>
        <v>23</v>
      </c>
      <c r="T10" s="296">
        <f>SUM(K10:R10)</f>
        <v>19</v>
      </c>
      <c r="U10" s="202">
        <f>AVERAGE(S10:T10)</f>
        <v>21</v>
      </c>
      <c r="V10" s="2116" t="s">
        <v>27</v>
      </c>
      <c r="W10" s="297">
        <f t="shared" ref="W10:W58" si="0">IF(V10="O",100,IF(V10="A+",90,IF(V10="A",80,IF(V10="B+",70,IF(V10="B",60,IF(V10="C",55,IF(V10="P",50,IF(V10="F",39))))))))</f>
        <v>80</v>
      </c>
      <c r="X10" s="137">
        <f t="shared" ref="X10:X58" si="1">IF(V10="F",0,IF(V10="O",10,IF(V10="A+",9,IF(V10="A",8,IF(V10="B+",7,IF(V10="B",6,IF(V10="C",5,IF(V10="P",4))))))))</f>
        <v>8</v>
      </c>
      <c r="Y10" s="151">
        <f t="shared" ref="Y10:Y58" si="2">X10*10</f>
        <v>80</v>
      </c>
      <c r="Z10" s="294">
        <f t="shared" ref="Z10:Z58" si="3">Y10-U10</f>
        <v>59</v>
      </c>
    </row>
    <row r="11" spans="1:26" s="134" customFormat="1" ht="24" customHeight="1" x14ac:dyDescent="0.25">
      <c r="A11" s="295">
        <v>2</v>
      </c>
      <c r="B11" s="1973">
        <f>+B10+1</f>
        <v>5191421002</v>
      </c>
      <c r="C11" s="139">
        <v>1</v>
      </c>
      <c r="D11" s="139">
        <v>2</v>
      </c>
      <c r="E11" s="139">
        <v>2</v>
      </c>
      <c r="F11" s="139">
        <v>2</v>
      </c>
      <c r="G11" s="137">
        <v>2</v>
      </c>
      <c r="H11" s="137">
        <v>8</v>
      </c>
      <c r="I11" s="137"/>
      <c r="J11" s="137">
        <v>5</v>
      </c>
      <c r="K11" s="139"/>
      <c r="L11" s="139">
        <v>2</v>
      </c>
      <c r="M11" s="139">
        <v>2</v>
      </c>
      <c r="N11" s="139">
        <v>2</v>
      </c>
      <c r="O11" s="137"/>
      <c r="P11" s="137">
        <v>4</v>
      </c>
      <c r="Q11" s="198">
        <v>7</v>
      </c>
      <c r="R11" s="198"/>
      <c r="S11" s="296">
        <f t="shared" ref="S11:S58" si="4">SUM(C11:J11)</f>
        <v>22</v>
      </c>
      <c r="T11" s="296">
        <f t="shared" ref="T11:T58" si="5">SUM(K11:R11)</f>
        <v>17</v>
      </c>
      <c r="U11" s="202">
        <f t="shared" ref="U11:U58" si="6">AVERAGE(S11:T11)</f>
        <v>19.5</v>
      </c>
      <c r="V11" s="2117" t="s">
        <v>27</v>
      </c>
      <c r="W11" s="138">
        <f t="shared" si="0"/>
        <v>80</v>
      </c>
      <c r="X11" s="137">
        <f t="shared" si="1"/>
        <v>8</v>
      </c>
      <c r="Y11" s="151">
        <f t="shared" si="2"/>
        <v>80</v>
      </c>
      <c r="Z11" s="294">
        <f t="shared" si="3"/>
        <v>60.5</v>
      </c>
    </row>
    <row r="12" spans="1:26" s="134" customFormat="1" ht="24" customHeight="1" x14ac:dyDescent="0.25">
      <c r="A12" s="295">
        <v>3</v>
      </c>
      <c r="B12" s="1973">
        <f t="shared" ref="B12:B58" si="7">+B11+1</f>
        <v>5191421003</v>
      </c>
      <c r="C12" s="139">
        <v>2</v>
      </c>
      <c r="D12" s="139">
        <v>2</v>
      </c>
      <c r="E12" s="139">
        <v>2</v>
      </c>
      <c r="F12" s="139">
        <v>2</v>
      </c>
      <c r="G12" s="137">
        <v>2</v>
      </c>
      <c r="H12" s="137">
        <v>10</v>
      </c>
      <c r="I12" s="137">
        <v>9</v>
      </c>
      <c r="J12" s="137"/>
      <c r="K12" s="139">
        <v>2</v>
      </c>
      <c r="L12" s="139">
        <v>2</v>
      </c>
      <c r="M12" s="139">
        <v>2</v>
      </c>
      <c r="N12" s="139">
        <v>2</v>
      </c>
      <c r="O12" s="137"/>
      <c r="P12" s="137">
        <v>7</v>
      </c>
      <c r="Q12" s="137">
        <v>7</v>
      </c>
      <c r="R12" s="137"/>
      <c r="S12" s="296">
        <f t="shared" si="4"/>
        <v>29</v>
      </c>
      <c r="T12" s="296">
        <f t="shared" si="5"/>
        <v>22</v>
      </c>
      <c r="U12" s="202">
        <f t="shared" si="6"/>
        <v>25.5</v>
      </c>
      <c r="V12" s="2116" t="s">
        <v>82</v>
      </c>
      <c r="W12" s="138">
        <f t="shared" si="0"/>
        <v>100</v>
      </c>
      <c r="X12" s="137">
        <f t="shared" si="1"/>
        <v>10</v>
      </c>
      <c r="Y12" s="151">
        <f t="shared" si="2"/>
        <v>100</v>
      </c>
      <c r="Z12" s="294">
        <f t="shared" si="3"/>
        <v>74.5</v>
      </c>
    </row>
    <row r="13" spans="1:26" s="134" customFormat="1" ht="24" customHeight="1" x14ac:dyDescent="0.25">
      <c r="A13" s="295">
        <v>4</v>
      </c>
      <c r="B13" s="1973">
        <f t="shared" si="7"/>
        <v>5191421004</v>
      </c>
      <c r="C13" s="139">
        <v>2</v>
      </c>
      <c r="D13" s="139">
        <v>2</v>
      </c>
      <c r="E13" s="139">
        <v>2</v>
      </c>
      <c r="F13" s="139">
        <v>2</v>
      </c>
      <c r="G13" s="137">
        <v>2</v>
      </c>
      <c r="H13" s="137">
        <v>9</v>
      </c>
      <c r="I13" s="137">
        <v>9</v>
      </c>
      <c r="J13" s="137"/>
      <c r="K13" s="139"/>
      <c r="L13" s="139">
        <v>2</v>
      </c>
      <c r="M13" s="139">
        <v>2</v>
      </c>
      <c r="N13" s="139">
        <v>1</v>
      </c>
      <c r="O13" s="137"/>
      <c r="P13" s="137">
        <v>7</v>
      </c>
      <c r="Q13" s="137"/>
      <c r="R13" s="137">
        <v>7</v>
      </c>
      <c r="S13" s="296">
        <f t="shared" si="4"/>
        <v>28</v>
      </c>
      <c r="T13" s="296">
        <f t="shared" si="5"/>
        <v>19</v>
      </c>
      <c r="U13" s="202">
        <f t="shared" si="6"/>
        <v>23.5</v>
      </c>
      <c r="V13" s="2117" t="s">
        <v>29</v>
      </c>
      <c r="W13" s="138">
        <f t="shared" si="0"/>
        <v>39</v>
      </c>
      <c r="X13" s="137">
        <f t="shared" si="1"/>
        <v>0</v>
      </c>
      <c r="Y13" s="151">
        <f t="shared" si="2"/>
        <v>0</v>
      </c>
      <c r="Z13" s="294">
        <f t="shared" si="3"/>
        <v>-23.5</v>
      </c>
    </row>
    <row r="14" spans="1:26" s="134" customFormat="1" ht="24" customHeight="1" x14ac:dyDescent="0.25">
      <c r="A14" s="295">
        <v>5</v>
      </c>
      <c r="B14" s="1973">
        <f t="shared" si="7"/>
        <v>5191421005</v>
      </c>
      <c r="C14" s="139">
        <v>1</v>
      </c>
      <c r="D14" s="139">
        <v>2</v>
      </c>
      <c r="E14" s="139">
        <v>2</v>
      </c>
      <c r="F14" s="139"/>
      <c r="G14" s="137">
        <v>1</v>
      </c>
      <c r="H14" s="137">
        <v>4</v>
      </c>
      <c r="I14" s="137">
        <v>3</v>
      </c>
      <c r="J14" s="137"/>
      <c r="K14" s="139">
        <v>2</v>
      </c>
      <c r="L14" s="139">
        <v>1</v>
      </c>
      <c r="M14" s="139"/>
      <c r="N14" s="139">
        <v>2</v>
      </c>
      <c r="O14" s="139">
        <v>1</v>
      </c>
      <c r="P14" s="139">
        <v>2</v>
      </c>
      <c r="Q14" s="137">
        <v>7</v>
      </c>
      <c r="R14" s="137"/>
      <c r="S14" s="296">
        <f t="shared" si="4"/>
        <v>13</v>
      </c>
      <c r="T14" s="296">
        <f t="shared" si="5"/>
        <v>15</v>
      </c>
      <c r="U14" s="202">
        <f t="shared" si="6"/>
        <v>14</v>
      </c>
      <c r="V14" s="2116" t="s">
        <v>27</v>
      </c>
      <c r="W14" s="138">
        <f t="shared" si="0"/>
        <v>80</v>
      </c>
      <c r="X14" s="137">
        <f t="shared" si="1"/>
        <v>8</v>
      </c>
      <c r="Y14" s="151">
        <f t="shared" si="2"/>
        <v>80</v>
      </c>
      <c r="Z14" s="294">
        <f t="shared" si="3"/>
        <v>66</v>
      </c>
    </row>
    <row r="15" spans="1:26" s="134" customFormat="1" ht="24" customHeight="1" x14ac:dyDescent="0.25">
      <c r="A15" s="295">
        <v>6</v>
      </c>
      <c r="B15" s="1973">
        <f t="shared" si="7"/>
        <v>5191421006</v>
      </c>
      <c r="C15" s="139">
        <v>1</v>
      </c>
      <c r="D15" s="139">
        <v>1</v>
      </c>
      <c r="E15" s="139">
        <v>1</v>
      </c>
      <c r="F15" s="139"/>
      <c r="G15" s="137"/>
      <c r="H15" s="137">
        <v>4</v>
      </c>
      <c r="I15" s="137"/>
      <c r="J15" s="137">
        <v>5</v>
      </c>
      <c r="K15" s="139"/>
      <c r="L15" s="139"/>
      <c r="M15" s="139"/>
      <c r="N15" s="139"/>
      <c r="O15" s="137"/>
      <c r="P15" s="137"/>
      <c r="Q15" s="137">
        <v>1</v>
      </c>
      <c r="R15" s="137">
        <v>1</v>
      </c>
      <c r="S15" s="296">
        <f t="shared" si="4"/>
        <v>12</v>
      </c>
      <c r="T15" s="296">
        <f t="shared" si="5"/>
        <v>2</v>
      </c>
      <c r="U15" s="202">
        <f t="shared" si="6"/>
        <v>7</v>
      </c>
      <c r="V15" s="2117" t="s">
        <v>27</v>
      </c>
      <c r="W15" s="138">
        <f t="shared" si="0"/>
        <v>80</v>
      </c>
      <c r="X15" s="137">
        <f t="shared" si="1"/>
        <v>8</v>
      </c>
      <c r="Y15" s="151">
        <f t="shared" si="2"/>
        <v>80</v>
      </c>
      <c r="Z15" s="294">
        <f t="shared" si="3"/>
        <v>73</v>
      </c>
    </row>
    <row r="16" spans="1:26" s="134" customFormat="1" ht="24" customHeight="1" x14ac:dyDescent="0.25">
      <c r="A16" s="295">
        <v>7</v>
      </c>
      <c r="B16" s="1973">
        <f t="shared" si="7"/>
        <v>5191421007</v>
      </c>
      <c r="C16" s="139">
        <v>2</v>
      </c>
      <c r="D16" s="139">
        <v>2</v>
      </c>
      <c r="E16" s="139">
        <v>2</v>
      </c>
      <c r="F16" s="139">
        <v>2</v>
      </c>
      <c r="G16" s="137">
        <v>2</v>
      </c>
      <c r="H16" s="137">
        <v>10</v>
      </c>
      <c r="I16" s="137">
        <v>10</v>
      </c>
      <c r="J16" s="137"/>
      <c r="K16" s="139">
        <v>2</v>
      </c>
      <c r="L16" s="139">
        <v>2</v>
      </c>
      <c r="M16" s="139">
        <v>2</v>
      </c>
      <c r="N16" s="139">
        <v>2</v>
      </c>
      <c r="O16" s="137"/>
      <c r="P16" s="137">
        <v>8</v>
      </c>
      <c r="Q16" s="137"/>
      <c r="R16" s="137">
        <v>10</v>
      </c>
      <c r="S16" s="296">
        <f t="shared" si="4"/>
        <v>30</v>
      </c>
      <c r="T16" s="296">
        <f t="shared" si="5"/>
        <v>26</v>
      </c>
      <c r="U16" s="202">
        <f t="shared" si="6"/>
        <v>28</v>
      </c>
      <c r="V16" s="2116" t="s">
        <v>27</v>
      </c>
      <c r="W16" s="138">
        <f t="shared" si="0"/>
        <v>80</v>
      </c>
      <c r="X16" s="137">
        <f t="shared" si="1"/>
        <v>8</v>
      </c>
      <c r="Y16" s="151">
        <f t="shared" si="2"/>
        <v>80</v>
      </c>
      <c r="Z16" s="294">
        <f t="shared" si="3"/>
        <v>52</v>
      </c>
    </row>
    <row r="17" spans="1:26" s="200" customFormat="1" ht="24" customHeight="1" x14ac:dyDescent="0.25">
      <c r="A17" s="295">
        <v>8</v>
      </c>
      <c r="B17" s="1973">
        <f t="shared" si="7"/>
        <v>5191421008</v>
      </c>
      <c r="C17" s="202">
        <v>1</v>
      </c>
      <c r="D17" s="202">
        <v>2</v>
      </c>
      <c r="E17" s="202">
        <v>1</v>
      </c>
      <c r="F17" s="202">
        <v>1</v>
      </c>
      <c r="G17" s="138">
        <v>2</v>
      </c>
      <c r="H17" s="138"/>
      <c r="I17" s="138">
        <v>2</v>
      </c>
      <c r="J17" s="138">
        <v>3</v>
      </c>
      <c r="K17" s="202"/>
      <c r="L17" s="202"/>
      <c r="M17" s="202">
        <v>2</v>
      </c>
      <c r="N17" s="202"/>
      <c r="O17" s="138"/>
      <c r="P17" s="138"/>
      <c r="Q17" s="138">
        <v>6</v>
      </c>
      <c r="R17" s="138">
        <v>4</v>
      </c>
      <c r="S17" s="296">
        <f t="shared" si="4"/>
        <v>12</v>
      </c>
      <c r="T17" s="296">
        <f t="shared" si="5"/>
        <v>12</v>
      </c>
      <c r="U17" s="202">
        <f t="shared" si="6"/>
        <v>12</v>
      </c>
      <c r="V17" s="2117" t="s">
        <v>27</v>
      </c>
      <c r="W17" s="138">
        <f t="shared" si="0"/>
        <v>80</v>
      </c>
      <c r="X17" s="138">
        <f t="shared" si="1"/>
        <v>8</v>
      </c>
      <c r="Y17" s="151">
        <f t="shared" si="2"/>
        <v>80</v>
      </c>
      <c r="Z17" s="299">
        <f t="shared" si="3"/>
        <v>68</v>
      </c>
    </row>
    <row r="18" spans="1:26" s="134" customFormat="1" ht="24" customHeight="1" x14ac:dyDescent="0.25">
      <c r="A18" s="295">
        <v>9</v>
      </c>
      <c r="B18" s="1973">
        <f t="shared" si="7"/>
        <v>5191421009</v>
      </c>
      <c r="C18" s="139">
        <v>1</v>
      </c>
      <c r="D18" s="139">
        <v>2</v>
      </c>
      <c r="E18" s="139"/>
      <c r="F18" s="139">
        <v>2</v>
      </c>
      <c r="G18" s="137">
        <v>2</v>
      </c>
      <c r="H18" s="137"/>
      <c r="I18" s="137">
        <v>3</v>
      </c>
      <c r="J18" s="137">
        <v>3</v>
      </c>
      <c r="K18" s="139">
        <v>1</v>
      </c>
      <c r="L18" s="139"/>
      <c r="M18" s="139"/>
      <c r="N18" s="139"/>
      <c r="O18" s="137">
        <v>1</v>
      </c>
      <c r="P18" s="137">
        <v>3</v>
      </c>
      <c r="Q18" s="137">
        <v>7</v>
      </c>
      <c r="R18" s="137"/>
      <c r="S18" s="296">
        <f t="shared" si="4"/>
        <v>13</v>
      </c>
      <c r="T18" s="296">
        <f t="shared" si="5"/>
        <v>12</v>
      </c>
      <c r="U18" s="202">
        <f t="shared" si="6"/>
        <v>12.5</v>
      </c>
      <c r="V18" s="2118" t="s">
        <v>32</v>
      </c>
      <c r="W18" s="138">
        <f t="shared" si="0"/>
        <v>70</v>
      </c>
      <c r="X18" s="137">
        <f t="shared" si="1"/>
        <v>7</v>
      </c>
      <c r="Y18" s="151">
        <f t="shared" si="2"/>
        <v>70</v>
      </c>
      <c r="Z18" s="294">
        <f t="shared" si="3"/>
        <v>57.5</v>
      </c>
    </row>
    <row r="19" spans="1:26" s="134" customFormat="1" ht="24" customHeight="1" x14ac:dyDescent="0.25">
      <c r="A19" s="295">
        <v>10</v>
      </c>
      <c r="B19" s="1973">
        <f t="shared" si="7"/>
        <v>5191421010</v>
      </c>
      <c r="C19" s="139">
        <v>1</v>
      </c>
      <c r="D19" s="139">
        <v>2</v>
      </c>
      <c r="E19" s="139">
        <v>2</v>
      </c>
      <c r="F19" s="139">
        <v>1</v>
      </c>
      <c r="G19" s="137">
        <v>2</v>
      </c>
      <c r="H19" s="137">
        <v>5</v>
      </c>
      <c r="I19" s="137"/>
      <c r="J19" s="137">
        <v>4</v>
      </c>
      <c r="K19" s="139">
        <v>2</v>
      </c>
      <c r="L19" s="139"/>
      <c r="M19" s="139">
        <v>1</v>
      </c>
      <c r="N19" s="139"/>
      <c r="O19" s="137"/>
      <c r="P19" s="137"/>
      <c r="Q19" s="137"/>
      <c r="R19" s="137">
        <v>3</v>
      </c>
      <c r="S19" s="296">
        <f t="shared" si="4"/>
        <v>17</v>
      </c>
      <c r="T19" s="296">
        <f t="shared" si="5"/>
        <v>6</v>
      </c>
      <c r="U19" s="202">
        <f t="shared" si="6"/>
        <v>11.5</v>
      </c>
      <c r="V19" s="2118" t="s">
        <v>32</v>
      </c>
      <c r="W19" s="138">
        <f t="shared" si="0"/>
        <v>70</v>
      </c>
      <c r="X19" s="137">
        <f t="shared" si="1"/>
        <v>7</v>
      </c>
      <c r="Y19" s="151">
        <f t="shared" si="2"/>
        <v>70</v>
      </c>
      <c r="Z19" s="294">
        <f t="shared" si="3"/>
        <v>58.5</v>
      </c>
    </row>
    <row r="20" spans="1:26" s="134" customFormat="1" ht="24" customHeight="1" x14ac:dyDescent="0.25">
      <c r="A20" s="295">
        <v>11</v>
      </c>
      <c r="B20" s="1973">
        <f t="shared" si="7"/>
        <v>5191421011</v>
      </c>
      <c r="C20" s="139"/>
      <c r="D20" s="139"/>
      <c r="E20" s="139">
        <v>2</v>
      </c>
      <c r="F20" s="139"/>
      <c r="G20" s="137">
        <v>2</v>
      </c>
      <c r="H20" s="137">
        <v>10</v>
      </c>
      <c r="I20" s="137">
        <v>7</v>
      </c>
      <c r="J20" s="137"/>
      <c r="K20" s="139"/>
      <c r="L20" s="139"/>
      <c r="M20" s="139">
        <v>2</v>
      </c>
      <c r="N20" s="139"/>
      <c r="O20" s="137"/>
      <c r="P20" s="137"/>
      <c r="Q20" s="137">
        <v>5</v>
      </c>
      <c r="R20" s="137">
        <v>6</v>
      </c>
      <c r="S20" s="296">
        <f t="shared" si="4"/>
        <v>21</v>
      </c>
      <c r="T20" s="296">
        <f t="shared" si="5"/>
        <v>13</v>
      </c>
      <c r="U20" s="202">
        <f t="shared" si="6"/>
        <v>17</v>
      </c>
      <c r="V20" s="2118" t="s">
        <v>27</v>
      </c>
      <c r="W20" s="138">
        <f t="shared" si="0"/>
        <v>80</v>
      </c>
      <c r="X20" s="137">
        <f t="shared" si="1"/>
        <v>8</v>
      </c>
      <c r="Y20" s="151">
        <f t="shared" si="2"/>
        <v>80</v>
      </c>
      <c r="Z20" s="294">
        <f t="shared" si="3"/>
        <v>63</v>
      </c>
    </row>
    <row r="21" spans="1:26" s="134" customFormat="1" ht="24" customHeight="1" x14ac:dyDescent="0.25">
      <c r="A21" s="295">
        <v>12</v>
      </c>
      <c r="B21" s="1973">
        <f t="shared" si="7"/>
        <v>5191421012</v>
      </c>
      <c r="C21" s="139"/>
      <c r="D21" s="139"/>
      <c r="E21" s="139"/>
      <c r="F21" s="139"/>
      <c r="G21" s="137"/>
      <c r="H21" s="137"/>
      <c r="I21" s="137"/>
      <c r="J21" s="137"/>
      <c r="K21" s="139">
        <v>1</v>
      </c>
      <c r="L21" s="139">
        <v>2</v>
      </c>
      <c r="M21" s="139">
        <v>2</v>
      </c>
      <c r="N21" s="139">
        <v>2</v>
      </c>
      <c r="O21" s="137">
        <v>1</v>
      </c>
      <c r="P21" s="137"/>
      <c r="Q21" s="137">
        <v>3</v>
      </c>
      <c r="R21" s="137">
        <v>5</v>
      </c>
      <c r="S21" s="296">
        <f t="shared" si="4"/>
        <v>0</v>
      </c>
      <c r="T21" s="296">
        <f t="shared" si="5"/>
        <v>16</v>
      </c>
      <c r="U21" s="202">
        <f t="shared" si="6"/>
        <v>8</v>
      </c>
      <c r="V21" s="2118" t="s">
        <v>31</v>
      </c>
      <c r="W21" s="138">
        <f t="shared" si="0"/>
        <v>55</v>
      </c>
      <c r="X21" s="137"/>
      <c r="Y21" s="151"/>
      <c r="Z21" s="294"/>
    </row>
    <row r="22" spans="1:26" s="134" customFormat="1" ht="24" customHeight="1" x14ac:dyDescent="0.25">
      <c r="A22" s="295">
        <v>13</v>
      </c>
      <c r="B22" s="1973">
        <f t="shared" si="7"/>
        <v>5191421013</v>
      </c>
      <c r="C22" s="139"/>
      <c r="D22" s="139"/>
      <c r="E22" s="139"/>
      <c r="F22" s="139"/>
      <c r="G22" s="137"/>
      <c r="H22" s="137"/>
      <c r="I22" s="198"/>
      <c r="J22" s="198"/>
      <c r="K22" s="139"/>
      <c r="L22" s="139">
        <v>2</v>
      </c>
      <c r="M22" s="139"/>
      <c r="N22" s="139">
        <v>2</v>
      </c>
      <c r="O22" s="137">
        <v>2</v>
      </c>
      <c r="P22" s="137">
        <v>4</v>
      </c>
      <c r="Q22" s="198"/>
      <c r="R22" s="198">
        <v>10</v>
      </c>
      <c r="S22" s="296">
        <f t="shared" si="4"/>
        <v>0</v>
      </c>
      <c r="T22" s="296">
        <f t="shared" si="5"/>
        <v>20</v>
      </c>
      <c r="U22" s="202">
        <f t="shared" si="6"/>
        <v>10</v>
      </c>
      <c r="V22" s="2118" t="s">
        <v>30</v>
      </c>
      <c r="W22" s="138">
        <f t="shared" si="0"/>
        <v>90</v>
      </c>
      <c r="X22" s="137"/>
      <c r="Y22" s="151"/>
      <c r="Z22" s="294"/>
    </row>
    <row r="23" spans="1:26" s="134" customFormat="1" ht="24" customHeight="1" x14ac:dyDescent="0.25">
      <c r="A23" s="295">
        <v>14</v>
      </c>
      <c r="B23" s="1973">
        <f t="shared" si="7"/>
        <v>5191421014</v>
      </c>
      <c r="C23" s="139"/>
      <c r="D23" s="139"/>
      <c r="E23" s="139"/>
      <c r="F23" s="139"/>
      <c r="G23" s="137"/>
      <c r="H23" s="137"/>
      <c r="I23" s="137">
        <v>3</v>
      </c>
      <c r="J23" s="137">
        <v>7</v>
      </c>
      <c r="K23" s="139"/>
      <c r="L23" s="139">
        <v>2</v>
      </c>
      <c r="M23" s="139">
        <v>2</v>
      </c>
      <c r="N23" s="139">
        <v>2</v>
      </c>
      <c r="O23" s="137"/>
      <c r="P23" s="137"/>
      <c r="Q23" s="137">
        <v>2</v>
      </c>
      <c r="R23" s="137">
        <v>10</v>
      </c>
      <c r="S23" s="296">
        <f t="shared" si="4"/>
        <v>10</v>
      </c>
      <c r="T23" s="296">
        <f t="shared" si="5"/>
        <v>18</v>
      </c>
      <c r="U23" s="202">
        <f t="shared" si="6"/>
        <v>14</v>
      </c>
      <c r="V23" s="2118" t="s">
        <v>30</v>
      </c>
      <c r="W23" s="138">
        <f t="shared" si="0"/>
        <v>90</v>
      </c>
      <c r="X23" s="137"/>
      <c r="Y23" s="151"/>
      <c r="Z23" s="294"/>
    </row>
    <row r="24" spans="1:26" s="134" customFormat="1" ht="24" customHeight="1" x14ac:dyDescent="0.25">
      <c r="A24" s="295">
        <v>15</v>
      </c>
      <c r="B24" s="1973">
        <f t="shared" si="7"/>
        <v>5191421015</v>
      </c>
      <c r="C24" s="139"/>
      <c r="D24" s="139"/>
      <c r="E24" s="139"/>
      <c r="F24" s="139"/>
      <c r="G24" s="137"/>
      <c r="H24" s="137"/>
      <c r="I24" s="137"/>
      <c r="J24" s="137">
        <v>5</v>
      </c>
      <c r="K24" s="139">
        <v>1</v>
      </c>
      <c r="L24" s="139">
        <v>2</v>
      </c>
      <c r="M24" s="139">
        <v>2</v>
      </c>
      <c r="N24" s="139">
        <v>2</v>
      </c>
      <c r="O24" s="137"/>
      <c r="P24" s="137">
        <v>1</v>
      </c>
      <c r="Q24" s="137"/>
      <c r="R24" s="137"/>
      <c r="S24" s="296">
        <f t="shared" si="4"/>
        <v>5</v>
      </c>
      <c r="T24" s="296">
        <f t="shared" si="5"/>
        <v>8</v>
      </c>
      <c r="U24" s="202">
        <f t="shared" si="6"/>
        <v>6.5</v>
      </c>
      <c r="V24" s="2118" t="s">
        <v>33</v>
      </c>
      <c r="W24" s="138">
        <f t="shared" si="0"/>
        <v>60</v>
      </c>
      <c r="X24" s="137"/>
      <c r="Y24" s="151"/>
      <c r="Z24" s="294"/>
    </row>
    <row r="25" spans="1:26" s="134" customFormat="1" ht="24" customHeight="1" x14ac:dyDescent="0.25">
      <c r="A25" s="295">
        <v>16</v>
      </c>
      <c r="B25" s="1973">
        <f t="shared" si="7"/>
        <v>5191421016</v>
      </c>
      <c r="C25" s="139"/>
      <c r="D25" s="137"/>
      <c r="E25" s="137"/>
      <c r="F25" s="137"/>
      <c r="G25" s="137"/>
      <c r="H25" s="137"/>
      <c r="I25" s="137"/>
      <c r="J25" s="137"/>
      <c r="K25" s="139">
        <v>2</v>
      </c>
      <c r="L25" s="137">
        <v>1</v>
      </c>
      <c r="M25" s="137">
        <v>2</v>
      </c>
      <c r="N25" s="137">
        <v>2</v>
      </c>
      <c r="O25" s="137"/>
      <c r="P25" s="137">
        <v>4</v>
      </c>
      <c r="Q25" s="137"/>
      <c r="R25" s="137">
        <v>1</v>
      </c>
      <c r="S25" s="296">
        <f t="shared" si="4"/>
        <v>0</v>
      </c>
      <c r="T25" s="296">
        <f t="shared" si="5"/>
        <v>12</v>
      </c>
      <c r="U25" s="202">
        <f t="shared" si="6"/>
        <v>6</v>
      </c>
      <c r="V25" s="2117" t="s">
        <v>29</v>
      </c>
      <c r="W25" s="138">
        <f t="shared" si="0"/>
        <v>39</v>
      </c>
      <c r="X25" s="137"/>
      <c r="Y25" s="151"/>
      <c r="Z25" s="294"/>
    </row>
    <row r="26" spans="1:26" s="134" customFormat="1" ht="24" customHeight="1" x14ac:dyDescent="0.25">
      <c r="A26" s="295">
        <v>17</v>
      </c>
      <c r="B26" s="1973">
        <f t="shared" si="7"/>
        <v>5191421017</v>
      </c>
      <c r="C26" s="137">
        <v>2</v>
      </c>
      <c r="D26" s="137">
        <v>2</v>
      </c>
      <c r="E26" s="137">
        <v>2</v>
      </c>
      <c r="F26" s="137">
        <v>2</v>
      </c>
      <c r="G26" s="137">
        <v>2</v>
      </c>
      <c r="H26" s="137">
        <v>9</v>
      </c>
      <c r="I26" s="137">
        <v>8</v>
      </c>
      <c r="J26" s="137"/>
      <c r="K26" s="137">
        <v>2</v>
      </c>
      <c r="L26" s="137">
        <v>2</v>
      </c>
      <c r="M26" s="137">
        <v>2</v>
      </c>
      <c r="N26" s="137">
        <v>2</v>
      </c>
      <c r="O26" s="137">
        <v>1</v>
      </c>
      <c r="P26" s="137">
        <v>10</v>
      </c>
      <c r="Q26" s="137">
        <v>10</v>
      </c>
      <c r="R26" s="137"/>
      <c r="S26" s="296">
        <f t="shared" si="4"/>
        <v>27</v>
      </c>
      <c r="T26" s="296">
        <f t="shared" si="5"/>
        <v>29</v>
      </c>
      <c r="U26" s="202">
        <f t="shared" si="6"/>
        <v>28</v>
      </c>
      <c r="V26" s="2116" t="s">
        <v>30</v>
      </c>
      <c r="W26" s="138">
        <f t="shared" si="0"/>
        <v>90</v>
      </c>
      <c r="X26" s="137"/>
      <c r="Y26" s="151"/>
      <c r="Z26" s="294"/>
    </row>
    <row r="27" spans="1:26" s="134" customFormat="1" ht="24" customHeight="1" x14ac:dyDescent="0.25">
      <c r="A27" s="295">
        <v>18</v>
      </c>
      <c r="B27" s="1973">
        <f t="shared" si="7"/>
        <v>5191421018</v>
      </c>
      <c r="C27" s="139"/>
      <c r="D27" s="137">
        <v>1</v>
      </c>
      <c r="E27" s="137">
        <v>1</v>
      </c>
      <c r="F27" s="137">
        <v>1</v>
      </c>
      <c r="G27" s="137">
        <v>1</v>
      </c>
      <c r="H27" s="137">
        <v>2</v>
      </c>
      <c r="I27" s="137"/>
      <c r="J27" s="137">
        <v>3</v>
      </c>
      <c r="K27" s="139"/>
      <c r="L27" s="137">
        <v>2</v>
      </c>
      <c r="M27" s="137">
        <v>1</v>
      </c>
      <c r="N27" s="137">
        <v>2</v>
      </c>
      <c r="O27" s="137">
        <v>2</v>
      </c>
      <c r="P27" s="137">
        <v>4</v>
      </c>
      <c r="Q27" s="137"/>
      <c r="R27" s="137">
        <v>8</v>
      </c>
      <c r="S27" s="296">
        <f t="shared" si="4"/>
        <v>9</v>
      </c>
      <c r="T27" s="296">
        <f t="shared" si="5"/>
        <v>19</v>
      </c>
      <c r="U27" s="202">
        <f t="shared" si="6"/>
        <v>14</v>
      </c>
      <c r="V27" s="2117" t="s">
        <v>27</v>
      </c>
      <c r="W27" s="138">
        <f t="shared" si="0"/>
        <v>80</v>
      </c>
      <c r="X27" s="137"/>
      <c r="Y27" s="151"/>
      <c r="Z27" s="294"/>
    </row>
    <row r="28" spans="1:26" s="134" customFormat="1" ht="24" customHeight="1" x14ac:dyDescent="0.25">
      <c r="A28" s="295">
        <v>19</v>
      </c>
      <c r="B28" s="1973">
        <f t="shared" si="7"/>
        <v>5191421019</v>
      </c>
      <c r="C28" s="139"/>
      <c r="D28" s="137">
        <v>1</v>
      </c>
      <c r="E28" s="137"/>
      <c r="F28" s="137"/>
      <c r="G28" s="137">
        <v>1</v>
      </c>
      <c r="H28" s="137">
        <v>5</v>
      </c>
      <c r="I28" s="137"/>
      <c r="J28" s="137">
        <v>5</v>
      </c>
      <c r="K28" s="139"/>
      <c r="L28" s="137">
        <v>2</v>
      </c>
      <c r="M28" s="137">
        <v>1</v>
      </c>
      <c r="N28" s="137">
        <v>1</v>
      </c>
      <c r="O28" s="137"/>
      <c r="P28" s="137"/>
      <c r="Q28" s="137">
        <v>3</v>
      </c>
      <c r="R28" s="137">
        <v>5</v>
      </c>
      <c r="S28" s="296">
        <f t="shared" si="4"/>
        <v>12</v>
      </c>
      <c r="T28" s="296">
        <f t="shared" si="5"/>
        <v>12</v>
      </c>
      <c r="U28" s="202">
        <f t="shared" si="6"/>
        <v>12</v>
      </c>
      <c r="V28" s="2116" t="s">
        <v>82</v>
      </c>
      <c r="W28" s="138">
        <f t="shared" si="0"/>
        <v>100</v>
      </c>
      <c r="X28" s="137"/>
      <c r="Y28" s="151"/>
      <c r="Z28" s="294"/>
    </row>
    <row r="29" spans="1:26" s="134" customFormat="1" ht="24" customHeight="1" x14ac:dyDescent="0.25">
      <c r="A29" s="295">
        <v>20</v>
      </c>
      <c r="B29" s="1973">
        <f t="shared" si="7"/>
        <v>5191421020</v>
      </c>
      <c r="C29" s="139"/>
      <c r="D29" s="137"/>
      <c r="E29" s="137"/>
      <c r="F29" s="137"/>
      <c r="G29" s="137"/>
      <c r="H29" s="137">
        <v>3</v>
      </c>
      <c r="I29" s="137"/>
      <c r="J29" s="137">
        <v>3</v>
      </c>
      <c r="K29" s="139"/>
      <c r="L29" s="137">
        <v>2</v>
      </c>
      <c r="M29" s="137"/>
      <c r="N29" s="137">
        <v>2</v>
      </c>
      <c r="O29" s="137">
        <v>2</v>
      </c>
      <c r="P29" s="137"/>
      <c r="Q29" s="137">
        <v>3</v>
      </c>
      <c r="R29" s="137">
        <v>8</v>
      </c>
      <c r="S29" s="296">
        <f t="shared" si="4"/>
        <v>6</v>
      </c>
      <c r="T29" s="296">
        <f t="shared" si="5"/>
        <v>17</v>
      </c>
      <c r="U29" s="202">
        <f t="shared" si="6"/>
        <v>11.5</v>
      </c>
      <c r="V29" s="2117" t="s">
        <v>27</v>
      </c>
      <c r="W29" s="138">
        <f t="shared" si="0"/>
        <v>80</v>
      </c>
      <c r="X29" s="137"/>
      <c r="Y29" s="151"/>
      <c r="Z29" s="294"/>
    </row>
    <row r="30" spans="1:26" s="134" customFormat="1" ht="24" customHeight="1" x14ac:dyDescent="0.25">
      <c r="A30" s="295">
        <v>21</v>
      </c>
      <c r="B30" s="1973">
        <f t="shared" si="7"/>
        <v>5191421021</v>
      </c>
      <c r="C30" s="139">
        <v>1</v>
      </c>
      <c r="D30" s="137">
        <v>1</v>
      </c>
      <c r="E30" s="137">
        <v>2</v>
      </c>
      <c r="F30" s="137">
        <v>1</v>
      </c>
      <c r="G30" s="137"/>
      <c r="H30" s="137">
        <v>10</v>
      </c>
      <c r="I30" s="137"/>
      <c r="J30" s="137">
        <v>8</v>
      </c>
      <c r="K30" s="139">
        <v>1</v>
      </c>
      <c r="L30" s="137"/>
      <c r="M30" s="137"/>
      <c r="N30" s="137"/>
      <c r="O30" s="137"/>
      <c r="P30" s="137"/>
      <c r="Q30" s="137">
        <v>7</v>
      </c>
      <c r="R30" s="137">
        <v>6</v>
      </c>
      <c r="S30" s="296">
        <f t="shared" si="4"/>
        <v>23</v>
      </c>
      <c r="T30" s="296">
        <f t="shared" si="5"/>
        <v>14</v>
      </c>
      <c r="U30" s="202">
        <f t="shared" si="6"/>
        <v>18.5</v>
      </c>
      <c r="V30" s="2116" t="s">
        <v>32</v>
      </c>
      <c r="W30" s="138">
        <f t="shared" si="0"/>
        <v>70</v>
      </c>
      <c r="X30" s="137"/>
      <c r="Y30" s="151"/>
      <c r="Z30" s="294"/>
    </row>
    <row r="31" spans="1:26" s="134" customFormat="1" ht="24" customHeight="1" x14ac:dyDescent="0.25">
      <c r="A31" s="295">
        <v>22</v>
      </c>
      <c r="B31" s="1973">
        <f t="shared" si="7"/>
        <v>5191421022</v>
      </c>
      <c r="C31" s="139"/>
      <c r="D31" s="137">
        <v>2</v>
      </c>
      <c r="E31" s="137">
        <v>2</v>
      </c>
      <c r="F31" s="137">
        <v>1</v>
      </c>
      <c r="G31" s="137">
        <v>2</v>
      </c>
      <c r="H31" s="137">
        <v>6</v>
      </c>
      <c r="I31" s="198"/>
      <c r="J31" s="198">
        <v>2</v>
      </c>
      <c r="K31" s="139">
        <v>1</v>
      </c>
      <c r="L31" s="137"/>
      <c r="M31" s="137">
        <v>1</v>
      </c>
      <c r="N31" s="137"/>
      <c r="O31" s="137"/>
      <c r="P31" s="137">
        <v>6</v>
      </c>
      <c r="Q31" s="198"/>
      <c r="R31" s="198">
        <v>4</v>
      </c>
      <c r="S31" s="296">
        <f t="shared" si="4"/>
        <v>15</v>
      </c>
      <c r="T31" s="296">
        <f t="shared" si="5"/>
        <v>12</v>
      </c>
      <c r="U31" s="202">
        <f t="shared" si="6"/>
        <v>13.5</v>
      </c>
      <c r="V31" s="2116" t="s">
        <v>32</v>
      </c>
      <c r="W31" s="138">
        <f t="shared" si="0"/>
        <v>70</v>
      </c>
      <c r="X31" s="137"/>
      <c r="Y31" s="151"/>
      <c r="Z31" s="294"/>
    </row>
    <row r="32" spans="1:26" s="134" customFormat="1" ht="24" customHeight="1" x14ac:dyDescent="0.25">
      <c r="A32" s="295">
        <v>23</v>
      </c>
      <c r="B32" s="1973">
        <f t="shared" si="7"/>
        <v>5191421023</v>
      </c>
      <c r="C32" s="139"/>
      <c r="D32" s="137">
        <v>2</v>
      </c>
      <c r="E32" s="137">
        <v>2</v>
      </c>
      <c r="F32" s="137">
        <v>2</v>
      </c>
      <c r="G32" s="137">
        <v>2</v>
      </c>
      <c r="H32" s="137">
        <v>5</v>
      </c>
      <c r="I32" s="137"/>
      <c r="J32" s="137">
        <v>4</v>
      </c>
      <c r="K32" s="139">
        <v>1</v>
      </c>
      <c r="L32" s="137">
        <v>2</v>
      </c>
      <c r="M32" s="137">
        <v>2</v>
      </c>
      <c r="N32" s="137">
        <v>2</v>
      </c>
      <c r="O32" s="137"/>
      <c r="P32" s="137">
        <v>5</v>
      </c>
      <c r="Q32" s="137"/>
      <c r="R32" s="137">
        <v>5</v>
      </c>
      <c r="S32" s="296">
        <f t="shared" si="4"/>
        <v>17</v>
      </c>
      <c r="T32" s="296">
        <f t="shared" si="5"/>
        <v>17</v>
      </c>
      <c r="U32" s="202">
        <f t="shared" si="6"/>
        <v>17</v>
      </c>
      <c r="V32" s="2116" t="s">
        <v>32</v>
      </c>
      <c r="W32" s="138">
        <f t="shared" si="0"/>
        <v>70</v>
      </c>
      <c r="X32" s="137"/>
      <c r="Y32" s="151"/>
      <c r="Z32" s="294"/>
    </row>
    <row r="33" spans="1:26" s="134" customFormat="1" ht="24" customHeight="1" x14ac:dyDescent="0.25">
      <c r="A33" s="295">
        <v>24</v>
      </c>
      <c r="B33" s="1973">
        <f t="shared" si="7"/>
        <v>5191421024</v>
      </c>
      <c r="C33" s="139"/>
      <c r="D33" s="137">
        <v>1</v>
      </c>
      <c r="E33" s="137">
        <v>1</v>
      </c>
      <c r="F33" s="137"/>
      <c r="G33" s="137">
        <v>2</v>
      </c>
      <c r="H33" s="137">
        <v>7</v>
      </c>
      <c r="I33" s="137">
        <v>7</v>
      </c>
      <c r="J33" s="137">
        <v>2</v>
      </c>
      <c r="K33" s="139">
        <v>2</v>
      </c>
      <c r="L33" s="137">
        <v>2</v>
      </c>
      <c r="M33" s="137">
        <v>2</v>
      </c>
      <c r="N33" s="137"/>
      <c r="O33" s="137"/>
      <c r="P33" s="137"/>
      <c r="Q33" s="137">
        <v>8</v>
      </c>
      <c r="R33" s="137">
        <v>5</v>
      </c>
      <c r="S33" s="296">
        <f t="shared" si="4"/>
        <v>20</v>
      </c>
      <c r="T33" s="296">
        <f t="shared" si="5"/>
        <v>19</v>
      </c>
      <c r="U33" s="202">
        <f t="shared" si="6"/>
        <v>19.5</v>
      </c>
      <c r="V33" s="2117" t="s">
        <v>29</v>
      </c>
      <c r="W33" s="138">
        <f t="shared" si="0"/>
        <v>39</v>
      </c>
      <c r="X33" s="137"/>
      <c r="Y33" s="151"/>
      <c r="Z33" s="294"/>
    </row>
    <row r="34" spans="1:26" s="134" customFormat="1" ht="24" customHeight="1" x14ac:dyDescent="0.25">
      <c r="A34" s="295">
        <v>25</v>
      </c>
      <c r="B34" s="1973">
        <f t="shared" si="7"/>
        <v>5191421025</v>
      </c>
      <c r="C34" s="139">
        <v>2</v>
      </c>
      <c r="D34" s="137">
        <v>2</v>
      </c>
      <c r="E34" s="137">
        <v>2</v>
      </c>
      <c r="F34" s="137">
        <v>2</v>
      </c>
      <c r="G34" s="137"/>
      <c r="H34" s="137">
        <v>7</v>
      </c>
      <c r="I34" s="137">
        <v>4</v>
      </c>
      <c r="J34" s="137"/>
      <c r="K34" s="139">
        <v>2</v>
      </c>
      <c r="L34" s="137">
        <v>2</v>
      </c>
      <c r="M34" s="137">
        <v>2</v>
      </c>
      <c r="N34" s="137">
        <v>2</v>
      </c>
      <c r="O34" s="137"/>
      <c r="P34" s="137">
        <v>10</v>
      </c>
      <c r="Q34" s="137">
        <v>7</v>
      </c>
      <c r="R34" s="137"/>
      <c r="S34" s="296">
        <f t="shared" si="4"/>
        <v>19</v>
      </c>
      <c r="T34" s="296">
        <f t="shared" si="5"/>
        <v>25</v>
      </c>
      <c r="U34" s="202">
        <f t="shared" si="6"/>
        <v>22</v>
      </c>
      <c r="V34" s="2116" t="s">
        <v>82</v>
      </c>
      <c r="W34" s="138">
        <f t="shared" si="0"/>
        <v>100</v>
      </c>
      <c r="X34" s="137"/>
      <c r="Y34" s="151"/>
      <c r="Z34" s="294"/>
    </row>
    <row r="35" spans="1:26" s="134" customFormat="1" ht="24" customHeight="1" x14ac:dyDescent="0.25">
      <c r="A35" s="295">
        <v>26</v>
      </c>
      <c r="B35" s="1973">
        <f t="shared" si="7"/>
        <v>5191421026</v>
      </c>
      <c r="C35" s="139">
        <v>2</v>
      </c>
      <c r="D35" s="137">
        <v>2</v>
      </c>
      <c r="E35" s="137">
        <v>2</v>
      </c>
      <c r="F35" s="137"/>
      <c r="G35" s="137">
        <v>2</v>
      </c>
      <c r="H35" s="137">
        <v>10</v>
      </c>
      <c r="I35" s="137">
        <v>7</v>
      </c>
      <c r="J35" s="137"/>
      <c r="K35" s="139"/>
      <c r="L35" s="137"/>
      <c r="M35" s="137"/>
      <c r="N35" s="137"/>
      <c r="O35" s="137"/>
      <c r="P35" s="137">
        <v>6</v>
      </c>
      <c r="Q35" s="137"/>
      <c r="R35" s="137">
        <v>9</v>
      </c>
      <c r="S35" s="296">
        <f t="shared" si="4"/>
        <v>25</v>
      </c>
      <c r="T35" s="296">
        <f t="shared" si="5"/>
        <v>15</v>
      </c>
      <c r="U35" s="202">
        <f t="shared" si="6"/>
        <v>20</v>
      </c>
      <c r="V35" s="2117" t="s">
        <v>32</v>
      </c>
      <c r="W35" s="138">
        <f t="shared" si="0"/>
        <v>70</v>
      </c>
      <c r="X35" s="137"/>
      <c r="Y35" s="151"/>
      <c r="Z35" s="294"/>
    </row>
    <row r="36" spans="1:26" s="134" customFormat="1" ht="24" customHeight="1" x14ac:dyDescent="0.25">
      <c r="A36" s="295">
        <v>27</v>
      </c>
      <c r="B36" s="1973">
        <f t="shared" si="7"/>
        <v>5191421027</v>
      </c>
      <c r="C36" s="139">
        <v>2</v>
      </c>
      <c r="D36" s="137">
        <v>2</v>
      </c>
      <c r="E36" s="137">
        <v>2</v>
      </c>
      <c r="F36" s="137">
        <v>2</v>
      </c>
      <c r="G36" s="137">
        <v>2</v>
      </c>
      <c r="H36" s="137">
        <v>10</v>
      </c>
      <c r="I36" s="137">
        <v>6</v>
      </c>
      <c r="J36" s="137"/>
      <c r="K36" s="139">
        <v>1</v>
      </c>
      <c r="L36" s="137">
        <v>2</v>
      </c>
      <c r="M36" s="137">
        <v>2</v>
      </c>
      <c r="N36" s="137">
        <v>1</v>
      </c>
      <c r="O36" s="137">
        <v>1</v>
      </c>
      <c r="P36" s="137">
        <v>9</v>
      </c>
      <c r="Q36" s="137"/>
      <c r="R36" s="137">
        <v>9</v>
      </c>
      <c r="S36" s="296">
        <f t="shared" si="4"/>
        <v>26</v>
      </c>
      <c r="T36" s="296">
        <f t="shared" si="5"/>
        <v>25</v>
      </c>
      <c r="U36" s="202">
        <f t="shared" si="6"/>
        <v>25.5</v>
      </c>
      <c r="V36" s="2116" t="s">
        <v>30</v>
      </c>
      <c r="W36" s="138">
        <f t="shared" si="0"/>
        <v>90</v>
      </c>
      <c r="X36" s="137"/>
      <c r="Y36" s="151"/>
      <c r="Z36" s="294"/>
    </row>
    <row r="37" spans="1:26" s="134" customFormat="1" ht="24" customHeight="1" x14ac:dyDescent="0.25">
      <c r="A37" s="295">
        <v>28</v>
      </c>
      <c r="B37" s="1973">
        <f t="shared" si="7"/>
        <v>5191421028</v>
      </c>
      <c r="C37" s="139">
        <v>1</v>
      </c>
      <c r="D37" s="137">
        <v>1</v>
      </c>
      <c r="E37" s="137">
        <v>1</v>
      </c>
      <c r="F37" s="137">
        <v>2</v>
      </c>
      <c r="G37" s="137">
        <v>2</v>
      </c>
      <c r="H37" s="137">
        <v>7</v>
      </c>
      <c r="I37" s="137">
        <v>7</v>
      </c>
      <c r="J37" s="137"/>
      <c r="K37" s="139">
        <v>2</v>
      </c>
      <c r="L37" s="137">
        <v>2</v>
      </c>
      <c r="M37" s="137">
        <v>2</v>
      </c>
      <c r="N37" s="137">
        <v>1</v>
      </c>
      <c r="O37" s="137"/>
      <c r="P37" s="137">
        <v>5</v>
      </c>
      <c r="Q37" s="137"/>
      <c r="R37" s="137">
        <v>9</v>
      </c>
      <c r="S37" s="296">
        <f t="shared" si="4"/>
        <v>21</v>
      </c>
      <c r="T37" s="296">
        <f t="shared" si="5"/>
        <v>21</v>
      </c>
      <c r="U37" s="202">
        <f t="shared" si="6"/>
        <v>21</v>
      </c>
      <c r="V37" s="2117" t="s">
        <v>30</v>
      </c>
      <c r="W37" s="138">
        <f t="shared" si="0"/>
        <v>90</v>
      </c>
      <c r="X37" s="137"/>
      <c r="Y37" s="151"/>
      <c r="Z37" s="294"/>
    </row>
    <row r="38" spans="1:26" s="134" customFormat="1" ht="24" customHeight="1" x14ac:dyDescent="0.25">
      <c r="A38" s="295">
        <v>29</v>
      </c>
      <c r="B38" s="1973">
        <f t="shared" si="7"/>
        <v>5191421029</v>
      </c>
      <c r="C38" s="139"/>
      <c r="D38" s="137"/>
      <c r="E38" s="137"/>
      <c r="F38" s="137"/>
      <c r="G38" s="137"/>
      <c r="H38" s="137"/>
      <c r="I38" s="137"/>
      <c r="J38" s="137"/>
      <c r="K38" s="139"/>
      <c r="L38" s="137"/>
      <c r="M38" s="137"/>
      <c r="N38" s="137">
        <v>1</v>
      </c>
      <c r="O38" s="137">
        <v>3</v>
      </c>
      <c r="P38" s="137"/>
      <c r="Q38" s="137"/>
      <c r="R38" s="137"/>
      <c r="S38" s="296">
        <f t="shared" si="4"/>
        <v>0</v>
      </c>
      <c r="T38" s="296">
        <f t="shared" si="5"/>
        <v>4</v>
      </c>
      <c r="U38" s="202">
        <f t="shared" si="6"/>
        <v>2</v>
      </c>
      <c r="V38" s="2116" t="s">
        <v>32</v>
      </c>
      <c r="W38" s="138">
        <f t="shared" si="0"/>
        <v>70</v>
      </c>
      <c r="X38" s="137"/>
      <c r="Y38" s="151"/>
      <c r="Z38" s="294"/>
    </row>
    <row r="39" spans="1:26" s="134" customFormat="1" ht="24" customHeight="1" x14ac:dyDescent="0.25">
      <c r="A39" s="295">
        <v>30</v>
      </c>
      <c r="B39" s="1973">
        <f t="shared" si="7"/>
        <v>5191421030</v>
      </c>
      <c r="C39" s="139">
        <v>2</v>
      </c>
      <c r="D39" s="137">
        <v>2</v>
      </c>
      <c r="E39" s="137">
        <v>2</v>
      </c>
      <c r="F39" s="137">
        <v>2</v>
      </c>
      <c r="G39" s="137">
        <v>2</v>
      </c>
      <c r="H39" s="137">
        <v>7</v>
      </c>
      <c r="I39" s="137">
        <v>6</v>
      </c>
      <c r="J39" s="137"/>
      <c r="K39" s="139">
        <v>2</v>
      </c>
      <c r="L39" s="137"/>
      <c r="M39" s="137">
        <v>2</v>
      </c>
      <c r="N39" s="137">
        <v>2</v>
      </c>
      <c r="O39" s="137">
        <v>1</v>
      </c>
      <c r="P39" s="137"/>
      <c r="Q39" s="137">
        <v>7</v>
      </c>
      <c r="R39" s="137">
        <v>8</v>
      </c>
      <c r="S39" s="296">
        <f t="shared" si="4"/>
        <v>23</v>
      </c>
      <c r="T39" s="296">
        <f t="shared" si="5"/>
        <v>22</v>
      </c>
      <c r="U39" s="202">
        <f t="shared" si="6"/>
        <v>22.5</v>
      </c>
      <c r="V39" s="2117" t="s">
        <v>28</v>
      </c>
      <c r="W39" s="138">
        <f t="shared" si="0"/>
        <v>50</v>
      </c>
      <c r="X39" s="137"/>
      <c r="Y39" s="151"/>
      <c r="Z39" s="294"/>
    </row>
    <row r="40" spans="1:26" s="134" customFormat="1" ht="24" customHeight="1" x14ac:dyDescent="0.25">
      <c r="A40" s="295">
        <v>31</v>
      </c>
      <c r="B40" s="1973">
        <f t="shared" si="7"/>
        <v>5191421031</v>
      </c>
      <c r="C40" s="139">
        <v>1</v>
      </c>
      <c r="D40" s="137"/>
      <c r="E40" s="137"/>
      <c r="F40" s="137"/>
      <c r="G40" s="137"/>
      <c r="H40" s="137">
        <v>7</v>
      </c>
      <c r="I40" s="137">
        <v>9</v>
      </c>
      <c r="J40" s="137"/>
      <c r="K40" s="139"/>
      <c r="L40" s="137"/>
      <c r="M40" s="137">
        <v>2</v>
      </c>
      <c r="N40" s="137"/>
      <c r="O40" s="137">
        <v>1</v>
      </c>
      <c r="P40" s="137">
        <v>3</v>
      </c>
      <c r="Q40" s="137"/>
      <c r="R40" s="137">
        <v>3</v>
      </c>
      <c r="S40" s="296">
        <f t="shared" si="4"/>
        <v>17</v>
      </c>
      <c r="T40" s="296">
        <f t="shared" si="5"/>
        <v>9</v>
      </c>
      <c r="U40" s="202">
        <f t="shared" si="6"/>
        <v>13</v>
      </c>
      <c r="V40" s="2116" t="s">
        <v>32</v>
      </c>
      <c r="W40" s="138">
        <f t="shared" si="0"/>
        <v>70</v>
      </c>
      <c r="X40" s="137"/>
      <c r="Y40" s="151"/>
      <c r="Z40" s="294"/>
    </row>
    <row r="41" spans="1:26" s="134" customFormat="1" ht="24" customHeight="1" x14ac:dyDescent="0.25">
      <c r="A41" s="295">
        <v>32</v>
      </c>
      <c r="B41" s="1973">
        <f t="shared" si="7"/>
        <v>5191421032</v>
      </c>
      <c r="C41" s="139">
        <v>2</v>
      </c>
      <c r="D41" s="137">
        <v>2</v>
      </c>
      <c r="E41" s="137">
        <v>2</v>
      </c>
      <c r="F41" s="137"/>
      <c r="G41" s="137">
        <v>2</v>
      </c>
      <c r="H41" s="137">
        <v>9</v>
      </c>
      <c r="I41" s="137">
        <v>9</v>
      </c>
      <c r="J41" s="137"/>
      <c r="K41" s="139">
        <v>2</v>
      </c>
      <c r="L41" s="137"/>
      <c r="M41" s="137">
        <v>1</v>
      </c>
      <c r="N41" s="137">
        <v>1</v>
      </c>
      <c r="O41" s="137"/>
      <c r="P41" s="137">
        <v>8</v>
      </c>
      <c r="Q41" s="137"/>
      <c r="R41" s="137">
        <v>9</v>
      </c>
      <c r="S41" s="296">
        <f t="shared" si="4"/>
        <v>26</v>
      </c>
      <c r="T41" s="296">
        <f t="shared" si="5"/>
        <v>21</v>
      </c>
      <c r="U41" s="202">
        <f t="shared" si="6"/>
        <v>23.5</v>
      </c>
      <c r="V41" s="2117" t="s">
        <v>31</v>
      </c>
      <c r="W41" s="138">
        <f t="shared" si="0"/>
        <v>55</v>
      </c>
      <c r="X41" s="137"/>
      <c r="Y41" s="151"/>
      <c r="Z41" s="294"/>
    </row>
    <row r="42" spans="1:26" s="134" customFormat="1" ht="24" customHeight="1" x14ac:dyDescent="0.25">
      <c r="A42" s="295">
        <v>33</v>
      </c>
      <c r="B42" s="1973">
        <f t="shared" si="7"/>
        <v>5191421033</v>
      </c>
      <c r="C42" s="139">
        <v>2</v>
      </c>
      <c r="D42" s="137">
        <v>2</v>
      </c>
      <c r="E42" s="137">
        <v>2</v>
      </c>
      <c r="F42" s="137"/>
      <c r="G42" s="137">
        <v>2</v>
      </c>
      <c r="H42" s="137">
        <v>9</v>
      </c>
      <c r="I42" s="137">
        <v>8</v>
      </c>
      <c r="J42" s="137"/>
      <c r="K42" s="139">
        <v>1</v>
      </c>
      <c r="L42" s="137">
        <v>1</v>
      </c>
      <c r="M42" s="137">
        <v>2</v>
      </c>
      <c r="N42" s="137">
        <v>1</v>
      </c>
      <c r="O42" s="137"/>
      <c r="P42" s="137"/>
      <c r="Q42" s="137"/>
      <c r="R42" s="137">
        <v>9</v>
      </c>
      <c r="S42" s="296">
        <f t="shared" si="4"/>
        <v>25</v>
      </c>
      <c r="T42" s="296">
        <f t="shared" si="5"/>
        <v>14</v>
      </c>
      <c r="U42" s="202">
        <f t="shared" si="6"/>
        <v>19.5</v>
      </c>
      <c r="V42" s="2116" t="s">
        <v>30</v>
      </c>
      <c r="W42" s="138">
        <f t="shared" si="0"/>
        <v>90</v>
      </c>
      <c r="X42" s="137"/>
      <c r="Y42" s="151"/>
      <c r="Z42" s="294"/>
    </row>
    <row r="43" spans="1:26" s="134" customFormat="1" ht="24" customHeight="1" x14ac:dyDescent="0.25">
      <c r="A43" s="295">
        <v>34</v>
      </c>
      <c r="B43" s="1973">
        <f t="shared" si="7"/>
        <v>5191421034</v>
      </c>
      <c r="C43" s="139">
        <v>2</v>
      </c>
      <c r="D43" s="137">
        <v>2</v>
      </c>
      <c r="E43" s="137">
        <v>2</v>
      </c>
      <c r="F43" s="137"/>
      <c r="G43" s="137">
        <v>2</v>
      </c>
      <c r="H43" s="137">
        <v>10</v>
      </c>
      <c r="I43" s="137">
        <v>9</v>
      </c>
      <c r="J43" s="137"/>
      <c r="K43" s="139"/>
      <c r="L43" s="137">
        <v>2</v>
      </c>
      <c r="M43" s="137">
        <v>1</v>
      </c>
      <c r="N43" s="137">
        <v>2</v>
      </c>
      <c r="O43" s="137"/>
      <c r="P43" s="137">
        <v>7</v>
      </c>
      <c r="Q43" s="137"/>
      <c r="R43" s="137">
        <v>9</v>
      </c>
      <c r="S43" s="296">
        <f t="shared" si="4"/>
        <v>27</v>
      </c>
      <c r="T43" s="296">
        <f t="shared" si="5"/>
        <v>21</v>
      </c>
      <c r="U43" s="202">
        <f t="shared" si="6"/>
        <v>24</v>
      </c>
      <c r="V43" s="2117" t="s">
        <v>30</v>
      </c>
      <c r="W43" s="138">
        <f t="shared" si="0"/>
        <v>90</v>
      </c>
      <c r="X43" s="137">
        <f t="shared" si="1"/>
        <v>9</v>
      </c>
      <c r="Y43" s="151">
        <f t="shared" si="2"/>
        <v>90</v>
      </c>
      <c r="Z43" s="294">
        <f t="shared" si="3"/>
        <v>66</v>
      </c>
    </row>
    <row r="44" spans="1:26" s="134" customFormat="1" ht="24" customHeight="1" x14ac:dyDescent="0.25">
      <c r="A44" s="295">
        <v>35</v>
      </c>
      <c r="B44" s="1973">
        <f t="shared" si="7"/>
        <v>5191421035</v>
      </c>
      <c r="C44" s="139">
        <v>2</v>
      </c>
      <c r="D44" s="137">
        <v>2</v>
      </c>
      <c r="E44" s="137">
        <v>2</v>
      </c>
      <c r="F44" s="137">
        <v>2</v>
      </c>
      <c r="G44" s="137">
        <v>2</v>
      </c>
      <c r="H44" s="137">
        <v>9</v>
      </c>
      <c r="I44" s="137">
        <v>7</v>
      </c>
      <c r="J44" s="137"/>
      <c r="K44" s="139">
        <v>1</v>
      </c>
      <c r="L44" s="137">
        <v>1</v>
      </c>
      <c r="M44" s="137">
        <v>1</v>
      </c>
      <c r="N44" s="137">
        <v>2</v>
      </c>
      <c r="O44" s="137">
        <v>1</v>
      </c>
      <c r="P44" s="137">
        <v>8</v>
      </c>
      <c r="Q44" s="137">
        <v>10</v>
      </c>
      <c r="R44" s="137"/>
      <c r="S44" s="296">
        <f t="shared" si="4"/>
        <v>26</v>
      </c>
      <c r="T44" s="296">
        <f t="shared" si="5"/>
        <v>24</v>
      </c>
      <c r="U44" s="202">
        <f t="shared" si="6"/>
        <v>25</v>
      </c>
      <c r="V44" s="2116" t="s">
        <v>28</v>
      </c>
      <c r="W44" s="138">
        <f t="shared" si="0"/>
        <v>50</v>
      </c>
      <c r="X44" s="137">
        <f t="shared" si="1"/>
        <v>4</v>
      </c>
      <c r="Y44" s="151">
        <f t="shared" si="2"/>
        <v>40</v>
      </c>
      <c r="Z44" s="294">
        <f t="shared" si="3"/>
        <v>15</v>
      </c>
    </row>
    <row r="45" spans="1:26" s="134" customFormat="1" ht="24" customHeight="1" x14ac:dyDescent="0.25">
      <c r="A45" s="295">
        <v>36</v>
      </c>
      <c r="B45" s="1973">
        <f t="shared" si="7"/>
        <v>5191421036</v>
      </c>
      <c r="C45" s="139">
        <v>1</v>
      </c>
      <c r="D45" s="137">
        <v>2</v>
      </c>
      <c r="E45" s="137">
        <v>2</v>
      </c>
      <c r="F45" s="137">
        <v>2</v>
      </c>
      <c r="G45" s="137">
        <v>2</v>
      </c>
      <c r="H45" s="137">
        <v>7</v>
      </c>
      <c r="I45" s="137">
        <v>7</v>
      </c>
      <c r="J45" s="137"/>
      <c r="K45" s="139"/>
      <c r="L45" s="137">
        <v>1</v>
      </c>
      <c r="M45" s="137">
        <v>1</v>
      </c>
      <c r="N45" s="137">
        <v>1</v>
      </c>
      <c r="O45" s="137"/>
      <c r="P45" s="137">
        <v>8</v>
      </c>
      <c r="Q45" s="137"/>
      <c r="R45" s="137">
        <v>6</v>
      </c>
      <c r="S45" s="296">
        <f t="shared" si="4"/>
        <v>23</v>
      </c>
      <c r="T45" s="296">
        <f t="shared" si="5"/>
        <v>17</v>
      </c>
      <c r="U45" s="202">
        <f t="shared" si="6"/>
        <v>20</v>
      </c>
      <c r="V45" s="2117" t="s">
        <v>30</v>
      </c>
      <c r="W45" s="138">
        <f t="shared" si="0"/>
        <v>90</v>
      </c>
      <c r="X45" s="137">
        <f t="shared" si="1"/>
        <v>9</v>
      </c>
      <c r="Y45" s="151">
        <f t="shared" si="2"/>
        <v>90</v>
      </c>
      <c r="Z45" s="294">
        <f t="shared" si="3"/>
        <v>70</v>
      </c>
    </row>
    <row r="46" spans="1:26" s="134" customFormat="1" ht="24" customHeight="1" x14ac:dyDescent="0.25">
      <c r="A46" s="295">
        <v>37</v>
      </c>
      <c r="B46" s="1973">
        <f t="shared" si="7"/>
        <v>5191421037</v>
      </c>
      <c r="C46" s="139">
        <v>1</v>
      </c>
      <c r="D46" s="137">
        <v>2</v>
      </c>
      <c r="E46" s="137">
        <v>2</v>
      </c>
      <c r="F46" s="137"/>
      <c r="G46" s="137"/>
      <c r="H46" s="137">
        <v>6</v>
      </c>
      <c r="I46" s="137">
        <v>1</v>
      </c>
      <c r="J46" s="137"/>
      <c r="K46" s="139"/>
      <c r="L46" s="137">
        <v>1</v>
      </c>
      <c r="M46" s="137">
        <v>1</v>
      </c>
      <c r="N46" s="137">
        <v>1</v>
      </c>
      <c r="O46" s="137">
        <v>1</v>
      </c>
      <c r="P46" s="137">
        <v>4</v>
      </c>
      <c r="Q46" s="137"/>
      <c r="R46" s="137">
        <v>4</v>
      </c>
      <c r="S46" s="296">
        <f t="shared" si="4"/>
        <v>12</v>
      </c>
      <c r="T46" s="296">
        <f t="shared" si="5"/>
        <v>12</v>
      </c>
      <c r="U46" s="202">
        <f t="shared" si="6"/>
        <v>12</v>
      </c>
      <c r="V46" s="2116" t="s">
        <v>33</v>
      </c>
      <c r="W46" s="138">
        <f t="shared" si="0"/>
        <v>60</v>
      </c>
      <c r="X46" s="137">
        <f t="shared" si="1"/>
        <v>6</v>
      </c>
      <c r="Y46" s="151">
        <f t="shared" si="2"/>
        <v>60</v>
      </c>
      <c r="Z46" s="294">
        <f t="shared" si="3"/>
        <v>48</v>
      </c>
    </row>
    <row r="47" spans="1:26" s="134" customFormat="1" ht="24" customHeight="1" x14ac:dyDescent="0.25">
      <c r="A47" s="295">
        <v>38</v>
      </c>
      <c r="B47" s="1973">
        <f t="shared" si="7"/>
        <v>5191421038</v>
      </c>
      <c r="C47" s="139">
        <v>2</v>
      </c>
      <c r="D47" s="137">
        <v>2</v>
      </c>
      <c r="E47" s="137">
        <v>2</v>
      </c>
      <c r="F47" s="137"/>
      <c r="G47" s="137">
        <v>2</v>
      </c>
      <c r="H47" s="137">
        <v>10</v>
      </c>
      <c r="I47" s="137"/>
      <c r="J47" s="137">
        <v>4</v>
      </c>
      <c r="K47" s="139">
        <v>1</v>
      </c>
      <c r="L47" s="137"/>
      <c r="M47" s="137">
        <v>2</v>
      </c>
      <c r="N47" s="137"/>
      <c r="O47" s="137"/>
      <c r="P47" s="137"/>
      <c r="Q47" s="137">
        <v>7</v>
      </c>
      <c r="R47" s="137">
        <v>9</v>
      </c>
      <c r="S47" s="296">
        <f t="shared" si="4"/>
        <v>22</v>
      </c>
      <c r="T47" s="296">
        <f t="shared" si="5"/>
        <v>19</v>
      </c>
      <c r="U47" s="202">
        <f t="shared" si="6"/>
        <v>20.5</v>
      </c>
      <c r="V47" s="2117" t="s">
        <v>33</v>
      </c>
      <c r="W47" s="138">
        <f t="shared" si="0"/>
        <v>60</v>
      </c>
      <c r="X47" s="137">
        <f t="shared" si="1"/>
        <v>6</v>
      </c>
      <c r="Y47" s="151">
        <f t="shared" si="2"/>
        <v>60</v>
      </c>
      <c r="Z47" s="294">
        <f t="shared" si="3"/>
        <v>39.5</v>
      </c>
    </row>
    <row r="48" spans="1:26" s="134" customFormat="1" ht="24" customHeight="1" x14ac:dyDescent="0.25">
      <c r="A48" s="295">
        <v>39</v>
      </c>
      <c r="B48" s="1973">
        <f t="shared" si="7"/>
        <v>5191421039</v>
      </c>
      <c r="C48" s="139">
        <v>2</v>
      </c>
      <c r="D48" s="137">
        <v>2</v>
      </c>
      <c r="E48" s="137">
        <v>2</v>
      </c>
      <c r="F48" s="137">
        <v>2</v>
      </c>
      <c r="G48" s="137">
        <v>2</v>
      </c>
      <c r="H48" s="137">
        <v>6</v>
      </c>
      <c r="I48" s="137"/>
      <c r="J48" s="137">
        <v>4</v>
      </c>
      <c r="K48" s="139">
        <v>2</v>
      </c>
      <c r="L48" s="137">
        <v>1</v>
      </c>
      <c r="M48" s="137">
        <v>2</v>
      </c>
      <c r="N48" s="137">
        <v>2</v>
      </c>
      <c r="O48" s="137">
        <v>1</v>
      </c>
      <c r="P48" s="137">
        <v>6</v>
      </c>
      <c r="Q48" s="137">
        <v>6</v>
      </c>
      <c r="R48" s="137"/>
      <c r="S48" s="296">
        <f t="shared" si="4"/>
        <v>20</v>
      </c>
      <c r="T48" s="296">
        <f t="shared" si="5"/>
        <v>20</v>
      </c>
      <c r="U48" s="202">
        <f t="shared" si="6"/>
        <v>20</v>
      </c>
      <c r="V48" s="2116" t="s">
        <v>30</v>
      </c>
      <c r="W48" s="138">
        <f t="shared" si="0"/>
        <v>90</v>
      </c>
      <c r="X48" s="137">
        <f t="shared" si="1"/>
        <v>9</v>
      </c>
      <c r="Y48" s="151">
        <f t="shared" si="2"/>
        <v>90</v>
      </c>
      <c r="Z48" s="294">
        <f t="shared" si="3"/>
        <v>70</v>
      </c>
    </row>
    <row r="49" spans="1:42" s="134" customFormat="1" ht="24" customHeight="1" x14ac:dyDescent="0.25">
      <c r="A49" s="295">
        <v>40</v>
      </c>
      <c r="B49" s="1973">
        <f t="shared" si="7"/>
        <v>5191421040</v>
      </c>
      <c r="C49" s="139">
        <v>1</v>
      </c>
      <c r="D49" s="137">
        <v>2</v>
      </c>
      <c r="E49" s="137">
        <v>1</v>
      </c>
      <c r="F49" s="137">
        <v>2</v>
      </c>
      <c r="G49" s="137">
        <v>2</v>
      </c>
      <c r="H49" s="137">
        <v>4</v>
      </c>
      <c r="I49" s="137">
        <v>2</v>
      </c>
      <c r="J49" s="137"/>
      <c r="K49" s="139">
        <v>2</v>
      </c>
      <c r="L49" s="137"/>
      <c r="M49" s="137">
        <v>2</v>
      </c>
      <c r="N49" s="137"/>
      <c r="O49" s="137">
        <v>1</v>
      </c>
      <c r="P49" s="137">
        <v>6</v>
      </c>
      <c r="Q49" s="137">
        <v>6</v>
      </c>
      <c r="R49" s="137"/>
      <c r="S49" s="296">
        <f t="shared" si="4"/>
        <v>14</v>
      </c>
      <c r="T49" s="296">
        <f t="shared" si="5"/>
        <v>17</v>
      </c>
      <c r="U49" s="202">
        <f t="shared" si="6"/>
        <v>15.5</v>
      </c>
      <c r="V49" s="2117" t="s">
        <v>32</v>
      </c>
      <c r="W49" s="138">
        <f t="shared" si="0"/>
        <v>70</v>
      </c>
      <c r="X49" s="137">
        <f t="shared" si="1"/>
        <v>7</v>
      </c>
      <c r="Y49" s="151">
        <f t="shared" si="2"/>
        <v>70</v>
      </c>
      <c r="Z49" s="294">
        <f t="shared" si="3"/>
        <v>54.5</v>
      </c>
    </row>
    <row r="50" spans="1:42" s="134" customFormat="1" ht="24" customHeight="1" x14ac:dyDescent="0.25">
      <c r="A50" s="295">
        <v>41</v>
      </c>
      <c r="B50" s="1973">
        <f t="shared" si="7"/>
        <v>5191421041</v>
      </c>
      <c r="C50" s="139">
        <v>2</v>
      </c>
      <c r="D50" s="137">
        <v>2</v>
      </c>
      <c r="E50" s="137">
        <v>2</v>
      </c>
      <c r="F50" s="137">
        <v>2</v>
      </c>
      <c r="G50" s="137">
        <v>2</v>
      </c>
      <c r="H50" s="137">
        <v>10</v>
      </c>
      <c r="I50" s="137">
        <v>9</v>
      </c>
      <c r="J50" s="137"/>
      <c r="K50" s="139">
        <v>2</v>
      </c>
      <c r="L50" s="137"/>
      <c r="M50" s="137"/>
      <c r="N50" s="137"/>
      <c r="O50" s="137"/>
      <c r="P50" s="137">
        <v>9</v>
      </c>
      <c r="Q50" s="198">
        <v>9</v>
      </c>
      <c r="R50" s="198"/>
      <c r="S50" s="296">
        <f t="shared" si="4"/>
        <v>29</v>
      </c>
      <c r="T50" s="296">
        <f t="shared" si="5"/>
        <v>20</v>
      </c>
      <c r="U50" s="202">
        <f t="shared" si="6"/>
        <v>24.5</v>
      </c>
      <c r="V50" s="2116" t="s">
        <v>30</v>
      </c>
      <c r="W50" s="138">
        <f t="shared" si="0"/>
        <v>90</v>
      </c>
      <c r="X50" s="137">
        <f t="shared" si="1"/>
        <v>9</v>
      </c>
      <c r="Y50" s="151">
        <f t="shared" si="2"/>
        <v>90</v>
      </c>
      <c r="Z50" s="294">
        <f t="shared" si="3"/>
        <v>65.5</v>
      </c>
    </row>
    <row r="51" spans="1:42" s="134" customFormat="1" ht="24" customHeight="1" x14ac:dyDescent="0.25">
      <c r="A51" s="295">
        <v>42</v>
      </c>
      <c r="B51" s="1973">
        <f t="shared" si="7"/>
        <v>5191421042</v>
      </c>
      <c r="C51" s="139">
        <v>1</v>
      </c>
      <c r="D51" s="137">
        <v>2</v>
      </c>
      <c r="E51" s="137">
        <v>2</v>
      </c>
      <c r="F51" s="137">
        <v>2</v>
      </c>
      <c r="G51" s="137">
        <v>2</v>
      </c>
      <c r="H51" s="137">
        <v>5</v>
      </c>
      <c r="I51" s="137">
        <v>6</v>
      </c>
      <c r="J51" s="137"/>
      <c r="K51" s="139">
        <v>1</v>
      </c>
      <c r="L51" s="137">
        <v>1</v>
      </c>
      <c r="M51" s="137">
        <v>2</v>
      </c>
      <c r="N51" s="137">
        <v>2</v>
      </c>
      <c r="O51" s="137">
        <v>2</v>
      </c>
      <c r="P51" s="137">
        <v>5</v>
      </c>
      <c r="Q51" s="137">
        <v>2</v>
      </c>
      <c r="R51" s="137"/>
      <c r="S51" s="296">
        <f t="shared" si="4"/>
        <v>20</v>
      </c>
      <c r="T51" s="296">
        <f t="shared" si="5"/>
        <v>15</v>
      </c>
      <c r="U51" s="202">
        <f t="shared" si="6"/>
        <v>17.5</v>
      </c>
      <c r="V51" s="2116" t="s">
        <v>31</v>
      </c>
      <c r="W51" s="138">
        <f t="shared" si="0"/>
        <v>55</v>
      </c>
      <c r="X51" s="137">
        <f t="shared" si="1"/>
        <v>5</v>
      </c>
      <c r="Y51" s="151">
        <f t="shared" si="2"/>
        <v>50</v>
      </c>
      <c r="Z51" s="294">
        <f t="shared" si="3"/>
        <v>32.5</v>
      </c>
    </row>
    <row r="52" spans="1:42" s="134" customFormat="1" ht="24" customHeight="1" x14ac:dyDescent="0.25">
      <c r="A52" s="295">
        <v>43</v>
      </c>
      <c r="B52" s="1973">
        <f t="shared" si="7"/>
        <v>5191421043</v>
      </c>
      <c r="C52" s="139">
        <v>2</v>
      </c>
      <c r="D52" s="137">
        <v>2</v>
      </c>
      <c r="E52" s="137">
        <v>2</v>
      </c>
      <c r="F52" s="137"/>
      <c r="G52" s="137">
        <v>2</v>
      </c>
      <c r="H52" s="137">
        <v>5</v>
      </c>
      <c r="I52" s="137"/>
      <c r="J52" s="137">
        <v>6</v>
      </c>
      <c r="K52" s="139">
        <v>2</v>
      </c>
      <c r="L52" s="137"/>
      <c r="M52" s="137"/>
      <c r="N52" s="137"/>
      <c r="O52" s="137"/>
      <c r="P52" s="137">
        <v>10</v>
      </c>
      <c r="Q52" s="137">
        <v>4</v>
      </c>
      <c r="R52" s="137"/>
      <c r="S52" s="296">
        <f t="shared" si="4"/>
        <v>19</v>
      </c>
      <c r="T52" s="296">
        <f t="shared" si="5"/>
        <v>16</v>
      </c>
      <c r="U52" s="202">
        <f t="shared" si="6"/>
        <v>17.5</v>
      </c>
      <c r="V52" s="2116" t="s">
        <v>30</v>
      </c>
      <c r="W52" s="138">
        <f t="shared" si="0"/>
        <v>90</v>
      </c>
      <c r="X52" s="137">
        <f t="shared" si="1"/>
        <v>9</v>
      </c>
      <c r="Y52" s="151">
        <f t="shared" si="2"/>
        <v>90</v>
      </c>
      <c r="Z52" s="294">
        <f t="shared" si="3"/>
        <v>72.5</v>
      </c>
    </row>
    <row r="53" spans="1:42" s="134" customFormat="1" ht="24" customHeight="1" x14ac:dyDescent="0.25">
      <c r="A53" s="295">
        <v>44</v>
      </c>
      <c r="B53" s="1973">
        <f t="shared" si="7"/>
        <v>5191421044</v>
      </c>
      <c r="C53" s="139">
        <v>2</v>
      </c>
      <c r="D53" s="137">
        <v>2</v>
      </c>
      <c r="E53" s="137">
        <v>2</v>
      </c>
      <c r="F53" s="137">
        <v>2</v>
      </c>
      <c r="G53" s="137">
        <v>2</v>
      </c>
      <c r="H53" s="137">
        <v>10</v>
      </c>
      <c r="I53" s="137">
        <v>8</v>
      </c>
      <c r="J53" s="137"/>
      <c r="K53" s="139">
        <v>1</v>
      </c>
      <c r="L53" s="137">
        <v>2</v>
      </c>
      <c r="M53" s="137">
        <v>2</v>
      </c>
      <c r="N53" s="137">
        <v>2</v>
      </c>
      <c r="O53" s="137"/>
      <c r="P53" s="137">
        <v>10</v>
      </c>
      <c r="Q53" s="137"/>
      <c r="R53" s="137">
        <v>5</v>
      </c>
      <c r="S53" s="296">
        <f t="shared" si="4"/>
        <v>28</v>
      </c>
      <c r="T53" s="296">
        <f t="shared" si="5"/>
        <v>22</v>
      </c>
      <c r="U53" s="202">
        <f t="shared" si="6"/>
        <v>25</v>
      </c>
      <c r="V53" s="2116" t="s">
        <v>30</v>
      </c>
      <c r="W53" s="138">
        <f t="shared" si="0"/>
        <v>90</v>
      </c>
      <c r="X53" s="137">
        <f t="shared" si="1"/>
        <v>9</v>
      </c>
      <c r="Y53" s="151">
        <f t="shared" si="2"/>
        <v>90</v>
      </c>
      <c r="Z53" s="294">
        <f t="shared" si="3"/>
        <v>65</v>
      </c>
    </row>
    <row r="54" spans="1:42" s="134" customFormat="1" ht="24" customHeight="1" x14ac:dyDescent="0.25">
      <c r="A54" s="295">
        <v>45</v>
      </c>
      <c r="B54" s="1973">
        <f t="shared" si="7"/>
        <v>5191421045</v>
      </c>
      <c r="C54" s="139">
        <v>2</v>
      </c>
      <c r="D54" s="137">
        <v>2</v>
      </c>
      <c r="E54" s="137">
        <v>2</v>
      </c>
      <c r="F54" s="137">
        <v>2</v>
      </c>
      <c r="G54" s="137">
        <v>2</v>
      </c>
      <c r="H54" s="137">
        <v>9</v>
      </c>
      <c r="I54" s="137">
        <v>8</v>
      </c>
      <c r="J54" s="137"/>
      <c r="K54" s="137"/>
      <c r="L54" s="137">
        <v>2</v>
      </c>
      <c r="M54" s="137">
        <v>2</v>
      </c>
      <c r="N54" s="137">
        <v>2</v>
      </c>
      <c r="O54" s="137">
        <v>1</v>
      </c>
      <c r="P54" s="137">
        <v>8</v>
      </c>
      <c r="Q54" s="137">
        <v>8</v>
      </c>
      <c r="R54" s="137"/>
      <c r="S54" s="296">
        <f t="shared" si="4"/>
        <v>27</v>
      </c>
      <c r="T54" s="296">
        <f t="shared" si="5"/>
        <v>23</v>
      </c>
      <c r="U54" s="202">
        <f t="shared" si="6"/>
        <v>25</v>
      </c>
      <c r="V54" s="2116" t="s">
        <v>32</v>
      </c>
      <c r="W54" s="138">
        <f t="shared" si="0"/>
        <v>70</v>
      </c>
      <c r="X54" s="137">
        <f t="shared" si="1"/>
        <v>7</v>
      </c>
      <c r="Y54" s="151">
        <f t="shared" si="2"/>
        <v>70</v>
      </c>
      <c r="Z54" s="294">
        <f t="shared" si="3"/>
        <v>45</v>
      </c>
    </row>
    <row r="55" spans="1:42" s="134" customFormat="1" ht="24" customHeight="1" x14ac:dyDescent="0.25">
      <c r="A55" s="295">
        <v>46</v>
      </c>
      <c r="B55" s="1973">
        <f t="shared" si="7"/>
        <v>5191421046</v>
      </c>
      <c r="C55" s="139">
        <v>1</v>
      </c>
      <c r="D55" s="137">
        <v>2</v>
      </c>
      <c r="E55" s="137">
        <v>1</v>
      </c>
      <c r="F55" s="137">
        <v>2</v>
      </c>
      <c r="G55" s="137">
        <v>2</v>
      </c>
      <c r="H55" s="137">
        <v>9</v>
      </c>
      <c r="I55" s="137">
        <v>4</v>
      </c>
      <c r="J55" s="137"/>
      <c r="K55" s="139"/>
      <c r="L55" s="137">
        <v>2</v>
      </c>
      <c r="M55" s="137">
        <v>2</v>
      </c>
      <c r="N55" s="137"/>
      <c r="O55" s="137"/>
      <c r="P55" s="137">
        <v>9</v>
      </c>
      <c r="Q55" s="137">
        <v>8</v>
      </c>
      <c r="R55" s="137"/>
      <c r="S55" s="296">
        <f t="shared" si="4"/>
        <v>21</v>
      </c>
      <c r="T55" s="296">
        <f t="shared" si="5"/>
        <v>21</v>
      </c>
      <c r="U55" s="202">
        <f t="shared" si="6"/>
        <v>21</v>
      </c>
      <c r="V55" s="2116" t="s">
        <v>30</v>
      </c>
      <c r="W55" s="138">
        <f t="shared" si="0"/>
        <v>90</v>
      </c>
      <c r="X55" s="137">
        <f t="shared" si="1"/>
        <v>9</v>
      </c>
      <c r="Y55" s="151">
        <f t="shared" si="2"/>
        <v>90</v>
      </c>
      <c r="Z55" s="294">
        <f t="shared" si="3"/>
        <v>69</v>
      </c>
    </row>
    <row r="56" spans="1:42" s="134" customFormat="1" ht="24" customHeight="1" x14ac:dyDescent="0.25">
      <c r="A56" s="295">
        <v>47</v>
      </c>
      <c r="B56" s="1973">
        <f t="shared" si="7"/>
        <v>5191421047</v>
      </c>
      <c r="C56" s="139">
        <v>1</v>
      </c>
      <c r="D56" s="137">
        <v>2</v>
      </c>
      <c r="E56" s="137">
        <v>2</v>
      </c>
      <c r="F56" s="137">
        <v>2</v>
      </c>
      <c r="G56" s="137">
        <v>2</v>
      </c>
      <c r="H56" s="137">
        <v>5</v>
      </c>
      <c r="I56" s="137"/>
      <c r="J56" s="137"/>
      <c r="K56" s="137"/>
      <c r="L56" s="137">
        <v>2</v>
      </c>
      <c r="M56" s="137">
        <v>2</v>
      </c>
      <c r="N56" s="137"/>
      <c r="O56" s="137"/>
      <c r="P56" s="137">
        <v>5</v>
      </c>
      <c r="Q56" s="137"/>
      <c r="R56" s="137">
        <v>8</v>
      </c>
      <c r="S56" s="296">
        <f t="shared" si="4"/>
        <v>14</v>
      </c>
      <c r="T56" s="296">
        <f t="shared" si="5"/>
        <v>17</v>
      </c>
      <c r="U56" s="202">
        <f t="shared" si="6"/>
        <v>15.5</v>
      </c>
      <c r="V56" s="2116" t="s">
        <v>28</v>
      </c>
      <c r="W56" s="138">
        <f t="shared" si="0"/>
        <v>50</v>
      </c>
      <c r="X56" s="137">
        <f t="shared" si="1"/>
        <v>4</v>
      </c>
      <c r="Y56" s="151">
        <f t="shared" si="2"/>
        <v>40</v>
      </c>
      <c r="Z56" s="294">
        <f t="shared" si="3"/>
        <v>24.5</v>
      </c>
    </row>
    <row r="57" spans="1:42" s="134" customFormat="1" ht="24" customHeight="1" x14ac:dyDescent="0.25">
      <c r="A57" s="295">
        <v>48</v>
      </c>
      <c r="B57" s="1973">
        <f t="shared" si="7"/>
        <v>5191421048</v>
      </c>
      <c r="C57" s="137">
        <v>2</v>
      </c>
      <c r="D57" s="137">
        <v>2</v>
      </c>
      <c r="E57" s="137">
        <v>2</v>
      </c>
      <c r="F57" s="137"/>
      <c r="G57" s="137">
        <v>2</v>
      </c>
      <c r="H57" s="137">
        <v>3</v>
      </c>
      <c r="I57" s="137">
        <v>2</v>
      </c>
      <c r="J57" s="137"/>
      <c r="K57" s="139"/>
      <c r="L57" s="137">
        <v>2</v>
      </c>
      <c r="M57" s="137"/>
      <c r="N57" s="137"/>
      <c r="O57" s="137">
        <v>2</v>
      </c>
      <c r="P57" s="137">
        <v>9</v>
      </c>
      <c r="Q57" s="137"/>
      <c r="R57" s="137">
        <v>7</v>
      </c>
      <c r="S57" s="296">
        <f t="shared" si="4"/>
        <v>13</v>
      </c>
      <c r="T57" s="296">
        <f t="shared" si="5"/>
        <v>20</v>
      </c>
      <c r="U57" s="202">
        <f t="shared" si="6"/>
        <v>16.5</v>
      </c>
      <c r="V57" s="2116" t="s">
        <v>32</v>
      </c>
      <c r="W57" s="138">
        <f t="shared" si="0"/>
        <v>70</v>
      </c>
      <c r="X57" s="137">
        <f t="shared" si="1"/>
        <v>7</v>
      </c>
      <c r="Y57" s="151">
        <f t="shared" si="2"/>
        <v>70</v>
      </c>
      <c r="Z57" s="294">
        <f t="shared" si="3"/>
        <v>53.5</v>
      </c>
    </row>
    <row r="58" spans="1:42" s="134" customFormat="1" ht="24" customHeight="1" x14ac:dyDescent="0.25">
      <c r="A58" s="295">
        <v>49</v>
      </c>
      <c r="B58" s="1973">
        <f t="shared" si="7"/>
        <v>5191421049</v>
      </c>
      <c r="C58" s="139">
        <v>2</v>
      </c>
      <c r="D58" s="137">
        <v>2</v>
      </c>
      <c r="E58" s="137">
        <v>2</v>
      </c>
      <c r="F58" s="137">
        <v>1</v>
      </c>
      <c r="G58" s="137">
        <v>2</v>
      </c>
      <c r="H58" s="137">
        <v>8</v>
      </c>
      <c r="I58" s="137">
        <v>9</v>
      </c>
      <c r="J58" s="137"/>
      <c r="K58" s="137"/>
      <c r="L58" s="137">
        <v>2</v>
      </c>
      <c r="M58" s="137">
        <v>2</v>
      </c>
      <c r="N58" s="137">
        <v>2</v>
      </c>
      <c r="O58" s="137"/>
      <c r="P58" s="137"/>
      <c r="Q58" s="137">
        <v>9</v>
      </c>
      <c r="R58" s="137">
        <v>10</v>
      </c>
      <c r="S58" s="296">
        <f t="shared" si="4"/>
        <v>26</v>
      </c>
      <c r="T58" s="296">
        <f t="shared" si="5"/>
        <v>25</v>
      </c>
      <c r="U58" s="202">
        <f t="shared" si="6"/>
        <v>25.5</v>
      </c>
      <c r="V58" s="2117" t="s">
        <v>30</v>
      </c>
      <c r="W58" s="138">
        <f t="shared" si="0"/>
        <v>90</v>
      </c>
      <c r="X58" s="137">
        <f t="shared" si="1"/>
        <v>9</v>
      </c>
      <c r="Y58" s="151">
        <f t="shared" si="2"/>
        <v>90</v>
      </c>
      <c r="Z58" s="294">
        <f t="shared" si="3"/>
        <v>64.5</v>
      </c>
    </row>
    <row r="59" spans="1:42" s="134" customFormat="1" ht="24" customHeight="1" x14ac:dyDescent="0.25">
      <c r="C59" s="2101">
        <f t="shared" ref="C59:R59" si="8">COUNT(C9:C58)</f>
        <v>37</v>
      </c>
      <c r="D59" s="2101">
        <f t="shared" si="8"/>
        <v>41</v>
      </c>
      <c r="E59" s="2101">
        <f t="shared" si="8"/>
        <v>40</v>
      </c>
      <c r="F59" s="2101">
        <f t="shared" si="8"/>
        <v>29</v>
      </c>
      <c r="G59" s="2101">
        <f t="shared" si="8"/>
        <v>38</v>
      </c>
      <c r="H59" s="2101">
        <f t="shared" si="8"/>
        <v>42</v>
      </c>
      <c r="I59" s="2101">
        <f t="shared" si="8"/>
        <v>32</v>
      </c>
      <c r="J59" s="2101">
        <f t="shared" si="8"/>
        <v>18</v>
      </c>
      <c r="K59" s="2101">
        <f t="shared" si="8"/>
        <v>29</v>
      </c>
      <c r="L59" s="2101">
        <f t="shared" si="8"/>
        <v>34</v>
      </c>
      <c r="M59" s="2101">
        <f t="shared" si="8"/>
        <v>39</v>
      </c>
      <c r="N59" s="2101">
        <f t="shared" si="8"/>
        <v>33</v>
      </c>
      <c r="O59" s="2101">
        <f t="shared" si="8"/>
        <v>19</v>
      </c>
      <c r="P59" s="2101">
        <f t="shared" si="8"/>
        <v>35</v>
      </c>
      <c r="Q59" s="2101">
        <f t="shared" si="8"/>
        <v>27</v>
      </c>
      <c r="R59" s="2101">
        <f t="shared" si="8"/>
        <v>34</v>
      </c>
      <c r="V59" s="247"/>
      <c r="W59" s="205"/>
      <c r="X59" s="300"/>
      <c r="Z59" s="301"/>
    </row>
    <row r="60" spans="1:42" s="134" customFormat="1" ht="34.5" customHeight="1" x14ac:dyDescent="0.25">
      <c r="A60" s="2103" t="s">
        <v>34</v>
      </c>
      <c r="B60" s="2104">
        <v>55</v>
      </c>
      <c r="C60" s="2102">
        <f>C9*(B60/100)</f>
        <v>1.1000000000000001</v>
      </c>
      <c r="D60" s="2102">
        <f>D9*(B60/100)</f>
        <v>1.1000000000000001</v>
      </c>
      <c r="E60" s="2102">
        <f>E9*(B60/100)</f>
        <v>1.1000000000000001</v>
      </c>
      <c r="F60" s="2102">
        <f>F9*(B60/100)</f>
        <v>1.1000000000000001</v>
      </c>
      <c r="G60" s="2102">
        <f>G9*(B60/100)</f>
        <v>1.1000000000000001</v>
      </c>
      <c r="H60" s="2102">
        <f>H9*(B60/100)</f>
        <v>5.5</v>
      </c>
      <c r="I60" s="2102">
        <f>I9*(B60/100)</f>
        <v>5.5</v>
      </c>
      <c r="J60" s="2102">
        <f>J9*(B60/100)</f>
        <v>5.5</v>
      </c>
      <c r="K60" s="2102">
        <f>K9*(B60/100)</f>
        <v>1.1000000000000001</v>
      </c>
      <c r="L60" s="2102">
        <f>L9*(B60/100)</f>
        <v>1.1000000000000001</v>
      </c>
      <c r="M60" s="2102">
        <f>M9*(B60/100)</f>
        <v>1.1000000000000001</v>
      </c>
      <c r="N60" s="2102">
        <f>N9*(B60/100)</f>
        <v>1.1000000000000001</v>
      </c>
      <c r="O60" s="2102">
        <f>O9*(B60/100)</f>
        <v>1.1000000000000001</v>
      </c>
      <c r="P60" s="2102">
        <f>P9*(B60/100)</f>
        <v>5.5</v>
      </c>
      <c r="Q60" s="2102">
        <f>Q9*(B60/100)</f>
        <v>5.5</v>
      </c>
      <c r="R60" s="2102">
        <f>R9*(B60/100)</f>
        <v>5.5</v>
      </c>
      <c r="S60" s="152"/>
      <c r="T60" s="152"/>
      <c r="U60" s="152"/>
      <c r="V60" s="247"/>
      <c r="W60" s="205"/>
      <c r="X60" s="300"/>
      <c r="Z60" s="301"/>
    </row>
    <row r="61" spans="1:42" s="134" customFormat="1" ht="34.5" customHeight="1" x14ac:dyDescent="0.25">
      <c r="A61" s="2958" t="s">
        <v>35</v>
      </c>
      <c r="B61" s="2958"/>
      <c r="C61" s="2101">
        <f t="shared" ref="C61:R61" si="9">COUNTIF(C9:C58,"&gt;="&amp;C60)</f>
        <v>22</v>
      </c>
      <c r="D61" s="2101">
        <f t="shared" si="9"/>
        <v>35</v>
      </c>
      <c r="E61" s="2101">
        <f t="shared" si="9"/>
        <v>32</v>
      </c>
      <c r="F61" s="2101">
        <f t="shared" si="9"/>
        <v>23</v>
      </c>
      <c r="G61" s="2101">
        <f t="shared" si="9"/>
        <v>35</v>
      </c>
      <c r="H61" s="2101">
        <f t="shared" si="9"/>
        <v>30</v>
      </c>
      <c r="I61" s="2101">
        <f t="shared" si="9"/>
        <v>22</v>
      </c>
      <c r="J61" s="2101">
        <f t="shared" si="9"/>
        <v>4</v>
      </c>
      <c r="K61" s="2101">
        <f t="shared" si="9"/>
        <v>16</v>
      </c>
      <c r="L61" s="2101">
        <f t="shared" si="9"/>
        <v>26</v>
      </c>
      <c r="M61" s="2101">
        <f t="shared" si="9"/>
        <v>30</v>
      </c>
      <c r="N61" s="2101">
        <f t="shared" si="9"/>
        <v>24</v>
      </c>
      <c r="O61" s="2101">
        <f t="shared" si="9"/>
        <v>7</v>
      </c>
      <c r="P61" s="2101">
        <f t="shared" si="9"/>
        <v>22</v>
      </c>
      <c r="Q61" s="2101">
        <f t="shared" si="9"/>
        <v>19</v>
      </c>
      <c r="R61" s="2101">
        <f t="shared" si="9"/>
        <v>21</v>
      </c>
      <c r="S61" s="302"/>
      <c r="T61" s="302"/>
      <c r="U61" s="299"/>
      <c r="V61" s="303"/>
      <c r="W61" s="2101">
        <f>COUNTIF(V9:W58,"&gt;="&amp;B60)</f>
        <v>44</v>
      </c>
      <c r="X61" s="300"/>
      <c r="Z61" s="301"/>
    </row>
    <row r="62" spans="1:42" s="134" customFormat="1" ht="34.5" customHeight="1" x14ac:dyDescent="0.25">
      <c r="A62" s="2929" t="s">
        <v>36</v>
      </c>
      <c r="B62" s="2929"/>
      <c r="C62" s="2101">
        <f>C61/C59</f>
        <v>0.59459459459459463</v>
      </c>
      <c r="D62" s="2101">
        <f t="shared" ref="D62:R62" si="10">D61/D59</f>
        <v>0.85365853658536583</v>
      </c>
      <c r="E62" s="2101">
        <f t="shared" si="10"/>
        <v>0.8</v>
      </c>
      <c r="F62" s="2101">
        <f t="shared" si="10"/>
        <v>0.7931034482758621</v>
      </c>
      <c r="G62" s="2101">
        <f t="shared" si="10"/>
        <v>0.92105263157894735</v>
      </c>
      <c r="H62" s="2101">
        <f t="shared" si="10"/>
        <v>0.7142857142857143</v>
      </c>
      <c r="I62" s="2101">
        <f t="shared" si="10"/>
        <v>0.6875</v>
      </c>
      <c r="J62" s="2101">
        <f t="shared" si="10"/>
        <v>0.22222222222222221</v>
      </c>
      <c r="K62" s="2101">
        <f t="shared" si="10"/>
        <v>0.55172413793103448</v>
      </c>
      <c r="L62" s="2101">
        <f t="shared" si="10"/>
        <v>0.76470588235294112</v>
      </c>
      <c r="M62" s="2101">
        <f t="shared" si="10"/>
        <v>0.76923076923076927</v>
      </c>
      <c r="N62" s="2101">
        <f t="shared" si="10"/>
        <v>0.72727272727272729</v>
      </c>
      <c r="O62" s="2101">
        <f t="shared" si="10"/>
        <v>0.36842105263157893</v>
      </c>
      <c r="P62" s="2101">
        <f t="shared" si="10"/>
        <v>0.62857142857142856</v>
      </c>
      <c r="Q62" s="2101">
        <f t="shared" si="10"/>
        <v>0.70370370370370372</v>
      </c>
      <c r="R62" s="2101">
        <f t="shared" si="10"/>
        <v>0.61764705882352944</v>
      </c>
      <c r="S62" s="302"/>
      <c r="T62" s="302"/>
      <c r="U62" s="299"/>
      <c r="V62" s="303"/>
      <c r="W62" s="2101">
        <f>(W61/A58)*100</f>
        <v>89.795918367346943</v>
      </c>
      <c r="X62" s="300"/>
      <c r="Z62" s="301"/>
      <c r="AD62" s="2872"/>
      <c r="AE62" s="2872"/>
      <c r="AF62" s="2872"/>
      <c r="AG62" s="2872"/>
      <c r="AH62" s="2872"/>
      <c r="AI62" s="8"/>
      <c r="AJ62" s="8"/>
      <c r="AK62" s="153"/>
      <c r="AL62" s="2872"/>
      <c r="AM62" s="2872"/>
      <c r="AN62" s="2872"/>
      <c r="AO62" s="2872"/>
      <c r="AP62" s="2872"/>
    </row>
    <row r="63" spans="1:42" ht="17.25" customHeight="1" x14ac:dyDescent="0.25">
      <c r="A63" s="2954"/>
      <c r="B63" s="2954"/>
      <c r="C63" s="2357" t="s">
        <v>20</v>
      </c>
      <c r="D63" s="2357" t="s">
        <v>20</v>
      </c>
      <c r="E63" s="2357" t="s">
        <v>23</v>
      </c>
      <c r="F63" s="2357" t="s">
        <v>20</v>
      </c>
      <c r="G63" s="2357" t="s">
        <v>20</v>
      </c>
      <c r="H63" s="2357" t="s">
        <v>22</v>
      </c>
      <c r="I63" s="2357" t="s">
        <v>21</v>
      </c>
      <c r="J63" s="2357" t="s">
        <v>23</v>
      </c>
      <c r="K63" s="2357" t="s">
        <v>23</v>
      </c>
      <c r="L63" s="2357" t="s">
        <v>23</v>
      </c>
      <c r="M63" s="2357" t="s">
        <v>25</v>
      </c>
      <c r="N63" s="2357" t="s">
        <v>24</v>
      </c>
      <c r="O63" s="2357" t="s">
        <v>24</v>
      </c>
      <c r="P63" s="2357" t="s">
        <v>41</v>
      </c>
      <c r="Q63" s="2357" t="s">
        <v>42</v>
      </c>
      <c r="R63" s="2357" t="s">
        <v>43</v>
      </c>
      <c r="U63" s="304"/>
      <c r="V63" s="305"/>
      <c r="W63" s="248"/>
      <c r="X63" s="234"/>
    </row>
    <row r="65" spans="2:18" ht="18" x14ac:dyDescent="0.25"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</row>
    <row r="66" spans="2:18" ht="18" x14ac:dyDescent="0.25">
      <c r="B66" s="134"/>
      <c r="C66" s="134"/>
      <c r="D66" s="134" t="s">
        <v>38</v>
      </c>
      <c r="E66" s="134"/>
      <c r="F66" s="134" t="s">
        <v>39</v>
      </c>
      <c r="G66" s="134"/>
      <c r="H66" s="134" t="s">
        <v>37</v>
      </c>
      <c r="I66" s="134"/>
      <c r="J66" s="134"/>
      <c r="K66" s="134"/>
      <c r="L66" s="134"/>
      <c r="M66" s="134"/>
      <c r="N66" s="134"/>
      <c r="O66" s="134"/>
      <c r="P66" s="134"/>
      <c r="Q66" s="134"/>
      <c r="R66" s="134"/>
    </row>
    <row r="67" spans="2:18" ht="18" x14ac:dyDescent="0.25">
      <c r="B67" s="134"/>
      <c r="C67" s="134" t="s">
        <v>22</v>
      </c>
      <c r="D67" s="208">
        <f>AVERAGE(C62,D62,F62,G62,H62)*100</f>
        <v>77.533898506409685</v>
      </c>
      <c r="E67" s="134">
        <f>IF(D67&gt;=70,3,IF(AND(D67&gt;=60,D67&lt;70),2,IF(AND(D67&gt;=50,D67&lt;60),1)))</f>
        <v>3</v>
      </c>
      <c r="F67" s="134">
        <f>IF(W62&gt;=70,3,IF(AND(W62&gt;=60,W62&lt;70),2,IF(AND(W62&gt;=50,W62&lt;60),1)))</f>
        <v>3</v>
      </c>
      <c r="G67" s="134"/>
      <c r="H67" s="135">
        <f>(30/100)*E67+(70/100)*F67</f>
        <v>2.9999999999999996</v>
      </c>
      <c r="I67" s="134"/>
      <c r="J67" s="134"/>
      <c r="K67" s="134"/>
      <c r="L67" s="134"/>
      <c r="M67" s="134"/>
      <c r="N67" s="134"/>
      <c r="O67" s="134"/>
      <c r="P67" s="134"/>
      <c r="Q67" s="134"/>
      <c r="R67" s="134"/>
    </row>
    <row r="68" spans="2:18" ht="18" x14ac:dyDescent="0.25">
      <c r="B68" s="134"/>
      <c r="C68" s="134" t="s">
        <v>40</v>
      </c>
      <c r="D68" s="208">
        <f>AVERAGE(I62)*100</f>
        <v>68.75</v>
      </c>
      <c r="E68" s="134">
        <f>IF(D68&gt;=70,3,IF(AND(D68&gt;=60,D68&lt;70),2,IF(AND(D68&gt;=50,D68&lt;60),1)))</f>
        <v>2</v>
      </c>
      <c r="F68" s="134">
        <f>IF(W62&gt;=70,3,IF(AND(W62&gt;=60,W62&lt;70),2,IF(AND(W62&gt;=50,W62&lt;60),1)))</f>
        <v>3</v>
      </c>
      <c r="G68" s="134"/>
      <c r="H68" s="135">
        <f t="shared" ref="H68:H71" si="11">(30/100)*E68+(70/100)*F68</f>
        <v>2.6999999999999997</v>
      </c>
      <c r="I68" s="134"/>
      <c r="J68" s="134"/>
      <c r="K68" s="134"/>
      <c r="L68" s="134"/>
      <c r="M68" s="134"/>
      <c r="N68" s="134"/>
      <c r="O68" s="134"/>
      <c r="P68" s="134"/>
      <c r="Q68" s="134"/>
      <c r="R68" s="134"/>
    </row>
    <row r="69" spans="2:18" ht="18" x14ac:dyDescent="0.25">
      <c r="B69" s="134"/>
      <c r="C69" s="134" t="s">
        <v>41</v>
      </c>
      <c r="D69" s="208">
        <f>AVERAGE(E62,J62,K62,L62,P62)*100</f>
        <v>59.344473421552536</v>
      </c>
      <c r="E69" s="134">
        <f>IF(D69&gt;=70,3,IF(AND(D69&gt;=60,D69&lt;70),2,IF(AND(D69&gt;=50,D69&lt;60),1)))</f>
        <v>1</v>
      </c>
      <c r="F69" s="134">
        <f>IF(W62&gt;=70,3,IF(AND(W62&gt;=60,W62&lt;70),2,IF(AND(W62&gt;=50,W62&lt;60),1)))</f>
        <v>3</v>
      </c>
      <c r="G69" s="134"/>
      <c r="H69" s="135">
        <f t="shared" si="11"/>
        <v>2.3999999999999995</v>
      </c>
      <c r="I69" s="134"/>
      <c r="J69" s="134"/>
      <c r="K69" s="134"/>
      <c r="L69" s="134"/>
      <c r="M69" s="134"/>
      <c r="N69" s="134"/>
      <c r="O69" s="134"/>
      <c r="P69" s="134"/>
      <c r="Q69" s="134"/>
      <c r="R69" s="134"/>
    </row>
    <row r="70" spans="2:18" ht="18" x14ac:dyDescent="0.25">
      <c r="B70" s="134"/>
      <c r="C70" s="134" t="s">
        <v>42</v>
      </c>
      <c r="D70" s="208">
        <f>AVERAGE(M62,Q62)*100</f>
        <v>73.646723646723643</v>
      </c>
      <c r="E70" s="134">
        <f>IF(D70&gt;=70,3,IF(AND(D70&gt;=60,D70&lt;70),2,IF(AND(D70&gt;=50,D70&lt;60),1)))</f>
        <v>3</v>
      </c>
      <c r="F70" s="134">
        <f>IF(W62&gt;=70,3,IF(AND(W62&gt;=60,W62&lt;70),2,IF(AND(W62&gt;=50,W62&lt;60),1)))</f>
        <v>3</v>
      </c>
      <c r="G70" s="134"/>
      <c r="H70" s="135">
        <f>(30/100)*E70+(70/100)*F70</f>
        <v>2.9999999999999996</v>
      </c>
      <c r="I70" s="134"/>
      <c r="J70" s="134"/>
      <c r="K70" s="134"/>
      <c r="L70" s="134"/>
      <c r="M70" s="134"/>
      <c r="N70" s="134"/>
      <c r="O70" s="134"/>
      <c r="P70" s="134"/>
      <c r="Q70" s="134"/>
      <c r="R70" s="134"/>
    </row>
    <row r="71" spans="2:18" ht="18" x14ac:dyDescent="0.25">
      <c r="B71" s="134"/>
      <c r="C71" s="134" t="s">
        <v>43</v>
      </c>
      <c r="D71" s="134">
        <f>AVERAGE(N62,O62,R62)*100</f>
        <v>57.111361290927853</v>
      </c>
      <c r="E71" s="134">
        <f>IF(D71&gt;=70,3,IF(AND(D71&gt;=60,D71&lt;70),2,IF(AND(D71&gt;=50,D71&lt;60),1)))</f>
        <v>1</v>
      </c>
      <c r="F71" s="134">
        <f>IF(W62&gt;=70,3,IF(AND(W62&gt;=60,W62&lt;70),2,IF(AND(W62&gt;=50,W62&lt;60),1)))</f>
        <v>3</v>
      </c>
      <c r="G71" s="134"/>
      <c r="H71" s="135">
        <f t="shared" si="11"/>
        <v>2.3999999999999995</v>
      </c>
      <c r="I71" s="134"/>
      <c r="J71" s="134"/>
      <c r="K71" s="134"/>
      <c r="L71" s="134"/>
      <c r="M71" s="134"/>
      <c r="N71" s="134"/>
      <c r="O71" s="134"/>
      <c r="P71" s="134"/>
      <c r="Q71" s="134"/>
      <c r="R71" s="134"/>
    </row>
    <row r="72" spans="2:18" ht="18" x14ac:dyDescent="0.25">
      <c r="B72" s="134"/>
      <c r="C72" s="2959" t="s">
        <v>44</v>
      </c>
      <c r="D72" s="2959"/>
      <c r="E72" s="2959"/>
      <c r="F72" s="2959"/>
      <c r="G72" s="2959"/>
      <c r="H72" s="298">
        <f>AVERAGE(H67:H70)</f>
        <v>2.7749999999999995</v>
      </c>
      <c r="I72" s="141"/>
      <c r="J72" s="134"/>
      <c r="K72" s="134"/>
      <c r="L72" s="134"/>
      <c r="M72" s="134"/>
      <c r="N72" s="134"/>
      <c r="O72" s="134"/>
      <c r="P72" s="134"/>
      <c r="Q72" s="134"/>
      <c r="R72" s="134"/>
    </row>
    <row r="73" spans="2:18" ht="18" x14ac:dyDescent="0.25"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</row>
    <row r="74" spans="2:18" ht="18" x14ac:dyDescent="0.25"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</row>
    <row r="75" spans="2:18" ht="18" x14ac:dyDescent="0.25">
      <c r="B75" s="142" t="s">
        <v>159</v>
      </c>
      <c r="C75" s="142"/>
      <c r="D75" s="142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34"/>
      <c r="Q75" s="134"/>
      <c r="R75" s="134"/>
    </row>
    <row r="76" spans="2:18" ht="18" x14ac:dyDescent="0.25">
      <c r="B76" s="134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34"/>
      <c r="Q76" s="134"/>
      <c r="R76" s="134"/>
    </row>
    <row r="77" spans="2:18" ht="54" x14ac:dyDescent="0.25">
      <c r="B77" s="200"/>
      <c r="C77" s="246" t="s">
        <v>212</v>
      </c>
      <c r="D77" s="144" t="s">
        <v>46</v>
      </c>
      <c r="E77" s="144" t="s">
        <v>135</v>
      </c>
      <c r="F77" s="144" t="s">
        <v>48</v>
      </c>
      <c r="G77" s="144" t="s">
        <v>49</v>
      </c>
      <c r="H77" s="144" t="s">
        <v>50</v>
      </c>
      <c r="I77" s="144" t="s">
        <v>136</v>
      </c>
      <c r="J77" s="144" t="s">
        <v>52</v>
      </c>
      <c r="K77" s="144" t="s">
        <v>53</v>
      </c>
      <c r="L77" s="144" t="s">
        <v>54</v>
      </c>
      <c r="M77" s="144" t="s">
        <v>55</v>
      </c>
      <c r="N77" s="144" t="s">
        <v>56</v>
      </c>
      <c r="O77" s="144" t="s">
        <v>57</v>
      </c>
      <c r="P77" s="145" t="s">
        <v>87</v>
      </c>
      <c r="Q77" s="145" t="s">
        <v>88</v>
      </c>
      <c r="R77" s="145" t="s">
        <v>85</v>
      </c>
    </row>
    <row r="78" spans="2:18" ht="18" x14ac:dyDescent="0.25">
      <c r="B78" s="134"/>
      <c r="C78" s="203" t="s">
        <v>22</v>
      </c>
      <c r="D78" s="140">
        <v>3</v>
      </c>
      <c r="E78" s="140">
        <v>1</v>
      </c>
      <c r="F78" s="140"/>
      <c r="G78" s="140">
        <v>2</v>
      </c>
      <c r="H78" s="140"/>
      <c r="I78" s="140"/>
      <c r="J78" s="140"/>
      <c r="K78" s="140"/>
      <c r="L78" s="140"/>
      <c r="M78" s="140"/>
      <c r="N78" s="140"/>
      <c r="O78" s="140">
        <v>2</v>
      </c>
      <c r="P78" s="204">
        <v>3</v>
      </c>
      <c r="Q78" s="204">
        <v>3</v>
      </c>
      <c r="R78" s="204">
        <v>2</v>
      </c>
    </row>
    <row r="79" spans="2:18" ht="18" x14ac:dyDescent="0.25">
      <c r="B79" s="134"/>
      <c r="C79" s="203" t="s">
        <v>40</v>
      </c>
      <c r="D79" s="140">
        <v>3</v>
      </c>
      <c r="E79" s="140">
        <v>3</v>
      </c>
      <c r="F79" s="140">
        <v>1</v>
      </c>
      <c r="G79" s="140">
        <v>2</v>
      </c>
      <c r="H79" s="140">
        <v>3</v>
      </c>
      <c r="I79" s="140"/>
      <c r="J79" s="140"/>
      <c r="K79" s="140"/>
      <c r="L79" s="140"/>
      <c r="M79" s="140"/>
      <c r="N79" s="140"/>
      <c r="O79" s="140">
        <v>2</v>
      </c>
      <c r="P79" s="204">
        <v>3</v>
      </c>
      <c r="Q79" s="204">
        <v>3</v>
      </c>
      <c r="R79" s="204">
        <v>2</v>
      </c>
    </row>
    <row r="80" spans="2:18" ht="18" x14ac:dyDescent="0.25">
      <c r="B80" s="134"/>
      <c r="C80" s="203" t="s">
        <v>41</v>
      </c>
      <c r="D80" s="140">
        <v>3</v>
      </c>
      <c r="E80" s="140">
        <v>1</v>
      </c>
      <c r="F80" s="140">
        <v>3</v>
      </c>
      <c r="G80" s="140">
        <v>2</v>
      </c>
      <c r="H80" s="140">
        <v>3</v>
      </c>
      <c r="I80" s="140"/>
      <c r="J80" s="140"/>
      <c r="K80" s="140"/>
      <c r="L80" s="140"/>
      <c r="M80" s="140"/>
      <c r="N80" s="140"/>
      <c r="O80" s="140">
        <v>3</v>
      </c>
      <c r="P80" s="204">
        <v>3</v>
      </c>
      <c r="Q80" s="204">
        <v>3</v>
      </c>
      <c r="R80" s="204">
        <v>2</v>
      </c>
    </row>
    <row r="81" spans="2:18" ht="18" x14ac:dyDescent="0.25">
      <c r="B81" s="134"/>
      <c r="C81" s="203" t="s">
        <v>42</v>
      </c>
      <c r="D81" s="140">
        <v>3</v>
      </c>
      <c r="E81" s="140">
        <v>2</v>
      </c>
      <c r="F81" s="140">
        <v>3</v>
      </c>
      <c r="G81" s="140">
        <v>2</v>
      </c>
      <c r="H81" s="140">
        <v>3</v>
      </c>
      <c r="I81" s="140"/>
      <c r="J81" s="140"/>
      <c r="K81" s="140"/>
      <c r="L81" s="140"/>
      <c r="M81" s="140"/>
      <c r="N81" s="140"/>
      <c r="O81" s="140">
        <v>3</v>
      </c>
      <c r="P81" s="204">
        <v>3</v>
      </c>
      <c r="Q81" s="204">
        <v>3</v>
      </c>
      <c r="R81" s="204">
        <v>2</v>
      </c>
    </row>
    <row r="82" spans="2:18" ht="18" x14ac:dyDescent="0.25">
      <c r="B82" s="134"/>
      <c r="C82" s="203" t="s">
        <v>43</v>
      </c>
      <c r="D82" s="140">
        <v>3</v>
      </c>
      <c r="E82" s="140">
        <v>1</v>
      </c>
      <c r="F82" s="140">
        <v>2</v>
      </c>
      <c r="G82" s="140">
        <v>2</v>
      </c>
      <c r="H82" s="140">
        <v>3</v>
      </c>
      <c r="I82" s="140"/>
      <c r="J82" s="140"/>
      <c r="K82" s="140"/>
      <c r="L82" s="140"/>
      <c r="M82" s="140"/>
      <c r="N82" s="140"/>
      <c r="O82" s="140">
        <v>2</v>
      </c>
      <c r="P82" s="204">
        <v>3</v>
      </c>
      <c r="Q82" s="204">
        <v>3</v>
      </c>
      <c r="R82" s="204">
        <v>2</v>
      </c>
    </row>
    <row r="83" spans="2:18" ht="18" x14ac:dyDescent="0.25">
      <c r="B83" s="134"/>
      <c r="C83" s="144" t="s">
        <v>80</v>
      </c>
      <c r="D83" s="146">
        <f>AVERAGE(D78:D82)</f>
        <v>3</v>
      </c>
      <c r="E83" s="146">
        <f t="shared" ref="E83:O83" si="12">AVERAGE(E78:E82)</f>
        <v>1.6</v>
      </c>
      <c r="F83" s="146">
        <f t="shared" si="12"/>
        <v>2.25</v>
      </c>
      <c r="G83" s="146">
        <f t="shared" si="12"/>
        <v>2</v>
      </c>
      <c r="H83" s="146">
        <f t="shared" si="12"/>
        <v>3</v>
      </c>
      <c r="I83" s="146"/>
      <c r="J83" s="146"/>
      <c r="K83" s="146"/>
      <c r="L83" s="146"/>
      <c r="M83" s="146"/>
      <c r="N83" s="146"/>
      <c r="O83" s="146">
        <f t="shared" si="12"/>
        <v>2.4</v>
      </c>
      <c r="P83" s="147">
        <f>AVERAGE(P78:P82)</f>
        <v>3</v>
      </c>
      <c r="Q83" s="147">
        <f>AVERAGE(Q78:Q82)</f>
        <v>3</v>
      </c>
      <c r="R83" s="147">
        <f>AVERAGE(R78:R82)</f>
        <v>2</v>
      </c>
    </row>
    <row r="84" spans="2:18" ht="18" x14ac:dyDescent="0.25">
      <c r="B84" s="134"/>
      <c r="C84" s="144" t="s">
        <v>160</v>
      </c>
      <c r="D84" s="2960">
        <f>AVERAGE(D83:O83)</f>
        <v>2.375</v>
      </c>
      <c r="E84" s="2961"/>
      <c r="F84" s="2961"/>
      <c r="G84" s="2961"/>
      <c r="H84" s="2961"/>
      <c r="I84" s="2961"/>
      <c r="J84" s="2961"/>
      <c r="K84" s="2961"/>
      <c r="L84" s="2961"/>
      <c r="M84" s="2961"/>
      <c r="N84" s="2961"/>
      <c r="O84" s="2962"/>
      <c r="P84" s="2951">
        <f>AVERAGE(P83:R83)</f>
        <v>2.6666666666666665</v>
      </c>
      <c r="Q84" s="2952"/>
      <c r="R84" s="2953"/>
    </row>
    <row r="85" spans="2:18" ht="18" x14ac:dyDescent="0.25"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</row>
    <row r="86" spans="2:18" ht="18" x14ac:dyDescent="0.25">
      <c r="B86" s="142" t="s">
        <v>161</v>
      </c>
      <c r="C86" s="142"/>
      <c r="D86" s="142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</row>
    <row r="87" spans="2:18" ht="18" x14ac:dyDescent="0.25"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</row>
    <row r="88" spans="2:18" ht="18" x14ac:dyDescent="0.25">
      <c r="B88" s="134"/>
      <c r="C88" s="201" t="s">
        <v>45</v>
      </c>
      <c r="D88" s="222" t="s">
        <v>68</v>
      </c>
      <c r="E88" s="222" t="s">
        <v>69</v>
      </c>
      <c r="F88" s="222" t="s">
        <v>70</v>
      </c>
      <c r="G88" s="222" t="s">
        <v>71</v>
      </c>
      <c r="H88" s="222" t="s">
        <v>72</v>
      </c>
      <c r="I88" s="222" t="s">
        <v>73</v>
      </c>
      <c r="J88" s="222" t="s">
        <v>74</v>
      </c>
      <c r="K88" s="222" t="s">
        <v>75</v>
      </c>
      <c r="L88" s="222" t="s">
        <v>76</v>
      </c>
      <c r="M88" s="222" t="s">
        <v>77</v>
      </c>
      <c r="N88" s="222" t="s">
        <v>78</v>
      </c>
      <c r="O88" s="222" t="s">
        <v>79</v>
      </c>
      <c r="P88" s="222" t="s">
        <v>60</v>
      </c>
      <c r="Q88" s="222" t="s">
        <v>61</v>
      </c>
      <c r="R88" s="222" t="s">
        <v>62</v>
      </c>
    </row>
    <row r="89" spans="2:18" ht="18" x14ac:dyDescent="0.25">
      <c r="B89" s="134"/>
      <c r="C89" s="223" t="s">
        <v>20</v>
      </c>
      <c r="D89" s="149">
        <f t="shared" ref="D89:E93" si="13">($H67*D78)/3</f>
        <v>2.9999999999999996</v>
      </c>
      <c r="E89" s="149">
        <f t="shared" si="13"/>
        <v>0.99999999999999989</v>
      </c>
      <c r="F89" s="149"/>
      <c r="G89" s="149">
        <f>($H67*G78)/3</f>
        <v>1.9999999999999998</v>
      </c>
      <c r="H89" s="149"/>
      <c r="I89" s="149"/>
      <c r="J89" s="149"/>
      <c r="K89" s="149"/>
      <c r="L89" s="149"/>
      <c r="M89" s="149"/>
      <c r="N89" s="149"/>
      <c r="O89" s="149">
        <f>($H67*O78)/3</f>
        <v>1.9999999999999998</v>
      </c>
      <c r="P89" s="149">
        <f t="shared" ref="P89:R93" si="14">$H68*P78/3</f>
        <v>2.6999999999999997</v>
      </c>
      <c r="Q89" s="149">
        <f t="shared" si="14"/>
        <v>2.6999999999999997</v>
      </c>
      <c r="R89" s="149">
        <f t="shared" si="14"/>
        <v>1.7999999999999998</v>
      </c>
    </row>
    <row r="90" spans="2:18" ht="18" x14ac:dyDescent="0.25">
      <c r="B90" s="134"/>
      <c r="C90" s="223" t="s">
        <v>21</v>
      </c>
      <c r="D90" s="149">
        <f t="shared" si="13"/>
        <v>2.6999999999999997</v>
      </c>
      <c r="E90" s="149">
        <f t="shared" si="13"/>
        <v>2.6999999999999997</v>
      </c>
      <c r="F90" s="149">
        <f>($H68*F79)/3</f>
        <v>0.89999999999999991</v>
      </c>
      <c r="G90" s="149">
        <f>($H68*G79)/3</f>
        <v>1.7999999999999998</v>
      </c>
      <c r="H90" s="149">
        <f>($H68*H79)/3</f>
        <v>2.6999999999999997</v>
      </c>
      <c r="I90" s="149"/>
      <c r="J90" s="149"/>
      <c r="K90" s="149"/>
      <c r="L90" s="149"/>
      <c r="M90" s="149"/>
      <c r="N90" s="149"/>
      <c r="O90" s="149">
        <f>($H68*O79)/3</f>
        <v>1.7999999999999998</v>
      </c>
      <c r="P90" s="149">
        <f t="shared" si="14"/>
        <v>2.3999999999999995</v>
      </c>
      <c r="Q90" s="149">
        <f t="shared" si="14"/>
        <v>2.3999999999999995</v>
      </c>
      <c r="R90" s="149">
        <f t="shared" si="14"/>
        <v>1.5999999999999996</v>
      </c>
    </row>
    <row r="91" spans="2:18" ht="18" x14ac:dyDescent="0.25">
      <c r="B91" s="134"/>
      <c r="C91" s="223" t="s">
        <v>23</v>
      </c>
      <c r="D91" s="149">
        <f t="shared" si="13"/>
        <v>2.3999999999999995</v>
      </c>
      <c r="E91" s="149">
        <f t="shared" si="13"/>
        <v>0.79999999999999982</v>
      </c>
      <c r="F91" s="149">
        <f>($H69*F80)/3</f>
        <v>2.3999999999999995</v>
      </c>
      <c r="G91" s="149">
        <f>($H69*G80)/3</f>
        <v>1.5999999999999996</v>
      </c>
      <c r="H91" s="149">
        <f>($H69*H80)/3</f>
        <v>2.3999999999999995</v>
      </c>
      <c r="I91" s="149"/>
      <c r="J91" s="149"/>
      <c r="K91" s="149"/>
      <c r="L91" s="149"/>
      <c r="M91" s="149"/>
      <c r="N91" s="149"/>
      <c r="O91" s="149">
        <f>($H69*O80)/3</f>
        <v>2.3999999999999995</v>
      </c>
      <c r="P91" s="149">
        <f t="shared" si="14"/>
        <v>2.9999999999999996</v>
      </c>
      <c r="Q91" s="149">
        <f t="shared" si="14"/>
        <v>2.9999999999999996</v>
      </c>
      <c r="R91" s="149">
        <f t="shared" si="14"/>
        <v>1.9999999999999998</v>
      </c>
    </row>
    <row r="92" spans="2:18" ht="18" x14ac:dyDescent="0.25">
      <c r="B92" s="134"/>
      <c r="C92" s="223" t="s">
        <v>25</v>
      </c>
      <c r="D92" s="149">
        <f t="shared" si="13"/>
        <v>2.9999999999999996</v>
      </c>
      <c r="E92" s="149">
        <f t="shared" si="13"/>
        <v>1.9999999999999998</v>
      </c>
      <c r="F92" s="149">
        <f>($H70*F81)/3</f>
        <v>2.9999999999999996</v>
      </c>
      <c r="G92" s="149">
        <f>($H70*G81)/3</f>
        <v>1.9999999999999998</v>
      </c>
      <c r="H92" s="149">
        <f>($H70*H81)/3</f>
        <v>2.9999999999999996</v>
      </c>
      <c r="I92" s="149"/>
      <c r="J92" s="149"/>
      <c r="K92" s="149"/>
      <c r="L92" s="149"/>
      <c r="M92" s="149"/>
      <c r="N92" s="149"/>
      <c r="O92" s="149">
        <f>($H70*O81)/3</f>
        <v>2.9999999999999996</v>
      </c>
      <c r="P92" s="149">
        <f t="shared" si="14"/>
        <v>2.3999999999999995</v>
      </c>
      <c r="Q92" s="149">
        <f t="shared" si="14"/>
        <v>2.3999999999999995</v>
      </c>
      <c r="R92" s="149">
        <f t="shared" si="14"/>
        <v>1.5999999999999996</v>
      </c>
    </row>
    <row r="93" spans="2:18" ht="18" x14ac:dyDescent="0.25">
      <c r="B93" s="134"/>
      <c r="C93" s="223" t="s">
        <v>24</v>
      </c>
      <c r="D93" s="149">
        <f t="shared" si="13"/>
        <v>2.3999999999999995</v>
      </c>
      <c r="E93" s="149">
        <f t="shared" si="13"/>
        <v>0.79999999999999982</v>
      </c>
      <c r="F93" s="149">
        <f>($H71*F82)/3</f>
        <v>1.5999999999999996</v>
      </c>
      <c r="G93" s="149">
        <f>($H71*G82)/3</f>
        <v>1.5999999999999996</v>
      </c>
      <c r="H93" s="149">
        <f>($H71*H82)/3</f>
        <v>2.3999999999999995</v>
      </c>
      <c r="I93" s="149"/>
      <c r="J93" s="149"/>
      <c r="K93" s="149"/>
      <c r="L93" s="149"/>
      <c r="M93" s="149"/>
      <c r="N93" s="149"/>
      <c r="O93" s="149">
        <f>($H71*O82)/3</f>
        <v>1.5999999999999996</v>
      </c>
      <c r="P93" s="149">
        <f t="shared" si="14"/>
        <v>2.7749999999999999</v>
      </c>
      <c r="Q93" s="149">
        <f t="shared" si="14"/>
        <v>2.7749999999999999</v>
      </c>
      <c r="R93" s="149">
        <f t="shared" si="14"/>
        <v>1.8499999999999996</v>
      </c>
    </row>
    <row r="94" spans="2:18" ht="18" x14ac:dyDescent="0.25">
      <c r="B94" s="134"/>
      <c r="C94" s="201" t="s">
        <v>10</v>
      </c>
      <c r="D94" s="224">
        <f t="shared" ref="D94:O94" si="15">AVERAGE(D89:D93)</f>
        <v>2.6999999999999993</v>
      </c>
      <c r="E94" s="224">
        <f t="shared" si="15"/>
        <v>1.46</v>
      </c>
      <c r="F94" s="224">
        <f t="shared" si="15"/>
        <v>1.9749999999999996</v>
      </c>
      <c r="G94" s="224">
        <f t="shared" si="15"/>
        <v>1.8</v>
      </c>
      <c r="H94" s="224">
        <f t="shared" si="15"/>
        <v>2.625</v>
      </c>
      <c r="I94" s="224"/>
      <c r="J94" s="224"/>
      <c r="K94" s="224"/>
      <c r="L94" s="224"/>
      <c r="M94" s="224"/>
      <c r="N94" s="224"/>
      <c r="O94" s="224">
        <f t="shared" si="15"/>
        <v>2.1599999999999997</v>
      </c>
      <c r="P94" s="150">
        <f>AVERAGE(P89:P93)</f>
        <v>2.6550000000000002</v>
      </c>
      <c r="Q94" s="150">
        <f>AVERAGE(Q89:Q93)</f>
        <v>2.6550000000000002</v>
      </c>
      <c r="R94" s="150">
        <f>AVERAGE(R89:R93)</f>
        <v>1.7699999999999996</v>
      </c>
    </row>
    <row r="95" spans="2:18" ht="18" x14ac:dyDescent="0.25">
      <c r="B95" s="134"/>
      <c r="C95" s="201" t="s">
        <v>58</v>
      </c>
      <c r="D95" s="2955">
        <f>AVERAGE(D94:O94)</f>
        <v>2.1199999999999997</v>
      </c>
      <c r="E95" s="2956"/>
      <c r="F95" s="2956"/>
      <c r="G95" s="2956"/>
      <c r="H95" s="2956"/>
      <c r="I95" s="2956"/>
      <c r="J95" s="2956"/>
      <c r="K95" s="2956"/>
      <c r="L95" s="2956"/>
      <c r="M95" s="2956"/>
      <c r="N95" s="2956"/>
      <c r="O95" s="2957"/>
      <c r="P95" s="2955">
        <f>AVERAGE(P94:R94)</f>
        <v>2.36</v>
      </c>
      <c r="Q95" s="2956"/>
      <c r="R95" s="2957"/>
    </row>
    <row r="96" spans="2:18" ht="18" x14ac:dyDescent="0.25"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</row>
    <row r="97" spans="2:18" ht="18" x14ac:dyDescent="0.25"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</row>
    <row r="98" spans="2:18" ht="18" x14ac:dyDescent="0.25"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</row>
    <row r="99" spans="2:18" ht="18" x14ac:dyDescent="0.25"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</row>
    <row r="100" spans="2:18" ht="18" x14ac:dyDescent="0.25"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</row>
    <row r="101" spans="2:18" ht="18" x14ac:dyDescent="0.25"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</row>
  </sheetData>
  <mergeCells count="37">
    <mergeCell ref="P84:R84"/>
    <mergeCell ref="A63:B63"/>
    <mergeCell ref="D95:O95"/>
    <mergeCell ref="P95:R95"/>
    <mergeCell ref="A61:B61"/>
    <mergeCell ref="C72:G72"/>
    <mergeCell ref="D84:O84"/>
    <mergeCell ref="AD62:AH62"/>
    <mergeCell ref="AL62:AP62"/>
    <mergeCell ref="X6:X7"/>
    <mergeCell ref="Y6:Y7"/>
    <mergeCell ref="V9:W9"/>
    <mergeCell ref="S6:S7"/>
    <mergeCell ref="T6:T7"/>
    <mergeCell ref="U6:U7"/>
    <mergeCell ref="V6:V7"/>
    <mergeCell ref="W6:W7"/>
    <mergeCell ref="K5:R5"/>
    <mergeCell ref="B6:B7"/>
    <mergeCell ref="C6:G6"/>
    <mergeCell ref="H6:H7"/>
    <mergeCell ref="I6:I7"/>
    <mergeCell ref="J6:J7"/>
    <mergeCell ref="K6:O6"/>
    <mergeCell ref="P6:P7"/>
    <mergeCell ref="Q6:Q7"/>
    <mergeCell ref="R6:R7"/>
    <mergeCell ref="A2:B2"/>
    <mergeCell ref="C2:E2"/>
    <mergeCell ref="I2:J2"/>
    <mergeCell ref="A62:B62"/>
    <mergeCell ref="A3:B3"/>
    <mergeCell ref="C3:E3"/>
    <mergeCell ref="I3:J3"/>
    <mergeCell ref="C4:E4"/>
    <mergeCell ref="I4:J4"/>
    <mergeCell ref="C5:J5"/>
  </mergeCells>
  <conditionalFormatting sqref="V10:V58">
    <cfRule type="containsText" dxfId="131" priority="1" operator="containsText" text="F">
      <formula>NOT(ISERROR(SEARCH("F",V10)))</formula>
    </cfRule>
  </conditionalFormatting>
  <conditionalFormatting sqref="V10:V58">
    <cfRule type="containsText" dxfId="130" priority="2" operator="containsText" text="F">
      <formula>NOT(ISERROR(SEARCH("F",V10)))</formula>
    </cfRule>
  </conditionalFormatting>
  <conditionalFormatting sqref="V9">
    <cfRule type="containsText" dxfId="129" priority="3" operator="containsText" text="F">
      <formula>NOT(ISERROR(SEARCH("F",V9)))</formula>
    </cfRule>
  </conditionalFormatting>
  <pageMargins left="0.7" right="0.7" top="0.75" bottom="0.75" header="0.3" footer="0.3"/>
  <pageSetup paperSize="8" scale="4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I98"/>
  <sheetViews>
    <sheetView topLeftCell="A73" zoomScale="69" zoomScaleNormal="69" workbookViewId="0">
      <selection activeCell="D97" sqref="D97"/>
    </sheetView>
  </sheetViews>
  <sheetFormatPr defaultRowHeight="15.75" x14ac:dyDescent="0.25"/>
  <cols>
    <col min="1" max="1" width="6.28515625" style="2" customWidth="1"/>
    <col min="2" max="2" width="23.140625" style="2" bestFit="1" customWidth="1"/>
    <col min="3" max="3" width="8.7109375" style="2" customWidth="1"/>
    <col min="4" max="4" width="7.7109375" style="2" customWidth="1"/>
    <col min="5" max="5" width="6.85546875" style="2" customWidth="1"/>
    <col min="6" max="6" width="8.140625" style="2" customWidth="1"/>
    <col min="7" max="7" width="7.140625" style="2" customWidth="1"/>
    <col min="8" max="8" width="9" style="2" customWidth="1"/>
    <col min="9" max="9" width="8.85546875" style="2" customWidth="1"/>
    <col min="10" max="10" width="10.140625" style="2" customWidth="1"/>
    <col min="11" max="11" width="6.7109375" style="2" customWidth="1"/>
    <col min="12" max="12" width="6.140625" style="2" customWidth="1"/>
    <col min="13" max="13" width="6.85546875" style="2" customWidth="1"/>
    <col min="14" max="14" width="6.28515625" style="2" customWidth="1"/>
    <col min="15" max="15" width="6.5703125" style="2" customWidth="1"/>
    <col min="16" max="17" width="8.7109375" style="2" customWidth="1"/>
    <col min="18" max="18" width="8.5703125" style="2" customWidth="1"/>
    <col min="19" max="19" width="2.5703125" style="2" customWidth="1"/>
    <col min="20" max="20" width="11.28515625" style="2" customWidth="1"/>
    <col min="21" max="21" width="9.85546875" style="2" customWidth="1"/>
    <col min="22" max="22" width="5.140625" style="2" customWidth="1"/>
    <col min="23" max="16384" width="9.140625" style="2"/>
  </cols>
  <sheetData>
    <row r="1" spans="1:22" customFormat="1" ht="20.100000000000001" customHeight="1" x14ac:dyDescent="0.25">
      <c r="A1" s="128"/>
      <c r="B1" s="128"/>
      <c r="C1" s="128"/>
      <c r="D1" s="128"/>
      <c r="E1" s="128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</row>
    <row r="2" spans="1:22" customFormat="1" x14ac:dyDescent="0.25">
      <c r="A2" s="2873" t="s">
        <v>0</v>
      </c>
      <c r="B2" s="2874"/>
      <c r="C2" s="2963" t="s">
        <v>199</v>
      </c>
      <c r="D2" s="2964"/>
      <c r="E2" s="2965"/>
      <c r="F2" s="15"/>
      <c r="H2" s="2966" t="s">
        <v>63</v>
      </c>
      <c r="I2" s="2966"/>
      <c r="J2" s="2967" t="s">
        <v>366</v>
      </c>
      <c r="K2" s="2967"/>
      <c r="L2" s="2967"/>
    </row>
    <row r="3" spans="1:22" customFormat="1" ht="19.5" customHeight="1" x14ac:dyDescent="0.25">
      <c r="A3" s="2875" t="s">
        <v>1</v>
      </c>
      <c r="B3" s="2876"/>
      <c r="C3" s="130" t="s">
        <v>200</v>
      </c>
      <c r="D3" s="1"/>
      <c r="E3" s="1"/>
      <c r="F3" s="15"/>
      <c r="H3" s="2969" t="s">
        <v>64</v>
      </c>
      <c r="I3" s="2969"/>
      <c r="J3" s="2970" t="s">
        <v>232</v>
      </c>
      <c r="K3" s="2971"/>
      <c r="L3" s="2972"/>
      <c r="M3" s="2897"/>
      <c r="N3" s="2897"/>
    </row>
    <row r="4" spans="1:22" customFormat="1" x14ac:dyDescent="0.25">
      <c r="A4" s="97"/>
      <c r="B4" s="5" t="s">
        <v>2</v>
      </c>
      <c r="C4" s="2976" t="s">
        <v>164</v>
      </c>
      <c r="D4" s="2977"/>
      <c r="E4" s="2978"/>
      <c r="F4" s="15"/>
      <c r="H4" s="2979" t="s">
        <v>65</v>
      </c>
      <c r="I4" s="2979"/>
      <c r="J4" s="2980" t="s">
        <v>66</v>
      </c>
      <c r="K4" s="2980"/>
      <c r="L4" s="2980"/>
      <c r="M4" s="27"/>
      <c r="N4" s="27"/>
    </row>
    <row r="5" spans="1:22" x14ac:dyDescent="0.25">
      <c r="A5" s="10"/>
      <c r="B5" s="257"/>
      <c r="C5" s="2966" t="s">
        <v>3</v>
      </c>
      <c r="D5" s="2966"/>
      <c r="E5" s="2966"/>
      <c r="F5" s="2966"/>
      <c r="G5" s="2966"/>
      <c r="H5" s="2966"/>
      <c r="I5" s="2966"/>
      <c r="J5" s="2966"/>
      <c r="K5" s="2838" t="s">
        <v>4</v>
      </c>
      <c r="L5" s="2838"/>
      <c r="M5" s="2838"/>
      <c r="N5" s="2838"/>
      <c r="O5" s="2838"/>
      <c r="P5" s="2838"/>
      <c r="Q5" s="2838"/>
      <c r="R5" s="2838"/>
    </row>
    <row r="6" spans="1:22" ht="15.75" customHeight="1" x14ac:dyDescent="0.25">
      <c r="A6" s="127"/>
      <c r="B6" s="2973" t="s">
        <v>5</v>
      </c>
      <c r="C6" s="2974" t="s">
        <v>6</v>
      </c>
      <c r="D6" s="2974"/>
      <c r="E6" s="2974"/>
      <c r="F6" s="2974"/>
      <c r="G6" s="2974"/>
      <c r="H6" s="2975" t="s">
        <v>7</v>
      </c>
      <c r="I6" s="2975" t="s">
        <v>8</v>
      </c>
      <c r="J6" s="2975" t="s">
        <v>9</v>
      </c>
      <c r="K6" s="2974" t="s">
        <v>6</v>
      </c>
      <c r="L6" s="2974"/>
      <c r="M6" s="2974"/>
      <c r="N6" s="2974"/>
      <c r="O6" s="2974"/>
      <c r="P6" s="2975" t="s">
        <v>7</v>
      </c>
      <c r="Q6" s="2975" t="s">
        <v>8</v>
      </c>
      <c r="R6" s="2975" t="s">
        <v>9</v>
      </c>
      <c r="T6" s="2975" t="s">
        <v>11</v>
      </c>
      <c r="U6" s="2975" t="s">
        <v>12</v>
      </c>
    </row>
    <row r="7" spans="1:22" x14ac:dyDescent="0.25">
      <c r="A7" s="127"/>
      <c r="B7" s="2973"/>
      <c r="C7" s="124" t="s">
        <v>13</v>
      </c>
      <c r="D7" s="124" t="s">
        <v>14</v>
      </c>
      <c r="E7" s="124" t="s">
        <v>15</v>
      </c>
      <c r="F7" s="124" t="s">
        <v>16</v>
      </c>
      <c r="G7" s="124" t="s">
        <v>17</v>
      </c>
      <c r="H7" s="2975"/>
      <c r="I7" s="2975"/>
      <c r="J7" s="2975"/>
      <c r="K7" s="124" t="s">
        <v>13</v>
      </c>
      <c r="L7" s="124" t="s">
        <v>14</v>
      </c>
      <c r="M7" s="124" t="s">
        <v>15</v>
      </c>
      <c r="N7" s="124" t="s">
        <v>16</v>
      </c>
      <c r="O7" s="124" t="s">
        <v>17</v>
      </c>
      <c r="P7" s="2975"/>
      <c r="Q7" s="2975"/>
      <c r="R7" s="2975"/>
      <c r="T7" s="2975"/>
      <c r="U7" s="2975"/>
    </row>
    <row r="8" spans="1:22" x14ac:dyDescent="0.25">
      <c r="A8" s="127"/>
      <c r="B8" s="124" t="s">
        <v>19</v>
      </c>
      <c r="C8" s="111" t="s">
        <v>22</v>
      </c>
      <c r="D8" s="111" t="s">
        <v>22</v>
      </c>
      <c r="E8" s="111" t="s">
        <v>41</v>
      </c>
      <c r="F8" s="111" t="s">
        <v>41</v>
      </c>
      <c r="G8" s="111" t="s">
        <v>22</v>
      </c>
      <c r="H8" s="111" t="s">
        <v>40</v>
      </c>
      <c r="I8" s="111" t="s">
        <v>41</v>
      </c>
      <c r="J8" s="111" t="s">
        <v>22</v>
      </c>
      <c r="K8" s="111" t="s">
        <v>43</v>
      </c>
      <c r="L8" s="111" t="s">
        <v>42</v>
      </c>
      <c r="M8" s="111" t="s">
        <v>67</v>
      </c>
      <c r="N8" s="111" t="s">
        <v>42</v>
      </c>
      <c r="O8" s="111" t="s">
        <v>67</v>
      </c>
      <c r="P8" s="111" t="s">
        <v>42</v>
      </c>
      <c r="Q8" s="111" t="s">
        <v>67</v>
      </c>
      <c r="R8" s="111" t="s">
        <v>43</v>
      </c>
      <c r="T8" s="2975"/>
      <c r="U8" s="2975"/>
    </row>
    <row r="9" spans="1:22" x14ac:dyDescent="0.25">
      <c r="A9" s="111" t="s">
        <v>18</v>
      </c>
      <c r="B9" s="111" t="s">
        <v>26</v>
      </c>
      <c r="C9" s="124">
        <v>2</v>
      </c>
      <c r="D9" s="124">
        <v>2</v>
      </c>
      <c r="E9" s="124">
        <v>2</v>
      </c>
      <c r="F9" s="124">
        <v>2</v>
      </c>
      <c r="G9" s="124">
        <v>2</v>
      </c>
      <c r="H9" s="124">
        <v>10</v>
      </c>
      <c r="I9" s="124">
        <v>10</v>
      </c>
      <c r="J9" s="124">
        <v>10</v>
      </c>
      <c r="K9" s="124">
        <v>2</v>
      </c>
      <c r="L9" s="124">
        <v>2</v>
      </c>
      <c r="M9" s="124">
        <v>2</v>
      </c>
      <c r="N9" s="124">
        <v>2</v>
      </c>
      <c r="O9" s="124">
        <v>2</v>
      </c>
      <c r="P9" s="124">
        <v>10</v>
      </c>
      <c r="Q9" s="124">
        <v>10</v>
      </c>
      <c r="R9" s="124">
        <v>10</v>
      </c>
      <c r="T9" s="2981">
        <v>100</v>
      </c>
      <c r="U9" s="2982"/>
    </row>
    <row r="10" spans="1:22" ht="21" customHeight="1" x14ac:dyDescent="0.25">
      <c r="A10" s="127">
        <v>1</v>
      </c>
      <c r="B10" s="1973">
        <v>5191421001</v>
      </c>
      <c r="C10" s="111">
        <v>2</v>
      </c>
      <c r="D10" s="111">
        <v>2</v>
      </c>
      <c r="E10" s="111">
        <v>2</v>
      </c>
      <c r="F10" s="111">
        <v>2</v>
      </c>
      <c r="G10" s="111"/>
      <c r="H10" s="111">
        <v>8</v>
      </c>
      <c r="I10" s="111">
        <v>10</v>
      </c>
      <c r="J10" s="111"/>
      <c r="K10" s="111">
        <v>2</v>
      </c>
      <c r="L10" s="111">
        <v>2</v>
      </c>
      <c r="M10" s="111">
        <v>2</v>
      </c>
      <c r="N10" s="111">
        <v>2</v>
      </c>
      <c r="O10" s="111">
        <v>2</v>
      </c>
      <c r="P10" s="111">
        <v>5</v>
      </c>
      <c r="Q10" s="111">
        <v>10</v>
      </c>
      <c r="R10" s="111"/>
      <c r="T10" s="2119" t="s">
        <v>27</v>
      </c>
      <c r="U10" s="124">
        <f>IF(T10="O",100,IF(T10="A+",90,IF(T10="A",80,IF(T10="B+",70,IF(T10="B",60,IF(T10="C",55,IF(T10="P",50,IF(T10="F",39))))))))</f>
        <v>80</v>
      </c>
    </row>
    <row r="11" spans="1:22" ht="21" customHeight="1" x14ac:dyDescent="0.25">
      <c r="A11" s="127">
        <v>2</v>
      </c>
      <c r="B11" s="1973">
        <f>+B10+1</f>
        <v>5191421002</v>
      </c>
      <c r="C11" s="111"/>
      <c r="D11" s="111">
        <v>2</v>
      </c>
      <c r="E11" s="111">
        <v>2</v>
      </c>
      <c r="F11" s="111">
        <v>2</v>
      </c>
      <c r="G11" s="111"/>
      <c r="H11" s="111">
        <v>6</v>
      </c>
      <c r="I11" s="111"/>
      <c r="J11" s="111">
        <v>10</v>
      </c>
      <c r="K11" s="111">
        <v>2</v>
      </c>
      <c r="L11" s="111">
        <v>2</v>
      </c>
      <c r="M11" s="111">
        <v>2</v>
      </c>
      <c r="N11" s="111">
        <v>2</v>
      </c>
      <c r="O11" s="111"/>
      <c r="P11" s="111">
        <v>8</v>
      </c>
      <c r="Q11" s="111">
        <v>8</v>
      </c>
      <c r="R11" s="111"/>
      <c r="T11" s="2120" t="s">
        <v>33</v>
      </c>
      <c r="U11" s="124">
        <f t="shared" ref="U11:U58" si="0">IF(T11="O",100,IF(T11="A+",90,IF(T11="A",80,IF(T11="B+",70,IF(T11="B",60,IF(T11="C",55,IF(T11="P",50,IF(T11="F",39))))))))</f>
        <v>60</v>
      </c>
    </row>
    <row r="12" spans="1:22" ht="21" customHeight="1" x14ac:dyDescent="0.25">
      <c r="A12" s="127">
        <v>3</v>
      </c>
      <c r="B12" s="1973">
        <f t="shared" ref="B12:B58" si="1">+B11+1</f>
        <v>5191421003</v>
      </c>
      <c r="C12" s="111">
        <v>2</v>
      </c>
      <c r="D12" s="111">
        <v>2</v>
      </c>
      <c r="E12" s="111">
        <v>2</v>
      </c>
      <c r="F12" s="111">
        <v>2</v>
      </c>
      <c r="G12" s="111">
        <v>2</v>
      </c>
      <c r="H12" s="111">
        <v>10</v>
      </c>
      <c r="I12" s="111">
        <v>10</v>
      </c>
      <c r="J12" s="111"/>
      <c r="K12" s="111">
        <v>2</v>
      </c>
      <c r="L12" s="111">
        <v>2</v>
      </c>
      <c r="M12" s="111">
        <v>2</v>
      </c>
      <c r="N12" s="111">
        <v>2</v>
      </c>
      <c r="O12" s="111">
        <v>2</v>
      </c>
      <c r="P12" s="111">
        <v>10</v>
      </c>
      <c r="Q12" s="111">
        <v>10</v>
      </c>
      <c r="R12" s="111"/>
      <c r="T12" s="2119" t="s">
        <v>30</v>
      </c>
      <c r="U12" s="124">
        <f t="shared" si="0"/>
        <v>90</v>
      </c>
    </row>
    <row r="13" spans="1:22" ht="21" customHeight="1" x14ac:dyDescent="0.25">
      <c r="A13" s="127">
        <v>4</v>
      </c>
      <c r="B13" s="1973">
        <f t="shared" si="1"/>
        <v>5191421004</v>
      </c>
      <c r="C13" s="111">
        <v>2</v>
      </c>
      <c r="D13" s="111">
        <v>2</v>
      </c>
      <c r="E13" s="111">
        <v>2</v>
      </c>
      <c r="F13" s="111">
        <v>2</v>
      </c>
      <c r="G13" s="111">
        <v>2</v>
      </c>
      <c r="H13" s="111"/>
      <c r="I13" s="111">
        <v>10</v>
      </c>
      <c r="J13" s="111">
        <v>10</v>
      </c>
      <c r="K13" s="111">
        <v>2</v>
      </c>
      <c r="L13" s="111">
        <v>2</v>
      </c>
      <c r="M13" s="111">
        <v>2</v>
      </c>
      <c r="N13" s="111">
        <v>2</v>
      </c>
      <c r="O13" s="111">
        <v>2</v>
      </c>
      <c r="P13" s="111">
        <v>10</v>
      </c>
      <c r="Q13" s="111">
        <v>10</v>
      </c>
      <c r="R13" s="111"/>
      <c r="T13" s="2121" t="s">
        <v>29</v>
      </c>
      <c r="U13" s="124">
        <f t="shared" si="0"/>
        <v>39</v>
      </c>
    </row>
    <row r="14" spans="1:22" ht="21" customHeight="1" x14ac:dyDescent="0.25">
      <c r="A14" s="127">
        <v>5</v>
      </c>
      <c r="B14" s="1973">
        <f t="shared" si="1"/>
        <v>5191421005</v>
      </c>
      <c r="C14" s="111">
        <v>1</v>
      </c>
      <c r="D14" s="111">
        <v>1</v>
      </c>
      <c r="E14" s="111">
        <v>2</v>
      </c>
      <c r="F14" s="111">
        <v>2</v>
      </c>
      <c r="G14" s="111"/>
      <c r="H14" s="111">
        <v>10</v>
      </c>
      <c r="I14" s="111">
        <v>9</v>
      </c>
      <c r="J14" s="111"/>
      <c r="K14" s="111">
        <v>2</v>
      </c>
      <c r="L14" s="111">
        <v>2</v>
      </c>
      <c r="M14" s="111">
        <v>2</v>
      </c>
      <c r="N14" s="111">
        <v>2</v>
      </c>
      <c r="O14" s="111">
        <v>1</v>
      </c>
      <c r="P14" s="111">
        <v>10</v>
      </c>
      <c r="Q14" s="111">
        <v>10</v>
      </c>
      <c r="R14" s="111"/>
      <c r="T14" s="2119" t="s">
        <v>31</v>
      </c>
      <c r="U14" s="124">
        <f t="shared" si="0"/>
        <v>55</v>
      </c>
    </row>
    <row r="15" spans="1:22" ht="21" customHeight="1" x14ac:dyDescent="0.25">
      <c r="A15" s="127">
        <v>6</v>
      </c>
      <c r="B15" s="1973">
        <f t="shared" si="1"/>
        <v>5191421006</v>
      </c>
      <c r="C15" s="111">
        <v>1</v>
      </c>
      <c r="D15" s="111"/>
      <c r="E15" s="111">
        <v>2</v>
      </c>
      <c r="F15" s="111">
        <v>2</v>
      </c>
      <c r="G15" s="111"/>
      <c r="H15" s="111">
        <v>10</v>
      </c>
      <c r="I15" s="111"/>
      <c r="J15" s="111"/>
      <c r="K15" s="111"/>
      <c r="L15" s="111"/>
      <c r="M15" s="111"/>
      <c r="N15" s="111"/>
      <c r="O15" s="111"/>
      <c r="P15" s="111"/>
      <c r="Q15" s="111">
        <v>5</v>
      </c>
      <c r="R15" s="111"/>
      <c r="T15" s="2120" t="s">
        <v>32</v>
      </c>
      <c r="U15" s="124">
        <f t="shared" si="0"/>
        <v>70</v>
      </c>
    </row>
    <row r="16" spans="1:22" ht="21" customHeight="1" x14ac:dyDescent="0.25">
      <c r="A16" s="127">
        <v>7</v>
      </c>
      <c r="B16" s="1973">
        <f t="shared" si="1"/>
        <v>5191421007</v>
      </c>
      <c r="C16" s="111">
        <v>2</v>
      </c>
      <c r="D16" s="111">
        <v>2</v>
      </c>
      <c r="E16" s="111">
        <v>2</v>
      </c>
      <c r="F16" s="111">
        <v>2</v>
      </c>
      <c r="G16" s="111"/>
      <c r="H16" s="111">
        <v>10</v>
      </c>
      <c r="I16" s="111">
        <v>10</v>
      </c>
      <c r="J16" s="111"/>
      <c r="K16" s="111">
        <v>2</v>
      </c>
      <c r="L16" s="111">
        <v>2</v>
      </c>
      <c r="M16" s="111">
        <v>2</v>
      </c>
      <c r="N16" s="111">
        <v>2</v>
      </c>
      <c r="O16" s="111">
        <v>2</v>
      </c>
      <c r="P16" s="111">
        <v>10</v>
      </c>
      <c r="Q16" s="111"/>
      <c r="R16" s="111">
        <v>10</v>
      </c>
      <c r="T16" s="2119" t="s">
        <v>32</v>
      </c>
      <c r="U16" s="124">
        <f t="shared" si="0"/>
        <v>70</v>
      </c>
    </row>
    <row r="17" spans="1:21" ht="21" customHeight="1" x14ac:dyDescent="0.25">
      <c r="A17" s="127">
        <v>8</v>
      </c>
      <c r="B17" s="1973">
        <f t="shared" si="1"/>
        <v>5191421008</v>
      </c>
      <c r="C17" s="111">
        <v>2</v>
      </c>
      <c r="D17" s="111">
        <v>2</v>
      </c>
      <c r="E17" s="111">
        <v>2</v>
      </c>
      <c r="F17" s="111">
        <v>2</v>
      </c>
      <c r="G17" s="111"/>
      <c r="H17" s="111">
        <v>10</v>
      </c>
      <c r="I17" s="111">
        <v>5</v>
      </c>
      <c r="J17" s="111"/>
      <c r="K17" s="111">
        <v>2</v>
      </c>
      <c r="L17" s="111">
        <v>2</v>
      </c>
      <c r="M17" s="111"/>
      <c r="N17" s="111">
        <v>2</v>
      </c>
      <c r="O17" s="111"/>
      <c r="P17" s="111">
        <v>8</v>
      </c>
      <c r="Q17" s="111">
        <v>5</v>
      </c>
      <c r="R17" s="111"/>
      <c r="T17" s="2120" t="s">
        <v>32</v>
      </c>
      <c r="U17" s="124">
        <f t="shared" si="0"/>
        <v>70</v>
      </c>
    </row>
    <row r="18" spans="1:21" ht="21" customHeight="1" x14ac:dyDescent="0.25">
      <c r="A18" s="127">
        <v>9</v>
      </c>
      <c r="B18" s="1973">
        <f t="shared" si="1"/>
        <v>5191421009</v>
      </c>
      <c r="C18" s="111">
        <v>2</v>
      </c>
      <c r="D18" s="111"/>
      <c r="E18" s="111">
        <v>2</v>
      </c>
      <c r="F18" s="111">
        <v>2</v>
      </c>
      <c r="G18" s="111">
        <v>1</v>
      </c>
      <c r="H18" s="111">
        <v>10</v>
      </c>
      <c r="I18" s="111">
        <v>5</v>
      </c>
      <c r="J18" s="111"/>
      <c r="K18" s="111"/>
      <c r="L18" s="111">
        <v>2</v>
      </c>
      <c r="M18" s="111">
        <v>2</v>
      </c>
      <c r="N18" s="111">
        <v>2</v>
      </c>
      <c r="O18" s="111"/>
      <c r="P18" s="111">
        <v>9</v>
      </c>
      <c r="Q18" s="111"/>
      <c r="R18" s="111">
        <v>9</v>
      </c>
      <c r="T18" s="2121" t="s">
        <v>31</v>
      </c>
      <c r="U18" s="124">
        <f t="shared" si="0"/>
        <v>55</v>
      </c>
    </row>
    <row r="19" spans="1:21" ht="21" customHeight="1" x14ac:dyDescent="0.25">
      <c r="A19" s="127">
        <v>10</v>
      </c>
      <c r="B19" s="1973">
        <f t="shared" si="1"/>
        <v>5191421010</v>
      </c>
      <c r="C19" s="111">
        <v>2</v>
      </c>
      <c r="D19" s="111">
        <v>2</v>
      </c>
      <c r="E19" s="111">
        <v>2</v>
      </c>
      <c r="F19" s="111">
        <v>2</v>
      </c>
      <c r="G19" s="111"/>
      <c r="H19" s="111">
        <v>10</v>
      </c>
      <c r="I19" s="111">
        <v>5</v>
      </c>
      <c r="J19" s="111"/>
      <c r="K19" s="111"/>
      <c r="L19" s="111">
        <v>2</v>
      </c>
      <c r="M19" s="111">
        <v>2</v>
      </c>
      <c r="N19" s="111">
        <v>2</v>
      </c>
      <c r="O19" s="111">
        <v>2</v>
      </c>
      <c r="P19" s="111"/>
      <c r="Q19" s="111">
        <v>10</v>
      </c>
      <c r="R19" s="111">
        <v>4</v>
      </c>
      <c r="T19" s="2121" t="s">
        <v>33</v>
      </c>
      <c r="U19" s="124">
        <f t="shared" si="0"/>
        <v>60</v>
      </c>
    </row>
    <row r="20" spans="1:21" ht="21" customHeight="1" x14ac:dyDescent="0.25">
      <c r="A20" s="127">
        <v>11</v>
      </c>
      <c r="B20" s="1973">
        <f t="shared" si="1"/>
        <v>5191421011</v>
      </c>
      <c r="C20" s="111">
        <v>2</v>
      </c>
      <c r="D20" s="111"/>
      <c r="E20" s="111"/>
      <c r="F20" s="111"/>
      <c r="G20" s="111"/>
      <c r="H20" s="111"/>
      <c r="I20" s="111">
        <v>10</v>
      </c>
      <c r="J20" s="111"/>
      <c r="K20" s="111"/>
      <c r="L20" s="111"/>
      <c r="M20" s="111"/>
      <c r="N20" s="111"/>
      <c r="O20" s="111"/>
      <c r="P20" s="111">
        <v>2</v>
      </c>
      <c r="Q20" s="111">
        <v>9</v>
      </c>
      <c r="R20" s="111"/>
      <c r="T20" s="2121" t="s">
        <v>32</v>
      </c>
      <c r="U20" s="124">
        <f t="shared" si="0"/>
        <v>70</v>
      </c>
    </row>
    <row r="21" spans="1:21" ht="21" customHeight="1" x14ac:dyDescent="0.25">
      <c r="A21" s="127">
        <v>12</v>
      </c>
      <c r="B21" s="1973">
        <f t="shared" si="1"/>
        <v>5191421012</v>
      </c>
      <c r="C21" s="111"/>
      <c r="D21" s="111"/>
      <c r="E21" s="111">
        <v>1</v>
      </c>
      <c r="F21" s="111">
        <v>2</v>
      </c>
      <c r="G21" s="111"/>
      <c r="H21" s="111"/>
      <c r="I21" s="111">
        <v>10</v>
      </c>
      <c r="J21" s="111"/>
      <c r="K21" s="111"/>
      <c r="L21" s="111">
        <v>2</v>
      </c>
      <c r="M21" s="111">
        <v>2</v>
      </c>
      <c r="N21" s="111">
        <v>2</v>
      </c>
      <c r="O21" s="111">
        <v>2</v>
      </c>
      <c r="P21" s="111"/>
      <c r="Q21" s="111">
        <v>5</v>
      </c>
      <c r="R21" s="111">
        <v>7</v>
      </c>
      <c r="T21" s="2121" t="s">
        <v>31</v>
      </c>
      <c r="U21" s="124">
        <f t="shared" si="0"/>
        <v>55</v>
      </c>
    </row>
    <row r="22" spans="1:21" ht="21" customHeight="1" x14ac:dyDescent="0.25">
      <c r="A22" s="127">
        <v>13</v>
      </c>
      <c r="B22" s="1973">
        <f t="shared" si="1"/>
        <v>5191421013</v>
      </c>
      <c r="C22" s="111">
        <v>2</v>
      </c>
      <c r="D22" s="111">
        <v>2</v>
      </c>
      <c r="E22" s="111">
        <v>2</v>
      </c>
      <c r="F22" s="111">
        <v>2</v>
      </c>
      <c r="G22" s="111"/>
      <c r="H22" s="111">
        <v>6</v>
      </c>
      <c r="I22" s="111">
        <v>10</v>
      </c>
      <c r="J22" s="111"/>
      <c r="K22" s="111">
        <v>1</v>
      </c>
      <c r="L22" s="111">
        <v>2</v>
      </c>
      <c r="M22" s="111">
        <v>2</v>
      </c>
      <c r="N22" s="111">
        <v>2</v>
      </c>
      <c r="O22" s="111"/>
      <c r="P22" s="111">
        <v>9</v>
      </c>
      <c r="Q22" s="111"/>
      <c r="R22" s="111">
        <v>9</v>
      </c>
      <c r="T22" s="2121" t="s">
        <v>27</v>
      </c>
      <c r="U22" s="124">
        <f t="shared" si="0"/>
        <v>80</v>
      </c>
    </row>
    <row r="23" spans="1:21" ht="21" customHeight="1" x14ac:dyDescent="0.25">
      <c r="A23" s="127">
        <v>14</v>
      </c>
      <c r="B23" s="1973">
        <f t="shared" si="1"/>
        <v>5191421014</v>
      </c>
      <c r="C23" s="111"/>
      <c r="D23" s="111">
        <v>2</v>
      </c>
      <c r="E23" s="111">
        <v>2</v>
      </c>
      <c r="F23" s="111">
        <v>2</v>
      </c>
      <c r="G23" s="111"/>
      <c r="H23" s="111">
        <v>10</v>
      </c>
      <c r="I23" s="1">
        <v>10</v>
      </c>
      <c r="J23" s="111"/>
      <c r="K23" s="111"/>
      <c r="L23" s="111"/>
      <c r="M23" s="111"/>
      <c r="N23" s="111"/>
      <c r="O23" s="111"/>
      <c r="P23" s="111">
        <v>10</v>
      </c>
      <c r="Q23" s="111"/>
      <c r="R23" s="111">
        <v>7</v>
      </c>
      <c r="T23" s="2121" t="s">
        <v>32</v>
      </c>
      <c r="U23" s="124">
        <f t="shared" si="0"/>
        <v>70</v>
      </c>
    </row>
    <row r="24" spans="1:21" ht="21" customHeight="1" x14ac:dyDescent="0.25">
      <c r="A24" s="127">
        <v>15</v>
      </c>
      <c r="B24" s="1973">
        <f t="shared" si="1"/>
        <v>5191421015</v>
      </c>
      <c r="C24" s="111"/>
      <c r="D24" s="111">
        <v>2</v>
      </c>
      <c r="E24" s="111">
        <v>2</v>
      </c>
      <c r="F24" s="111">
        <v>0</v>
      </c>
      <c r="G24" s="111">
        <v>2</v>
      </c>
      <c r="H24" s="126"/>
      <c r="I24" s="261">
        <v>5</v>
      </c>
      <c r="J24" s="126">
        <v>10</v>
      </c>
      <c r="K24" s="111"/>
      <c r="L24" s="111">
        <v>2</v>
      </c>
      <c r="M24" s="111"/>
      <c r="N24" s="111">
        <v>2</v>
      </c>
      <c r="O24" s="111"/>
      <c r="P24" s="111"/>
      <c r="Q24" s="126">
        <v>4</v>
      </c>
      <c r="R24" s="126">
        <v>9</v>
      </c>
      <c r="T24" s="2121" t="s">
        <v>33</v>
      </c>
      <c r="U24" s="124">
        <f t="shared" si="0"/>
        <v>60</v>
      </c>
    </row>
    <row r="25" spans="1:21" ht="21" customHeight="1" x14ac:dyDescent="0.25">
      <c r="A25" s="127">
        <v>16</v>
      </c>
      <c r="B25" s="1973">
        <f t="shared" si="1"/>
        <v>5191421016</v>
      </c>
      <c r="C25" s="111"/>
      <c r="D25" s="111">
        <v>2</v>
      </c>
      <c r="E25" s="111">
        <v>2</v>
      </c>
      <c r="F25" s="111">
        <v>2</v>
      </c>
      <c r="G25" s="111">
        <v>2</v>
      </c>
      <c r="H25" s="111">
        <v>10</v>
      </c>
      <c r="I25" s="111">
        <v>5</v>
      </c>
      <c r="J25" s="111"/>
      <c r="K25" s="111">
        <v>2</v>
      </c>
      <c r="L25" s="111">
        <v>2</v>
      </c>
      <c r="M25" s="111"/>
      <c r="N25" s="111">
        <v>2</v>
      </c>
      <c r="O25" s="111"/>
      <c r="P25" s="111"/>
      <c r="Q25" s="111">
        <v>10</v>
      </c>
      <c r="R25" s="111">
        <v>9</v>
      </c>
      <c r="T25" s="2120" t="s">
        <v>29</v>
      </c>
      <c r="U25" s="124">
        <f t="shared" si="0"/>
        <v>39</v>
      </c>
    </row>
    <row r="26" spans="1:21" ht="21" customHeight="1" x14ac:dyDescent="0.25">
      <c r="A26" s="127">
        <v>17</v>
      </c>
      <c r="B26" s="1973">
        <f t="shared" si="1"/>
        <v>5191421017</v>
      </c>
      <c r="C26" s="111">
        <v>2</v>
      </c>
      <c r="D26" s="111">
        <v>2</v>
      </c>
      <c r="E26" s="111">
        <v>2</v>
      </c>
      <c r="F26" s="111">
        <v>2</v>
      </c>
      <c r="G26" s="111">
        <v>1</v>
      </c>
      <c r="H26" s="111">
        <v>10</v>
      </c>
      <c r="I26" s="111"/>
      <c r="J26" s="111">
        <v>10</v>
      </c>
      <c r="K26" s="111">
        <v>2</v>
      </c>
      <c r="L26" s="111">
        <v>2</v>
      </c>
      <c r="M26" s="111">
        <v>2</v>
      </c>
      <c r="N26" s="111">
        <v>2</v>
      </c>
      <c r="O26" s="111">
        <v>2</v>
      </c>
      <c r="P26" s="111">
        <v>10</v>
      </c>
      <c r="Q26" s="111"/>
      <c r="R26" s="111">
        <v>10</v>
      </c>
      <c r="T26" s="2119" t="s">
        <v>33</v>
      </c>
      <c r="U26" s="124">
        <f t="shared" si="0"/>
        <v>60</v>
      </c>
    </row>
    <row r="27" spans="1:21" ht="21" customHeight="1" x14ac:dyDescent="0.25">
      <c r="A27" s="127">
        <v>18</v>
      </c>
      <c r="B27" s="1973">
        <f t="shared" si="1"/>
        <v>5191421018</v>
      </c>
      <c r="C27" s="111"/>
      <c r="D27" s="111">
        <v>2</v>
      </c>
      <c r="E27" s="111"/>
      <c r="F27" s="111">
        <v>2</v>
      </c>
      <c r="G27" s="111"/>
      <c r="H27" s="111"/>
      <c r="I27" s="111">
        <v>5</v>
      </c>
      <c r="J27" s="111">
        <v>8</v>
      </c>
      <c r="K27" s="111">
        <v>2</v>
      </c>
      <c r="L27" s="111">
        <v>2</v>
      </c>
      <c r="M27" s="111">
        <v>2</v>
      </c>
      <c r="N27" s="111">
        <v>2</v>
      </c>
      <c r="O27" s="111"/>
      <c r="P27" s="111"/>
      <c r="Q27" s="111">
        <v>10</v>
      </c>
      <c r="R27" s="111">
        <v>5</v>
      </c>
      <c r="T27" s="2120" t="s">
        <v>28</v>
      </c>
      <c r="U27" s="124">
        <f t="shared" si="0"/>
        <v>50</v>
      </c>
    </row>
    <row r="28" spans="1:21" ht="21" customHeight="1" x14ac:dyDescent="0.25">
      <c r="A28" s="127">
        <v>19</v>
      </c>
      <c r="B28" s="1973">
        <f t="shared" si="1"/>
        <v>5191421019</v>
      </c>
      <c r="C28" s="111"/>
      <c r="D28" s="111">
        <v>2</v>
      </c>
      <c r="E28" s="111"/>
      <c r="F28" s="111"/>
      <c r="G28" s="111"/>
      <c r="H28" s="111">
        <v>8</v>
      </c>
      <c r="I28" s="111">
        <v>8</v>
      </c>
      <c r="J28" s="111"/>
      <c r="K28" s="111"/>
      <c r="L28" s="111">
        <v>2</v>
      </c>
      <c r="M28" s="111">
        <v>2</v>
      </c>
      <c r="N28" s="111">
        <v>2</v>
      </c>
      <c r="O28" s="111"/>
      <c r="P28" s="111"/>
      <c r="Q28" s="111">
        <v>5</v>
      </c>
      <c r="R28" s="111">
        <v>9</v>
      </c>
      <c r="T28" s="2119" t="s">
        <v>30</v>
      </c>
      <c r="U28" s="124">
        <f t="shared" si="0"/>
        <v>90</v>
      </c>
    </row>
    <row r="29" spans="1:21" ht="21" customHeight="1" x14ac:dyDescent="0.25">
      <c r="A29" s="127">
        <v>20</v>
      </c>
      <c r="B29" s="1973">
        <f t="shared" si="1"/>
        <v>5191421020</v>
      </c>
      <c r="C29" s="111"/>
      <c r="D29" s="111">
        <v>2</v>
      </c>
      <c r="E29" s="111">
        <v>2</v>
      </c>
      <c r="F29" s="111">
        <v>2</v>
      </c>
      <c r="G29" s="111"/>
      <c r="H29" s="111">
        <v>10</v>
      </c>
      <c r="I29" s="111">
        <v>9</v>
      </c>
      <c r="J29" s="111"/>
      <c r="K29" s="111"/>
      <c r="L29" s="111">
        <v>2</v>
      </c>
      <c r="M29" s="111">
        <v>2</v>
      </c>
      <c r="N29" s="111"/>
      <c r="O29" s="111"/>
      <c r="P29" s="111"/>
      <c r="Q29" s="111">
        <v>5</v>
      </c>
      <c r="R29" s="111">
        <v>9</v>
      </c>
      <c r="T29" s="2120" t="s">
        <v>33</v>
      </c>
      <c r="U29" s="124">
        <f t="shared" si="0"/>
        <v>60</v>
      </c>
    </row>
    <row r="30" spans="1:21" ht="21" customHeight="1" x14ac:dyDescent="0.25">
      <c r="A30" s="127">
        <v>21</v>
      </c>
      <c r="B30" s="1973">
        <f t="shared" si="1"/>
        <v>5191421021</v>
      </c>
      <c r="C30" s="111">
        <v>2</v>
      </c>
      <c r="D30" s="111"/>
      <c r="E30" s="111">
        <v>2</v>
      </c>
      <c r="F30" s="111">
        <v>2</v>
      </c>
      <c r="G30" s="111"/>
      <c r="H30" s="111">
        <v>10</v>
      </c>
      <c r="I30" s="111">
        <v>10</v>
      </c>
      <c r="J30" s="111"/>
      <c r="K30" s="111"/>
      <c r="L30" s="111">
        <v>2</v>
      </c>
      <c r="M30" s="111">
        <v>2</v>
      </c>
      <c r="N30" s="111">
        <v>2</v>
      </c>
      <c r="O30" s="111">
        <v>2</v>
      </c>
      <c r="P30" s="111">
        <v>8</v>
      </c>
      <c r="Q30" s="111"/>
      <c r="R30" s="111">
        <v>9</v>
      </c>
      <c r="T30" s="2119" t="s">
        <v>33</v>
      </c>
      <c r="U30" s="124">
        <f t="shared" si="0"/>
        <v>60</v>
      </c>
    </row>
    <row r="31" spans="1:21" ht="21" customHeight="1" x14ac:dyDescent="0.25">
      <c r="A31" s="127">
        <v>22</v>
      </c>
      <c r="B31" s="1973">
        <f t="shared" si="1"/>
        <v>5191421022</v>
      </c>
      <c r="C31" s="111"/>
      <c r="D31" s="111">
        <v>2</v>
      </c>
      <c r="E31" s="111"/>
      <c r="F31" s="111">
        <v>2</v>
      </c>
      <c r="G31" s="111">
        <v>2</v>
      </c>
      <c r="H31" s="111">
        <v>10</v>
      </c>
      <c r="I31" s="111">
        <v>9</v>
      </c>
      <c r="J31" s="111"/>
      <c r="K31" s="111"/>
      <c r="L31" s="111">
        <v>2</v>
      </c>
      <c r="M31" s="111">
        <v>2</v>
      </c>
      <c r="N31" s="111"/>
      <c r="O31" s="111">
        <v>2</v>
      </c>
      <c r="P31" s="111">
        <v>8</v>
      </c>
      <c r="Q31" s="111"/>
      <c r="R31" s="111">
        <v>7</v>
      </c>
      <c r="T31" s="2120" t="s">
        <v>31</v>
      </c>
      <c r="U31" s="124">
        <f t="shared" si="0"/>
        <v>55</v>
      </c>
    </row>
    <row r="32" spans="1:21" ht="21" customHeight="1" x14ac:dyDescent="0.25">
      <c r="A32" s="127">
        <v>23</v>
      </c>
      <c r="B32" s="1973">
        <f t="shared" si="1"/>
        <v>5191421023</v>
      </c>
      <c r="C32" s="111"/>
      <c r="D32" s="111">
        <v>1</v>
      </c>
      <c r="E32" s="111">
        <v>1</v>
      </c>
      <c r="F32" s="111">
        <v>1</v>
      </c>
      <c r="G32" s="111">
        <v>2</v>
      </c>
      <c r="H32" s="111">
        <v>10</v>
      </c>
      <c r="I32" s="111"/>
      <c r="J32" s="111">
        <v>10</v>
      </c>
      <c r="K32" s="111"/>
      <c r="L32" s="111">
        <v>2</v>
      </c>
      <c r="M32" s="111">
        <v>2</v>
      </c>
      <c r="N32" s="111">
        <v>2</v>
      </c>
      <c r="O32" s="111">
        <v>2</v>
      </c>
      <c r="P32" s="111">
        <v>7</v>
      </c>
      <c r="Q32" s="111"/>
      <c r="R32" s="111">
        <v>10</v>
      </c>
      <c r="T32" s="2119" t="s">
        <v>33</v>
      </c>
      <c r="U32" s="124">
        <f t="shared" si="0"/>
        <v>60</v>
      </c>
    </row>
    <row r="33" spans="1:21" ht="21" customHeight="1" x14ac:dyDescent="0.25">
      <c r="A33" s="127">
        <v>24</v>
      </c>
      <c r="B33" s="1973">
        <f t="shared" si="1"/>
        <v>5191421024</v>
      </c>
      <c r="C33" s="126"/>
      <c r="D33" s="126">
        <v>2</v>
      </c>
      <c r="E33" s="126">
        <v>2</v>
      </c>
      <c r="F33" s="126">
        <v>2</v>
      </c>
      <c r="G33" s="111">
        <v>2</v>
      </c>
      <c r="H33" s="111">
        <v>10</v>
      </c>
      <c r="I33" s="111">
        <v>10</v>
      </c>
      <c r="J33" s="111"/>
      <c r="K33" s="126"/>
      <c r="L33" s="126">
        <v>2</v>
      </c>
      <c r="M33" s="126">
        <v>2</v>
      </c>
      <c r="N33" s="126">
        <v>2</v>
      </c>
      <c r="O33" s="111">
        <v>2</v>
      </c>
      <c r="P33" s="111"/>
      <c r="Q33" s="111">
        <v>10</v>
      </c>
      <c r="R33" s="111">
        <v>8</v>
      </c>
      <c r="T33" s="2120" t="s">
        <v>29</v>
      </c>
      <c r="U33" s="124">
        <f t="shared" si="0"/>
        <v>39</v>
      </c>
    </row>
    <row r="34" spans="1:21" ht="21" customHeight="1" x14ac:dyDescent="0.25">
      <c r="A34" s="127">
        <v>25</v>
      </c>
      <c r="B34" s="1973">
        <f t="shared" si="1"/>
        <v>5191421025</v>
      </c>
      <c r="C34" s="111"/>
      <c r="D34" s="111">
        <v>2</v>
      </c>
      <c r="E34" s="111">
        <v>2</v>
      </c>
      <c r="F34" s="111">
        <v>2</v>
      </c>
      <c r="G34" s="111">
        <v>2</v>
      </c>
      <c r="H34" s="111">
        <v>7</v>
      </c>
      <c r="I34" s="111"/>
      <c r="J34" s="111">
        <v>10</v>
      </c>
      <c r="K34" s="111">
        <v>1</v>
      </c>
      <c r="L34" s="111">
        <v>2</v>
      </c>
      <c r="M34" s="111">
        <v>2</v>
      </c>
      <c r="N34" s="111">
        <v>2</v>
      </c>
      <c r="O34" s="111">
        <v>2</v>
      </c>
      <c r="P34" s="111"/>
      <c r="Q34" s="111">
        <v>10</v>
      </c>
      <c r="R34" s="111">
        <v>10</v>
      </c>
      <c r="T34" s="2119" t="s">
        <v>30</v>
      </c>
      <c r="U34" s="124">
        <f t="shared" si="0"/>
        <v>90</v>
      </c>
    </row>
    <row r="35" spans="1:21" ht="21" customHeight="1" x14ac:dyDescent="0.25">
      <c r="A35" s="127">
        <v>26</v>
      </c>
      <c r="B35" s="1973">
        <f t="shared" si="1"/>
        <v>5191421026</v>
      </c>
      <c r="C35" s="111">
        <v>2</v>
      </c>
      <c r="D35" s="111">
        <v>2</v>
      </c>
      <c r="E35" s="111">
        <v>2</v>
      </c>
      <c r="F35" s="111">
        <v>2</v>
      </c>
      <c r="G35" s="111">
        <v>2</v>
      </c>
      <c r="H35" s="111">
        <v>10</v>
      </c>
      <c r="I35" s="111">
        <v>9</v>
      </c>
      <c r="J35" s="111"/>
      <c r="K35" s="111"/>
      <c r="L35" s="111">
        <v>2</v>
      </c>
      <c r="M35" s="111">
        <v>2</v>
      </c>
      <c r="N35" s="111">
        <v>2</v>
      </c>
      <c r="O35" s="111">
        <v>2</v>
      </c>
      <c r="P35" s="111">
        <v>10</v>
      </c>
      <c r="Q35" s="111">
        <v>9</v>
      </c>
      <c r="R35" s="111"/>
      <c r="T35" s="2120" t="s">
        <v>33</v>
      </c>
      <c r="U35" s="124">
        <f t="shared" si="0"/>
        <v>60</v>
      </c>
    </row>
    <row r="36" spans="1:21" ht="21" customHeight="1" x14ac:dyDescent="0.25">
      <c r="A36" s="127">
        <v>27</v>
      </c>
      <c r="B36" s="1973">
        <f t="shared" si="1"/>
        <v>5191421027</v>
      </c>
      <c r="C36" s="111">
        <v>2</v>
      </c>
      <c r="D36" s="111">
        <v>2</v>
      </c>
      <c r="E36" s="111">
        <v>2</v>
      </c>
      <c r="F36" s="111">
        <v>2</v>
      </c>
      <c r="G36" s="111">
        <v>2</v>
      </c>
      <c r="H36" s="111">
        <v>10</v>
      </c>
      <c r="I36" s="111"/>
      <c r="J36" s="111">
        <v>10</v>
      </c>
      <c r="K36" s="111">
        <v>1</v>
      </c>
      <c r="L36" s="111">
        <v>2</v>
      </c>
      <c r="M36" s="111">
        <v>2</v>
      </c>
      <c r="N36" s="111">
        <v>2</v>
      </c>
      <c r="O36" s="111">
        <v>2</v>
      </c>
      <c r="P36" s="111"/>
      <c r="Q36" s="111">
        <v>10</v>
      </c>
      <c r="R36" s="111">
        <v>10</v>
      </c>
      <c r="T36" s="2119" t="s">
        <v>32</v>
      </c>
      <c r="U36" s="124">
        <f t="shared" si="0"/>
        <v>70</v>
      </c>
    </row>
    <row r="37" spans="1:21" ht="21" customHeight="1" x14ac:dyDescent="0.25">
      <c r="A37" s="127">
        <v>28</v>
      </c>
      <c r="B37" s="1973">
        <f t="shared" si="1"/>
        <v>5191421028</v>
      </c>
      <c r="C37" s="111"/>
      <c r="D37" s="111">
        <v>2</v>
      </c>
      <c r="E37" s="111">
        <v>2</v>
      </c>
      <c r="F37" s="111">
        <v>2</v>
      </c>
      <c r="G37" s="111">
        <v>2</v>
      </c>
      <c r="H37" s="111"/>
      <c r="I37" s="111">
        <v>9</v>
      </c>
      <c r="J37" s="111">
        <v>10</v>
      </c>
      <c r="K37" s="111"/>
      <c r="L37" s="111">
        <v>2</v>
      </c>
      <c r="M37" s="111">
        <v>2</v>
      </c>
      <c r="N37" s="111">
        <v>2</v>
      </c>
      <c r="O37" s="111">
        <v>2</v>
      </c>
      <c r="P37" s="111"/>
      <c r="Q37" s="111">
        <v>9</v>
      </c>
      <c r="R37" s="111">
        <v>4</v>
      </c>
      <c r="T37" s="2120" t="s">
        <v>27</v>
      </c>
      <c r="U37" s="124">
        <f t="shared" si="0"/>
        <v>80</v>
      </c>
    </row>
    <row r="38" spans="1:21" ht="21" customHeight="1" x14ac:dyDescent="0.25">
      <c r="A38" s="127">
        <v>29</v>
      </c>
      <c r="B38" s="1973">
        <f t="shared" si="1"/>
        <v>5191421029</v>
      </c>
      <c r="C38" s="111"/>
      <c r="D38" s="111"/>
      <c r="E38" s="111"/>
      <c r="F38" s="111"/>
      <c r="G38" s="111"/>
      <c r="H38" s="111"/>
      <c r="I38" s="111"/>
      <c r="J38" s="111"/>
      <c r="K38" s="111"/>
      <c r="L38" s="111">
        <v>2</v>
      </c>
      <c r="M38" s="111"/>
      <c r="N38" s="111"/>
      <c r="O38" s="111"/>
      <c r="P38" s="111"/>
      <c r="Q38" s="111">
        <v>9</v>
      </c>
      <c r="R38" s="111"/>
      <c r="T38" s="2119" t="s">
        <v>32</v>
      </c>
      <c r="U38" s="124">
        <f t="shared" si="0"/>
        <v>70</v>
      </c>
    </row>
    <row r="39" spans="1:21" ht="21" customHeight="1" x14ac:dyDescent="0.25">
      <c r="A39" s="127">
        <v>30</v>
      </c>
      <c r="B39" s="1973">
        <f t="shared" si="1"/>
        <v>5191421030</v>
      </c>
      <c r="C39" s="111">
        <v>2</v>
      </c>
      <c r="D39" s="111">
        <v>2</v>
      </c>
      <c r="E39" s="111">
        <v>2</v>
      </c>
      <c r="F39" s="111">
        <v>2</v>
      </c>
      <c r="G39" s="111">
        <v>2</v>
      </c>
      <c r="H39" s="111">
        <v>10</v>
      </c>
      <c r="I39" s="111"/>
      <c r="J39" s="111">
        <v>10</v>
      </c>
      <c r="K39" s="111"/>
      <c r="L39" s="111">
        <v>2</v>
      </c>
      <c r="M39" s="111">
        <v>2</v>
      </c>
      <c r="N39" s="111">
        <v>2</v>
      </c>
      <c r="O39" s="111">
        <v>2</v>
      </c>
      <c r="P39" s="111">
        <v>10</v>
      </c>
      <c r="Q39" s="111"/>
      <c r="R39" s="111">
        <v>8</v>
      </c>
      <c r="T39" s="2120" t="s">
        <v>28</v>
      </c>
      <c r="U39" s="124">
        <f t="shared" si="0"/>
        <v>50</v>
      </c>
    </row>
    <row r="40" spans="1:21" ht="21" customHeight="1" x14ac:dyDescent="0.25">
      <c r="A40" s="127">
        <v>31</v>
      </c>
      <c r="B40" s="1973">
        <f t="shared" si="1"/>
        <v>5191421031</v>
      </c>
      <c r="C40" s="111">
        <v>2</v>
      </c>
      <c r="D40" s="111"/>
      <c r="E40" s="111">
        <v>2</v>
      </c>
      <c r="F40" s="111">
        <v>2</v>
      </c>
      <c r="G40" s="111">
        <v>2</v>
      </c>
      <c r="H40" s="111">
        <v>10</v>
      </c>
      <c r="I40" s="111">
        <v>5</v>
      </c>
      <c r="J40" s="111"/>
      <c r="K40" s="111"/>
      <c r="L40" s="111">
        <v>2</v>
      </c>
      <c r="M40" s="111"/>
      <c r="N40" s="111"/>
      <c r="O40" s="111"/>
      <c r="P40" s="111"/>
      <c r="Q40" s="111">
        <v>10</v>
      </c>
      <c r="R40" s="111">
        <v>7</v>
      </c>
      <c r="T40" s="2119" t="s">
        <v>31</v>
      </c>
      <c r="U40" s="124">
        <f t="shared" si="0"/>
        <v>55</v>
      </c>
    </row>
    <row r="41" spans="1:21" ht="21" customHeight="1" x14ac:dyDescent="0.25">
      <c r="A41" s="127">
        <v>32</v>
      </c>
      <c r="B41" s="1973">
        <f t="shared" si="1"/>
        <v>5191421032</v>
      </c>
      <c r="C41" s="111">
        <v>2</v>
      </c>
      <c r="D41" s="111">
        <v>2</v>
      </c>
      <c r="E41" s="111">
        <v>2</v>
      </c>
      <c r="F41" s="111">
        <v>2</v>
      </c>
      <c r="G41" s="111">
        <v>2</v>
      </c>
      <c r="H41" s="111">
        <v>10</v>
      </c>
      <c r="I41" s="111"/>
      <c r="J41" s="111">
        <v>10</v>
      </c>
      <c r="K41" s="111"/>
      <c r="L41" s="111">
        <v>2</v>
      </c>
      <c r="M41" s="111">
        <v>2</v>
      </c>
      <c r="N41" s="111">
        <v>2</v>
      </c>
      <c r="O41" s="111">
        <v>2</v>
      </c>
      <c r="P41" s="111">
        <v>10</v>
      </c>
      <c r="Q41" s="111">
        <v>10</v>
      </c>
      <c r="R41" s="111"/>
      <c r="T41" s="2120" t="s">
        <v>31</v>
      </c>
      <c r="U41" s="124">
        <f t="shared" si="0"/>
        <v>55</v>
      </c>
    </row>
    <row r="42" spans="1:21" ht="21" customHeight="1" x14ac:dyDescent="0.25">
      <c r="A42" s="127">
        <v>33</v>
      </c>
      <c r="B42" s="1973">
        <f t="shared" si="1"/>
        <v>5191421033</v>
      </c>
      <c r="C42" s="111"/>
      <c r="D42" s="111">
        <v>2</v>
      </c>
      <c r="E42" s="111"/>
      <c r="F42" s="111"/>
      <c r="G42" s="111"/>
      <c r="H42" s="111">
        <v>10</v>
      </c>
      <c r="I42" s="111">
        <v>5</v>
      </c>
      <c r="J42" s="111"/>
      <c r="K42" s="111"/>
      <c r="L42" s="111">
        <v>2</v>
      </c>
      <c r="M42" s="111"/>
      <c r="N42" s="111">
        <v>2</v>
      </c>
      <c r="O42" s="111"/>
      <c r="P42" s="111">
        <v>6</v>
      </c>
      <c r="Q42" s="111">
        <v>9</v>
      </c>
      <c r="R42" s="111"/>
      <c r="T42" s="2119" t="s">
        <v>32</v>
      </c>
      <c r="U42" s="124">
        <f t="shared" si="0"/>
        <v>70</v>
      </c>
    </row>
    <row r="43" spans="1:21" ht="21" customHeight="1" x14ac:dyDescent="0.25">
      <c r="A43" s="127">
        <v>34</v>
      </c>
      <c r="B43" s="1973">
        <f t="shared" si="1"/>
        <v>5191421034</v>
      </c>
      <c r="C43" s="111">
        <v>2</v>
      </c>
      <c r="D43" s="111"/>
      <c r="E43" s="111">
        <v>1</v>
      </c>
      <c r="F43" s="111">
        <v>2</v>
      </c>
      <c r="G43" s="111">
        <v>2</v>
      </c>
      <c r="H43" s="111">
        <v>10</v>
      </c>
      <c r="I43" s="111"/>
      <c r="J43" s="111">
        <v>10</v>
      </c>
      <c r="K43" s="111"/>
      <c r="L43" s="111">
        <v>2</v>
      </c>
      <c r="M43" s="111"/>
      <c r="N43" s="111">
        <v>2</v>
      </c>
      <c r="O43" s="111"/>
      <c r="P43" s="111">
        <v>10</v>
      </c>
      <c r="Q43" s="111"/>
      <c r="R43" s="111">
        <v>9</v>
      </c>
      <c r="T43" s="2120" t="s">
        <v>32</v>
      </c>
      <c r="U43" s="124">
        <f t="shared" si="0"/>
        <v>70</v>
      </c>
    </row>
    <row r="44" spans="1:21" ht="21" customHeight="1" x14ac:dyDescent="0.25">
      <c r="A44" s="127">
        <v>35</v>
      </c>
      <c r="B44" s="1973">
        <f t="shared" si="1"/>
        <v>5191421035</v>
      </c>
      <c r="C44" s="111">
        <v>2</v>
      </c>
      <c r="D44" s="111">
        <v>2</v>
      </c>
      <c r="E44" s="111">
        <v>2</v>
      </c>
      <c r="F44" s="111">
        <v>2</v>
      </c>
      <c r="G44" s="111">
        <v>2</v>
      </c>
      <c r="H44" s="111">
        <v>10</v>
      </c>
      <c r="I44" s="111">
        <v>10</v>
      </c>
      <c r="J44" s="111"/>
      <c r="K44" s="111">
        <v>2</v>
      </c>
      <c r="L44" s="111">
        <v>2</v>
      </c>
      <c r="M44" s="111">
        <v>2</v>
      </c>
      <c r="N44" s="111">
        <v>2</v>
      </c>
      <c r="O44" s="111"/>
      <c r="P44" s="111"/>
      <c r="Q44" s="111">
        <v>10</v>
      </c>
      <c r="R44" s="111">
        <v>10</v>
      </c>
      <c r="T44" s="2119" t="s">
        <v>29</v>
      </c>
      <c r="U44" s="124">
        <f t="shared" si="0"/>
        <v>39</v>
      </c>
    </row>
    <row r="45" spans="1:21" ht="21" customHeight="1" x14ac:dyDescent="0.25">
      <c r="A45" s="127">
        <v>36</v>
      </c>
      <c r="B45" s="1973">
        <f t="shared" si="1"/>
        <v>5191421036</v>
      </c>
      <c r="C45" s="111">
        <v>2</v>
      </c>
      <c r="D45" s="111">
        <v>2</v>
      </c>
      <c r="E45" s="111">
        <v>2</v>
      </c>
      <c r="F45" s="111">
        <v>2</v>
      </c>
      <c r="G45" s="111">
        <v>2</v>
      </c>
      <c r="H45" s="111">
        <v>10</v>
      </c>
      <c r="I45" s="111"/>
      <c r="J45" s="111">
        <v>10</v>
      </c>
      <c r="K45" s="111"/>
      <c r="L45" s="111">
        <v>2</v>
      </c>
      <c r="M45" s="111">
        <v>2</v>
      </c>
      <c r="N45" s="111">
        <v>2</v>
      </c>
      <c r="O45" s="111">
        <v>2</v>
      </c>
      <c r="P45" s="111">
        <v>10</v>
      </c>
      <c r="Q45" s="111"/>
      <c r="R45" s="111">
        <v>10</v>
      </c>
      <c r="T45" s="2120" t="s">
        <v>30</v>
      </c>
      <c r="U45" s="124">
        <f t="shared" si="0"/>
        <v>90</v>
      </c>
    </row>
    <row r="46" spans="1:21" ht="21" customHeight="1" x14ac:dyDescent="0.25">
      <c r="A46" s="127">
        <v>37</v>
      </c>
      <c r="B46" s="1973">
        <f t="shared" si="1"/>
        <v>5191421037</v>
      </c>
      <c r="C46" s="111">
        <v>2</v>
      </c>
      <c r="D46" s="111"/>
      <c r="E46" s="111"/>
      <c r="F46" s="111">
        <v>2</v>
      </c>
      <c r="G46" s="111"/>
      <c r="H46" s="111">
        <v>10</v>
      </c>
      <c r="I46" s="111">
        <v>5</v>
      </c>
      <c r="J46" s="111"/>
      <c r="K46" s="111"/>
      <c r="L46" s="111">
        <v>2</v>
      </c>
      <c r="M46" s="111">
        <v>2</v>
      </c>
      <c r="N46" s="111">
        <v>2</v>
      </c>
      <c r="O46" s="111">
        <v>2</v>
      </c>
      <c r="P46" s="111">
        <v>4</v>
      </c>
      <c r="Q46" s="111"/>
      <c r="R46" s="111">
        <v>9</v>
      </c>
      <c r="T46" s="2119" t="s">
        <v>29</v>
      </c>
      <c r="U46" s="124">
        <f t="shared" si="0"/>
        <v>39</v>
      </c>
    </row>
    <row r="47" spans="1:21" ht="21" customHeight="1" x14ac:dyDescent="0.25">
      <c r="A47" s="127">
        <v>38</v>
      </c>
      <c r="B47" s="1973">
        <f t="shared" si="1"/>
        <v>5191421038</v>
      </c>
      <c r="C47" s="111">
        <v>2</v>
      </c>
      <c r="D47" s="111">
        <v>2</v>
      </c>
      <c r="E47" s="111">
        <v>2</v>
      </c>
      <c r="F47" s="111">
        <v>2</v>
      </c>
      <c r="G47" s="111">
        <v>2</v>
      </c>
      <c r="H47" s="111">
        <v>10</v>
      </c>
      <c r="I47" s="126"/>
      <c r="J47" s="126">
        <v>9</v>
      </c>
      <c r="K47" s="111">
        <v>2</v>
      </c>
      <c r="L47" s="111">
        <v>2</v>
      </c>
      <c r="M47" s="111"/>
      <c r="N47" s="111"/>
      <c r="O47" s="111">
        <v>2</v>
      </c>
      <c r="P47" s="111"/>
      <c r="Q47" s="126">
        <v>10</v>
      </c>
      <c r="R47" s="126">
        <v>9</v>
      </c>
      <c r="T47" s="2120" t="s">
        <v>31</v>
      </c>
      <c r="U47" s="124">
        <f t="shared" si="0"/>
        <v>55</v>
      </c>
    </row>
    <row r="48" spans="1:21" ht="21" customHeight="1" x14ac:dyDescent="0.25">
      <c r="A48" s="127">
        <v>39</v>
      </c>
      <c r="B48" s="1973">
        <f t="shared" si="1"/>
        <v>5191421039</v>
      </c>
      <c r="C48" s="111"/>
      <c r="D48" s="111">
        <v>2</v>
      </c>
      <c r="E48" s="111">
        <v>2</v>
      </c>
      <c r="F48" s="111">
        <v>2</v>
      </c>
      <c r="G48" s="111"/>
      <c r="H48" s="111">
        <v>10</v>
      </c>
      <c r="I48" s="111"/>
      <c r="J48" s="111">
        <v>8</v>
      </c>
      <c r="K48" s="111"/>
      <c r="L48" s="111">
        <v>2</v>
      </c>
      <c r="M48" s="111">
        <v>2</v>
      </c>
      <c r="N48" s="111">
        <v>2</v>
      </c>
      <c r="O48" s="111"/>
      <c r="P48" s="111"/>
      <c r="Q48" s="111">
        <v>10</v>
      </c>
      <c r="R48" s="111">
        <v>7</v>
      </c>
      <c r="T48" s="2119" t="s">
        <v>32</v>
      </c>
      <c r="U48" s="124">
        <f t="shared" si="0"/>
        <v>70</v>
      </c>
    </row>
    <row r="49" spans="1:35" ht="21" customHeight="1" x14ac:dyDescent="0.25">
      <c r="A49" s="127">
        <v>40</v>
      </c>
      <c r="B49" s="1973">
        <f t="shared" si="1"/>
        <v>5191421040</v>
      </c>
      <c r="C49" s="111">
        <v>2</v>
      </c>
      <c r="D49" s="111">
        <v>2</v>
      </c>
      <c r="E49" s="111">
        <v>2</v>
      </c>
      <c r="F49" s="111">
        <v>2</v>
      </c>
      <c r="G49" s="111">
        <v>2</v>
      </c>
      <c r="H49" s="111">
        <v>10</v>
      </c>
      <c r="I49" s="111"/>
      <c r="J49" s="111">
        <v>10</v>
      </c>
      <c r="K49" s="111">
        <v>2</v>
      </c>
      <c r="L49" s="111">
        <v>2</v>
      </c>
      <c r="M49" s="111"/>
      <c r="N49" s="111">
        <v>2</v>
      </c>
      <c r="O49" s="111">
        <v>2</v>
      </c>
      <c r="P49" s="111">
        <v>9</v>
      </c>
      <c r="Q49" s="111"/>
      <c r="R49" s="111">
        <v>5</v>
      </c>
      <c r="T49" s="2120" t="s">
        <v>31</v>
      </c>
      <c r="U49" s="124">
        <f t="shared" si="0"/>
        <v>55</v>
      </c>
    </row>
    <row r="50" spans="1:35" ht="21" customHeight="1" x14ac:dyDescent="0.25">
      <c r="A50" s="127">
        <v>41</v>
      </c>
      <c r="B50" s="1973">
        <f t="shared" si="1"/>
        <v>5191421041</v>
      </c>
      <c r="C50" s="111">
        <v>2</v>
      </c>
      <c r="D50" s="111"/>
      <c r="E50" s="111">
        <v>2</v>
      </c>
      <c r="F50" s="111">
        <v>2</v>
      </c>
      <c r="G50" s="111"/>
      <c r="H50" s="111">
        <v>10</v>
      </c>
      <c r="I50" s="111"/>
      <c r="J50" s="111">
        <v>10</v>
      </c>
      <c r="K50" s="111"/>
      <c r="L50" s="111">
        <v>2</v>
      </c>
      <c r="M50" s="111">
        <v>2</v>
      </c>
      <c r="N50" s="111">
        <v>2</v>
      </c>
      <c r="O50" s="111">
        <v>2</v>
      </c>
      <c r="P50" s="111">
        <v>8</v>
      </c>
      <c r="Q50" s="111"/>
      <c r="R50" s="111">
        <v>8</v>
      </c>
      <c r="T50" s="2119" t="s">
        <v>32</v>
      </c>
      <c r="U50" s="124">
        <f t="shared" si="0"/>
        <v>70</v>
      </c>
    </row>
    <row r="51" spans="1:35" ht="21" customHeight="1" x14ac:dyDescent="0.25">
      <c r="A51" s="127">
        <v>42</v>
      </c>
      <c r="B51" s="1973">
        <f t="shared" si="1"/>
        <v>5191421042</v>
      </c>
      <c r="C51" s="111">
        <v>2</v>
      </c>
      <c r="D51" s="111">
        <v>1</v>
      </c>
      <c r="E51" s="111">
        <v>2</v>
      </c>
      <c r="F51" s="111">
        <v>2</v>
      </c>
      <c r="G51" s="111">
        <v>2</v>
      </c>
      <c r="H51" s="111">
        <v>10</v>
      </c>
      <c r="I51" s="111">
        <v>9</v>
      </c>
      <c r="J51" s="111"/>
      <c r="K51" s="111">
        <v>2</v>
      </c>
      <c r="L51" s="111">
        <v>2</v>
      </c>
      <c r="M51" s="111">
        <v>2</v>
      </c>
      <c r="N51" s="111">
        <v>2</v>
      </c>
      <c r="O51" s="111">
        <v>2</v>
      </c>
      <c r="P51" s="111"/>
      <c r="Q51" s="111">
        <v>8</v>
      </c>
      <c r="R51" s="111">
        <v>6</v>
      </c>
      <c r="T51" s="2119" t="s">
        <v>29</v>
      </c>
      <c r="U51" s="124">
        <f t="shared" si="0"/>
        <v>39</v>
      </c>
    </row>
    <row r="52" spans="1:35" ht="21" customHeight="1" x14ac:dyDescent="0.25">
      <c r="A52" s="127">
        <v>43</v>
      </c>
      <c r="B52" s="1973">
        <f t="shared" si="1"/>
        <v>5191421043</v>
      </c>
      <c r="C52" s="111">
        <v>2</v>
      </c>
      <c r="D52" s="111"/>
      <c r="E52" s="111">
        <v>2</v>
      </c>
      <c r="F52" s="111">
        <v>2</v>
      </c>
      <c r="G52" s="111"/>
      <c r="H52" s="111">
        <v>10</v>
      </c>
      <c r="I52" s="111"/>
      <c r="J52" s="111">
        <v>10</v>
      </c>
      <c r="K52" s="111">
        <v>2</v>
      </c>
      <c r="L52" s="111">
        <v>2</v>
      </c>
      <c r="M52" s="111">
        <v>2</v>
      </c>
      <c r="N52" s="111">
        <v>2</v>
      </c>
      <c r="O52" s="111">
        <v>2</v>
      </c>
      <c r="P52" s="111">
        <v>10</v>
      </c>
      <c r="Q52" s="111"/>
      <c r="R52" s="111">
        <v>5</v>
      </c>
      <c r="T52" s="2119" t="s">
        <v>27</v>
      </c>
      <c r="U52" s="124">
        <f t="shared" si="0"/>
        <v>80</v>
      </c>
    </row>
    <row r="53" spans="1:35" ht="21" customHeight="1" x14ac:dyDescent="0.25">
      <c r="A53" s="127">
        <v>44</v>
      </c>
      <c r="B53" s="1973">
        <f t="shared" si="1"/>
        <v>5191421044</v>
      </c>
      <c r="C53" s="111">
        <v>2</v>
      </c>
      <c r="D53" s="111">
        <v>2</v>
      </c>
      <c r="E53" s="111">
        <v>2</v>
      </c>
      <c r="F53" s="111">
        <v>2</v>
      </c>
      <c r="G53" s="111">
        <v>2</v>
      </c>
      <c r="H53" s="111">
        <v>10</v>
      </c>
      <c r="I53" s="111">
        <v>10</v>
      </c>
      <c r="J53" s="111"/>
      <c r="K53" s="111">
        <v>2</v>
      </c>
      <c r="L53" s="111">
        <v>2</v>
      </c>
      <c r="M53" s="111">
        <v>2</v>
      </c>
      <c r="N53" s="111">
        <v>2</v>
      </c>
      <c r="O53" s="111">
        <v>2</v>
      </c>
      <c r="P53" s="111"/>
      <c r="Q53" s="111">
        <v>10</v>
      </c>
      <c r="R53" s="111">
        <v>10</v>
      </c>
      <c r="T53" s="2119" t="s">
        <v>30</v>
      </c>
      <c r="U53" s="124">
        <f t="shared" si="0"/>
        <v>90</v>
      </c>
    </row>
    <row r="54" spans="1:35" ht="21" customHeight="1" x14ac:dyDescent="0.25">
      <c r="A54" s="127">
        <v>45</v>
      </c>
      <c r="B54" s="1973">
        <f t="shared" si="1"/>
        <v>5191421045</v>
      </c>
      <c r="C54" s="111"/>
      <c r="D54" s="111"/>
      <c r="E54" s="111">
        <v>2</v>
      </c>
      <c r="F54" s="111">
        <v>2</v>
      </c>
      <c r="G54" s="111">
        <v>2</v>
      </c>
      <c r="H54" s="111">
        <v>10</v>
      </c>
      <c r="I54" s="111"/>
      <c r="J54" s="111">
        <v>10</v>
      </c>
      <c r="K54" s="111">
        <v>2</v>
      </c>
      <c r="L54" s="111">
        <v>2</v>
      </c>
      <c r="M54" s="111">
        <v>2</v>
      </c>
      <c r="N54" s="111">
        <v>2</v>
      </c>
      <c r="O54" s="111"/>
      <c r="P54" s="111">
        <v>8</v>
      </c>
      <c r="Q54" s="111"/>
      <c r="R54" s="111">
        <v>6</v>
      </c>
      <c r="T54" s="2119" t="s">
        <v>31</v>
      </c>
      <c r="U54" s="124">
        <f t="shared" si="0"/>
        <v>55</v>
      </c>
    </row>
    <row r="55" spans="1:35" ht="21" customHeight="1" x14ac:dyDescent="0.25">
      <c r="A55" s="127">
        <v>46</v>
      </c>
      <c r="B55" s="1973">
        <f t="shared" si="1"/>
        <v>5191421046</v>
      </c>
      <c r="C55" s="111">
        <v>2</v>
      </c>
      <c r="D55" s="111">
        <v>2</v>
      </c>
      <c r="E55" s="111">
        <v>2</v>
      </c>
      <c r="F55" s="111">
        <v>2</v>
      </c>
      <c r="G55" s="111">
        <v>2</v>
      </c>
      <c r="H55" s="111">
        <v>10</v>
      </c>
      <c r="I55" s="111">
        <v>10</v>
      </c>
      <c r="J55" s="111"/>
      <c r="K55" s="111">
        <v>2</v>
      </c>
      <c r="L55" s="111">
        <v>2</v>
      </c>
      <c r="M55" s="111">
        <v>2</v>
      </c>
      <c r="N55" s="111">
        <v>2</v>
      </c>
      <c r="O55" s="111">
        <v>2</v>
      </c>
      <c r="P55" s="111">
        <v>10</v>
      </c>
      <c r="Q55" s="111"/>
      <c r="R55" s="111">
        <v>10</v>
      </c>
      <c r="T55" s="2119" t="s">
        <v>27</v>
      </c>
      <c r="U55" s="124">
        <f t="shared" si="0"/>
        <v>80</v>
      </c>
    </row>
    <row r="56" spans="1:35" ht="21" customHeight="1" x14ac:dyDescent="0.25">
      <c r="A56" s="127">
        <v>47</v>
      </c>
      <c r="B56" s="1973">
        <f t="shared" si="1"/>
        <v>5191421047</v>
      </c>
      <c r="C56" s="111">
        <v>2</v>
      </c>
      <c r="D56" s="111">
        <v>2</v>
      </c>
      <c r="E56" s="111">
        <v>2</v>
      </c>
      <c r="F56" s="111">
        <v>2</v>
      </c>
      <c r="G56" s="111">
        <v>2</v>
      </c>
      <c r="H56" s="111">
        <v>10</v>
      </c>
      <c r="I56" s="111">
        <v>9</v>
      </c>
      <c r="J56" s="111"/>
      <c r="K56" s="111"/>
      <c r="L56" s="111">
        <v>2</v>
      </c>
      <c r="M56" s="111">
        <v>2</v>
      </c>
      <c r="N56" s="111">
        <v>2</v>
      </c>
      <c r="O56" s="111">
        <v>2</v>
      </c>
      <c r="P56" s="111"/>
      <c r="Q56" s="111">
        <v>10</v>
      </c>
      <c r="R56" s="111">
        <v>10</v>
      </c>
      <c r="T56" s="2119" t="s">
        <v>29</v>
      </c>
      <c r="U56" s="124">
        <f t="shared" si="0"/>
        <v>39</v>
      </c>
    </row>
    <row r="57" spans="1:35" ht="21" customHeight="1" x14ac:dyDescent="0.25">
      <c r="A57" s="127">
        <v>48</v>
      </c>
      <c r="B57" s="1973">
        <f t="shared" si="1"/>
        <v>5191421048</v>
      </c>
      <c r="C57" s="111">
        <v>2</v>
      </c>
      <c r="D57" s="111">
        <v>2</v>
      </c>
      <c r="E57" s="111">
        <v>2</v>
      </c>
      <c r="F57" s="111"/>
      <c r="G57" s="111">
        <v>2</v>
      </c>
      <c r="H57" s="111">
        <v>10</v>
      </c>
      <c r="I57" s="111">
        <v>8</v>
      </c>
      <c r="J57" s="111"/>
      <c r="K57" s="111"/>
      <c r="L57" s="111">
        <v>2</v>
      </c>
      <c r="M57" s="111">
        <v>2</v>
      </c>
      <c r="N57" s="111">
        <v>2</v>
      </c>
      <c r="O57" s="111">
        <v>2</v>
      </c>
      <c r="P57" s="111"/>
      <c r="Q57" s="111">
        <v>10</v>
      </c>
      <c r="R57" s="111">
        <v>7</v>
      </c>
      <c r="T57" s="2119" t="s">
        <v>32</v>
      </c>
      <c r="U57" s="124">
        <f t="shared" si="0"/>
        <v>70</v>
      </c>
    </row>
    <row r="58" spans="1:35" ht="21" customHeight="1" x14ac:dyDescent="0.25">
      <c r="A58" s="127">
        <v>49</v>
      </c>
      <c r="B58" s="1973">
        <f t="shared" si="1"/>
        <v>5191421049</v>
      </c>
      <c r="C58" s="111">
        <v>2</v>
      </c>
      <c r="D58" s="111">
        <v>2</v>
      </c>
      <c r="E58" s="111">
        <v>2</v>
      </c>
      <c r="F58" s="111">
        <v>2</v>
      </c>
      <c r="G58" s="111">
        <v>2</v>
      </c>
      <c r="H58" s="111">
        <v>10</v>
      </c>
      <c r="I58" s="111">
        <v>10</v>
      </c>
      <c r="J58" s="111"/>
      <c r="K58" s="111">
        <v>2</v>
      </c>
      <c r="L58" s="111">
        <v>2</v>
      </c>
      <c r="M58" s="111">
        <v>2</v>
      </c>
      <c r="N58" s="111">
        <v>2</v>
      </c>
      <c r="O58" s="111">
        <v>2</v>
      </c>
      <c r="P58" s="111"/>
      <c r="Q58" s="111">
        <v>10</v>
      </c>
      <c r="R58" s="111">
        <v>10</v>
      </c>
      <c r="T58" s="2121" t="s">
        <v>33</v>
      </c>
      <c r="U58" s="124">
        <f t="shared" si="0"/>
        <v>60</v>
      </c>
    </row>
    <row r="59" spans="1:35" x14ac:dyDescent="0.25">
      <c r="C59" s="115">
        <f t="shared" ref="C59:R59" si="2">COUNT(C10:C58)</f>
        <v>32</v>
      </c>
      <c r="D59" s="115">
        <f t="shared" si="2"/>
        <v>37</v>
      </c>
      <c r="E59" s="115">
        <f t="shared" si="2"/>
        <v>42</v>
      </c>
      <c r="F59" s="115">
        <f t="shared" si="2"/>
        <v>44</v>
      </c>
      <c r="G59" s="115">
        <f t="shared" si="2"/>
        <v>28</v>
      </c>
      <c r="H59" s="115">
        <f t="shared" si="2"/>
        <v>42</v>
      </c>
      <c r="I59" s="115">
        <f t="shared" si="2"/>
        <v>32</v>
      </c>
      <c r="J59" s="115">
        <f t="shared" si="2"/>
        <v>19</v>
      </c>
      <c r="K59" s="115">
        <f t="shared" si="2"/>
        <v>22</v>
      </c>
      <c r="L59" s="115">
        <f t="shared" si="2"/>
        <v>46</v>
      </c>
      <c r="M59" s="115">
        <f t="shared" si="2"/>
        <v>37</v>
      </c>
      <c r="N59" s="115">
        <f t="shared" si="2"/>
        <v>41</v>
      </c>
      <c r="O59" s="115">
        <f t="shared" si="2"/>
        <v>30</v>
      </c>
      <c r="P59" s="115">
        <f t="shared" si="2"/>
        <v>27</v>
      </c>
      <c r="Q59" s="115">
        <f t="shared" si="2"/>
        <v>32</v>
      </c>
      <c r="R59" s="115">
        <f t="shared" si="2"/>
        <v>37</v>
      </c>
    </row>
    <row r="60" spans="1:35" ht="19.5" customHeight="1" x14ac:dyDescent="0.25">
      <c r="A60" s="259" t="s">
        <v>34</v>
      </c>
      <c r="B60" s="115">
        <v>55</v>
      </c>
      <c r="C60" s="17">
        <f>C9*(B60/100)</f>
        <v>1.1000000000000001</v>
      </c>
      <c r="D60" s="17">
        <f>D9*(B60/100)</f>
        <v>1.1000000000000001</v>
      </c>
      <c r="E60" s="17">
        <f>E9*(B60/100)</f>
        <v>1.1000000000000001</v>
      </c>
      <c r="F60" s="17">
        <f>F9*(B60/100)</f>
        <v>1.1000000000000001</v>
      </c>
      <c r="G60" s="17">
        <f>G9*(B60/100)</f>
        <v>1.1000000000000001</v>
      </c>
      <c r="H60" s="17">
        <f>H9*(B60/100)</f>
        <v>5.5</v>
      </c>
      <c r="I60" s="17">
        <f>I9*(B60/100)</f>
        <v>5.5</v>
      </c>
      <c r="J60" s="17">
        <f>J9*(B60/100)</f>
        <v>5.5</v>
      </c>
      <c r="K60" s="17">
        <f>K9*(B60/100)</f>
        <v>1.1000000000000001</v>
      </c>
      <c r="L60" s="17">
        <f>L9*(B60/100)</f>
        <v>1.1000000000000001</v>
      </c>
      <c r="M60" s="17">
        <f>M9*(B60/100)</f>
        <v>1.1000000000000001</v>
      </c>
      <c r="N60" s="17">
        <f>N9*(B60/100)</f>
        <v>1.1000000000000001</v>
      </c>
      <c r="O60" s="17">
        <f>O9*(B60/100)</f>
        <v>1.1000000000000001</v>
      </c>
      <c r="P60" s="17">
        <f>P9*(B60/100)</f>
        <v>5.5</v>
      </c>
      <c r="Q60" s="17">
        <f>Q9*(B60/100)</f>
        <v>5.5</v>
      </c>
      <c r="R60" s="17">
        <f>R9*(B60/100)</f>
        <v>5.5</v>
      </c>
      <c r="U60" s="118">
        <f>COUNTIF(U10:U54,"&gt;="&amp;B60)</f>
        <v>37</v>
      </c>
    </row>
    <row r="61" spans="1:35" ht="32.25" customHeight="1" x14ac:dyDescent="0.25">
      <c r="A61" s="2996" t="s">
        <v>35</v>
      </c>
      <c r="B61" s="2996"/>
      <c r="C61" s="115">
        <f>COUNTIF(C10:C58,"&gt;=1")</f>
        <v>32</v>
      </c>
      <c r="D61" s="115">
        <f>COUNTIF(D10:D58,"&gt;=1")</f>
        <v>37</v>
      </c>
      <c r="E61" s="115">
        <f>COUNTIF(E10:E58,"&gt;=1")</f>
        <v>42</v>
      </c>
      <c r="F61" s="115">
        <f>COUNTIF(F10:F58,"&gt;=1")</f>
        <v>43</v>
      </c>
      <c r="G61" s="115">
        <f>COUNTIF(G10:G58,"&gt;=1")</f>
        <v>28</v>
      </c>
      <c r="H61" s="115">
        <f>COUNTIF(H10:H58,"&gt;=5")</f>
        <v>42</v>
      </c>
      <c r="I61" s="115">
        <f>COUNTIF(I10:I58,"&gt;=5")</f>
        <v>32</v>
      </c>
      <c r="J61" s="115">
        <f>COUNTIF(J10:J58,"&gt;=5")</f>
        <v>19</v>
      </c>
      <c r="K61" s="115">
        <f>COUNTIF(K10:K58,"&gt;=1")</f>
        <v>22</v>
      </c>
      <c r="L61" s="115">
        <f>COUNTIF(L10:L58,"&gt;=1")</f>
        <v>46</v>
      </c>
      <c r="M61" s="115">
        <f>COUNTIF(M10:M58,"&gt;=1")</f>
        <v>37</v>
      </c>
      <c r="N61" s="115">
        <f>COUNTIF(N10:N58,"&gt;=1")</f>
        <v>41</v>
      </c>
      <c r="O61" s="115">
        <f>COUNTIF(O10:O58,"&gt;=1")</f>
        <v>30</v>
      </c>
      <c r="P61" s="115">
        <f>COUNTIF(P10:P58,"&gt;=5")</f>
        <v>25</v>
      </c>
      <c r="Q61" s="115">
        <f>COUNTIF(Q10:Q58,"&gt;=5")</f>
        <v>31</v>
      </c>
      <c r="R61" s="115">
        <f>COUNTIF(R10:R58,"&gt;=5")</f>
        <v>35</v>
      </c>
      <c r="U61" s="263">
        <f>(U60/A58)*100</f>
        <v>75.510204081632651</v>
      </c>
      <c r="W61" s="2872"/>
      <c r="X61" s="2872"/>
      <c r="Y61" s="2872"/>
      <c r="Z61" s="2872"/>
      <c r="AA61" s="2872"/>
      <c r="AB61" s="8"/>
      <c r="AC61" s="8"/>
      <c r="AD61" s="153"/>
      <c r="AE61" s="2872"/>
      <c r="AF61" s="2872"/>
      <c r="AG61" s="2872"/>
      <c r="AH61" s="2872"/>
      <c r="AI61" s="2872"/>
    </row>
    <row r="62" spans="1:35" ht="27" customHeight="1" x14ac:dyDescent="0.25">
      <c r="A62" s="2968" t="s">
        <v>36</v>
      </c>
      <c r="B62" s="2968"/>
      <c r="C62" s="36">
        <f t="shared" ref="C62:R62" si="3">C61/C59</f>
        <v>1</v>
      </c>
      <c r="D62" s="36">
        <f t="shared" si="3"/>
        <v>1</v>
      </c>
      <c r="E62" s="36">
        <f t="shared" si="3"/>
        <v>1</v>
      </c>
      <c r="F62" s="36">
        <f t="shared" si="3"/>
        <v>0.97727272727272729</v>
      </c>
      <c r="G62" s="36">
        <f t="shared" si="3"/>
        <v>1</v>
      </c>
      <c r="H62" s="36">
        <f t="shared" si="3"/>
        <v>1</v>
      </c>
      <c r="I62" s="36">
        <f t="shared" si="3"/>
        <v>1</v>
      </c>
      <c r="J62" s="36">
        <f t="shared" si="3"/>
        <v>1</v>
      </c>
      <c r="K62" s="36">
        <f t="shared" si="3"/>
        <v>1</v>
      </c>
      <c r="L62" s="36">
        <f t="shared" si="3"/>
        <v>1</v>
      </c>
      <c r="M62" s="36">
        <f t="shared" si="3"/>
        <v>1</v>
      </c>
      <c r="N62" s="36">
        <f t="shared" si="3"/>
        <v>1</v>
      </c>
      <c r="O62" s="36">
        <f t="shared" si="3"/>
        <v>1</v>
      </c>
      <c r="P62" s="36">
        <f t="shared" si="3"/>
        <v>0.92592592592592593</v>
      </c>
      <c r="Q62" s="36">
        <f t="shared" si="3"/>
        <v>0.96875</v>
      </c>
      <c r="R62" s="36">
        <f t="shared" si="3"/>
        <v>0.94594594594594594</v>
      </c>
    </row>
    <row r="67" spans="2:20" x14ac:dyDescent="0.25">
      <c r="D67" s="2" t="s">
        <v>38</v>
      </c>
      <c r="F67" s="2" t="s">
        <v>39</v>
      </c>
      <c r="H67" s="2" t="s">
        <v>37</v>
      </c>
    </row>
    <row r="68" spans="2:20" x14ac:dyDescent="0.25">
      <c r="C68" s="2" t="s">
        <v>22</v>
      </c>
      <c r="D68" s="258">
        <f>AVERAGE(C62,D62,G62,J62)*100</f>
        <v>100</v>
      </c>
      <c r="E68" s="259">
        <f t="shared" ref="E68:E73" si="4">IF(D68&gt;=70,3,IF(AND(D68&gt;=60,D68&lt;70),2,IF(AND(D68&gt;=50,D68&lt;60),1)))</f>
        <v>3</v>
      </c>
      <c r="F68" s="115">
        <f>IF(U61&gt;=70,3,IF(AND(U61&gt;=60,U61&lt;70),2,IF(AND(U61&gt;=50,U61&lt;60),1)))</f>
        <v>3</v>
      </c>
      <c r="H68" s="2">
        <f t="shared" ref="H68:H69" si="5">(70/100)*F68+(30/100)*E68</f>
        <v>2.9999999999999996</v>
      </c>
    </row>
    <row r="69" spans="2:20" x14ac:dyDescent="0.25">
      <c r="C69" s="2" t="s">
        <v>40</v>
      </c>
      <c r="D69" s="258">
        <f>AVERAGE(H62)*100</f>
        <v>100</v>
      </c>
      <c r="E69" s="259">
        <f t="shared" si="4"/>
        <v>3</v>
      </c>
      <c r="F69" s="115">
        <f>IF(U61&gt;=70,3,IF(AND(U61&gt;=60,U61&lt;70),2,IF(AND(U61&gt;=50,U61&lt;60),1)))</f>
        <v>3</v>
      </c>
      <c r="H69" s="2">
        <f t="shared" si="5"/>
        <v>2.9999999999999996</v>
      </c>
    </row>
    <row r="70" spans="2:20" x14ac:dyDescent="0.25">
      <c r="C70" s="2" t="s">
        <v>41</v>
      </c>
      <c r="D70" s="258">
        <f>AVERAGE(E62,F62,I62)*100</f>
        <v>99.242424242424249</v>
      </c>
      <c r="E70" s="259">
        <f t="shared" si="4"/>
        <v>3</v>
      </c>
      <c r="F70" s="115">
        <f>IF(U61&gt;=70,3,IF(AND(U61&gt;=60,U61&lt;70),2,IF(AND(U61&gt;=50,U61&lt;60),1)))</f>
        <v>3</v>
      </c>
      <c r="H70" s="2">
        <f>(70/100)*F70+(30/100)*E70</f>
        <v>2.9999999999999996</v>
      </c>
    </row>
    <row r="71" spans="2:20" x14ac:dyDescent="0.25">
      <c r="C71" s="2" t="s">
        <v>42</v>
      </c>
      <c r="D71" s="258">
        <f>AVERAGE(L62,N62,P62)*100</f>
        <v>97.53086419753086</v>
      </c>
      <c r="E71" s="259">
        <f t="shared" si="4"/>
        <v>3</v>
      </c>
      <c r="F71" s="115">
        <f>IF(U61&gt;=70,3,IF(AND(U61&gt;=60,U61&lt;70),2,IF(AND(U61&gt;=50,U61&lt;60),1)))</f>
        <v>3</v>
      </c>
      <c r="H71" s="2">
        <f>(70/100)*F71+(30/100)*E71</f>
        <v>2.9999999999999996</v>
      </c>
    </row>
    <row r="72" spans="2:20" x14ac:dyDescent="0.25">
      <c r="C72" s="2" t="s">
        <v>43</v>
      </c>
      <c r="D72" s="258">
        <f>AVERAGE(K62,R62)*100</f>
        <v>97.297297297297305</v>
      </c>
      <c r="E72" s="259">
        <f t="shared" si="4"/>
        <v>3</v>
      </c>
      <c r="F72" s="115">
        <f>IF(U61&gt;=70,3,IF(AND(U61&gt;=60,U61&lt;70),2,IF(AND(U61&gt;=50,U61&lt;60),1)))</f>
        <v>3</v>
      </c>
      <c r="H72" s="2">
        <f>(70/100)*F72+(30/100)*E72</f>
        <v>2.9999999999999996</v>
      </c>
    </row>
    <row r="73" spans="2:20" customFormat="1" x14ac:dyDescent="0.25">
      <c r="B73" s="2"/>
      <c r="C73" s="2" t="s">
        <v>67</v>
      </c>
      <c r="D73" s="258">
        <f>AVERAGE(O62,Q62)*100</f>
        <v>98.4375</v>
      </c>
      <c r="E73" s="259">
        <f t="shared" si="4"/>
        <v>3</v>
      </c>
      <c r="F73" s="115">
        <f>IF(U61&gt;=70,3,IF(AND(U61&gt;=60,U61&lt;70),2,IF(AND(U61&gt;=50,U61&lt;60),1)))</f>
        <v>3</v>
      </c>
      <c r="G73" s="2"/>
      <c r="H73" s="2">
        <f t="shared" ref="H73" si="6">(70/100)*F73+(30/100)*E73</f>
        <v>2.9999999999999996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customFormat="1" ht="23.25" x14ac:dyDescent="0.35">
      <c r="B74" s="2"/>
      <c r="C74" s="2983" t="s">
        <v>44</v>
      </c>
      <c r="D74" s="2983"/>
      <c r="E74" s="2983"/>
      <c r="F74" s="2983"/>
      <c r="G74" s="2983"/>
      <c r="H74" s="260">
        <f>AVERAGE(H68:H73)</f>
        <v>2.9999999999999996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customFormat="1" x14ac:dyDescent="0.25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S75" s="2"/>
      <c r="T75" s="2"/>
    </row>
    <row r="76" spans="2:20" customFormat="1" x14ac:dyDescent="0.25">
      <c r="B76" s="18" t="s">
        <v>159</v>
      </c>
      <c r="C76" s="18"/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S76" s="2"/>
      <c r="T76" s="2"/>
    </row>
    <row r="77" spans="2:20" customFormat="1" x14ac:dyDescent="0.25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S77" s="2"/>
      <c r="T77" s="2"/>
    </row>
    <row r="78" spans="2:20" customFormat="1" x14ac:dyDescent="0.25">
      <c r="B78" s="2984" t="s">
        <v>201</v>
      </c>
      <c r="C78" s="2984"/>
      <c r="D78" s="2492" t="s">
        <v>46</v>
      </c>
      <c r="E78" s="570" t="s">
        <v>135</v>
      </c>
      <c r="F78" s="570" t="s">
        <v>48</v>
      </c>
      <c r="G78" s="570" t="s">
        <v>49</v>
      </c>
      <c r="H78" s="570" t="s">
        <v>50</v>
      </c>
      <c r="I78" s="570" t="s">
        <v>136</v>
      </c>
      <c r="J78" s="570" t="s">
        <v>52</v>
      </c>
      <c r="K78" s="570" t="s">
        <v>53</v>
      </c>
      <c r="L78" s="570" t="s">
        <v>54</v>
      </c>
      <c r="M78" s="570" t="s">
        <v>55</v>
      </c>
      <c r="N78" s="570" t="s">
        <v>56</v>
      </c>
      <c r="O78" s="570" t="s">
        <v>57</v>
      </c>
      <c r="P78" s="112" t="s">
        <v>87</v>
      </c>
      <c r="Q78" s="112" t="s">
        <v>88</v>
      </c>
      <c r="R78" s="112" t="s">
        <v>85</v>
      </c>
      <c r="S78" s="2"/>
      <c r="T78" s="2"/>
    </row>
    <row r="79" spans="2:20" customFormat="1" x14ac:dyDescent="0.25">
      <c r="B79" s="2992" t="s">
        <v>22</v>
      </c>
      <c r="C79" s="2992"/>
      <c r="D79" s="2270">
        <v>3</v>
      </c>
      <c r="E79" s="2270">
        <v>2</v>
      </c>
      <c r="F79" s="2270">
        <v>1</v>
      </c>
      <c r="G79" s="2270">
        <v>1</v>
      </c>
      <c r="H79" s="2270">
        <v>1</v>
      </c>
      <c r="I79" s="2270">
        <v>2</v>
      </c>
      <c r="J79" s="2270">
        <v>2</v>
      </c>
      <c r="K79" s="2270"/>
      <c r="L79" s="2270"/>
      <c r="M79" s="2270"/>
      <c r="N79" s="2270"/>
      <c r="O79" s="2270">
        <v>2</v>
      </c>
      <c r="P79" s="2270">
        <v>2</v>
      </c>
      <c r="Q79" s="2270">
        <v>1</v>
      </c>
      <c r="R79" s="2270">
        <v>1</v>
      </c>
      <c r="S79" s="2"/>
      <c r="T79" s="2"/>
    </row>
    <row r="80" spans="2:20" customFormat="1" x14ac:dyDescent="0.25">
      <c r="B80" s="2992" t="s">
        <v>40</v>
      </c>
      <c r="C80" s="2992"/>
      <c r="D80" s="2270">
        <v>3</v>
      </c>
      <c r="E80" s="2270">
        <v>3</v>
      </c>
      <c r="F80" s="2270">
        <v>1</v>
      </c>
      <c r="G80" s="2270">
        <v>2</v>
      </c>
      <c r="H80" s="2270">
        <v>1</v>
      </c>
      <c r="I80" s="2270">
        <v>1</v>
      </c>
      <c r="J80" s="2270">
        <v>1</v>
      </c>
      <c r="K80" s="2270"/>
      <c r="L80" s="2270"/>
      <c r="M80" s="2270"/>
      <c r="N80" s="2270"/>
      <c r="O80" s="2270">
        <v>2</v>
      </c>
      <c r="P80" s="2270">
        <v>2</v>
      </c>
      <c r="Q80" s="2270">
        <v>1</v>
      </c>
      <c r="R80" s="2270">
        <v>1</v>
      </c>
      <c r="S80" s="2"/>
      <c r="T80" s="2"/>
    </row>
    <row r="81" spans="2:20" customFormat="1" x14ac:dyDescent="0.25">
      <c r="B81" s="2992" t="s">
        <v>41</v>
      </c>
      <c r="C81" s="2992"/>
      <c r="D81" s="2270">
        <v>3</v>
      </c>
      <c r="E81" s="2270">
        <v>2</v>
      </c>
      <c r="F81" s="2270">
        <v>1</v>
      </c>
      <c r="G81" s="2270">
        <v>2</v>
      </c>
      <c r="H81" s="2270">
        <v>1</v>
      </c>
      <c r="I81" s="2270">
        <v>2</v>
      </c>
      <c r="J81" s="2270">
        <v>2</v>
      </c>
      <c r="K81" s="2270"/>
      <c r="L81" s="2270"/>
      <c r="M81" s="2270"/>
      <c r="N81" s="2270"/>
      <c r="O81" s="2270">
        <v>2</v>
      </c>
      <c r="P81" s="2270">
        <v>2</v>
      </c>
      <c r="Q81" s="2270">
        <v>1</v>
      </c>
      <c r="R81" s="2270">
        <v>1</v>
      </c>
      <c r="S81" s="2"/>
      <c r="T81" s="2"/>
    </row>
    <row r="82" spans="2:20" customFormat="1" x14ac:dyDescent="0.25">
      <c r="B82" s="2992" t="s">
        <v>42</v>
      </c>
      <c r="C82" s="2992"/>
      <c r="D82" s="2270">
        <v>3</v>
      </c>
      <c r="E82" s="2270">
        <v>2</v>
      </c>
      <c r="F82" s="2270">
        <v>2</v>
      </c>
      <c r="G82" s="2270">
        <v>2</v>
      </c>
      <c r="H82" s="2270">
        <v>1</v>
      </c>
      <c r="I82" s="2270">
        <v>1</v>
      </c>
      <c r="J82" s="2270">
        <v>1</v>
      </c>
      <c r="K82" s="2270"/>
      <c r="L82" s="2270"/>
      <c r="M82" s="2270"/>
      <c r="N82" s="2270"/>
      <c r="O82" s="2270">
        <v>2</v>
      </c>
      <c r="P82" s="2270">
        <v>2</v>
      </c>
      <c r="Q82" s="2270">
        <v>2</v>
      </c>
      <c r="R82" s="2270">
        <v>1</v>
      </c>
      <c r="S82" s="2"/>
      <c r="T82" s="2"/>
    </row>
    <row r="83" spans="2:20" customFormat="1" x14ac:dyDescent="0.25">
      <c r="B83" s="2992" t="s">
        <v>43</v>
      </c>
      <c r="C83" s="2992"/>
      <c r="D83" s="2270">
        <v>2</v>
      </c>
      <c r="E83" s="2270">
        <v>2</v>
      </c>
      <c r="F83" s="2270">
        <v>1</v>
      </c>
      <c r="G83" s="2270">
        <v>2</v>
      </c>
      <c r="H83" s="2270">
        <v>1</v>
      </c>
      <c r="I83" s="2270">
        <v>2</v>
      </c>
      <c r="J83" s="2270">
        <v>3</v>
      </c>
      <c r="K83" s="2270">
        <v>1</v>
      </c>
      <c r="L83" s="2270"/>
      <c r="M83" s="2270"/>
      <c r="N83" s="2270"/>
      <c r="O83" s="2270">
        <v>2</v>
      </c>
      <c r="P83" s="2270">
        <v>1</v>
      </c>
      <c r="Q83" s="2270">
        <v>2</v>
      </c>
      <c r="R83" s="2270">
        <v>2</v>
      </c>
      <c r="S83" s="2"/>
      <c r="T83" s="2"/>
    </row>
    <row r="84" spans="2:20" customFormat="1" x14ac:dyDescent="0.25">
      <c r="B84" s="2992" t="s">
        <v>67</v>
      </c>
      <c r="C84" s="2992"/>
      <c r="D84" s="2270">
        <v>2</v>
      </c>
      <c r="E84" s="2270">
        <v>2</v>
      </c>
      <c r="F84" s="2270">
        <v>1</v>
      </c>
      <c r="G84" s="2270">
        <v>2</v>
      </c>
      <c r="H84" s="2270">
        <v>1</v>
      </c>
      <c r="I84" s="2270">
        <v>3</v>
      </c>
      <c r="J84" s="2270">
        <v>3</v>
      </c>
      <c r="K84" s="2270">
        <v>2</v>
      </c>
      <c r="L84" s="2270"/>
      <c r="M84" s="2270"/>
      <c r="N84" s="2270"/>
      <c r="O84" s="2270">
        <v>3</v>
      </c>
      <c r="P84" s="2270">
        <v>1</v>
      </c>
      <c r="Q84" s="2270">
        <v>2</v>
      </c>
      <c r="R84" s="2270">
        <v>3</v>
      </c>
      <c r="S84" s="2"/>
      <c r="T84" s="2"/>
    </row>
    <row r="85" spans="2:20" customFormat="1" x14ac:dyDescent="0.25">
      <c r="B85" s="2985" t="s">
        <v>80</v>
      </c>
      <c r="C85" s="2985"/>
      <c r="D85" s="2493">
        <f t="shared" ref="D85:R85" si="7">AVERAGE(D79:D84)</f>
        <v>2.6666666666666665</v>
      </c>
      <c r="E85" s="2404">
        <f t="shared" si="7"/>
        <v>2.1666666666666665</v>
      </c>
      <c r="F85" s="2404">
        <f t="shared" si="7"/>
        <v>1.1666666666666667</v>
      </c>
      <c r="G85" s="2404">
        <f t="shared" si="7"/>
        <v>1.8333333333333333</v>
      </c>
      <c r="H85" s="2404">
        <f t="shared" si="7"/>
        <v>1</v>
      </c>
      <c r="I85" s="2404">
        <f t="shared" si="7"/>
        <v>1.8333333333333333</v>
      </c>
      <c r="J85" s="2404">
        <f t="shared" si="7"/>
        <v>2</v>
      </c>
      <c r="K85" s="2404">
        <f t="shared" si="7"/>
        <v>1.5</v>
      </c>
      <c r="L85" s="2404"/>
      <c r="M85" s="2404"/>
      <c r="N85" s="2404"/>
      <c r="O85" s="2404">
        <f t="shared" si="7"/>
        <v>2.1666666666666665</v>
      </c>
      <c r="P85" s="35">
        <f t="shared" si="7"/>
        <v>1.6666666666666667</v>
      </c>
      <c r="Q85" s="35">
        <f t="shared" si="7"/>
        <v>1.5</v>
      </c>
      <c r="R85" s="35">
        <f t="shared" si="7"/>
        <v>1.5</v>
      </c>
      <c r="S85" s="2"/>
      <c r="T85" s="2"/>
    </row>
    <row r="86" spans="2:20" customFormat="1" x14ac:dyDescent="0.25">
      <c r="B86" s="2985" t="s">
        <v>160</v>
      </c>
      <c r="C86" s="2985"/>
      <c r="D86" s="2986">
        <f>AVERAGE(D85:O85)</f>
        <v>1.8148148148148147</v>
      </c>
      <c r="E86" s="2987"/>
      <c r="F86" s="2987"/>
      <c r="G86" s="2987"/>
      <c r="H86" s="2987"/>
      <c r="I86" s="2987"/>
      <c r="J86" s="2987"/>
      <c r="K86" s="2987"/>
      <c r="L86" s="2987"/>
      <c r="M86" s="2987"/>
      <c r="N86" s="2987"/>
      <c r="O86" s="2988"/>
      <c r="P86" s="2989">
        <f>AVERAGE(P85:R85)</f>
        <v>1.5555555555555556</v>
      </c>
      <c r="Q86" s="2990"/>
      <c r="R86" s="2991"/>
      <c r="S86" s="2"/>
      <c r="T86" s="2"/>
    </row>
    <row r="87" spans="2:20" customFormat="1" x14ac:dyDescent="0.25">
      <c r="S87" s="2"/>
      <c r="T87" s="2"/>
    </row>
    <row r="88" spans="2:20" customFormat="1" x14ac:dyDescent="0.25">
      <c r="B88" s="18" t="s">
        <v>202</v>
      </c>
      <c r="C88" s="18"/>
      <c r="D88" s="1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S88" s="2"/>
      <c r="T88" s="2"/>
    </row>
    <row r="89" spans="2:20" customFormat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S89" s="2"/>
      <c r="T89" s="2"/>
    </row>
    <row r="90" spans="2:20" customFormat="1" x14ac:dyDescent="0.25">
      <c r="B90" s="2997" t="s">
        <v>45</v>
      </c>
      <c r="C90" s="2997"/>
      <c r="D90" s="68" t="s">
        <v>68</v>
      </c>
      <c r="E90" s="68" t="s">
        <v>69</v>
      </c>
      <c r="F90" s="68" t="s">
        <v>70</v>
      </c>
      <c r="G90" s="68" t="s">
        <v>71</v>
      </c>
      <c r="H90" s="68" t="s">
        <v>72</v>
      </c>
      <c r="I90" s="68" t="s">
        <v>73</v>
      </c>
      <c r="J90" s="68" t="s">
        <v>74</v>
      </c>
      <c r="K90" s="68" t="s">
        <v>75</v>
      </c>
      <c r="L90" s="68" t="s">
        <v>76</v>
      </c>
      <c r="M90" s="68" t="s">
        <v>77</v>
      </c>
      <c r="N90" s="68" t="s">
        <v>78</v>
      </c>
      <c r="O90" s="68" t="s">
        <v>79</v>
      </c>
      <c r="P90" s="68" t="s">
        <v>60</v>
      </c>
      <c r="Q90" s="68" t="s">
        <v>61</v>
      </c>
      <c r="R90" s="68" t="s">
        <v>62</v>
      </c>
      <c r="S90" s="2"/>
      <c r="T90" s="2"/>
    </row>
    <row r="91" spans="2:20" customFormat="1" x14ac:dyDescent="0.25">
      <c r="B91" s="2992" t="s">
        <v>22</v>
      </c>
      <c r="C91" s="2992"/>
      <c r="D91" s="26">
        <f t="shared" ref="D91:D96" si="8">($H68*D79)/3</f>
        <v>2.9999999999999996</v>
      </c>
      <c r="E91" s="318">
        <f t="shared" ref="E91:R91" si="9">($H68*E79)/3</f>
        <v>1.9999999999999998</v>
      </c>
      <c r="F91" s="318">
        <f t="shared" si="9"/>
        <v>0.99999999999999989</v>
      </c>
      <c r="G91" s="318">
        <f t="shared" si="9"/>
        <v>0.99999999999999989</v>
      </c>
      <c r="H91" s="318">
        <f t="shared" si="9"/>
        <v>0.99999999999999989</v>
      </c>
      <c r="I91" s="318">
        <f t="shared" si="9"/>
        <v>1.9999999999999998</v>
      </c>
      <c r="J91" s="318">
        <f t="shared" si="9"/>
        <v>1.9999999999999998</v>
      </c>
      <c r="K91" s="318"/>
      <c r="L91" s="318"/>
      <c r="M91" s="318"/>
      <c r="N91" s="318"/>
      <c r="O91" s="318">
        <f t="shared" si="9"/>
        <v>1.9999999999999998</v>
      </c>
      <c r="P91" s="318">
        <f t="shared" si="9"/>
        <v>1.9999999999999998</v>
      </c>
      <c r="Q91" s="318">
        <f t="shared" si="9"/>
        <v>0.99999999999999989</v>
      </c>
      <c r="R91" s="318">
        <f t="shared" si="9"/>
        <v>0.99999999999999989</v>
      </c>
      <c r="S91" s="2"/>
      <c r="T91" s="2"/>
    </row>
    <row r="92" spans="2:20" customFormat="1" x14ac:dyDescent="0.25">
      <c r="B92" s="2992" t="s">
        <v>40</v>
      </c>
      <c r="C92" s="2992"/>
      <c r="D92" s="26">
        <f t="shared" si="8"/>
        <v>2.9999999999999996</v>
      </c>
      <c r="E92" s="318">
        <f t="shared" ref="E92:R92" si="10">($H69*E80)/3</f>
        <v>2.9999999999999996</v>
      </c>
      <c r="F92" s="318">
        <f t="shared" si="10"/>
        <v>0.99999999999999989</v>
      </c>
      <c r="G92" s="318">
        <f t="shared" si="10"/>
        <v>1.9999999999999998</v>
      </c>
      <c r="H92" s="318">
        <f t="shared" si="10"/>
        <v>0.99999999999999989</v>
      </c>
      <c r="I92" s="318">
        <f t="shared" si="10"/>
        <v>0.99999999999999989</v>
      </c>
      <c r="J92" s="318">
        <f t="shared" si="10"/>
        <v>0.99999999999999989</v>
      </c>
      <c r="K92" s="318"/>
      <c r="L92" s="318"/>
      <c r="M92" s="318"/>
      <c r="N92" s="318"/>
      <c r="O92" s="318">
        <f t="shared" si="10"/>
        <v>1.9999999999999998</v>
      </c>
      <c r="P92" s="318">
        <f t="shared" si="10"/>
        <v>1.9999999999999998</v>
      </c>
      <c r="Q92" s="318">
        <f t="shared" si="10"/>
        <v>0.99999999999999989</v>
      </c>
      <c r="R92" s="318">
        <f t="shared" si="10"/>
        <v>0.99999999999999989</v>
      </c>
      <c r="S92" s="2"/>
      <c r="T92" s="2"/>
    </row>
    <row r="93" spans="2:20" customFormat="1" x14ac:dyDescent="0.25">
      <c r="B93" s="2992" t="s">
        <v>41</v>
      </c>
      <c r="C93" s="2992"/>
      <c r="D93" s="26">
        <f t="shared" si="8"/>
        <v>2.9999999999999996</v>
      </c>
      <c r="E93" s="318">
        <f t="shared" ref="E93:R93" si="11">($H70*E81)/3</f>
        <v>1.9999999999999998</v>
      </c>
      <c r="F93" s="318">
        <f t="shared" si="11"/>
        <v>0.99999999999999989</v>
      </c>
      <c r="G93" s="318">
        <f t="shared" si="11"/>
        <v>1.9999999999999998</v>
      </c>
      <c r="H93" s="318">
        <f t="shared" si="11"/>
        <v>0.99999999999999989</v>
      </c>
      <c r="I93" s="318">
        <f t="shared" si="11"/>
        <v>1.9999999999999998</v>
      </c>
      <c r="J93" s="318">
        <f t="shared" si="11"/>
        <v>1.9999999999999998</v>
      </c>
      <c r="K93" s="318"/>
      <c r="L93" s="318"/>
      <c r="M93" s="318"/>
      <c r="N93" s="318"/>
      <c r="O93" s="318">
        <f t="shared" si="11"/>
        <v>1.9999999999999998</v>
      </c>
      <c r="P93" s="318">
        <f t="shared" si="11"/>
        <v>1.9999999999999998</v>
      </c>
      <c r="Q93" s="318">
        <f t="shared" si="11"/>
        <v>0.99999999999999989</v>
      </c>
      <c r="R93" s="318">
        <f t="shared" si="11"/>
        <v>0.99999999999999989</v>
      </c>
      <c r="S93" s="2"/>
      <c r="T93" s="2"/>
    </row>
    <row r="94" spans="2:20" customFormat="1" x14ac:dyDescent="0.25">
      <c r="B94" s="2992" t="s">
        <v>42</v>
      </c>
      <c r="C94" s="2992"/>
      <c r="D94" s="26">
        <f t="shared" si="8"/>
        <v>2.9999999999999996</v>
      </c>
      <c r="E94" s="318">
        <f t="shared" ref="E94:R94" si="12">($H71*E82)/3</f>
        <v>1.9999999999999998</v>
      </c>
      <c r="F94" s="318">
        <f t="shared" si="12"/>
        <v>1.9999999999999998</v>
      </c>
      <c r="G94" s="318">
        <f t="shared" si="12"/>
        <v>1.9999999999999998</v>
      </c>
      <c r="H94" s="318">
        <f t="shared" si="12"/>
        <v>0.99999999999999989</v>
      </c>
      <c r="I94" s="318">
        <f t="shared" si="12"/>
        <v>0.99999999999999989</v>
      </c>
      <c r="J94" s="318">
        <f t="shared" si="12"/>
        <v>0.99999999999999989</v>
      </c>
      <c r="K94" s="318"/>
      <c r="L94" s="318"/>
      <c r="M94" s="318"/>
      <c r="N94" s="318"/>
      <c r="O94" s="318">
        <f t="shared" si="12"/>
        <v>1.9999999999999998</v>
      </c>
      <c r="P94" s="318">
        <f t="shared" si="12"/>
        <v>1.9999999999999998</v>
      </c>
      <c r="Q94" s="318">
        <f t="shared" si="12"/>
        <v>1.9999999999999998</v>
      </c>
      <c r="R94" s="318">
        <f t="shared" si="12"/>
        <v>0.99999999999999989</v>
      </c>
      <c r="S94" s="2"/>
      <c r="T94" s="2"/>
    </row>
    <row r="95" spans="2:20" customFormat="1" x14ac:dyDescent="0.25">
      <c r="B95" s="2992" t="s">
        <v>43</v>
      </c>
      <c r="C95" s="2992"/>
      <c r="D95" s="26">
        <f t="shared" si="8"/>
        <v>1.9999999999999998</v>
      </c>
      <c r="E95" s="318">
        <f t="shared" ref="E95:R95" si="13">($H72*E83)/3</f>
        <v>1.9999999999999998</v>
      </c>
      <c r="F95" s="318">
        <f t="shared" si="13"/>
        <v>0.99999999999999989</v>
      </c>
      <c r="G95" s="318">
        <f t="shared" si="13"/>
        <v>1.9999999999999998</v>
      </c>
      <c r="H95" s="318">
        <f t="shared" si="13"/>
        <v>0.99999999999999989</v>
      </c>
      <c r="I95" s="318">
        <f t="shared" si="13"/>
        <v>1.9999999999999998</v>
      </c>
      <c r="J95" s="318">
        <f t="shared" si="13"/>
        <v>2.9999999999999996</v>
      </c>
      <c r="K95" s="318">
        <f t="shared" si="13"/>
        <v>0.99999999999999989</v>
      </c>
      <c r="L95" s="318"/>
      <c r="M95" s="318"/>
      <c r="N95" s="318"/>
      <c r="O95" s="318">
        <f t="shared" si="13"/>
        <v>1.9999999999999998</v>
      </c>
      <c r="P95" s="318">
        <f t="shared" si="13"/>
        <v>0.99999999999999989</v>
      </c>
      <c r="Q95" s="318">
        <f t="shared" si="13"/>
        <v>1.9999999999999998</v>
      </c>
      <c r="R95" s="318">
        <f t="shared" si="13"/>
        <v>1.9999999999999998</v>
      </c>
      <c r="S95" s="2"/>
      <c r="T95" s="2"/>
    </row>
    <row r="96" spans="2:20" customFormat="1" x14ac:dyDescent="0.25">
      <c r="B96" s="2992" t="s">
        <v>67</v>
      </c>
      <c r="C96" s="2992"/>
      <c r="D96" s="26">
        <f t="shared" si="8"/>
        <v>1.9999999999999998</v>
      </c>
      <c r="E96" s="318">
        <f t="shared" ref="E96:R96" si="14">($H73*E84)/3</f>
        <v>1.9999999999999998</v>
      </c>
      <c r="F96" s="318">
        <f t="shared" si="14"/>
        <v>0.99999999999999989</v>
      </c>
      <c r="G96" s="318">
        <f t="shared" si="14"/>
        <v>1.9999999999999998</v>
      </c>
      <c r="H96" s="318">
        <f t="shared" si="14"/>
        <v>0.99999999999999989</v>
      </c>
      <c r="I96" s="318">
        <f t="shared" si="14"/>
        <v>2.9999999999999996</v>
      </c>
      <c r="J96" s="318">
        <f t="shared" si="14"/>
        <v>2.9999999999999996</v>
      </c>
      <c r="K96" s="318">
        <f t="shared" si="14"/>
        <v>1.9999999999999998</v>
      </c>
      <c r="L96" s="318"/>
      <c r="M96" s="318"/>
      <c r="N96" s="318"/>
      <c r="O96" s="318">
        <f t="shared" si="14"/>
        <v>2.9999999999999996</v>
      </c>
      <c r="P96" s="318">
        <f t="shared" si="14"/>
        <v>0.99999999999999989</v>
      </c>
      <c r="Q96" s="318">
        <f t="shared" si="14"/>
        <v>1.9999999999999998</v>
      </c>
      <c r="R96" s="318">
        <f t="shared" si="14"/>
        <v>2.9999999999999996</v>
      </c>
      <c r="S96" s="2"/>
      <c r="T96" s="2"/>
    </row>
    <row r="97" spans="2:20" customFormat="1" x14ac:dyDescent="0.25">
      <c r="B97" s="2997" t="s">
        <v>10</v>
      </c>
      <c r="C97" s="2997"/>
      <c r="D97" s="14">
        <f t="shared" ref="D97:O97" si="15">AVERAGE(D91:D96)</f>
        <v>2.6666666666666665</v>
      </c>
      <c r="E97" s="14">
        <f t="shared" si="15"/>
        <v>2.1666666666666665</v>
      </c>
      <c r="F97" s="14">
        <f t="shared" si="15"/>
        <v>1.1666666666666665</v>
      </c>
      <c r="G97" s="14">
        <f t="shared" si="15"/>
        <v>1.833333333333333</v>
      </c>
      <c r="H97" s="14">
        <f t="shared" si="15"/>
        <v>0.99999999999999989</v>
      </c>
      <c r="I97" s="14">
        <f t="shared" si="15"/>
        <v>1.833333333333333</v>
      </c>
      <c r="J97" s="14">
        <f t="shared" si="15"/>
        <v>1.9999999999999998</v>
      </c>
      <c r="K97" s="14">
        <f t="shared" si="15"/>
        <v>1.4999999999999998</v>
      </c>
      <c r="L97" s="14"/>
      <c r="M97" s="14"/>
      <c r="N97" s="14"/>
      <c r="O97" s="14">
        <f t="shared" si="15"/>
        <v>2.1666666666666665</v>
      </c>
      <c r="P97" s="262">
        <f>AVERAGE(P91:P96)</f>
        <v>1.6666666666666663</v>
      </c>
      <c r="Q97" s="262">
        <f t="shared" ref="Q97:R97" si="16">AVERAGE(Q91:Q96)</f>
        <v>1.4999999999999998</v>
      </c>
      <c r="R97" s="262">
        <f t="shared" si="16"/>
        <v>1.4999999999999998</v>
      </c>
      <c r="S97" s="2"/>
      <c r="T97" s="2"/>
    </row>
    <row r="98" spans="2:20" x14ac:dyDescent="0.25">
      <c r="B98" s="2997" t="s">
        <v>58</v>
      </c>
      <c r="C98" s="2997"/>
      <c r="D98" s="2891">
        <f>AVERAGE(D97:O97)</f>
        <v>1.8148148148148147</v>
      </c>
      <c r="E98" s="2892"/>
      <c r="F98" s="2892"/>
      <c r="G98" s="2892"/>
      <c r="H98" s="2892"/>
      <c r="I98" s="2892"/>
      <c r="J98" s="2892"/>
      <c r="K98" s="2892"/>
      <c r="L98" s="2892"/>
      <c r="M98" s="2892"/>
      <c r="N98" s="2892"/>
      <c r="O98" s="2893"/>
      <c r="P98" s="2993">
        <f>AVERAGE(P97:R97)</f>
        <v>1.5555555555555554</v>
      </c>
      <c r="Q98" s="2994"/>
      <c r="R98" s="2995"/>
    </row>
  </sheetData>
  <mergeCells count="52">
    <mergeCell ref="P98:R98"/>
    <mergeCell ref="A61:B61"/>
    <mergeCell ref="W61:AA61"/>
    <mergeCell ref="AE61:AI61"/>
    <mergeCell ref="B95:C95"/>
    <mergeCell ref="B96:C96"/>
    <mergeCell ref="B97:C97"/>
    <mergeCell ref="B98:C98"/>
    <mergeCell ref="D98:O98"/>
    <mergeCell ref="B90:C90"/>
    <mergeCell ref="B91:C91"/>
    <mergeCell ref="B92:C92"/>
    <mergeCell ref="B93:C93"/>
    <mergeCell ref="B94:C94"/>
    <mergeCell ref="B84:C84"/>
    <mergeCell ref="B85:C85"/>
    <mergeCell ref="B86:C86"/>
    <mergeCell ref="D86:O86"/>
    <mergeCell ref="P86:R86"/>
    <mergeCell ref="B79:C79"/>
    <mergeCell ref="B80:C80"/>
    <mergeCell ref="B81:C81"/>
    <mergeCell ref="B82:C82"/>
    <mergeCell ref="B83:C83"/>
    <mergeCell ref="T6:T8"/>
    <mergeCell ref="U6:U8"/>
    <mergeCell ref="T9:U9"/>
    <mergeCell ref="C74:G74"/>
    <mergeCell ref="B78:C78"/>
    <mergeCell ref="H4:I4"/>
    <mergeCell ref="J4:L4"/>
    <mergeCell ref="C5:J5"/>
    <mergeCell ref="K5:R5"/>
    <mergeCell ref="P6:P7"/>
    <mergeCell ref="Q6:Q7"/>
    <mergeCell ref="R6:R7"/>
    <mergeCell ref="A2:B2"/>
    <mergeCell ref="C2:E2"/>
    <mergeCell ref="H2:I2"/>
    <mergeCell ref="J2:L2"/>
    <mergeCell ref="A62:B62"/>
    <mergeCell ref="A3:B3"/>
    <mergeCell ref="H3:I3"/>
    <mergeCell ref="J3:L3"/>
    <mergeCell ref="B6:B7"/>
    <mergeCell ref="C6:G6"/>
    <mergeCell ref="H6:H7"/>
    <mergeCell ref="I6:I7"/>
    <mergeCell ref="J6:J7"/>
    <mergeCell ref="K6:O6"/>
    <mergeCell ref="M3:N3"/>
    <mergeCell ref="C4:E4"/>
  </mergeCells>
  <conditionalFormatting sqref="D91:R96 D97:O97">
    <cfRule type="cellIs" dxfId="128" priority="1" operator="equal">
      <formula>0</formula>
    </cfRule>
  </conditionalFormatting>
  <pageMargins left="0.7" right="0.7" top="0.75" bottom="0.75" header="0.3" footer="0.3"/>
  <pageSetup paperSize="8" scale="53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AS111"/>
  <sheetViews>
    <sheetView topLeftCell="A55" zoomScale="70" zoomScaleNormal="70" workbookViewId="0">
      <selection activeCell="F91" sqref="F91"/>
    </sheetView>
  </sheetViews>
  <sheetFormatPr defaultRowHeight="15" x14ac:dyDescent="0.25"/>
  <cols>
    <col min="1" max="1" width="10.5703125" style="288" customWidth="1"/>
    <col min="2" max="2" width="22.28515625" style="267" bestFit="1" customWidth="1"/>
    <col min="3" max="3" width="11.28515625" style="267" customWidth="1"/>
    <col min="4" max="6" width="9.42578125" style="267" bestFit="1" customWidth="1"/>
    <col min="7" max="7" width="9.85546875" style="267" customWidth="1"/>
    <col min="8" max="9" width="9.42578125" style="267" bestFit="1" customWidth="1"/>
    <col min="10" max="10" width="9.5703125" style="267" customWidth="1"/>
    <col min="11" max="11" width="8.42578125" style="267" customWidth="1"/>
    <col min="12" max="24" width="9.42578125" style="267" bestFit="1" customWidth="1"/>
    <col min="25" max="25" width="18.28515625" style="267" customWidth="1"/>
    <col min="26" max="26" width="6" style="267" customWidth="1"/>
    <col min="27" max="27" width="9.140625" style="267"/>
    <col min="28" max="28" width="9.42578125" style="267" bestFit="1" customWidth="1"/>
    <col min="29" max="29" width="5" style="267" customWidth="1"/>
    <col min="30" max="30" width="5.42578125" style="267" customWidth="1"/>
    <col min="31" max="31" width="27.7109375" style="267" customWidth="1"/>
    <col min="32" max="37" width="9.140625" style="267"/>
    <col min="38" max="40" width="8.85546875" style="267" bestFit="1" customWidth="1"/>
    <col min="41" max="43" width="10.85546875" style="267" bestFit="1" customWidth="1"/>
    <col min="44" max="44" width="11.85546875" style="267" bestFit="1" customWidth="1"/>
    <col min="45" max="47" width="10.85546875" style="267" bestFit="1" customWidth="1"/>
    <col min="48" max="256" width="9.140625" style="267"/>
    <col min="257" max="257" width="10.5703125" style="267" customWidth="1"/>
    <col min="258" max="258" width="18.28515625" style="267" bestFit="1" customWidth="1"/>
    <col min="259" max="259" width="11.28515625" style="267" customWidth="1"/>
    <col min="260" max="262" width="9.140625" style="267"/>
    <col min="263" max="263" width="9.85546875" style="267" customWidth="1"/>
    <col min="264" max="265" width="9.140625" style="267"/>
    <col min="266" max="266" width="11" style="267" customWidth="1"/>
    <col min="267" max="280" width="9.140625" style="267"/>
    <col min="281" max="281" width="19.7109375" style="267" customWidth="1"/>
    <col min="282" max="512" width="9.140625" style="267"/>
    <col min="513" max="513" width="10.5703125" style="267" customWidth="1"/>
    <col min="514" max="514" width="18.28515625" style="267" bestFit="1" customWidth="1"/>
    <col min="515" max="515" width="11.28515625" style="267" customWidth="1"/>
    <col min="516" max="518" width="9.140625" style="267"/>
    <col min="519" max="519" width="9.85546875" style="267" customWidth="1"/>
    <col min="520" max="521" width="9.140625" style="267"/>
    <col min="522" max="522" width="11" style="267" customWidth="1"/>
    <col min="523" max="536" width="9.140625" style="267"/>
    <col min="537" max="537" width="19.7109375" style="267" customWidth="1"/>
    <col min="538" max="768" width="9.140625" style="267"/>
    <col min="769" max="769" width="10.5703125" style="267" customWidth="1"/>
    <col min="770" max="770" width="18.28515625" style="267" bestFit="1" customWidth="1"/>
    <col min="771" max="771" width="11.28515625" style="267" customWidth="1"/>
    <col min="772" max="774" width="9.140625" style="267"/>
    <col min="775" max="775" width="9.85546875" style="267" customWidth="1"/>
    <col min="776" max="777" width="9.140625" style="267"/>
    <col min="778" max="778" width="11" style="267" customWidth="1"/>
    <col min="779" max="792" width="9.140625" style="267"/>
    <col min="793" max="793" width="19.7109375" style="267" customWidth="1"/>
    <col min="794" max="1024" width="9.140625" style="267"/>
    <col min="1025" max="1025" width="10.5703125" style="267" customWidth="1"/>
    <col min="1026" max="1026" width="18.28515625" style="267" bestFit="1" customWidth="1"/>
    <col min="1027" max="1027" width="11.28515625" style="267" customWidth="1"/>
    <col min="1028" max="1030" width="9.140625" style="267"/>
    <col min="1031" max="1031" width="9.85546875" style="267" customWidth="1"/>
    <col min="1032" max="1033" width="9.140625" style="267"/>
    <col min="1034" max="1034" width="11" style="267" customWidth="1"/>
    <col min="1035" max="1048" width="9.140625" style="267"/>
    <col min="1049" max="1049" width="19.7109375" style="267" customWidth="1"/>
    <col min="1050" max="1280" width="9.140625" style="267"/>
    <col min="1281" max="1281" width="10.5703125" style="267" customWidth="1"/>
    <col min="1282" max="1282" width="18.28515625" style="267" bestFit="1" customWidth="1"/>
    <col min="1283" max="1283" width="11.28515625" style="267" customWidth="1"/>
    <col min="1284" max="1286" width="9.140625" style="267"/>
    <col min="1287" max="1287" width="9.85546875" style="267" customWidth="1"/>
    <col min="1288" max="1289" width="9.140625" style="267"/>
    <col min="1290" max="1290" width="11" style="267" customWidth="1"/>
    <col min="1291" max="1304" width="9.140625" style="267"/>
    <col min="1305" max="1305" width="19.7109375" style="267" customWidth="1"/>
    <col min="1306" max="1536" width="9.140625" style="267"/>
    <col min="1537" max="1537" width="10.5703125" style="267" customWidth="1"/>
    <col min="1538" max="1538" width="18.28515625" style="267" bestFit="1" customWidth="1"/>
    <col min="1539" max="1539" width="11.28515625" style="267" customWidth="1"/>
    <col min="1540" max="1542" width="9.140625" style="267"/>
    <col min="1543" max="1543" width="9.85546875" style="267" customWidth="1"/>
    <col min="1544" max="1545" width="9.140625" style="267"/>
    <col min="1546" max="1546" width="11" style="267" customWidth="1"/>
    <col min="1547" max="1560" width="9.140625" style="267"/>
    <col min="1561" max="1561" width="19.7109375" style="267" customWidth="1"/>
    <col min="1562" max="1792" width="9.140625" style="267"/>
    <col min="1793" max="1793" width="10.5703125" style="267" customWidth="1"/>
    <col min="1794" max="1794" width="18.28515625" style="267" bestFit="1" customWidth="1"/>
    <col min="1795" max="1795" width="11.28515625" style="267" customWidth="1"/>
    <col min="1796" max="1798" width="9.140625" style="267"/>
    <col min="1799" max="1799" width="9.85546875" style="267" customWidth="1"/>
    <col min="1800" max="1801" width="9.140625" style="267"/>
    <col min="1802" max="1802" width="11" style="267" customWidth="1"/>
    <col min="1803" max="1816" width="9.140625" style="267"/>
    <col min="1817" max="1817" width="19.7109375" style="267" customWidth="1"/>
    <col min="1818" max="2048" width="9.140625" style="267"/>
    <col min="2049" max="2049" width="10.5703125" style="267" customWidth="1"/>
    <col min="2050" max="2050" width="18.28515625" style="267" bestFit="1" customWidth="1"/>
    <col min="2051" max="2051" width="11.28515625" style="267" customWidth="1"/>
    <col min="2052" max="2054" width="9.140625" style="267"/>
    <col min="2055" max="2055" width="9.85546875" style="267" customWidth="1"/>
    <col min="2056" max="2057" width="9.140625" style="267"/>
    <col min="2058" max="2058" width="11" style="267" customWidth="1"/>
    <col min="2059" max="2072" width="9.140625" style="267"/>
    <col min="2073" max="2073" width="19.7109375" style="267" customWidth="1"/>
    <col min="2074" max="2304" width="9.140625" style="267"/>
    <col min="2305" max="2305" width="10.5703125" style="267" customWidth="1"/>
    <col min="2306" max="2306" width="18.28515625" style="267" bestFit="1" customWidth="1"/>
    <col min="2307" max="2307" width="11.28515625" style="267" customWidth="1"/>
    <col min="2308" max="2310" width="9.140625" style="267"/>
    <col min="2311" max="2311" width="9.85546875" style="267" customWidth="1"/>
    <col min="2312" max="2313" width="9.140625" style="267"/>
    <col min="2314" max="2314" width="11" style="267" customWidth="1"/>
    <col min="2315" max="2328" width="9.140625" style="267"/>
    <col min="2329" max="2329" width="19.7109375" style="267" customWidth="1"/>
    <col min="2330" max="2560" width="9.140625" style="267"/>
    <col min="2561" max="2561" width="10.5703125" style="267" customWidth="1"/>
    <col min="2562" max="2562" width="18.28515625" style="267" bestFit="1" customWidth="1"/>
    <col min="2563" max="2563" width="11.28515625" style="267" customWidth="1"/>
    <col min="2564" max="2566" width="9.140625" style="267"/>
    <col min="2567" max="2567" width="9.85546875" style="267" customWidth="1"/>
    <col min="2568" max="2569" width="9.140625" style="267"/>
    <col min="2570" max="2570" width="11" style="267" customWidth="1"/>
    <col min="2571" max="2584" width="9.140625" style="267"/>
    <col min="2585" max="2585" width="19.7109375" style="267" customWidth="1"/>
    <col min="2586" max="2816" width="9.140625" style="267"/>
    <col min="2817" max="2817" width="10.5703125" style="267" customWidth="1"/>
    <col min="2818" max="2818" width="18.28515625" style="267" bestFit="1" customWidth="1"/>
    <col min="2819" max="2819" width="11.28515625" style="267" customWidth="1"/>
    <col min="2820" max="2822" width="9.140625" style="267"/>
    <col min="2823" max="2823" width="9.85546875" style="267" customWidth="1"/>
    <col min="2824" max="2825" width="9.140625" style="267"/>
    <col min="2826" max="2826" width="11" style="267" customWidth="1"/>
    <col min="2827" max="2840" width="9.140625" style="267"/>
    <col min="2841" max="2841" width="19.7109375" style="267" customWidth="1"/>
    <col min="2842" max="3072" width="9.140625" style="267"/>
    <col min="3073" max="3073" width="10.5703125" style="267" customWidth="1"/>
    <col min="3074" max="3074" width="18.28515625" style="267" bestFit="1" customWidth="1"/>
    <col min="3075" max="3075" width="11.28515625" style="267" customWidth="1"/>
    <col min="3076" max="3078" width="9.140625" style="267"/>
    <col min="3079" max="3079" width="9.85546875" style="267" customWidth="1"/>
    <col min="3080" max="3081" width="9.140625" style="267"/>
    <col min="3082" max="3082" width="11" style="267" customWidth="1"/>
    <col min="3083" max="3096" width="9.140625" style="267"/>
    <col min="3097" max="3097" width="19.7109375" style="267" customWidth="1"/>
    <col min="3098" max="3328" width="9.140625" style="267"/>
    <col min="3329" max="3329" width="10.5703125" style="267" customWidth="1"/>
    <col min="3330" max="3330" width="18.28515625" style="267" bestFit="1" customWidth="1"/>
    <col min="3331" max="3331" width="11.28515625" style="267" customWidth="1"/>
    <col min="3332" max="3334" width="9.140625" style="267"/>
    <col min="3335" max="3335" width="9.85546875" style="267" customWidth="1"/>
    <col min="3336" max="3337" width="9.140625" style="267"/>
    <col min="3338" max="3338" width="11" style="267" customWidth="1"/>
    <col min="3339" max="3352" width="9.140625" style="267"/>
    <col min="3353" max="3353" width="19.7109375" style="267" customWidth="1"/>
    <col min="3354" max="3584" width="9.140625" style="267"/>
    <col min="3585" max="3585" width="10.5703125" style="267" customWidth="1"/>
    <col min="3586" max="3586" width="18.28515625" style="267" bestFit="1" customWidth="1"/>
    <col min="3587" max="3587" width="11.28515625" style="267" customWidth="1"/>
    <col min="3588" max="3590" width="9.140625" style="267"/>
    <col min="3591" max="3591" width="9.85546875" style="267" customWidth="1"/>
    <col min="3592" max="3593" width="9.140625" style="267"/>
    <col min="3594" max="3594" width="11" style="267" customWidth="1"/>
    <col min="3595" max="3608" width="9.140625" style="267"/>
    <col min="3609" max="3609" width="19.7109375" style="267" customWidth="1"/>
    <col min="3610" max="3840" width="9.140625" style="267"/>
    <col min="3841" max="3841" width="10.5703125" style="267" customWidth="1"/>
    <col min="3842" max="3842" width="18.28515625" style="267" bestFit="1" customWidth="1"/>
    <col min="3843" max="3843" width="11.28515625" style="267" customWidth="1"/>
    <col min="3844" max="3846" width="9.140625" style="267"/>
    <col min="3847" max="3847" width="9.85546875" style="267" customWidth="1"/>
    <col min="3848" max="3849" width="9.140625" style="267"/>
    <col min="3850" max="3850" width="11" style="267" customWidth="1"/>
    <col min="3851" max="3864" width="9.140625" style="267"/>
    <col min="3865" max="3865" width="19.7109375" style="267" customWidth="1"/>
    <col min="3866" max="4096" width="9.140625" style="267"/>
    <col min="4097" max="4097" width="10.5703125" style="267" customWidth="1"/>
    <col min="4098" max="4098" width="18.28515625" style="267" bestFit="1" customWidth="1"/>
    <col min="4099" max="4099" width="11.28515625" style="267" customWidth="1"/>
    <col min="4100" max="4102" width="9.140625" style="267"/>
    <col min="4103" max="4103" width="9.85546875" style="267" customWidth="1"/>
    <col min="4104" max="4105" width="9.140625" style="267"/>
    <col min="4106" max="4106" width="11" style="267" customWidth="1"/>
    <col min="4107" max="4120" width="9.140625" style="267"/>
    <col min="4121" max="4121" width="19.7109375" style="267" customWidth="1"/>
    <col min="4122" max="4352" width="9.140625" style="267"/>
    <col min="4353" max="4353" width="10.5703125" style="267" customWidth="1"/>
    <col min="4354" max="4354" width="18.28515625" style="267" bestFit="1" customWidth="1"/>
    <col min="4355" max="4355" width="11.28515625" style="267" customWidth="1"/>
    <col min="4356" max="4358" width="9.140625" style="267"/>
    <col min="4359" max="4359" width="9.85546875" style="267" customWidth="1"/>
    <col min="4360" max="4361" width="9.140625" style="267"/>
    <col min="4362" max="4362" width="11" style="267" customWidth="1"/>
    <col min="4363" max="4376" width="9.140625" style="267"/>
    <col min="4377" max="4377" width="19.7109375" style="267" customWidth="1"/>
    <col min="4378" max="4608" width="9.140625" style="267"/>
    <col min="4609" max="4609" width="10.5703125" style="267" customWidth="1"/>
    <col min="4610" max="4610" width="18.28515625" style="267" bestFit="1" customWidth="1"/>
    <col min="4611" max="4611" width="11.28515625" style="267" customWidth="1"/>
    <col min="4612" max="4614" width="9.140625" style="267"/>
    <col min="4615" max="4615" width="9.85546875" style="267" customWidth="1"/>
    <col min="4616" max="4617" width="9.140625" style="267"/>
    <col min="4618" max="4618" width="11" style="267" customWidth="1"/>
    <col min="4619" max="4632" width="9.140625" style="267"/>
    <col min="4633" max="4633" width="19.7109375" style="267" customWidth="1"/>
    <col min="4634" max="4864" width="9.140625" style="267"/>
    <col min="4865" max="4865" width="10.5703125" style="267" customWidth="1"/>
    <col min="4866" max="4866" width="18.28515625" style="267" bestFit="1" customWidth="1"/>
    <col min="4867" max="4867" width="11.28515625" style="267" customWidth="1"/>
    <col min="4868" max="4870" width="9.140625" style="267"/>
    <col min="4871" max="4871" width="9.85546875" style="267" customWidth="1"/>
    <col min="4872" max="4873" width="9.140625" style="267"/>
    <col min="4874" max="4874" width="11" style="267" customWidth="1"/>
    <col min="4875" max="4888" width="9.140625" style="267"/>
    <col min="4889" max="4889" width="19.7109375" style="267" customWidth="1"/>
    <col min="4890" max="5120" width="9.140625" style="267"/>
    <col min="5121" max="5121" width="10.5703125" style="267" customWidth="1"/>
    <col min="5122" max="5122" width="18.28515625" style="267" bestFit="1" customWidth="1"/>
    <col min="5123" max="5123" width="11.28515625" style="267" customWidth="1"/>
    <col min="5124" max="5126" width="9.140625" style="267"/>
    <col min="5127" max="5127" width="9.85546875" style="267" customWidth="1"/>
    <col min="5128" max="5129" width="9.140625" style="267"/>
    <col min="5130" max="5130" width="11" style="267" customWidth="1"/>
    <col min="5131" max="5144" width="9.140625" style="267"/>
    <col min="5145" max="5145" width="19.7109375" style="267" customWidth="1"/>
    <col min="5146" max="5376" width="9.140625" style="267"/>
    <col min="5377" max="5377" width="10.5703125" style="267" customWidth="1"/>
    <col min="5378" max="5378" width="18.28515625" style="267" bestFit="1" customWidth="1"/>
    <col min="5379" max="5379" width="11.28515625" style="267" customWidth="1"/>
    <col min="5380" max="5382" width="9.140625" style="267"/>
    <col min="5383" max="5383" width="9.85546875" style="267" customWidth="1"/>
    <col min="5384" max="5385" width="9.140625" style="267"/>
    <col min="5386" max="5386" width="11" style="267" customWidth="1"/>
    <col min="5387" max="5400" width="9.140625" style="267"/>
    <col min="5401" max="5401" width="19.7109375" style="267" customWidth="1"/>
    <col min="5402" max="5632" width="9.140625" style="267"/>
    <col min="5633" max="5633" width="10.5703125" style="267" customWidth="1"/>
    <col min="5634" max="5634" width="18.28515625" style="267" bestFit="1" customWidth="1"/>
    <col min="5635" max="5635" width="11.28515625" style="267" customWidth="1"/>
    <col min="5636" max="5638" width="9.140625" style="267"/>
    <col min="5639" max="5639" width="9.85546875" style="267" customWidth="1"/>
    <col min="5640" max="5641" width="9.140625" style="267"/>
    <col min="5642" max="5642" width="11" style="267" customWidth="1"/>
    <col min="5643" max="5656" width="9.140625" style="267"/>
    <col min="5657" max="5657" width="19.7109375" style="267" customWidth="1"/>
    <col min="5658" max="5888" width="9.140625" style="267"/>
    <col min="5889" max="5889" width="10.5703125" style="267" customWidth="1"/>
    <col min="5890" max="5890" width="18.28515625" style="267" bestFit="1" customWidth="1"/>
    <col min="5891" max="5891" width="11.28515625" style="267" customWidth="1"/>
    <col min="5892" max="5894" width="9.140625" style="267"/>
    <col min="5895" max="5895" width="9.85546875" style="267" customWidth="1"/>
    <col min="5896" max="5897" width="9.140625" style="267"/>
    <col min="5898" max="5898" width="11" style="267" customWidth="1"/>
    <col min="5899" max="5912" width="9.140625" style="267"/>
    <col min="5913" max="5913" width="19.7109375" style="267" customWidth="1"/>
    <col min="5914" max="6144" width="9.140625" style="267"/>
    <col min="6145" max="6145" width="10.5703125" style="267" customWidth="1"/>
    <col min="6146" max="6146" width="18.28515625" style="267" bestFit="1" customWidth="1"/>
    <col min="6147" max="6147" width="11.28515625" style="267" customWidth="1"/>
    <col min="6148" max="6150" width="9.140625" style="267"/>
    <col min="6151" max="6151" width="9.85546875" style="267" customWidth="1"/>
    <col min="6152" max="6153" width="9.140625" style="267"/>
    <col min="6154" max="6154" width="11" style="267" customWidth="1"/>
    <col min="6155" max="6168" width="9.140625" style="267"/>
    <col min="6169" max="6169" width="19.7109375" style="267" customWidth="1"/>
    <col min="6170" max="6400" width="9.140625" style="267"/>
    <col min="6401" max="6401" width="10.5703125" style="267" customWidth="1"/>
    <col min="6402" max="6402" width="18.28515625" style="267" bestFit="1" customWidth="1"/>
    <col min="6403" max="6403" width="11.28515625" style="267" customWidth="1"/>
    <col min="6404" max="6406" width="9.140625" style="267"/>
    <col min="6407" max="6407" width="9.85546875" style="267" customWidth="1"/>
    <col min="6408" max="6409" width="9.140625" style="267"/>
    <col min="6410" max="6410" width="11" style="267" customWidth="1"/>
    <col min="6411" max="6424" width="9.140625" style="267"/>
    <col min="6425" max="6425" width="19.7109375" style="267" customWidth="1"/>
    <col min="6426" max="6656" width="9.140625" style="267"/>
    <col min="6657" max="6657" width="10.5703125" style="267" customWidth="1"/>
    <col min="6658" max="6658" width="18.28515625" style="267" bestFit="1" customWidth="1"/>
    <col min="6659" max="6659" width="11.28515625" style="267" customWidth="1"/>
    <col min="6660" max="6662" width="9.140625" style="267"/>
    <col min="6663" max="6663" width="9.85546875" style="267" customWidth="1"/>
    <col min="6664" max="6665" width="9.140625" style="267"/>
    <col min="6666" max="6666" width="11" style="267" customWidth="1"/>
    <col min="6667" max="6680" width="9.140625" style="267"/>
    <col min="6681" max="6681" width="19.7109375" style="267" customWidth="1"/>
    <col min="6682" max="6912" width="9.140625" style="267"/>
    <col min="6913" max="6913" width="10.5703125" style="267" customWidth="1"/>
    <col min="6914" max="6914" width="18.28515625" style="267" bestFit="1" customWidth="1"/>
    <col min="6915" max="6915" width="11.28515625" style="267" customWidth="1"/>
    <col min="6916" max="6918" width="9.140625" style="267"/>
    <col min="6919" max="6919" width="9.85546875" style="267" customWidth="1"/>
    <col min="6920" max="6921" width="9.140625" style="267"/>
    <col min="6922" max="6922" width="11" style="267" customWidth="1"/>
    <col min="6923" max="6936" width="9.140625" style="267"/>
    <col min="6937" max="6937" width="19.7109375" style="267" customWidth="1"/>
    <col min="6938" max="7168" width="9.140625" style="267"/>
    <col min="7169" max="7169" width="10.5703125" style="267" customWidth="1"/>
    <col min="7170" max="7170" width="18.28515625" style="267" bestFit="1" customWidth="1"/>
    <col min="7171" max="7171" width="11.28515625" style="267" customWidth="1"/>
    <col min="7172" max="7174" width="9.140625" style="267"/>
    <col min="7175" max="7175" width="9.85546875" style="267" customWidth="1"/>
    <col min="7176" max="7177" width="9.140625" style="267"/>
    <col min="7178" max="7178" width="11" style="267" customWidth="1"/>
    <col min="7179" max="7192" width="9.140625" style="267"/>
    <col min="7193" max="7193" width="19.7109375" style="267" customWidth="1"/>
    <col min="7194" max="7424" width="9.140625" style="267"/>
    <col min="7425" max="7425" width="10.5703125" style="267" customWidth="1"/>
    <col min="7426" max="7426" width="18.28515625" style="267" bestFit="1" customWidth="1"/>
    <col min="7427" max="7427" width="11.28515625" style="267" customWidth="1"/>
    <col min="7428" max="7430" width="9.140625" style="267"/>
    <col min="7431" max="7431" width="9.85546875" style="267" customWidth="1"/>
    <col min="7432" max="7433" width="9.140625" style="267"/>
    <col min="7434" max="7434" width="11" style="267" customWidth="1"/>
    <col min="7435" max="7448" width="9.140625" style="267"/>
    <col min="7449" max="7449" width="19.7109375" style="267" customWidth="1"/>
    <col min="7450" max="7680" width="9.140625" style="267"/>
    <col min="7681" max="7681" width="10.5703125" style="267" customWidth="1"/>
    <col min="7682" max="7682" width="18.28515625" style="267" bestFit="1" customWidth="1"/>
    <col min="7683" max="7683" width="11.28515625" style="267" customWidth="1"/>
    <col min="7684" max="7686" width="9.140625" style="267"/>
    <col min="7687" max="7687" width="9.85546875" style="267" customWidth="1"/>
    <col min="7688" max="7689" width="9.140625" style="267"/>
    <col min="7690" max="7690" width="11" style="267" customWidth="1"/>
    <col min="7691" max="7704" width="9.140625" style="267"/>
    <col min="7705" max="7705" width="19.7109375" style="267" customWidth="1"/>
    <col min="7706" max="7936" width="9.140625" style="267"/>
    <col min="7937" max="7937" width="10.5703125" style="267" customWidth="1"/>
    <col min="7938" max="7938" width="18.28515625" style="267" bestFit="1" customWidth="1"/>
    <col min="7939" max="7939" width="11.28515625" style="267" customWidth="1"/>
    <col min="7940" max="7942" width="9.140625" style="267"/>
    <col min="7943" max="7943" width="9.85546875" style="267" customWidth="1"/>
    <col min="7944" max="7945" width="9.140625" style="267"/>
    <col min="7946" max="7946" width="11" style="267" customWidth="1"/>
    <col min="7947" max="7960" width="9.140625" style="267"/>
    <col min="7961" max="7961" width="19.7109375" style="267" customWidth="1"/>
    <col min="7962" max="8192" width="9.140625" style="267"/>
    <col min="8193" max="8193" width="10.5703125" style="267" customWidth="1"/>
    <col min="8194" max="8194" width="18.28515625" style="267" bestFit="1" customWidth="1"/>
    <col min="8195" max="8195" width="11.28515625" style="267" customWidth="1"/>
    <col min="8196" max="8198" width="9.140625" style="267"/>
    <col min="8199" max="8199" width="9.85546875" style="267" customWidth="1"/>
    <col min="8200" max="8201" width="9.140625" style="267"/>
    <col min="8202" max="8202" width="11" style="267" customWidth="1"/>
    <col min="8203" max="8216" width="9.140625" style="267"/>
    <col min="8217" max="8217" width="19.7109375" style="267" customWidth="1"/>
    <col min="8218" max="8448" width="9.140625" style="267"/>
    <col min="8449" max="8449" width="10.5703125" style="267" customWidth="1"/>
    <col min="8450" max="8450" width="18.28515625" style="267" bestFit="1" customWidth="1"/>
    <col min="8451" max="8451" width="11.28515625" style="267" customWidth="1"/>
    <col min="8452" max="8454" width="9.140625" style="267"/>
    <col min="8455" max="8455" width="9.85546875" style="267" customWidth="1"/>
    <col min="8456" max="8457" width="9.140625" style="267"/>
    <col min="8458" max="8458" width="11" style="267" customWidth="1"/>
    <col min="8459" max="8472" width="9.140625" style="267"/>
    <col min="8473" max="8473" width="19.7109375" style="267" customWidth="1"/>
    <col min="8474" max="8704" width="9.140625" style="267"/>
    <col min="8705" max="8705" width="10.5703125" style="267" customWidth="1"/>
    <col min="8706" max="8706" width="18.28515625" style="267" bestFit="1" customWidth="1"/>
    <col min="8707" max="8707" width="11.28515625" style="267" customWidth="1"/>
    <col min="8708" max="8710" width="9.140625" style="267"/>
    <col min="8711" max="8711" width="9.85546875" style="267" customWidth="1"/>
    <col min="8712" max="8713" width="9.140625" style="267"/>
    <col min="8714" max="8714" width="11" style="267" customWidth="1"/>
    <col min="8715" max="8728" width="9.140625" style="267"/>
    <col min="8729" max="8729" width="19.7109375" style="267" customWidth="1"/>
    <col min="8730" max="8960" width="9.140625" style="267"/>
    <col min="8961" max="8961" width="10.5703125" style="267" customWidth="1"/>
    <col min="8962" max="8962" width="18.28515625" style="267" bestFit="1" customWidth="1"/>
    <col min="8963" max="8963" width="11.28515625" style="267" customWidth="1"/>
    <col min="8964" max="8966" width="9.140625" style="267"/>
    <col min="8967" max="8967" width="9.85546875" style="267" customWidth="1"/>
    <col min="8968" max="8969" width="9.140625" style="267"/>
    <col min="8970" max="8970" width="11" style="267" customWidth="1"/>
    <col min="8971" max="8984" width="9.140625" style="267"/>
    <col min="8985" max="8985" width="19.7109375" style="267" customWidth="1"/>
    <col min="8986" max="9216" width="9.140625" style="267"/>
    <col min="9217" max="9217" width="10.5703125" style="267" customWidth="1"/>
    <col min="9218" max="9218" width="18.28515625" style="267" bestFit="1" customWidth="1"/>
    <col min="9219" max="9219" width="11.28515625" style="267" customWidth="1"/>
    <col min="9220" max="9222" width="9.140625" style="267"/>
    <col min="9223" max="9223" width="9.85546875" style="267" customWidth="1"/>
    <col min="9224" max="9225" width="9.140625" style="267"/>
    <col min="9226" max="9226" width="11" style="267" customWidth="1"/>
    <col min="9227" max="9240" width="9.140625" style="267"/>
    <col min="9241" max="9241" width="19.7109375" style="267" customWidth="1"/>
    <col min="9242" max="9472" width="9.140625" style="267"/>
    <col min="9473" max="9473" width="10.5703125" style="267" customWidth="1"/>
    <col min="9474" max="9474" width="18.28515625" style="267" bestFit="1" customWidth="1"/>
    <col min="9475" max="9475" width="11.28515625" style="267" customWidth="1"/>
    <col min="9476" max="9478" width="9.140625" style="267"/>
    <col min="9479" max="9479" width="9.85546875" style="267" customWidth="1"/>
    <col min="9480" max="9481" width="9.140625" style="267"/>
    <col min="9482" max="9482" width="11" style="267" customWidth="1"/>
    <col min="9483" max="9496" width="9.140625" style="267"/>
    <col min="9497" max="9497" width="19.7109375" style="267" customWidth="1"/>
    <col min="9498" max="9728" width="9.140625" style="267"/>
    <col min="9729" max="9729" width="10.5703125" style="267" customWidth="1"/>
    <col min="9730" max="9730" width="18.28515625" style="267" bestFit="1" customWidth="1"/>
    <col min="9731" max="9731" width="11.28515625" style="267" customWidth="1"/>
    <col min="9732" max="9734" width="9.140625" style="267"/>
    <col min="9735" max="9735" width="9.85546875" style="267" customWidth="1"/>
    <col min="9736" max="9737" width="9.140625" style="267"/>
    <col min="9738" max="9738" width="11" style="267" customWidth="1"/>
    <col min="9739" max="9752" width="9.140625" style="267"/>
    <col min="9753" max="9753" width="19.7109375" style="267" customWidth="1"/>
    <col min="9754" max="9984" width="9.140625" style="267"/>
    <col min="9985" max="9985" width="10.5703125" style="267" customWidth="1"/>
    <col min="9986" max="9986" width="18.28515625" style="267" bestFit="1" customWidth="1"/>
    <col min="9987" max="9987" width="11.28515625" style="267" customWidth="1"/>
    <col min="9988" max="9990" width="9.140625" style="267"/>
    <col min="9991" max="9991" width="9.85546875" style="267" customWidth="1"/>
    <col min="9992" max="9993" width="9.140625" style="267"/>
    <col min="9994" max="9994" width="11" style="267" customWidth="1"/>
    <col min="9995" max="10008" width="9.140625" style="267"/>
    <col min="10009" max="10009" width="19.7109375" style="267" customWidth="1"/>
    <col min="10010" max="10240" width="9.140625" style="267"/>
    <col min="10241" max="10241" width="10.5703125" style="267" customWidth="1"/>
    <col min="10242" max="10242" width="18.28515625" style="267" bestFit="1" customWidth="1"/>
    <col min="10243" max="10243" width="11.28515625" style="267" customWidth="1"/>
    <col min="10244" max="10246" width="9.140625" style="267"/>
    <col min="10247" max="10247" width="9.85546875" style="267" customWidth="1"/>
    <col min="10248" max="10249" width="9.140625" style="267"/>
    <col min="10250" max="10250" width="11" style="267" customWidth="1"/>
    <col min="10251" max="10264" width="9.140625" style="267"/>
    <col min="10265" max="10265" width="19.7109375" style="267" customWidth="1"/>
    <col min="10266" max="10496" width="9.140625" style="267"/>
    <col min="10497" max="10497" width="10.5703125" style="267" customWidth="1"/>
    <col min="10498" max="10498" width="18.28515625" style="267" bestFit="1" customWidth="1"/>
    <col min="10499" max="10499" width="11.28515625" style="267" customWidth="1"/>
    <col min="10500" max="10502" width="9.140625" style="267"/>
    <col min="10503" max="10503" width="9.85546875" style="267" customWidth="1"/>
    <col min="10504" max="10505" width="9.140625" style="267"/>
    <col min="10506" max="10506" width="11" style="267" customWidth="1"/>
    <col min="10507" max="10520" width="9.140625" style="267"/>
    <col min="10521" max="10521" width="19.7109375" style="267" customWidth="1"/>
    <col min="10522" max="10752" width="9.140625" style="267"/>
    <col min="10753" max="10753" width="10.5703125" style="267" customWidth="1"/>
    <col min="10754" max="10754" width="18.28515625" style="267" bestFit="1" customWidth="1"/>
    <col min="10755" max="10755" width="11.28515625" style="267" customWidth="1"/>
    <col min="10756" max="10758" width="9.140625" style="267"/>
    <col min="10759" max="10759" width="9.85546875" style="267" customWidth="1"/>
    <col min="10760" max="10761" width="9.140625" style="267"/>
    <col min="10762" max="10762" width="11" style="267" customWidth="1"/>
    <col min="10763" max="10776" width="9.140625" style="267"/>
    <col min="10777" max="10777" width="19.7109375" style="267" customWidth="1"/>
    <col min="10778" max="11008" width="9.140625" style="267"/>
    <col min="11009" max="11009" width="10.5703125" style="267" customWidth="1"/>
    <col min="11010" max="11010" width="18.28515625" style="267" bestFit="1" customWidth="1"/>
    <col min="11011" max="11011" width="11.28515625" style="267" customWidth="1"/>
    <col min="11012" max="11014" width="9.140625" style="267"/>
    <col min="11015" max="11015" width="9.85546875" style="267" customWidth="1"/>
    <col min="11016" max="11017" width="9.140625" style="267"/>
    <col min="11018" max="11018" width="11" style="267" customWidth="1"/>
    <col min="11019" max="11032" width="9.140625" style="267"/>
    <col min="11033" max="11033" width="19.7109375" style="267" customWidth="1"/>
    <col min="11034" max="11264" width="9.140625" style="267"/>
    <col min="11265" max="11265" width="10.5703125" style="267" customWidth="1"/>
    <col min="11266" max="11266" width="18.28515625" style="267" bestFit="1" customWidth="1"/>
    <col min="11267" max="11267" width="11.28515625" style="267" customWidth="1"/>
    <col min="11268" max="11270" width="9.140625" style="267"/>
    <col min="11271" max="11271" width="9.85546875" style="267" customWidth="1"/>
    <col min="11272" max="11273" width="9.140625" style="267"/>
    <col min="11274" max="11274" width="11" style="267" customWidth="1"/>
    <col min="11275" max="11288" width="9.140625" style="267"/>
    <col min="11289" max="11289" width="19.7109375" style="267" customWidth="1"/>
    <col min="11290" max="11520" width="9.140625" style="267"/>
    <col min="11521" max="11521" width="10.5703125" style="267" customWidth="1"/>
    <col min="11522" max="11522" width="18.28515625" style="267" bestFit="1" customWidth="1"/>
    <col min="11523" max="11523" width="11.28515625" style="267" customWidth="1"/>
    <col min="11524" max="11526" width="9.140625" style="267"/>
    <col min="11527" max="11527" width="9.85546875" style="267" customWidth="1"/>
    <col min="11528" max="11529" width="9.140625" style="267"/>
    <col min="11530" max="11530" width="11" style="267" customWidth="1"/>
    <col min="11531" max="11544" width="9.140625" style="267"/>
    <col min="11545" max="11545" width="19.7109375" style="267" customWidth="1"/>
    <col min="11546" max="11776" width="9.140625" style="267"/>
    <col min="11777" max="11777" width="10.5703125" style="267" customWidth="1"/>
    <col min="11778" max="11778" width="18.28515625" style="267" bestFit="1" customWidth="1"/>
    <col min="11779" max="11779" width="11.28515625" style="267" customWidth="1"/>
    <col min="11780" max="11782" width="9.140625" style="267"/>
    <col min="11783" max="11783" width="9.85546875" style="267" customWidth="1"/>
    <col min="11784" max="11785" width="9.140625" style="267"/>
    <col min="11786" max="11786" width="11" style="267" customWidth="1"/>
    <col min="11787" max="11800" width="9.140625" style="267"/>
    <col min="11801" max="11801" width="19.7109375" style="267" customWidth="1"/>
    <col min="11802" max="12032" width="9.140625" style="267"/>
    <col min="12033" max="12033" width="10.5703125" style="267" customWidth="1"/>
    <col min="12034" max="12034" width="18.28515625" style="267" bestFit="1" customWidth="1"/>
    <col min="12035" max="12035" width="11.28515625" style="267" customWidth="1"/>
    <col min="12036" max="12038" width="9.140625" style="267"/>
    <col min="12039" max="12039" width="9.85546875" style="267" customWidth="1"/>
    <col min="12040" max="12041" width="9.140625" style="267"/>
    <col min="12042" max="12042" width="11" style="267" customWidth="1"/>
    <col min="12043" max="12056" width="9.140625" style="267"/>
    <col min="12057" max="12057" width="19.7109375" style="267" customWidth="1"/>
    <col min="12058" max="12288" width="9.140625" style="267"/>
    <col min="12289" max="12289" width="10.5703125" style="267" customWidth="1"/>
    <col min="12290" max="12290" width="18.28515625" style="267" bestFit="1" customWidth="1"/>
    <col min="12291" max="12291" width="11.28515625" style="267" customWidth="1"/>
    <col min="12292" max="12294" width="9.140625" style="267"/>
    <col min="12295" max="12295" width="9.85546875" style="267" customWidth="1"/>
    <col min="12296" max="12297" width="9.140625" style="267"/>
    <col min="12298" max="12298" width="11" style="267" customWidth="1"/>
    <col min="12299" max="12312" width="9.140625" style="267"/>
    <col min="12313" max="12313" width="19.7109375" style="267" customWidth="1"/>
    <col min="12314" max="12544" width="9.140625" style="267"/>
    <col min="12545" max="12545" width="10.5703125" style="267" customWidth="1"/>
    <col min="12546" max="12546" width="18.28515625" style="267" bestFit="1" customWidth="1"/>
    <col min="12547" max="12547" width="11.28515625" style="267" customWidth="1"/>
    <col min="12548" max="12550" width="9.140625" style="267"/>
    <col min="12551" max="12551" width="9.85546875" style="267" customWidth="1"/>
    <col min="12552" max="12553" width="9.140625" style="267"/>
    <col min="12554" max="12554" width="11" style="267" customWidth="1"/>
    <col min="12555" max="12568" width="9.140625" style="267"/>
    <col min="12569" max="12569" width="19.7109375" style="267" customWidth="1"/>
    <col min="12570" max="12800" width="9.140625" style="267"/>
    <col min="12801" max="12801" width="10.5703125" style="267" customWidth="1"/>
    <col min="12802" max="12802" width="18.28515625" style="267" bestFit="1" customWidth="1"/>
    <col min="12803" max="12803" width="11.28515625" style="267" customWidth="1"/>
    <col min="12804" max="12806" width="9.140625" style="267"/>
    <col min="12807" max="12807" width="9.85546875" style="267" customWidth="1"/>
    <col min="12808" max="12809" width="9.140625" style="267"/>
    <col min="12810" max="12810" width="11" style="267" customWidth="1"/>
    <col min="12811" max="12824" width="9.140625" style="267"/>
    <col min="12825" max="12825" width="19.7109375" style="267" customWidth="1"/>
    <col min="12826" max="13056" width="9.140625" style="267"/>
    <col min="13057" max="13057" width="10.5703125" style="267" customWidth="1"/>
    <col min="13058" max="13058" width="18.28515625" style="267" bestFit="1" customWidth="1"/>
    <col min="13059" max="13059" width="11.28515625" style="267" customWidth="1"/>
    <col min="13060" max="13062" width="9.140625" style="267"/>
    <col min="13063" max="13063" width="9.85546875" style="267" customWidth="1"/>
    <col min="13064" max="13065" width="9.140625" style="267"/>
    <col min="13066" max="13066" width="11" style="267" customWidth="1"/>
    <col min="13067" max="13080" width="9.140625" style="267"/>
    <col min="13081" max="13081" width="19.7109375" style="267" customWidth="1"/>
    <col min="13082" max="13312" width="9.140625" style="267"/>
    <col min="13313" max="13313" width="10.5703125" style="267" customWidth="1"/>
    <col min="13314" max="13314" width="18.28515625" style="267" bestFit="1" customWidth="1"/>
    <col min="13315" max="13315" width="11.28515625" style="267" customWidth="1"/>
    <col min="13316" max="13318" width="9.140625" style="267"/>
    <col min="13319" max="13319" width="9.85546875" style="267" customWidth="1"/>
    <col min="13320" max="13321" width="9.140625" style="267"/>
    <col min="13322" max="13322" width="11" style="267" customWidth="1"/>
    <col min="13323" max="13336" width="9.140625" style="267"/>
    <col min="13337" max="13337" width="19.7109375" style="267" customWidth="1"/>
    <col min="13338" max="13568" width="9.140625" style="267"/>
    <col min="13569" max="13569" width="10.5703125" style="267" customWidth="1"/>
    <col min="13570" max="13570" width="18.28515625" style="267" bestFit="1" customWidth="1"/>
    <col min="13571" max="13571" width="11.28515625" style="267" customWidth="1"/>
    <col min="13572" max="13574" width="9.140625" style="267"/>
    <col min="13575" max="13575" width="9.85546875" style="267" customWidth="1"/>
    <col min="13576" max="13577" width="9.140625" style="267"/>
    <col min="13578" max="13578" width="11" style="267" customWidth="1"/>
    <col min="13579" max="13592" width="9.140625" style="267"/>
    <col min="13593" max="13593" width="19.7109375" style="267" customWidth="1"/>
    <col min="13594" max="13824" width="9.140625" style="267"/>
    <col min="13825" max="13825" width="10.5703125" style="267" customWidth="1"/>
    <col min="13826" max="13826" width="18.28515625" style="267" bestFit="1" customWidth="1"/>
    <col min="13827" max="13827" width="11.28515625" style="267" customWidth="1"/>
    <col min="13828" max="13830" width="9.140625" style="267"/>
    <col min="13831" max="13831" width="9.85546875" style="267" customWidth="1"/>
    <col min="13832" max="13833" width="9.140625" style="267"/>
    <col min="13834" max="13834" width="11" style="267" customWidth="1"/>
    <col min="13835" max="13848" width="9.140625" style="267"/>
    <col min="13849" max="13849" width="19.7109375" style="267" customWidth="1"/>
    <col min="13850" max="14080" width="9.140625" style="267"/>
    <col min="14081" max="14081" width="10.5703125" style="267" customWidth="1"/>
    <col min="14082" max="14082" width="18.28515625" style="267" bestFit="1" customWidth="1"/>
    <col min="14083" max="14083" width="11.28515625" style="267" customWidth="1"/>
    <col min="14084" max="14086" width="9.140625" style="267"/>
    <col min="14087" max="14087" width="9.85546875" style="267" customWidth="1"/>
    <col min="14088" max="14089" width="9.140625" style="267"/>
    <col min="14090" max="14090" width="11" style="267" customWidth="1"/>
    <col min="14091" max="14104" width="9.140625" style="267"/>
    <col min="14105" max="14105" width="19.7109375" style="267" customWidth="1"/>
    <col min="14106" max="14336" width="9.140625" style="267"/>
    <col min="14337" max="14337" width="10.5703125" style="267" customWidth="1"/>
    <col min="14338" max="14338" width="18.28515625" style="267" bestFit="1" customWidth="1"/>
    <col min="14339" max="14339" width="11.28515625" style="267" customWidth="1"/>
    <col min="14340" max="14342" width="9.140625" style="267"/>
    <col min="14343" max="14343" width="9.85546875" style="267" customWidth="1"/>
    <col min="14344" max="14345" width="9.140625" style="267"/>
    <col min="14346" max="14346" width="11" style="267" customWidth="1"/>
    <col min="14347" max="14360" width="9.140625" style="267"/>
    <col min="14361" max="14361" width="19.7109375" style="267" customWidth="1"/>
    <col min="14362" max="14592" width="9.140625" style="267"/>
    <col min="14593" max="14593" width="10.5703125" style="267" customWidth="1"/>
    <col min="14594" max="14594" width="18.28515625" style="267" bestFit="1" customWidth="1"/>
    <col min="14595" max="14595" width="11.28515625" style="267" customWidth="1"/>
    <col min="14596" max="14598" width="9.140625" style="267"/>
    <col min="14599" max="14599" width="9.85546875" style="267" customWidth="1"/>
    <col min="14600" max="14601" width="9.140625" style="267"/>
    <col min="14602" max="14602" width="11" style="267" customWidth="1"/>
    <col min="14603" max="14616" width="9.140625" style="267"/>
    <col min="14617" max="14617" width="19.7109375" style="267" customWidth="1"/>
    <col min="14618" max="14848" width="9.140625" style="267"/>
    <col min="14849" max="14849" width="10.5703125" style="267" customWidth="1"/>
    <col min="14850" max="14850" width="18.28515625" style="267" bestFit="1" customWidth="1"/>
    <col min="14851" max="14851" width="11.28515625" style="267" customWidth="1"/>
    <col min="14852" max="14854" width="9.140625" style="267"/>
    <col min="14855" max="14855" width="9.85546875" style="267" customWidth="1"/>
    <col min="14856" max="14857" width="9.140625" style="267"/>
    <col min="14858" max="14858" width="11" style="267" customWidth="1"/>
    <col min="14859" max="14872" width="9.140625" style="267"/>
    <col min="14873" max="14873" width="19.7109375" style="267" customWidth="1"/>
    <col min="14874" max="15104" width="9.140625" style="267"/>
    <col min="15105" max="15105" width="10.5703125" style="267" customWidth="1"/>
    <col min="15106" max="15106" width="18.28515625" style="267" bestFit="1" customWidth="1"/>
    <col min="15107" max="15107" width="11.28515625" style="267" customWidth="1"/>
    <col min="15108" max="15110" width="9.140625" style="267"/>
    <col min="15111" max="15111" width="9.85546875" style="267" customWidth="1"/>
    <col min="15112" max="15113" width="9.140625" style="267"/>
    <col min="15114" max="15114" width="11" style="267" customWidth="1"/>
    <col min="15115" max="15128" width="9.140625" style="267"/>
    <col min="15129" max="15129" width="19.7109375" style="267" customWidth="1"/>
    <col min="15130" max="15360" width="9.140625" style="267"/>
    <col min="15361" max="15361" width="10.5703125" style="267" customWidth="1"/>
    <col min="15362" max="15362" width="18.28515625" style="267" bestFit="1" customWidth="1"/>
    <col min="15363" max="15363" width="11.28515625" style="267" customWidth="1"/>
    <col min="15364" max="15366" width="9.140625" style="267"/>
    <col min="15367" max="15367" width="9.85546875" style="267" customWidth="1"/>
    <col min="15368" max="15369" width="9.140625" style="267"/>
    <col min="15370" max="15370" width="11" style="267" customWidth="1"/>
    <col min="15371" max="15384" width="9.140625" style="267"/>
    <col min="15385" max="15385" width="19.7109375" style="267" customWidth="1"/>
    <col min="15386" max="15616" width="9.140625" style="267"/>
    <col min="15617" max="15617" width="10.5703125" style="267" customWidth="1"/>
    <col min="15618" max="15618" width="18.28515625" style="267" bestFit="1" customWidth="1"/>
    <col min="15619" max="15619" width="11.28515625" style="267" customWidth="1"/>
    <col min="15620" max="15622" width="9.140625" style="267"/>
    <col min="15623" max="15623" width="9.85546875" style="267" customWidth="1"/>
    <col min="15624" max="15625" width="9.140625" style="267"/>
    <col min="15626" max="15626" width="11" style="267" customWidth="1"/>
    <col min="15627" max="15640" width="9.140625" style="267"/>
    <col min="15641" max="15641" width="19.7109375" style="267" customWidth="1"/>
    <col min="15642" max="15872" width="9.140625" style="267"/>
    <col min="15873" max="15873" width="10.5703125" style="267" customWidth="1"/>
    <col min="15874" max="15874" width="18.28515625" style="267" bestFit="1" customWidth="1"/>
    <col min="15875" max="15875" width="11.28515625" style="267" customWidth="1"/>
    <col min="15876" max="15878" width="9.140625" style="267"/>
    <col min="15879" max="15879" width="9.85546875" style="267" customWidth="1"/>
    <col min="15880" max="15881" width="9.140625" style="267"/>
    <col min="15882" max="15882" width="11" style="267" customWidth="1"/>
    <col min="15883" max="15896" width="9.140625" style="267"/>
    <col min="15897" max="15897" width="19.7109375" style="267" customWidth="1"/>
    <col min="15898" max="16128" width="9.140625" style="267"/>
    <col min="16129" max="16129" width="10.5703125" style="267" customWidth="1"/>
    <col min="16130" max="16130" width="18.28515625" style="267" bestFit="1" customWidth="1"/>
    <col min="16131" max="16131" width="11.28515625" style="267" customWidth="1"/>
    <col min="16132" max="16134" width="9.140625" style="267"/>
    <col min="16135" max="16135" width="9.85546875" style="267" customWidth="1"/>
    <col min="16136" max="16137" width="9.140625" style="267"/>
    <col min="16138" max="16138" width="11" style="267" customWidth="1"/>
    <col min="16139" max="16152" width="9.140625" style="267"/>
    <col min="16153" max="16153" width="19.7109375" style="267" customWidth="1"/>
    <col min="16154" max="16384" width="9.140625" style="267"/>
  </cols>
  <sheetData>
    <row r="2" spans="1:29" ht="15.75" x14ac:dyDescent="0.25">
      <c r="B2" s="2873" t="s">
        <v>0</v>
      </c>
      <c r="C2" s="2874"/>
      <c r="D2" s="2963" t="s">
        <v>101</v>
      </c>
      <c r="E2" s="2964"/>
      <c r="F2" s="2965"/>
      <c r="G2" s="735"/>
      <c r="H2" s="2266"/>
      <c r="I2" s="2966" t="s">
        <v>63</v>
      </c>
      <c r="J2" s="2966"/>
      <c r="K2" s="2967" t="s">
        <v>366</v>
      </c>
      <c r="L2" s="2967"/>
      <c r="M2" s="2967"/>
    </row>
    <row r="3" spans="1:29" ht="15.75" x14ac:dyDescent="0.25">
      <c r="B3" s="2875" t="s">
        <v>1</v>
      </c>
      <c r="C3" s="2876"/>
      <c r="D3" s="130" t="s">
        <v>377</v>
      </c>
      <c r="E3" s="1"/>
      <c r="F3" s="1"/>
      <c r="G3" s="735"/>
      <c r="H3" s="2266"/>
      <c r="I3" s="2969" t="s">
        <v>64</v>
      </c>
      <c r="J3" s="2969"/>
      <c r="K3" s="2970" t="s">
        <v>232</v>
      </c>
      <c r="L3" s="2971"/>
      <c r="M3" s="2972"/>
    </row>
    <row r="4" spans="1:29" ht="15.75" x14ac:dyDescent="0.25">
      <c r="B4" s="97"/>
      <c r="C4" s="5" t="s">
        <v>2</v>
      </c>
      <c r="D4" s="2976" t="s">
        <v>164</v>
      </c>
      <c r="E4" s="2977"/>
      <c r="F4" s="2978"/>
      <c r="G4" s="735"/>
      <c r="H4" s="2266"/>
      <c r="I4" s="2979" t="s">
        <v>65</v>
      </c>
      <c r="J4" s="2979"/>
      <c r="K4" s="2980" t="s">
        <v>66</v>
      </c>
      <c r="L4" s="2980"/>
      <c r="M4" s="2980"/>
    </row>
    <row r="6" spans="1:29" ht="24" customHeight="1" x14ac:dyDescent="0.25">
      <c r="A6" s="264"/>
      <c r="B6" s="265"/>
      <c r="C6" s="3000" t="s">
        <v>3</v>
      </c>
      <c r="D6" s="3000"/>
      <c r="E6" s="3000"/>
      <c r="F6" s="3000"/>
      <c r="G6" s="3000"/>
      <c r="H6" s="3000"/>
      <c r="I6" s="3000"/>
      <c r="J6" s="3000"/>
      <c r="K6" s="3000"/>
      <c r="L6" s="3000"/>
      <c r="M6" s="3000"/>
      <c r="N6" s="3000" t="s">
        <v>4</v>
      </c>
      <c r="O6" s="3000"/>
      <c r="P6" s="3000"/>
      <c r="Q6" s="3000"/>
      <c r="R6" s="3000"/>
      <c r="S6" s="3000"/>
      <c r="T6" s="3000"/>
      <c r="U6" s="3000"/>
      <c r="V6" s="3000"/>
      <c r="W6" s="3000"/>
      <c r="X6" s="3000"/>
      <c r="Y6" s="266" t="s">
        <v>203</v>
      </c>
    </row>
    <row r="7" spans="1:29" s="270" customFormat="1" ht="39" customHeight="1" x14ac:dyDescent="0.25">
      <c r="A7" s="3009"/>
      <c r="B7" s="3001" t="s">
        <v>5</v>
      </c>
      <c r="C7" s="3001" t="s">
        <v>6</v>
      </c>
      <c r="D7" s="3001"/>
      <c r="E7" s="3001"/>
      <c r="F7" s="3001"/>
      <c r="G7" s="3001"/>
      <c r="H7" s="3002" t="s">
        <v>7</v>
      </c>
      <c r="I7" s="3003"/>
      <c r="J7" s="3002" t="s">
        <v>8</v>
      </c>
      <c r="K7" s="3003"/>
      <c r="L7" s="3002" t="s">
        <v>9</v>
      </c>
      <c r="M7" s="3003"/>
      <c r="N7" s="3001" t="s">
        <v>6</v>
      </c>
      <c r="O7" s="3001"/>
      <c r="P7" s="3001"/>
      <c r="Q7" s="3001"/>
      <c r="R7" s="3001"/>
      <c r="S7" s="3004" t="s">
        <v>7</v>
      </c>
      <c r="T7" s="3004"/>
      <c r="U7" s="3004" t="s">
        <v>8</v>
      </c>
      <c r="V7" s="3004"/>
      <c r="W7" s="3004" t="s">
        <v>9</v>
      </c>
      <c r="X7" s="3004"/>
      <c r="Y7" s="3007"/>
      <c r="Z7" s="268"/>
      <c r="AA7" s="3008" t="s">
        <v>11</v>
      </c>
      <c r="AB7" s="3008" t="s">
        <v>12</v>
      </c>
      <c r="AC7" s="268"/>
    </row>
    <row r="8" spans="1:29" ht="24" customHeight="1" x14ac:dyDescent="0.25">
      <c r="A8" s="3010"/>
      <c r="B8" s="3001"/>
      <c r="C8" s="271" t="s">
        <v>13</v>
      </c>
      <c r="D8" s="271" t="s">
        <v>14</v>
      </c>
      <c r="E8" s="271" t="s">
        <v>15</v>
      </c>
      <c r="F8" s="271" t="s">
        <v>16</v>
      </c>
      <c r="G8" s="271" t="s">
        <v>17</v>
      </c>
      <c r="H8" s="272" t="s">
        <v>13</v>
      </c>
      <c r="I8" s="272" t="s">
        <v>14</v>
      </c>
      <c r="J8" s="272" t="s">
        <v>13</v>
      </c>
      <c r="K8" s="272" t="s">
        <v>14</v>
      </c>
      <c r="L8" s="272" t="s">
        <v>13</v>
      </c>
      <c r="M8" s="272" t="s">
        <v>14</v>
      </c>
      <c r="N8" s="271" t="s">
        <v>13</v>
      </c>
      <c r="O8" s="271" t="s">
        <v>14</v>
      </c>
      <c r="P8" s="271" t="s">
        <v>15</v>
      </c>
      <c r="Q8" s="271" t="s">
        <v>16</v>
      </c>
      <c r="R8" s="271" t="s">
        <v>17</v>
      </c>
      <c r="S8" s="272" t="s">
        <v>13</v>
      </c>
      <c r="T8" s="272" t="s">
        <v>14</v>
      </c>
      <c r="U8" s="272" t="s">
        <v>13</v>
      </c>
      <c r="V8" s="272" t="s">
        <v>14</v>
      </c>
      <c r="W8" s="272" t="s">
        <v>13</v>
      </c>
      <c r="X8" s="272" t="s">
        <v>14</v>
      </c>
      <c r="Y8" s="3007"/>
      <c r="Z8" s="273"/>
      <c r="AA8" s="3008"/>
      <c r="AB8" s="3008"/>
      <c r="AC8" s="273"/>
    </row>
    <row r="9" spans="1:29" ht="24.95" customHeight="1" x14ac:dyDescent="0.25">
      <c r="A9" s="271"/>
      <c r="B9" s="271" t="s">
        <v>19</v>
      </c>
      <c r="C9" s="275" t="s">
        <v>40</v>
      </c>
      <c r="D9" s="275" t="s">
        <v>22</v>
      </c>
      <c r="E9" s="275" t="s">
        <v>40</v>
      </c>
      <c r="F9" s="275" t="s">
        <v>41</v>
      </c>
      <c r="G9" s="275" t="s">
        <v>41</v>
      </c>
      <c r="H9" s="275" t="s">
        <v>22</v>
      </c>
      <c r="I9" s="275" t="s">
        <v>40</v>
      </c>
      <c r="J9" s="275" t="s">
        <v>40</v>
      </c>
      <c r="K9" s="275" t="s">
        <v>40</v>
      </c>
      <c r="L9" s="275" t="s">
        <v>41</v>
      </c>
      <c r="M9" s="275" t="s">
        <v>42</v>
      </c>
      <c r="N9" s="275" t="s">
        <v>41</v>
      </c>
      <c r="O9" s="275" t="s">
        <v>41</v>
      </c>
      <c r="P9" s="275" t="s">
        <v>41</v>
      </c>
      <c r="Q9" s="275" t="s">
        <v>41</v>
      </c>
      <c r="R9" s="275" t="s">
        <v>41</v>
      </c>
      <c r="S9" s="275" t="s">
        <v>41</v>
      </c>
      <c r="T9" s="275" t="s">
        <v>41</v>
      </c>
      <c r="U9" s="275" t="s">
        <v>41</v>
      </c>
      <c r="V9" s="275" t="s">
        <v>42</v>
      </c>
      <c r="W9" s="275" t="s">
        <v>41</v>
      </c>
      <c r="X9" s="275" t="s">
        <v>42</v>
      </c>
      <c r="Y9" s="275" t="s">
        <v>205</v>
      </c>
      <c r="Z9" s="273"/>
      <c r="AA9" s="3008"/>
      <c r="AB9" s="3008"/>
      <c r="AC9" s="273"/>
    </row>
    <row r="10" spans="1:29" ht="29.25" customHeight="1" x14ac:dyDescent="0.25">
      <c r="A10" s="275" t="s">
        <v>18</v>
      </c>
      <c r="B10" s="275" t="s">
        <v>26</v>
      </c>
      <c r="C10" s="271">
        <v>2</v>
      </c>
      <c r="D10" s="271">
        <v>2</v>
      </c>
      <c r="E10" s="271">
        <v>2</v>
      </c>
      <c r="F10" s="271">
        <v>2</v>
      </c>
      <c r="G10" s="271">
        <v>2</v>
      </c>
      <c r="H10" s="271">
        <v>5</v>
      </c>
      <c r="I10" s="271">
        <v>5</v>
      </c>
      <c r="J10" s="271">
        <v>5</v>
      </c>
      <c r="K10" s="271">
        <v>5</v>
      </c>
      <c r="L10" s="271">
        <v>5</v>
      </c>
      <c r="M10" s="271">
        <v>5</v>
      </c>
      <c r="N10" s="271">
        <v>2</v>
      </c>
      <c r="O10" s="271">
        <v>2</v>
      </c>
      <c r="P10" s="271">
        <v>2</v>
      </c>
      <c r="Q10" s="271">
        <v>2</v>
      </c>
      <c r="R10" s="271">
        <v>2</v>
      </c>
      <c r="S10" s="271">
        <v>5</v>
      </c>
      <c r="T10" s="271">
        <v>5</v>
      </c>
      <c r="U10" s="271">
        <v>5</v>
      </c>
      <c r="V10" s="271">
        <v>5</v>
      </c>
      <c r="W10" s="271">
        <v>5</v>
      </c>
      <c r="X10" s="271">
        <v>5</v>
      </c>
      <c r="Y10" s="271">
        <v>5</v>
      </c>
      <c r="Z10" s="273"/>
      <c r="AA10" s="2999">
        <v>100</v>
      </c>
      <c r="AB10" s="2999"/>
      <c r="AC10" s="273"/>
    </row>
    <row r="11" spans="1:29" ht="29.25" customHeight="1" x14ac:dyDescent="0.25">
      <c r="A11" s="271">
        <v>1</v>
      </c>
      <c r="B11" s="1973">
        <v>5191421001</v>
      </c>
      <c r="C11" s="278">
        <v>2</v>
      </c>
      <c r="D11" s="278">
        <v>2</v>
      </c>
      <c r="E11" s="278">
        <v>2</v>
      </c>
      <c r="F11" s="278">
        <v>2</v>
      </c>
      <c r="G11" s="271">
        <v>1</v>
      </c>
      <c r="H11" s="271">
        <v>5</v>
      </c>
      <c r="I11" s="271">
        <v>1</v>
      </c>
      <c r="J11" s="271"/>
      <c r="K11" s="271"/>
      <c r="L11" s="271">
        <v>2</v>
      </c>
      <c r="M11" s="271">
        <v>5</v>
      </c>
      <c r="N11" s="275">
        <v>2</v>
      </c>
      <c r="O11" s="275">
        <v>2</v>
      </c>
      <c r="P11" s="275">
        <v>2</v>
      </c>
      <c r="Q11" s="275">
        <v>2</v>
      </c>
      <c r="R11" s="275">
        <v>1</v>
      </c>
      <c r="S11" s="275"/>
      <c r="T11" s="275"/>
      <c r="U11" s="275">
        <v>5</v>
      </c>
      <c r="V11" s="275">
        <v>5</v>
      </c>
      <c r="W11" s="275">
        <v>5</v>
      </c>
      <c r="X11" s="275">
        <v>3</v>
      </c>
      <c r="Y11" s="271">
        <v>5</v>
      </c>
      <c r="Z11" s="273"/>
      <c r="AA11" s="2122" t="s">
        <v>32</v>
      </c>
      <c r="AB11" s="279">
        <f>IF(AA11="O",100,IF(AA11="A+",90,IF(AA11="A",80,IF(AA11="B+",70,IF(AA11="B",60,IF(AA11="C",55,IF(AA11="P",50,IF(AA11="F",39))))))))</f>
        <v>70</v>
      </c>
      <c r="AC11" s="273"/>
    </row>
    <row r="12" spans="1:29" ht="29.25" customHeight="1" x14ac:dyDescent="0.25">
      <c r="A12" s="271">
        <v>2</v>
      </c>
      <c r="B12" s="1973">
        <f>+B11+1</f>
        <v>5191421002</v>
      </c>
      <c r="C12" s="278">
        <v>1</v>
      </c>
      <c r="D12" s="278"/>
      <c r="E12" s="278">
        <v>2</v>
      </c>
      <c r="F12" s="278">
        <v>2</v>
      </c>
      <c r="G12" s="271">
        <v>2</v>
      </c>
      <c r="H12" s="271">
        <v>4</v>
      </c>
      <c r="I12" s="271"/>
      <c r="J12" s="271"/>
      <c r="K12" s="271"/>
      <c r="L12" s="271"/>
      <c r="M12" s="271">
        <v>4</v>
      </c>
      <c r="N12" s="275">
        <v>2</v>
      </c>
      <c r="O12" s="275">
        <v>2</v>
      </c>
      <c r="P12" s="275">
        <v>2</v>
      </c>
      <c r="Q12" s="275">
        <v>2</v>
      </c>
      <c r="R12" s="275">
        <v>1</v>
      </c>
      <c r="S12" s="275"/>
      <c r="T12" s="275">
        <v>4</v>
      </c>
      <c r="U12" s="275"/>
      <c r="V12" s="275">
        <v>4</v>
      </c>
      <c r="W12" s="275"/>
      <c r="X12" s="275">
        <v>2</v>
      </c>
      <c r="Y12" s="271">
        <v>5</v>
      </c>
      <c r="Z12" s="273"/>
      <c r="AA12" s="2123" t="s">
        <v>27</v>
      </c>
      <c r="AB12" s="280">
        <f t="shared" ref="AB12:AB59" si="0">IF(AA12="O",100,IF(AA12="A+",90,IF(AA12="A",80,IF(AA12="B+",70,IF(AA12="B",60,IF(AA12="C",55,IF(AA12="P",50,IF(AA12="F",39))))))))</f>
        <v>80</v>
      </c>
      <c r="AC12" s="273"/>
    </row>
    <row r="13" spans="1:29" ht="29.25" customHeight="1" x14ac:dyDescent="0.25">
      <c r="A13" s="271">
        <v>3</v>
      </c>
      <c r="B13" s="1973">
        <f t="shared" ref="B13:B59" si="1">+B12+1</f>
        <v>5191421003</v>
      </c>
      <c r="C13" s="278">
        <v>2</v>
      </c>
      <c r="D13" s="278">
        <v>0</v>
      </c>
      <c r="E13" s="278">
        <v>2</v>
      </c>
      <c r="F13" s="278">
        <v>2</v>
      </c>
      <c r="G13" s="271">
        <v>2</v>
      </c>
      <c r="H13" s="271">
        <v>5</v>
      </c>
      <c r="I13" s="271">
        <v>5</v>
      </c>
      <c r="J13" s="271">
        <v>5</v>
      </c>
      <c r="K13" s="271">
        <v>5</v>
      </c>
      <c r="L13" s="271"/>
      <c r="M13" s="271"/>
      <c r="N13" s="275">
        <v>2</v>
      </c>
      <c r="O13" s="275">
        <v>2</v>
      </c>
      <c r="P13" s="275">
        <v>2</v>
      </c>
      <c r="Q13" s="275">
        <v>2</v>
      </c>
      <c r="R13" s="275">
        <v>2</v>
      </c>
      <c r="S13" s="275">
        <v>5</v>
      </c>
      <c r="T13" s="275">
        <v>5</v>
      </c>
      <c r="U13" s="275">
        <v>5</v>
      </c>
      <c r="V13" s="275">
        <v>5</v>
      </c>
      <c r="W13" s="275"/>
      <c r="X13" s="275"/>
      <c r="Y13" s="271">
        <v>5</v>
      </c>
      <c r="Z13" s="273"/>
      <c r="AA13" s="2122" t="s">
        <v>30</v>
      </c>
      <c r="AB13" s="280">
        <f t="shared" si="0"/>
        <v>90</v>
      </c>
      <c r="AC13" s="273"/>
    </row>
    <row r="14" spans="1:29" ht="29.25" customHeight="1" x14ac:dyDescent="0.25">
      <c r="A14" s="271">
        <v>4</v>
      </c>
      <c r="B14" s="1973">
        <f t="shared" si="1"/>
        <v>5191421004</v>
      </c>
      <c r="C14" s="278">
        <v>2</v>
      </c>
      <c r="D14" s="278">
        <v>2</v>
      </c>
      <c r="E14" s="278">
        <v>2</v>
      </c>
      <c r="F14" s="278">
        <v>2</v>
      </c>
      <c r="G14" s="281">
        <v>2</v>
      </c>
      <c r="H14" s="271">
        <v>5</v>
      </c>
      <c r="I14" s="271">
        <v>2</v>
      </c>
      <c r="J14" s="271">
        <v>5</v>
      </c>
      <c r="K14" s="271">
        <v>4</v>
      </c>
      <c r="L14" s="271"/>
      <c r="M14" s="271"/>
      <c r="N14" s="275">
        <v>2</v>
      </c>
      <c r="O14" s="275">
        <v>2</v>
      </c>
      <c r="P14" s="275">
        <v>2</v>
      </c>
      <c r="Q14" s="275">
        <v>2</v>
      </c>
      <c r="R14" s="275">
        <v>2</v>
      </c>
      <c r="S14" s="275">
        <v>5</v>
      </c>
      <c r="T14" s="275">
        <v>5</v>
      </c>
      <c r="U14" s="275">
        <v>5</v>
      </c>
      <c r="V14" s="275">
        <v>4</v>
      </c>
      <c r="W14" s="275"/>
      <c r="X14" s="275"/>
      <c r="Y14" s="271">
        <v>5</v>
      </c>
      <c r="Z14" s="273"/>
      <c r="AA14" s="2123" t="s">
        <v>31</v>
      </c>
      <c r="AB14" s="280">
        <f t="shared" si="0"/>
        <v>55</v>
      </c>
      <c r="AC14" s="273"/>
    </row>
    <row r="15" spans="1:29" ht="29.25" customHeight="1" x14ac:dyDescent="0.25">
      <c r="A15" s="271">
        <v>5</v>
      </c>
      <c r="B15" s="1973">
        <f t="shared" si="1"/>
        <v>5191421005</v>
      </c>
      <c r="C15" s="278">
        <v>2</v>
      </c>
      <c r="D15" s="278">
        <v>2</v>
      </c>
      <c r="E15" s="278">
        <v>2</v>
      </c>
      <c r="F15" s="278">
        <v>2</v>
      </c>
      <c r="G15" s="271">
        <v>2</v>
      </c>
      <c r="H15" s="271">
        <v>5</v>
      </c>
      <c r="I15" s="271">
        <v>4</v>
      </c>
      <c r="J15" s="271">
        <v>4</v>
      </c>
      <c r="K15" s="271">
        <v>5</v>
      </c>
      <c r="L15" s="271"/>
      <c r="M15" s="271"/>
      <c r="N15" s="275">
        <v>2</v>
      </c>
      <c r="O15" s="275">
        <v>2</v>
      </c>
      <c r="P15" s="275">
        <v>2</v>
      </c>
      <c r="Q15" s="275">
        <v>2</v>
      </c>
      <c r="R15" s="275">
        <v>2</v>
      </c>
      <c r="S15" s="275">
        <v>5</v>
      </c>
      <c r="T15" s="275">
        <v>5</v>
      </c>
      <c r="U15" s="275"/>
      <c r="V15" s="275"/>
      <c r="W15" s="275">
        <v>4</v>
      </c>
      <c r="X15" s="275">
        <v>2</v>
      </c>
      <c r="Y15" s="271">
        <v>5</v>
      </c>
      <c r="Z15" s="273"/>
      <c r="AA15" s="2122" t="s">
        <v>33</v>
      </c>
      <c r="AB15" s="280">
        <f t="shared" si="0"/>
        <v>60</v>
      </c>
      <c r="AC15" s="273"/>
    </row>
    <row r="16" spans="1:29" ht="29.25" customHeight="1" x14ac:dyDescent="0.25">
      <c r="A16" s="271">
        <v>6</v>
      </c>
      <c r="B16" s="1973">
        <f t="shared" si="1"/>
        <v>5191421006</v>
      </c>
      <c r="C16" s="278">
        <v>0</v>
      </c>
      <c r="D16" s="278"/>
      <c r="E16" s="278"/>
      <c r="F16" s="278"/>
      <c r="G16" s="271"/>
      <c r="H16" s="271">
        <v>2</v>
      </c>
      <c r="I16" s="271"/>
      <c r="J16" s="271"/>
      <c r="K16" s="271">
        <v>0</v>
      </c>
      <c r="L16" s="271"/>
      <c r="M16" s="271"/>
      <c r="N16" s="275">
        <v>2</v>
      </c>
      <c r="O16" s="275">
        <v>2</v>
      </c>
      <c r="P16" s="275">
        <v>2</v>
      </c>
      <c r="Q16" s="275">
        <v>2</v>
      </c>
      <c r="R16" s="275">
        <v>2</v>
      </c>
      <c r="S16" s="275"/>
      <c r="T16" s="275">
        <v>2</v>
      </c>
      <c r="U16" s="275"/>
      <c r="V16" s="275"/>
      <c r="W16" s="275">
        <v>2</v>
      </c>
      <c r="X16" s="275"/>
      <c r="Y16" s="271">
        <v>5</v>
      </c>
      <c r="Z16" s="273"/>
      <c r="AA16" s="2123" t="s">
        <v>32</v>
      </c>
      <c r="AB16" s="280">
        <f t="shared" si="0"/>
        <v>70</v>
      </c>
      <c r="AC16" s="273"/>
    </row>
    <row r="17" spans="1:29" ht="29.25" customHeight="1" x14ac:dyDescent="0.25">
      <c r="A17" s="271">
        <v>7</v>
      </c>
      <c r="B17" s="1973">
        <f t="shared" si="1"/>
        <v>5191421007</v>
      </c>
      <c r="C17" s="278">
        <v>2</v>
      </c>
      <c r="D17" s="278">
        <v>2</v>
      </c>
      <c r="E17" s="278">
        <v>2</v>
      </c>
      <c r="F17" s="278">
        <v>2</v>
      </c>
      <c r="G17" s="271">
        <v>2</v>
      </c>
      <c r="H17" s="271"/>
      <c r="I17" s="271"/>
      <c r="J17" s="271">
        <v>2</v>
      </c>
      <c r="K17" s="271">
        <v>2</v>
      </c>
      <c r="L17" s="271">
        <v>2</v>
      </c>
      <c r="M17" s="271">
        <v>2</v>
      </c>
      <c r="N17" s="275">
        <v>2</v>
      </c>
      <c r="O17" s="275">
        <v>2</v>
      </c>
      <c r="P17" s="275">
        <v>2</v>
      </c>
      <c r="Q17" s="275">
        <v>2</v>
      </c>
      <c r="R17" s="275">
        <v>2</v>
      </c>
      <c r="S17" s="275"/>
      <c r="T17" s="275"/>
      <c r="U17" s="275">
        <v>5</v>
      </c>
      <c r="V17" s="275">
        <v>5</v>
      </c>
      <c r="W17" s="275">
        <v>5</v>
      </c>
      <c r="X17" s="275">
        <v>5</v>
      </c>
      <c r="Y17" s="271">
        <v>5</v>
      </c>
      <c r="Z17" s="273"/>
      <c r="AA17" s="2123" t="s">
        <v>32</v>
      </c>
      <c r="AB17" s="280">
        <f t="shared" si="0"/>
        <v>70</v>
      </c>
      <c r="AC17" s="273"/>
    </row>
    <row r="18" spans="1:29" ht="29.25" customHeight="1" x14ac:dyDescent="0.25">
      <c r="A18" s="271">
        <v>8</v>
      </c>
      <c r="B18" s="1973">
        <f t="shared" si="1"/>
        <v>5191421008</v>
      </c>
      <c r="C18" s="278">
        <v>2</v>
      </c>
      <c r="D18" s="278">
        <v>2</v>
      </c>
      <c r="E18" s="278"/>
      <c r="F18" s="278">
        <v>2</v>
      </c>
      <c r="G18" s="271"/>
      <c r="H18" s="271">
        <v>5</v>
      </c>
      <c r="I18" s="271">
        <v>3</v>
      </c>
      <c r="J18" s="271">
        <v>1</v>
      </c>
      <c r="K18" s="271"/>
      <c r="L18" s="271"/>
      <c r="M18" s="271">
        <v>3</v>
      </c>
      <c r="N18" s="275">
        <v>2</v>
      </c>
      <c r="O18" s="275">
        <v>2</v>
      </c>
      <c r="P18" s="275">
        <v>2</v>
      </c>
      <c r="Q18" s="275">
        <v>2</v>
      </c>
      <c r="R18" s="275">
        <v>2</v>
      </c>
      <c r="S18" s="275"/>
      <c r="T18" s="275">
        <v>3</v>
      </c>
      <c r="U18" s="275">
        <v>5</v>
      </c>
      <c r="V18" s="275">
        <v>3</v>
      </c>
      <c r="W18" s="275"/>
      <c r="X18" s="275">
        <v>1</v>
      </c>
      <c r="Y18" s="271">
        <v>5</v>
      </c>
      <c r="Z18" s="273"/>
      <c r="AA18" s="2123" t="s">
        <v>32</v>
      </c>
      <c r="AB18" s="280">
        <f t="shared" si="0"/>
        <v>70</v>
      </c>
      <c r="AC18" s="273"/>
    </row>
    <row r="19" spans="1:29" ht="29.25" customHeight="1" x14ac:dyDescent="0.25">
      <c r="A19" s="271">
        <v>9</v>
      </c>
      <c r="B19" s="1973">
        <f t="shared" si="1"/>
        <v>5191421009</v>
      </c>
      <c r="C19" s="278">
        <v>1</v>
      </c>
      <c r="D19" s="278">
        <v>2</v>
      </c>
      <c r="E19" s="278">
        <v>0</v>
      </c>
      <c r="F19" s="278">
        <v>1</v>
      </c>
      <c r="G19" s="271">
        <v>0</v>
      </c>
      <c r="H19" s="271">
        <v>5</v>
      </c>
      <c r="I19" s="271">
        <v>4</v>
      </c>
      <c r="J19" s="271">
        <v>3</v>
      </c>
      <c r="K19" s="271"/>
      <c r="L19" s="271"/>
      <c r="M19" s="271"/>
      <c r="N19" s="275">
        <v>2</v>
      </c>
      <c r="O19" s="275">
        <v>2</v>
      </c>
      <c r="P19" s="275">
        <v>2</v>
      </c>
      <c r="Q19" s="275">
        <v>2</v>
      </c>
      <c r="R19" s="275">
        <v>2</v>
      </c>
      <c r="S19" s="275"/>
      <c r="T19" s="275">
        <v>3</v>
      </c>
      <c r="U19" s="275">
        <v>5</v>
      </c>
      <c r="V19" s="275">
        <v>5</v>
      </c>
      <c r="W19" s="275"/>
      <c r="X19" s="275">
        <v>3</v>
      </c>
      <c r="Y19" s="271">
        <v>5</v>
      </c>
      <c r="Z19" s="273"/>
      <c r="AA19" s="2123" t="s">
        <v>32</v>
      </c>
      <c r="AB19" s="280">
        <f t="shared" si="0"/>
        <v>70</v>
      </c>
      <c r="AC19" s="273"/>
    </row>
    <row r="20" spans="1:29" ht="29.25" customHeight="1" x14ac:dyDescent="0.25">
      <c r="A20" s="271">
        <v>10</v>
      </c>
      <c r="B20" s="1973">
        <f t="shared" si="1"/>
        <v>5191421010</v>
      </c>
      <c r="C20" s="278">
        <v>1</v>
      </c>
      <c r="D20" s="278">
        <v>0</v>
      </c>
      <c r="E20" s="278">
        <v>2</v>
      </c>
      <c r="F20" s="278">
        <v>1</v>
      </c>
      <c r="G20" s="271">
        <v>0</v>
      </c>
      <c r="H20" s="271"/>
      <c r="I20" s="271">
        <v>2</v>
      </c>
      <c r="J20" s="271">
        <v>0</v>
      </c>
      <c r="K20" s="271">
        <v>1</v>
      </c>
      <c r="L20" s="271"/>
      <c r="M20" s="271"/>
      <c r="N20" s="275">
        <v>2</v>
      </c>
      <c r="O20" s="275">
        <v>2</v>
      </c>
      <c r="P20" s="275">
        <v>2</v>
      </c>
      <c r="Q20" s="275">
        <v>2</v>
      </c>
      <c r="R20" s="275">
        <v>2</v>
      </c>
      <c r="S20" s="275"/>
      <c r="T20" s="275"/>
      <c r="U20" s="275">
        <v>5</v>
      </c>
      <c r="V20" s="275">
        <v>2</v>
      </c>
      <c r="W20" s="275">
        <v>1</v>
      </c>
      <c r="X20" s="275"/>
      <c r="Y20" s="271">
        <v>5</v>
      </c>
      <c r="Z20" s="273"/>
      <c r="AA20" s="2123" t="s">
        <v>32</v>
      </c>
      <c r="AB20" s="280">
        <f t="shared" si="0"/>
        <v>70</v>
      </c>
      <c r="AC20" s="273"/>
    </row>
    <row r="21" spans="1:29" ht="29.25" customHeight="1" x14ac:dyDescent="0.25">
      <c r="A21" s="271">
        <v>11</v>
      </c>
      <c r="B21" s="1973">
        <f t="shared" si="1"/>
        <v>5191421011</v>
      </c>
      <c r="C21" s="278">
        <v>0</v>
      </c>
      <c r="D21" s="278">
        <v>0</v>
      </c>
      <c r="E21" s="278">
        <v>0</v>
      </c>
      <c r="F21" s="278"/>
      <c r="G21" s="271"/>
      <c r="H21" s="271"/>
      <c r="I21" s="271"/>
      <c r="J21" s="271"/>
      <c r="K21" s="271">
        <v>4</v>
      </c>
      <c r="L21" s="271"/>
      <c r="M21" s="271">
        <v>0</v>
      </c>
      <c r="N21" s="275">
        <v>0</v>
      </c>
      <c r="O21" s="275">
        <v>1</v>
      </c>
      <c r="P21" s="275"/>
      <c r="Q21" s="275"/>
      <c r="R21" s="275"/>
      <c r="S21" s="275"/>
      <c r="T21" s="275"/>
      <c r="U21" s="275">
        <v>0</v>
      </c>
      <c r="V21" s="275"/>
      <c r="W21" s="275"/>
      <c r="X21" s="275"/>
      <c r="Y21" s="271">
        <v>4</v>
      </c>
      <c r="Z21" s="273"/>
      <c r="AA21" s="2123" t="s">
        <v>32</v>
      </c>
      <c r="AB21" s="280">
        <f t="shared" si="0"/>
        <v>70</v>
      </c>
      <c r="AC21" s="273"/>
    </row>
    <row r="22" spans="1:29" ht="29.25" customHeight="1" x14ac:dyDescent="0.25">
      <c r="A22" s="271">
        <v>12</v>
      </c>
      <c r="B22" s="1973">
        <f t="shared" si="1"/>
        <v>5191421012</v>
      </c>
      <c r="C22" s="278">
        <v>0</v>
      </c>
      <c r="D22" s="278">
        <v>0</v>
      </c>
      <c r="E22" s="278">
        <v>2</v>
      </c>
      <c r="F22" s="278">
        <v>0</v>
      </c>
      <c r="G22" s="281">
        <v>0</v>
      </c>
      <c r="H22" s="271">
        <v>0</v>
      </c>
      <c r="I22" s="271"/>
      <c r="J22" s="271">
        <v>0</v>
      </c>
      <c r="K22" s="271"/>
      <c r="L22" s="271">
        <v>0</v>
      </c>
      <c r="M22" s="271">
        <v>0</v>
      </c>
      <c r="N22" s="275">
        <v>2</v>
      </c>
      <c r="O22" s="275">
        <v>2</v>
      </c>
      <c r="P22" s="275">
        <v>2</v>
      </c>
      <c r="Q22" s="275">
        <v>2</v>
      </c>
      <c r="R22" s="275">
        <v>1</v>
      </c>
      <c r="S22" s="275"/>
      <c r="T22" s="275"/>
      <c r="U22" s="275"/>
      <c r="V22" s="275"/>
      <c r="W22" s="275">
        <v>1</v>
      </c>
      <c r="X22" s="275">
        <v>4</v>
      </c>
      <c r="Y22" s="271">
        <v>5</v>
      </c>
      <c r="Z22" s="273"/>
      <c r="AA22" s="2123" t="s">
        <v>31</v>
      </c>
      <c r="AB22" s="280">
        <f t="shared" si="0"/>
        <v>55</v>
      </c>
      <c r="AC22" s="273"/>
    </row>
    <row r="23" spans="1:29" ht="29.25" customHeight="1" x14ac:dyDescent="0.25">
      <c r="A23" s="271">
        <v>13</v>
      </c>
      <c r="B23" s="1973">
        <f t="shared" si="1"/>
        <v>5191421013</v>
      </c>
      <c r="C23" s="278">
        <v>2</v>
      </c>
      <c r="D23" s="278">
        <v>2</v>
      </c>
      <c r="E23" s="278">
        <v>0</v>
      </c>
      <c r="F23" s="278">
        <v>2</v>
      </c>
      <c r="G23" s="271">
        <v>0</v>
      </c>
      <c r="H23" s="271">
        <v>5</v>
      </c>
      <c r="I23" s="271">
        <v>3</v>
      </c>
      <c r="J23" s="271"/>
      <c r="K23" s="271">
        <v>5</v>
      </c>
      <c r="L23" s="271"/>
      <c r="M23" s="271"/>
      <c r="N23" s="275">
        <v>2</v>
      </c>
      <c r="O23" s="275">
        <v>2</v>
      </c>
      <c r="P23" s="275">
        <v>2</v>
      </c>
      <c r="Q23" s="275">
        <v>2</v>
      </c>
      <c r="R23" s="275"/>
      <c r="S23" s="275">
        <v>3</v>
      </c>
      <c r="T23" s="275">
        <v>4</v>
      </c>
      <c r="U23" s="275">
        <v>0</v>
      </c>
      <c r="V23" s="275">
        <v>5</v>
      </c>
      <c r="W23" s="275"/>
      <c r="X23" s="275"/>
      <c r="Y23" s="271">
        <v>5</v>
      </c>
      <c r="Z23" s="273"/>
      <c r="AA23" s="2122" t="s">
        <v>27</v>
      </c>
      <c r="AB23" s="280">
        <f t="shared" si="0"/>
        <v>80</v>
      </c>
      <c r="AC23" s="273"/>
    </row>
    <row r="24" spans="1:29" ht="29.25" customHeight="1" x14ac:dyDescent="0.25">
      <c r="A24" s="271">
        <v>14</v>
      </c>
      <c r="B24" s="1973">
        <f t="shared" si="1"/>
        <v>5191421014</v>
      </c>
      <c r="C24" s="278">
        <v>1</v>
      </c>
      <c r="D24" s="278"/>
      <c r="E24" s="278"/>
      <c r="F24" s="278">
        <v>1</v>
      </c>
      <c r="G24" s="271"/>
      <c r="H24" s="271">
        <v>3</v>
      </c>
      <c r="I24" s="271"/>
      <c r="J24" s="271">
        <v>4</v>
      </c>
      <c r="K24" s="271">
        <v>5</v>
      </c>
      <c r="L24" s="271"/>
      <c r="M24" s="271"/>
      <c r="N24" s="275">
        <v>2</v>
      </c>
      <c r="O24" s="275">
        <v>2</v>
      </c>
      <c r="P24" s="275">
        <v>2</v>
      </c>
      <c r="Q24" s="275">
        <v>2</v>
      </c>
      <c r="R24" s="275"/>
      <c r="S24" s="275">
        <v>3</v>
      </c>
      <c r="T24" s="275">
        <v>5</v>
      </c>
      <c r="U24" s="275"/>
      <c r="V24" s="275">
        <v>2</v>
      </c>
      <c r="W24" s="275"/>
      <c r="X24" s="275"/>
      <c r="Y24" s="271">
        <v>5</v>
      </c>
      <c r="Z24" s="273"/>
      <c r="AA24" s="2123" t="s">
        <v>27</v>
      </c>
      <c r="AB24" s="280">
        <f t="shared" si="0"/>
        <v>80</v>
      </c>
      <c r="AC24" s="273"/>
    </row>
    <row r="25" spans="1:29" ht="29.25" customHeight="1" x14ac:dyDescent="0.25">
      <c r="A25" s="271">
        <v>15</v>
      </c>
      <c r="B25" s="1973">
        <f t="shared" si="1"/>
        <v>5191421015</v>
      </c>
      <c r="C25" s="278">
        <v>0</v>
      </c>
      <c r="D25" s="278"/>
      <c r="E25" s="278">
        <v>0</v>
      </c>
      <c r="F25" s="278"/>
      <c r="G25" s="271"/>
      <c r="H25" s="271"/>
      <c r="I25" s="271">
        <v>0</v>
      </c>
      <c r="J25" s="271"/>
      <c r="K25" s="271">
        <v>5</v>
      </c>
      <c r="L25" s="271"/>
      <c r="M25" s="271">
        <v>0</v>
      </c>
      <c r="N25" s="275">
        <v>2</v>
      </c>
      <c r="O25" s="275">
        <v>2</v>
      </c>
      <c r="P25" s="275">
        <v>2</v>
      </c>
      <c r="Q25" s="275">
        <v>2</v>
      </c>
      <c r="R25" s="275">
        <v>2</v>
      </c>
      <c r="S25" s="275">
        <v>4</v>
      </c>
      <c r="T25" s="275"/>
      <c r="U25" s="275">
        <v>5</v>
      </c>
      <c r="V25" s="275"/>
      <c r="W25" s="275"/>
      <c r="X25" s="275">
        <v>2</v>
      </c>
      <c r="Y25" s="271">
        <v>4</v>
      </c>
      <c r="Z25" s="273"/>
      <c r="AA25" s="2122" t="s">
        <v>32</v>
      </c>
      <c r="AB25" s="280">
        <f t="shared" si="0"/>
        <v>70</v>
      </c>
      <c r="AC25" s="273"/>
    </row>
    <row r="26" spans="1:29" ht="29.25" customHeight="1" x14ac:dyDescent="0.25">
      <c r="A26" s="271">
        <v>16</v>
      </c>
      <c r="B26" s="1973">
        <f t="shared" si="1"/>
        <v>5191421016</v>
      </c>
      <c r="C26" s="278">
        <v>2</v>
      </c>
      <c r="D26" s="278"/>
      <c r="E26" s="278">
        <v>2</v>
      </c>
      <c r="F26" s="278">
        <v>2</v>
      </c>
      <c r="G26" s="271"/>
      <c r="H26" s="271">
        <v>4</v>
      </c>
      <c r="I26" s="271"/>
      <c r="J26" s="271">
        <v>0</v>
      </c>
      <c r="K26" s="271"/>
      <c r="L26" s="271"/>
      <c r="M26" s="271"/>
      <c r="N26" s="275">
        <v>2</v>
      </c>
      <c r="O26" s="275">
        <v>2</v>
      </c>
      <c r="P26" s="275">
        <v>2</v>
      </c>
      <c r="Q26" s="275">
        <v>2</v>
      </c>
      <c r="R26" s="275">
        <v>2</v>
      </c>
      <c r="S26" s="275"/>
      <c r="T26" s="275"/>
      <c r="U26" s="275">
        <v>5</v>
      </c>
      <c r="V26" s="275">
        <v>5</v>
      </c>
      <c r="W26" s="275"/>
      <c r="X26" s="275">
        <v>2</v>
      </c>
      <c r="Y26" s="271">
        <v>5</v>
      </c>
      <c r="Z26" s="273"/>
      <c r="AA26" s="2123" t="s">
        <v>29</v>
      </c>
      <c r="AB26" s="280">
        <f t="shared" si="0"/>
        <v>39</v>
      </c>
      <c r="AC26" s="273"/>
    </row>
    <row r="27" spans="1:29" ht="29.25" customHeight="1" x14ac:dyDescent="0.25">
      <c r="A27" s="271">
        <v>17</v>
      </c>
      <c r="B27" s="1973">
        <f t="shared" si="1"/>
        <v>5191421017</v>
      </c>
      <c r="C27" s="278">
        <v>2</v>
      </c>
      <c r="D27" s="278">
        <v>2</v>
      </c>
      <c r="E27" s="278">
        <v>2</v>
      </c>
      <c r="F27" s="278">
        <v>2</v>
      </c>
      <c r="G27" s="271">
        <v>2</v>
      </c>
      <c r="H27" s="271">
        <v>5</v>
      </c>
      <c r="I27" s="271">
        <v>5</v>
      </c>
      <c r="J27" s="271"/>
      <c r="K27" s="271"/>
      <c r="L27" s="271">
        <v>5</v>
      </c>
      <c r="M27" s="271">
        <v>5</v>
      </c>
      <c r="N27" s="275">
        <v>2</v>
      </c>
      <c r="O27" s="275">
        <v>2</v>
      </c>
      <c r="P27" s="275">
        <v>2</v>
      </c>
      <c r="Q27" s="275">
        <v>2</v>
      </c>
      <c r="R27" s="275">
        <v>2</v>
      </c>
      <c r="S27" s="275">
        <v>5</v>
      </c>
      <c r="T27" s="275">
        <v>5</v>
      </c>
      <c r="U27" s="275">
        <v>5</v>
      </c>
      <c r="V27" s="275">
        <v>5</v>
      </c>
      <c r="W27" s="275"/>
      <c r="X27" s="275"/>
      <c r="Y27" s="271">
        <v>5</v>
      </c>
      <c r="Z27" s="273"/>
      <c r="AA27" s="2122" t="s">
        <v>32</v>
      </c>
      <c r="AB27" s="280">
        <f t="shared" si="0"/>
        <v>70</v>
      </c>
      <c r="AC27" s="273"/>
    </row>
    <row r="28" spans="1:29" ht="29.25" customHeight="1" x14ac:dyDescent="0.25">
      <c r="A28" s="271">
        <v>18</v>
      </c>
      <c r="B28" s="1973">
        <f t="shared" si="1"/>
        <v>5191421018</v>
      </c>
      <c r="C28" s="278">
        <v>0</v>
      </c>
      <c r="D28" s="278"/>
      <c r="E28" s="278">
        <v>0</v>
      </c>
      <c r="F28" s="278">
        <v>0</v>
      </c>
      <c r="G28" s="271">
        <v>0</v>
      </c>
      <c r="H28" s="271">
        <v>0</v>
      </c>
      <c r="I28" s="271"/>
      <c r="J28" s="271">
        <v>0</v>
      </c>
      <c r="K28" s="271">
        <v>5</v>
      </c>
      <c r="L28" s="271"/>
      <c r="M28" s="271">
        <v>0</v>
      </c>
      <c r="N28" s="275">
        <v>2</v>
      </c>
      <c r="O28" s="275">
        <v>2</v>
      </c>
      <c r="P28" s="275">
        <v>1</v>
      </c>
      <c r="Q28" s="275">
        <v>2</v>
      </c>
      <c r="R28" s="275"/>
      <c r="S28" s="275"/>
      <c r="T28" s="275">
        <v>2</v>
      </c>
      <c r="U28" s="275"/>
      <c r="V28" s="275">
        <v>5</v>
      </c>
      <c r="W28" s="275"/>
      <c r="X28" s="275">
        <v>2</v>
      </c>
      <c r="Y28" s="271">
        <v>5</v>
      </c>
      <c r="Z28" s="273"/>
      <c r="AA28" s="2123" t="s">
        <v>31</v>
      </c>
      <c r="AB28" s="280">
        <f t="shared" si="0"/>
        <v>55</v>
      </c>
      <c r="AC28" s="273"/>
    </row>
    <row r="29" spans="1:29" ht="29.25" customHeight="1" x14ac:dyDescent="0.25">
      <c r="A29" s="271">
        <v>19</v>
      </c>
      <c r="B29" s="1973">
        <f t="shared" si="1"/>
        <v>5191421019</v>
      </c>
      <c r="C29" s="278"/>
      <c r="D29" s="271">
        <v>2</v>
      </c>
      <c r="E29" s="271">
        <v>2</v>
      </c>
      <c r="F29" s="271">
        <v>2</v>
      </c>
      <c r="G29" s="271"/>
      <c r="H29" s="271">
        <v>4</v>
      </c>
      <c r="I29" s="271"/>
      <c r="J29" s="271"/>
      <c r="K29" s="271"/>
      <c r="L29" s="271"/>
      <c r="M29" s="271">
        <v>3</v>
      </c>
      <c r="N29" s="275">
        <v>2</v>
      </c>
      <c r="O29" s="275"/>
      <c r="P29" s="275">
        <v>2</v>
      </c>
      <c r="Q29" s="275"/>
      <c r="R29" s="275"/>
      <c r="S29" s="275"/>
      <c r="T29" s="275">
        <v>5</v>
      </c>
      <c r="U29" s="275"/>
      <c r="V29" s="275">
        <v>5</v>
      </c>
      <c r="W29" s="275"/>
      <c r="X29" s="275">
        <v>2</v>
      </c>
      <c r="Y29" s="271">
        <v>4</v>
      </c>
      <c r="Z29" s="273"/>
      <c r="AA29" s="2122" t="s">
        <v>30</v>
      </c>
      <c r="AB29" s="280">
        <f t="shared" si="0"/>
        <v>90</v>
      </c>
      <c r="AC29" s="273"/>
    </row>
    <row r="30" spans="1:29" ht="29.25" customHeight="1" x14ac:dyDescent="0.25">
      <c r="A30" s="271">
        <v>20</v>
      </c>
      <c r="B30" s="1973">
        <f t="shared" si="1"/>
        <v>5191421020</v>
      </c>
      <c r="C30" s="271">
        <v>2</v>
      </c>
      <c r="D30" s="271">
        <v>2</v>
      </c>
      <c r="E30" s="271">
        <v>2</v>
      </c>
      <c r="F30" s="271">
        <v>0</v>
      </c>
      <c r="G30" s="271">
        <v>0</v>
      </c>
      <c r="H30" s="271">
        <v>2</v>
      </c>
      <c r="I30" s="271">
        <v>2</v>
      </c>
      <c r="J30" s="271"/>
      <c r="K30" s="271">
        <v>2</v>
      </c>
      <c r="L30" s="271"/>
      <c r="M30" s="271">
        <v>2</v>
      </c>
      <c r="N30" s="275">
        <v>2</v>
      </c>
      <c r="O30" s="275">
        <v>2</v>
      </c>
      <c r="P30" s="275">
        <v>2</v>
      </c>
      <c r="Q30" s="275">
        <v>2</v>
      </c>
      <c r="R30" s="275"/>
      <c r="S30" s="275"/>
      <c r="T30" s="275">
        <v>5</v>
      </c>
      <c r="U30" s="275">
        <v>0</v>
      </c>
      <c r="V30" s="275">
        <v>5</v>
      </c>
      <c r="W30" s="275"/>
      <c r="X30" s="275">
        <v>0</v>
      </c>
      <c r="Y30" s="271">
        <v>5</v>
      </c>
      <c r="Z30" s="273"/>
      <c r="AA30" s="2123" t="s">
        <v>27</v>
      </c>
      <c r="AB30" s="280">
        <f t="shared" si="0"/>
        <v>80</v>
      </c>
      <c r="AC30" s="273"/>
    </row>
    <row r="31" spans="1:29" ht="29.25" customHeight="1" x14ac:dyDescent="0.25">
      <c r="A31" s="271">
        <v>21</v>
      </c>
      <c r="B31" s="1973">
        <f t="shared" si="1"/>
        <v>5191421021</v>
      </c>
      <c r="C31" s="278">
        <v>2</v>
      </c>
      <c r="D31" s="271">
        <v>2</v>
      </c>
      <c r="E31" s="271">
        <v>2</v>
      </c>
      <c r="F31" s="271">
        <v>0</v>
      </c>
      <c r="G31" s="271">
        <v>0</v>
      </c>
      <c r="H31" s="271">
        <v>5</v>
      </c>
      <c r="I31" s="271">
        <v>5</v>
      </c>
      <c r="J31" s="271">
        <v>4</v>
      </c>
      <c r="K31" s="271"/>
      <c r="L31" s="271"/>
      <c r="M31" s="271">
        <v>3</v>
      </c>
      <c r="N31" s="275">
        <v>2</v>
      </c>
      <c r="O31" s="275">
        <v>2</v>
      </c>
      <c r="P31" s="275">
        <v>2</v>
      </c>
      <c r="Q31" s="275">
        <v>2</v>
      </c>
      <c r="R31" s="275">
        <v>2</v>
      </c>
      <c r="S31" s="275">
        <v>5</v>
      </c>
      <c r="T31" s="275">
        <v>4</v>
      </c>
      <c r="U31" s="275">
        <v>0</v>
      </c>
      <c r="V31" s="275">
        <v>5</v>
      </c>
      <c r="W31" s="275"/>
      <c r="X31" s="275"/>
      <c r="Y31" s="271">
        <v>5</v>
      </c>
      <c r="Z31" s="273"/>
      <c r="AA31" s="2122" t="s">
        <v>32</v>
      </c>
      <c r="AB31" s="280">
        <f t="shared" si="0"/>
        <v>70</v>
      </c>
      <c r="AC31" s="273"/>
    </row>
    <row r="32" spans="1:29" ht="29.25" customHeight="1" x14ac:dyDescent="0.25">
      <c r="A32" s="271">
        <v>22</v>
      </c>
      <c r="B32" s="1973">
        <f t="shared" si="1"/>
        <v>5191421022</v>
      </c>
      <c r="C32" s="278">
        <v>2</v>
      </c>
      <c r="D32" s="271">
        <v>2</v>
      </c>
      <c r="E32" s="271">
        <v>2</v>
      </c>
      <c r="F32" s="271">
        <v>2</v>
      </c>
      <c r="G32" s="271">
        <v>2</v>
      </c>
      <c r="H32" s="271">
        <v>4</v>
      </c>
      <c r="I32" s="271">
        <v>5</v>
      </c>
      <c r="J32" s="271">
        <v>4</v>
      </c>
      <c r="K32" s="271">
        <v>3</v>
      </c>
      <c r="L32" s="271"/>
      <c r="M32" s="271"/>
      <c r="N32" s="275">
        <v>2</v>
      </c>
      <c r="O32" s="275">
        <v>2</v>
      </c>
      <c r="P32" s="275">
        <v>2</v>
      </c>
      <c r="Q32" s="275">
        <v>2</v>
      </c>
      <c r="R32" s="275">
        <v>2</v>
      </c>
      <c r="S32" s="275">
        <v>4</v>
      </c>
      <c r="T32" s="275">
        <v>5</v>
      </c>
      <c r="U32" s="275">
        <v>5</v>
      </c>
      <c r="V32" s="275"/>
      <c r="W32" s="275">
        <v>4</v>
      </c>
      <c r="X32" s="275"/>
      <c r="Y32" s="271">
        <v>5</v>
      </c>
      <c r="Z32" s="273"/>
      <c r="AA32" s="2123" t="s">
        <v>32</v>
      </c>
      <c r="AB32" s="280">
        <f t="shared" si="0"/>
        <v>70</v>
      </c>
      <c r="AC32" s="273"/>
    </row>
    <row r="33" spans="1:29" ht="29.25" customHeight="1" x14ac:dyDescent="0.25">
      <c r="A33" s="271">
        <v>23</v>
      </c>
      <c r="B33" s="1973">
        <f t="shared" si="1"/>
        <v>5191421023</v>
      </c>
      <c r="C33" s="278">
        <v>2</v>
      </c>
      <c r="D33" s="271">
        <v>2</v>
      </c>
      <c r="E33" s="271">
        <v>2</v>
      </c>
      <c r="F33" s="271">
        <v>2</v>
      </c>
      <c r="G33" s="271">
        <v>2</v>
      </c>
      <c r="H33" s="271">
        <v>2</v>
      </c>
      <c r="I33" s="271"/>
      <c r="J33" s="271">
        <v>3</v>
      </c>
      <c r="K33" s="271">
        <v>0</v>
      </c>
      <c r="L33" s="271">
        <v>1</v>
      </c>
      <c r="M33" s="271">
        <v>5</v>
      </c>
      <c r="N33" s="275">
        <v>2</v>
      </c>
      <c r="O33" s="275">
        <v>2</v>
      </c>
      <c r="P33" s="275">
        <v>2</v>
      </c>
      <c r="Q33" s="275">
        <v>2</v>
      </c>
      <c r="R33" s="275"/>
      <c r="S33" s="275"/>
      <c r="T33" s="275"/>
      <c r="U33" s="275"/>
      <c r="V33" s="275">
        <v>4</v>
      </c>
      <c r="W33" s="275"/>
      <c r="X33" s="275">
        <v>4</v>
      </c>
      <c r="Y33" s="271">
        <v>5</v>
      </c>
      <c r="Z33" s="273"/>
      <c r="AA33" s="2122" t="s">
        <v>33</v>
      </c>
      <c r="AB33" s="280">
        <f t="shared" si="0"/>
        <v>60</v>
      </c>
      <c r="AC33" s="273"/>
    </row>
    <row r="34" spans="1:29" ht="29.25" customHeight="1" x14ac:dyDescent="0.25">
      <c r="A34" s="271">
        <v>24</v>
      </c>
      <c r="B34" s="1973">
        <f t="shared" si="1"/>
        <v>5191421024</v>
      </c>
      <c r="C34" s="278">
        <v>2</v>
      </c>
      <c r="D34" s="271">
        <v>0</v>
      </c>
      <c r="E34" s="271">
        <v>2</v>
      </c>
      <c r="F34" s="271">
        <v>2</v>
      </c>
      <c r="G34" s="271">
        <v>2</v>
      </c>
      <c r="H34" s="271">
        <v>5</v>
      </c>
      <c r="I34" s="271">
        <v>5</v>
      </c>
      <c r="J34" s="271">
        <v>5</v>
      </c>
      <c r="K34" s="271">
        <v>2</v>
      </c>
      <c r="L34" s="271"/>
      <c r="M34" s="271"/>
      <c r="N34" s="275">
        <v>2</v>
      </c>
      <c r="O34" s="275">
        <v>2</v>
      </c>
      <c r="P34" s="275">
        <v>2</v>
      </c>
      <c r="Q34" s="275">
        <v>2</v>
      </c>
      <c r="R34" s="275">
        <v>2</v>
      </c>
      <c r="S34" s="275">
        <v>3</v>
      </c>
      <c r="T34" s="275">
        <v>5</v>
      </c>
      <c r="U34" s="275"/>
      <c r="V34" s="275"/>
      <c r="W34" s="275">
        <v>3</v>
      </c>
      <c r="X34" s="275">
        <v>2</v>
      </c>
      <c r="Y34" s="271">
        <v>5</v>
      </c>
      <c r="Z34" s="273"/>
      <c r="AA34" s="2123" t="s">
        <v>29</v>
      </c>
      <c r="AB34" s="280">
        <f t="shared" si="0"/>
        <v>39</v>
      </c>
      <c r="AC34" s="273"/>
    </row>
    <row r="35" spans="1:29" ht="29.25" customHeight="1" x14ac:dyDescent="0.25">
      <c r="A35" s="271">
        <v>25</v>
      </c>
      <c r="B35" s="1973">
        <f t="shared" si="1"/>
        <v>5191421025</v>
      </c>
      <c r="C35" s="278">
        <v>2</v>
      </c>
      <c r="D35" s="271">
        <v>1</v>
      </c>
      <c r="E35" s="271">
        <v>2</v>
      </c>
      <c r="F35" s="271">
        <v>2</v>
      </c>
      <c r="G35" s="271">
        <v>1</v>
      </c>
      <c r="H35" s="271"/>
      <c r="I35" s="271"/>
      <c r="J35" s="271">
        <v>5</v>
      </c>
      <c r="K35" s="271">
        <v>5</v>
      </c>
      <c r="L35" s="271">
        <v>5</v>
      </c>
      <c r="M35" s="271">
        <v>0</v>
      </c>
      <c r="N35" s="275"/>
      <c r="O35" s="275">
        <v>2</v>
      </c>
      <c r="P35" s="275">
        <v>2</v>
      </c>
      <c r="Q35" s="275">
        <v>2</v>
      </c>
      <c r="R35" s="275">
        <v>2</v>
      </c>
      <c r="S35" s="275">
        <v>5</v>
      </c>
      <c r="T35" s="275">
        <v>5</v>
      </c>
      <c r="U35" s="275">
        <v>1</v>
      </c>
      <c r="V35" s="275">
        <v>5</v>
      </c>
      <c r="W35" s="275"/>
      <c r="X35" s="275"/>
      <c r="Y35" s="271">
        <v>5</v>
      </c>
      <c r="Z35" s="273"/>
      <c r="AA35" s="2122" t="s">
        <v>30</v>
      </c>
      <c r="AB35" s="280">
        <f t="shared" si="0"/>
        <v>90</v>
      </c>
      <c r="AC35" s="273"/>
    </row>
    <row r="36" spans="1:29" ht="29.25" customHeight="1" x14ac:dyDescent="0.25">
      <c r="A36" s="271">
        <v>26</v>
      </c>
      <c r="B36" s="1973">
        <f t="shared" si="1"/>
        <v>5191421026</v>
      </c>
      <c r="C36" s="278">
        <v>2</v>
      </c>
      <c r="D36" s="271">
        <v>2</v>
      </c>
      <c r="E36" s="271">
        <v>2</v>
      </c>
      <c r="F36" s="271">
        <v>2</v>
      </c>
      <c r="G36" s="271">
        <v>2</v>
      </c>
      <c r="H36" s="271">
        <v>5</v>
      </c>
      <c r="I36" s="271">
        <v>1</v>
      </c>
      <c r="J36" s="271">
        <v>5</v>
      </c>
      <c r="K36" s="271">
        <v>5</v>
      </c>
      <c r="L36" s="271"/>
      <c r="M36" s="271"/>
      <c r="N36" s="271">
        <v>2</v>
      </c>
      <c r="O36" s="271">
        <v>2</v>
      </c>
      <c r="P36" s="271">
        <v>2</v>
      </c>
      <c r="Q36" s="271">
        <v>2</v>
      </c>
      <c r="R36" s="271">
        <v>2</v>
      </c>
      <c r="S36" s="271">
        <v>5</v>
      </c>
      <c r="T36" s="271">
        <v>5</v>
      </c>
      <c r="U36" s="271">
        <v>2</v>
      </c>
      <c r="V36" s="271">
        <v>4</v>
      </c>
      <c r="W36" s="271"/>
      <c r="X36" s="271"/>
      <c r="Y36" s="271">
        <v>5</v>
      </c>
      <c r="Z36" s="273"/>
      <c r="AA36" s="2123" t="s">
        <v>33</v>
      </c>
      <c r="AB36" s="280">
        <f t="shared" si="0"/>
        <v>60</v>
      </c>
      <c r="AC36" s="273"/>
    </row>
    <row r="37" spans="1:29" ht="29.25" customHeight="1" x14ac:dyDescent="0.25">
      <c r="A37" s="271">
        <v>27</v>
      </c>
      <c r="B37" s="1973">
        <f t="shared" si="1"/>
        <v>5191421027</v>
      </c>
      <c r="C37" s="278">
        <v>2</v>
      </c>
      <c r="D37" s="271">
        <v>2</v>
      </c>
      <c r="E37" s="271">
        <v>2</v>
      </c>
      <c r="F37" s="271">
        <v>2</v>
      </c>
      <c r="G37" s="271">
        <v>2</v>
      </c>
      <c r="H37" s="271">
        <v>5</v>
      </c>
      <c r="I37" s="271">
        <v>5</v>
      </c>
      <c r="J37" s="271">
        <v>5</v>
      </c>
      <c r="K37" s="271">
        <v>5</v>
      </c>
      <c r="L37" s="271"/>
      <c r="M37" s="271"/>
      <c r="N37" s="271">
        <v>2</v>
      </c>
      <c r="O37" s="271">
        <v>2</v>
      </c>
      <c r="P37" s="271">
        <v>2</v>
      </c>
      <c r="Q37" s="271">
        <v>2</v>
      </c>
      <c r="R37" s="271">
        <v>2</v>
      </c>
      <c r="S37" s="271">
        <v>5</v>
      </c>
      <c r="T37" s="271">
        <v>4</v>
      </c>
      <c r="U37" s="271">
        <v>5</v>
      </c>
      <c r="V37" s="271">
        <v>5</v>
      </c>
      <c r="W37" s="271">
        <v>4</v>
      </c>
      <c r="X37" s="271">
        <v>5</v>
      </c>
      <c r="Y37" s="271">
        <v>5</v>
      </c>
      <c r="Z37" s="273"/>
      <c r="AA37" s="2122" t="s">
        <v>27</v>
      </c>
      <c r="AB37" s="280">
        <f t="shared" si="0"/>
        <v>80</v>
      </c>
      <c r="AC37" s="273"/>
    </row>
    <row r="38" spans="1:29" ht="29.25" customHeight="1" x14ac:dyDescent="0.25">
      <c r="A38" s="271">
        <v>28</v>
      </c>
      <c r="B38" s="1973">
        <f t="shared" si="1"/>
        <v>5191421028</v>
      </c>
      <c r="C38" s="278">
        <v>2</v>
      </c>
      <c r="D38" s="271">
        <v>0</v>
      </c>
      <c r="E38" s="271">
        <v>2</v>
      </c>
      <c r="F38" s="271">
        <v>2</v>
      </c>
      <c r="G38" s="271">
        <v>0</v>
      </c>
      <c r="H38" s="271">
        <v>5</v>
      </c>
      <c r="I38" s="271">
        <v>5</v>
      </c>
      <c r="J38" s="271">
        <v>5</v>
      </c>
      <c r="K38" s="271">
        <v>0</v>
      </c>
      <c r="L38" s="271"/>
      <c r="M38" s="271"/>
      <c r="N38" s="271">
        <v>2</v>
      </c>
      <c r="O38" s="271">
        <v>2</v>
      </c>
      <c r="P38" s="271">
        <v>2</v>
      </c>
      <c r="Q38" s="271">
        <v>2</v>
      </c>
      <c r="R38" s="271">
        <v>2</v>
      </c>
      <c r="S38" s="271">
        <v>4</v>
      </c>
      <c r="T38" s="271">
        <v>5</v>
      </c>
      <c r="U38" s="271">
        <v>4</v>
      </c>
      <c r="V38" s="271">
        <v>5</v>
      </c>
      <c r="W38" s="271"/>
      <c r="X38" s="271"/>
      <c r="Y38" s="271">
        <v>5</v>
      </c>
      <c r="Z38" s="273"/>
      <c r="AA38" s="2123" t="s">
        <v>30</v>
      </c>
      <c r="AB38" s="280">
        <f t="shared" si="0"/>
        <v>90</v>
      </c>
      <c r="AC38" s="273"/>
    </row>
    <row r="39" spans="1:29" ht="29.25" customHeight="1" x14ac:dyDescent="0.25">
      <c r="A39" s="271">
        <v>29</v>
      </c>
      <c r="B39" s="1973">
        <f t="shared" si="1"/>
        <v>5191421029</v>
      </c>
      <c r="C39" s="278" t="s">
        <v>27</v>
      </c>
      <c r="D39" s="271" t="s">
        <v>27</v>
      </c>
      <c r="E39" s="271" t="s">
        <v>27</v>
      </c>
      <c r="F39" s="271" t="s">
        <v>27</v>
      </c>
      <c r="G39" s="271" t="s">
        <v>27</v>
      </c>
      <c r="H39" s="271" t="s">
        <v>27</v>
      </c>
      <c r="I39" s="271" t="s">
        <v>27</v>
      </c>
      <c r="J39" s="271" t="s">
        <v>27</v>
      </c>
      <c r="K39" s="271" t="s">
        <v>27</v>
      </c>
      <c r="L39" s="271" t="s">
        <v>27</v>
      </c>
      <c r="M39" s="271" t="s">
        <v>27</v>
      </c>
      <c r="N39" s="271"/>
      <c r="O39" s="271"/>
      <c r="P39" s="271"/>
      <c r="Q39" s="271"/>
      <c r="R39" s="271"/>
      <c r="S39" s="271"/>
      <c r="T39" s="271"/>
      <c r="U39" s="271"/>
      <c r="V39" s="271">
        <v>4</v>
      </c>
      <c r="W39" s="271"/>
      <c r="X39" s="271">
        <v>2</v>
      </c>
      <c r="Y39" s="271">
        <v>5</v>
      </c>
      <c r="Z39" s="273"/>
      <c r="AA39" s="2122" t="s">
        <v>27</v>
      </c>
      <c r="AB39" s="280">
        <f t="shared" si="0"/>
        <v>80</v>
      </c>
      <c r="AC39" s="273"/>
    </row>
    <row r="40" spans="1:29" ht="29.25" customHeight="1" x14ac:dyDescent="0.25">
      <c r="A40" s="271">
        <v>30</v>
      </c>
      <c r="B40" s="1973">
        <f t="shared" si="1"/>
        <v>5191421030</v>
      </c>
      <c r="C40" s="278">
        <v>2</v>
      </c>
      <c r="D40" s="271">
        <v>2</v>
      </c>
      <c r="E40" s="271">
        <v>2</v>
      </c>
      <c r="F40" s="271">
        <v>2</v>
      </c>
      <c r="G40" s="271">
        <v>2</v>
      </c>
      <c r="H40" s="271">
        <v>5</v>
      </c>
      <c r="I40" s="271">
        <v>5</v>
      </c>
      <c r="J40" s="271">
        <v>5</v>
      </c>
      <c r="K40" s="271">
        <v>5</v>
      </c>
      <c r="L40" s="271"/>
      <c r="M40" s="271"/>
      <c r="N40" s="271">
        <v>2</v>
      </c>
      <c r="O40" s="271">
        <v>2</v>
      </c>
      <c r="P40" s="271">
        <v>2</v>
      </c>
      <c r="Q40" s="271">
        <v>2</v>
      </c>
      <c r="R40" s="271">
        <v>2</v>
      </c>
      <c r="S40" s="271">
        <v>5</v>
      </c>
      <c r="T40" s="271">
        <v>5</v>
      </c>
      <c r="U40" s="271"/>
      <c r="V40" s="271"/>
      <c r="W40" s="271">
        <v>5</v>
      </c>
      <c r="X40" s="271">
        <v>5</v>
      </c>
      <c r="Y40" s="271">
        <v>5</v>
      </c>
      <c r="Z40" s="273"/>
      <c r="AA40" s="2123" t="s">
        <v>33</v>
      </c>
      <c r="AB40" s="280">
        <f t="shared" si="0"/>
        <v>60</v>
      </c>
      <c r="AC40" s="273"/>
    </row>
    <row r="41" spans="1:29" ht="29.25" customHeight="1" x14ac:dyDescent="0.25">
      <c r="A41" s="271">
        <v>31</v>
      </c>
      <c r="B41" s="1973">
        <f t="shared" si="1"/>
        <v>5191421031</v>
      </c>
      <c r="C41" s="278">
        <v>0</v>
      </c>
      <c r="D41" s="271">
        <v>2</v>
      </c>
      <c r="E41" s="271">
        <v>0</v>
      </c>
      <c r="F41" s="271">
        <v>0</v>
      </c>
      <c r="G41" s="271"/>
      <c r="H41" s="271">
        <v>5</v>
      </c>
      <c r="I41" s="271">
        <v>0</v>
      </c>
      <c r="J41" s="271"/>
      <c r="K41" s="271">
        <v>2</v>
      </c>
      <c r="L41" s="271"/>
      <c r="M41" s="271"/>
      <c r="N41" s="271">
        <v>2</v>
      </c>
      <c r="O41" s="271">
        <v>2</v>
      </c>
      <c r="P41" s="271">
        <v>0</v>
      </c>
      <c r="Q41" s="271">
        <v>2</v>
      </c>
      <c r="R41" s="271">
        <v>0</v>
      </c>
      <c r="S41" s="271">
        <v>2</v>
      </c>
      <c r="T41" s="271"/>
      <c r="U41" s="271"/>
      <c r="V41" s="271"/>
      <c r="W41" s="271">
        <v>2</v>
      </c>
      <c r="X41" s="271"/>
      <c r="Y41" s="271">
        <v>3</v>
      </c>
      <c r="Z41" s="273"/>
      <c r="AA41" s="2122" t="s">
        <v>32</v>
      </c>
      <c r="AB41" s="280">
        <f t="shared" si="0"/>
        <v>70</v>
      </c>
      <c r="AC41" s="273"/>
    </row>
    <row r="42" spans="1:29" ht="29.25" customHeight="1" x14ac:dyDescent="0.25">
      <c r="A42" s="271">
        <v>32</v>
      </c>
      <c r="B42" s="1973">
        <f t="shared" si="1"/>
        <v>5191421032</v>
      </c>
      <c r="C42" s="278">
        <v>2</v>
      </c>
      <c r="D42" s="271">
        <v>2</v>
      </c>
      <c r="E42" s="271">
        <v>2</v>
      </c>
      <c r="F42" s="271">
        <v>2</v>
      </c>
      <c r="G42" s="271">
        <v>2</v>
      </c>
      <c r="H42" s="271">
        <v>5</v>
      </c>
      <c r="I42" s="271"/>
      <c r="J42" s="271">
        <v>5</v>
      </c>
      <c r="K42" s="271">
        <v>5</v>
      </c>
      <c r="L42" s="271"/>
      <c r="M42" s="271"/>
      <c r="N42" s="271">
        <v>2</v>
      </c>
      <c r="O42" s="271">
        <v>2</v>
      </c>
      <c r="P42" s="271">
        <v>2</v>
      </c>
      <c r="Q42" s="271">
        <v>2</v>
      </c>
      <c r="R42" s="271">
        <v>2</v>
      </c>
      <c r="S42" s="271">
        <v>5</v>
      </c>
      <c r="T42" s="271">
        <v>5</v>
      </c>
      <c r="U42" s="271">
        <v>0</v>
      </c>
      <c r="V42" s="271">
        <v>3</v>
      </c>
      <c r="W42" s="271"/>
      <c r="X42" s="271"/>
      <c r="Y42" s="271">
        <v>5</v>
      </c>
      <c r="Z42" s="273"/>
      <c r="AA42" s="2123" t="s">
        <v>33</v>
      </c>
      <c r="AB42" s="280">
        <f t="shared" si="0"/>
        <v>60</v>
      </c>
      <c r="AC42" s="273"/>
    </row>
    <row r="43" spans="1:29" ht="29.25" customHeight="1" x14ac:dyDescent="0.25">
      <c r="A43" s="271">
        <v>33</v>
      </c>
      <c r="B43" s="1973">
        <f t="shared" si="1"/>
        <v>5191421033</v>
      </c>
      <c r="C43" s="278">
        <v>2</v>
      </c>
      <c r="D43" s="271">
        <v>2</v>
      </c>
      <c r="E43" s="271">
        <v>2</v>
      </c>
      <c r="F43" s="271">
        <v>2</v>
      </c>
      <c r="G43" s="271">
        <v>2</v>
      </c>
      <c r="H43" s="271">
        <v>5</v>
      </c>
      <c r="I43" s="271"/>
      <c r="J43" s="271"/>
      <c r="K43" s="271">
        <v>5</v>
      </c>
      <c r="L43" s="271"/>
      <c r="M43" s="271"/>
      <c r="N43" s="271"/>
      <c r="O43" s="271"/>
      <c r="P43" s="271"/>
      <c r="Q43" s="271"/>
      <c r="R43" s="271"/>
      <c r="S43" s="271"/>
      <c r="T43" s="271"/>
      <c r="U43" s="271">
        <v>0</v>
      </c>
      <c r="V43" s="271">
        <v>4</v>
      </c>
      <c r="W43" s="271"/>
      <c r="X43" s="271">
        <v>4</v>
      </c>
      <c r="Y43" s="271">
        <v>3</v>
      </c>
      <c r="Z43" s="273"/>
      <c r="AA43" s="2122" t="s">
        <v>27</v>
      </c>
      <c r="AB43" s="280">
        <f t="shared" si="0"/>
        <v>80</v>
      </c>
      <c r="AC43" s="273"/>
    </row>
    <row r="44" spans="1:29" ht="29.25" customHeight="1" x14ac:dyDescent="0.25">
      <c r="A44" s="271">
        <v>34</v>
      </c>
      <c r="B44" s="1973">
        <f t="shared" si="1"/>
        <v>5191421034</v>
      </c>
      <c r="C44" s="278"/>
      <c r="D44" s="271">
        <v>2</v>
      </c>
      <c r="E44" s="271">
        <v>2</v>
      </c>
      <c r="F44" s="271">
        <v>0</v>
      </c>
      <c r="G44" s="271">
        <v>2</v>
      </c>
      <c r="H44" s="271">
        <v>4</v>
      </c>
      <c r="I44" s="271">
        <v>5</v>
      </c>
      <c r="J44" s="271">
        <v>5</v>
      </c>
      <c r="K44" s="271">
        <v>2</v>
      </c>
      <c r="L44" s="271"/>
      <c r="M44" s="271"/>
      <c r="N44" s="271"/>
      <c r="O44" s="271">
        <v>2</v>
      </c>
      <c r="P44" s="271">
        <v>2</v>
      </c>
      <c r="Q44" s="271">
        <v>2</v>
      </c>
      <c r="R44" s="271"/>
      <c r="S44" s="271">
        <v>1</v>
      </c>
      <c r="T44" s="271">
        <v>3</v>
      </c>
      <c r="U44" s="271">
        <v>2</v>
      </c>
      <c r="V44" s="271">
        <v>4</v>
      </c>
      <c r="W44" s="271">
        <v>1</v>
      </c>
      <c r="X44" s="271">
        <v>2</v>
      </c>
      <c r="Y44" s="271">
        <v>5</v>
      </c>
      <c r="Z44" s="273"/>
      <c r="AA44" s="2123" t="s">
        <v>27</v>
      </c>
      <c r="AB44" s="280">
        <f t="shared" si="0"/>
        <v>80</v>
      </c>
      <c r="AC44" s="273"/>
    </row>
    <row r="45" spans="1:29" ht="29.25" customHeight="1" x14ac:dyDescent="0.25">
      <c r="A45" s="271">
        <v>35</v>
      </c>
      <c r="B45" s="1973">
        <f t="shared" si="1"/>
        <v>5191421035</v>
      </c>
      <c r="C45" s="278">
        <v>2</v>
      </c>
      <c r="D45" s="271">
        <v>2</v>
      </c>
      <c r="E45" s="271">
        <v>2</v>
      </c>
      <c r="F45" s="271">
        <v>2</v>
      </c>
      <c r="G45" s="271">
        <v>2</v>
      </c>
      <c r="H45" s="271">
        <v>5</v>
      </c>
      <c r="I45" s="271">
        <v>5</v>
      </c>
      <c r="J45" s="271">
        <v>5</v>
      </c>
      <c r="K45" s="271">
        <v>5</v>
      </c>
      <c r="L45" s="271"/>
      <c r="M45" s="271"/>
      <c r="N45" s="271">
        <v>2</v>
      </c>
      <c r="O45" s="271">
        <v>2</v>
      </c>
      <c r="P45" s="271">
        <v>2</v>
      </c>
      <c r="Q45" s="271">
        <v>2</v>
      </c>
      <c r="R45" s="271">
        <v>2</v>
      </c>
      <c r="S45" s="271">
        <v>5</v>
      </c>
      <c r="T45" s="271">
        <v>5</v>
      </c>
      <c r="U45" s="271">
        <v>4</v>
      </c>
      <c r="V45" s="271">
        <v>5</v>
      </c>
      <c r="W45" s="271">
        <v>5</v>
      </c>
      <c r="X45" s="271">
        <v>3</v>
      </c>
      <c r="Y45" s="271">
        <v>5</v>
      </c>
      <c r="Z45" s="273"/>
      <c r="AA45" s="2122" t="s">
        <v>29</v>
      </c>
      <c r="AB45" s="280">
        <f t="shared" si="0"/>
        <v>39</v>
      </c>
      <c r="AC45" s="273"/>
    </row>
    <row r="46" spans="1:29" ht="29.25" customHeight="1" x14ac:dyDescent="0.25">
      <c r="A46" s="271">
        <v>36</v>
      </c>
      <c r="B46" s="1973">
        <f t="shared" si="1"/>
        <v>5191421036</v>
      </c>
      <c r="C46" s="278">
        <v>2</v>
      </c>
      <c r="D46" s="271">
        <v>1</v>
      </c>
      <c r="E46" s="271">
        <v>2</v>
      </c>
      <c r="F46" s="271">
        <v>1</v>
      </c>
      <c r="G46" s="271">
        <v>2</v>
      </c>
      <c r="H46" s="271">
        <v>5</v>
      </c>
      <c r="I46" s="271"/>
      <c r="J46" s="271">
        <v>4</v>
      </c>
      <c r="K46" s="271">
        <v>1</v>
      </c>
      <c r="L46" s="271">
        <v>2</v>
      </c>
      <c r="M46" s="271">
        <v>5</v>
      </c>
      <c r="N46" s="271">
        <v>2</v>
      </c>
      <c r="O46" s="271">
        <v>2</v>
      </c>
      <c r="P46" s="271">
        <v>2</v>
      </c>
      <c r="Q46" s="271">
        <v>2</v>
      </c>
      <c r="R46" s="271">
        <v>2</v>
      </c>
      <c r="S46" s="271">
        <v>5</v>
      </c>
      <c r="T46" s="271">
        <v>5</v>
      </c>
      <c r="U46" s="271">
        <v>0</v>
      </c>
      <c r="V46" s="271">
        <v>5</v>
      </c>
      <c r="W46" s="271"/>
      <c r="X46" s="271"/>
      <c r="Y46" s="271">
        <v>5</v>
      </c>
      <c r="Z46" s="273"/>
      <c r="AA46" s="2123" t="s">
        <v>30</v>
      </c>
      <c r="AB46" s="280">
        <f t="shared" si="0"/>
        <v>90</v>
      </c>
      <c r="AC46" s="273"/>
    </row>
    <row r="47" spans="1:29" ht="29.25" customHeight="1" x14ac:dyDescent="0.25">
      <c r="A47" s="271">
        <v>37</v>
      </c>
      <c r="B47" s="1973">
        <f t="shared" si="1"/>
        <v>5191421037</v>
      </c>
      <c r="C47" s="278">
        <v>0</v>
      </c>
      <c r="D47" s="271">
        <v>1</v>
      </c>
      <c r="E47" s="271">
        <v>1</v>
      </c>
      <c r="F47" s="271">
        <v>0</v>
      </c>
      <c r="G47" s="271"/>
      <c r="H47" s="271">
        <v>1</v>
      </c>
      <c r="I47" s="271">
        <v>1</v>
      </c>
      <c r="J47" s="271">
        <v>2</v>
      </c>
      <c r="K47" s="271">
        <v>0</v>
      </c>
      <c r="L47" s="271"/>
      <c r="M47" s="271"/>
      <c r="N47" s="271">
        <v>2</v>
      </c>
      <c r="O47" s="271">
        <v>2</v>
      </c>
      <c r="P47" s="271">
        <v>2</v>
      </c>
      <c r="Q47" s="271">
        <v>2</v>
      </c>
      <c r="R47" s="271"/>
      <c r="S47" s="271"/>
      <c r="T47" s="271">
        <v>5</v>
      </c>
      <c r="U47" s="271"/>
      <c r="V47" s="271"/>
      <c r="W47" s="271"/>
      <c r="X47" s="271"/>
      <c r="Y47" s="271">
        <v>4</v>
      </c>
      <c r="Z47" s="273"/>
      <c r="AA47" s="2122" t="s">
        <v>29</v>
      </c>
      <c r="AB47" s="280">
        <f t="shared" si="0"/>
        <v>39</v>
      </c>
      <c r="AC47" s="273"/>
    </row>
    <row r="48" spans="1:29" ht="29.25" customHeight="1" x14ac:dyDescent="0.25">
      <c r="A48" s="271">
        <v>38</v>
      </c>
      <c r="B48" s="1973">
        <f t="shared" si="1"/>
        <v>5191421038</v>
      </c>
      <c r="C48" s="278">
        <v>2</v>
      </c>
      <c r="D48" s="271">
        <v>2</v>
      </c>
      <c r="E48" s="271">
        <v>2</v>
      </c>
      <c r="F48" s="271">
        <v>2</v>
      </c>
      <c r="G48" s="271">
        <v>2</v>
      </c>
      <c r="H48" s="271">
        <v>5</v>
      </c>
      <c r="I48" s="271">
        <v>5</v>
      </c>
      <c r="J48" s="271">
        <v>2</v>
      </c>
      <c r="K48" s="271">
        <v>4</v>
      </c>
      <c r="L48" s="271"/>
      <c r="M48" s="271">
        <v>0</v>
      </c>
      <c r="N48" s="271">
        <v>2</v>
      </c>
      <c r="O48" s="271">
        <v>2</v>
      </c>
      <c r="P48" s="271">
        <v>2</v>
      </c>
      <c r="Q48" s="271">
        <v>2</v>
      </c>
      <c r="R48" s="271">
        <v>0</v>
      </c>
      <c r="S48" s="271">
        <v>5</v>
      </c>
      <c r="T48" s="271">
        <v>5</v>
      </c>
      <c r="U48" s="271">
        <v>0</v>
      </c>
      <c r="V48" s="271">
        <v>3</v>
      </c>
      <c r="W48" s="271"/>
      <c r="X48" s="271"/>
      <c r="Y48" s="271">
        <v>5</v>
      </c>
      <c r="Z48" s="273"/>
      <c r="AA48" s="2123" t="s">
        <v>29</v>
      </c>
      <c r="AB48" s="280">
        <f t="shared" si="0"/>
        <v>39</v>
      </c>
      <c r="AC48" s="273"/>
    </row>
    <row r="49" spans="1:45" ht="29.25" customHeight="1" x14ac:dyDescent="0.25">
      <c r="A49" s="271">
        <v>39</v>
      </c>
      <c r="B49" s="1973">
        <f t="shared" si="1"/>
        <v>5191421039</v>
      </c>
      <c r="C49" s="278">
        <v>2</v>
      </c>
      <c r="D49" s="271">
        <v>2</v>
      </c>
      <c r="E49" s="271">
        <v>2</v>
      </c>
      <c r="F49" s="271">
        <v>2</v>
      </c>
      <c r="G49" s="271">
        <v>2</v>
      </c>
      <c r="H49" s="271">
        <v>5</v>
      </c>
      <c r="I49" s="271">
        <v>4</v>
      </c>
      <c r="J49" s="271">
        <v>5</v>
      </c>
      <c r="K49" s="271">
        <v>0</v>
      </c>
      <c r="L49" s="271"/>
      <c r="M49" s="271"/>
      <c r="N49" s="271">
        <v>2</v>
      </c>
      <c r="O49" s="271">
        <v>2</v>
      </c>
      <c r="P49" s="271">
        <v>2</v>
      </c>
      <c r="Q49" s="271">
        <v>2</v>
      </c>
      <c r="R49" s="271"/>
      <c r="S49" s="271">
        <v>5</v>
      </c>
      <c r="T49" s="271">
        <v>2</v>
      </c>
      <c r="U49" s="271">
        <v>2</v>
      </c>
      <c r="V49" s="271">
        <v>3</v>
      </c>
      <c r="W49" s="271"/>
      <c r="X49" s="271"/>
      <c r="Y49" s="271">
        <v>5</v>
      </c>
      <c r="Z49" s="273"/>
      <c r="AA49" s="2122" t="s">
        <v>27</v>
      </c>
      <c r="AB49" s="280">
        <f t="shared" si="0"/>
        <v>80</v>
      </c>
      <c r="AC49" s="273"/>
    </row>
    <row r="50" spans="1:45" ht="29.25" customHeight="1" x14ac:dyDescent="0.25">
      <c r="A50" s="271">
        <v>40</v>
      </c>
      <c r="B50" s="1973">
        <f t="shared" si="1"/>
        <v>5191421040</v>
      </c>
      <c r="C50" s="278">
        <v>2</v>
      </c>
      <c r="D50" s="271"/>
      <c r="E50" s="271">
        <v>2</v>
      </c>
      <c r="F50" s="271">
        <v>2</v>
      </c>
      <c r="G50" s="271">
        <v>2</v>
      </c>
      <c r="H50" s="271">
        <v>5</v>
      </c>
      <c r="I50" s="271">
        <v>2</v>
      </c>
      <c r="J50" s="271">
        <v>3</v>
      </c>
      <c r="K50" s="271"/>
      <c r="L50" s="271">
        <v>0</v>
      </c>
      <c r="M50" s="271">
        <v>0</v>
      </c>
      <c r="N50" s="271">
        <v>2</v>
      </c>
      <c r="O50" s="271">
        <v>2</v>
      </c>
      <c r="P50" s="271">
        <v>2</v>
      </c>
      <c r="Q50" s="271">
        <v>2</v>
      </c>
      <c r="R50" s="271"/>
      <c r="S50" s="271">
        <v>2</v>
      </c>
      <c r="T50" s="271">
        <v>2</v>
      </c>
      <c r="U50" s="271">
        <v>2</v>
      </c>
      <c r="V50" s="271">
        <v>5</v>
      </c>
      <c r="W50" s="271"/>
      <c r="X50" s="271"/>
      <c r="Y50" s="271">
        <v>5</v>
      </c>
      <c r="Z50" s="273"/>
      <c r="AA50" s="2123" t="s">
        <v>33</v>
      </c>
      <c r="AB50" s="280">
        <f t="shared" si="0"/>
        <v>60</v>
      </c>
      <c r="AC50" s="273"/>
    </row>
    <row r="51" spans="1:45" ht="29.25" customHeight="1" x14ac:dyDescent="0.25">
      <c r="A51" s="271">
        <v>41</v>
      </c>
      <c r="B51" s="1973">
        <f t="shared" si="1"/>
        <v>5191421041</v>
      </c>
      <c r="C51" s="278">
        <v>2</v>
      </c>
      <c r="D51" s="271">
        <v>2</v>
      </c>
      <c r="E51" s="271">
        <v>2</v>
      </c>
      <c r="F51" s="271">
        <v>2</v>
      </c>
      <c r="G51" s="271">
        <v>2</v>
      </c>
      <c r="H51" s="271">
        <v>5</v>
      </c>
      <c r="I51" s="271">
        <v>5</v>
      </c>
      <c r="J51" s="271">
        <v>5</v>
      </c>
      <c r="K51" s="271">
        <v>0</v>
      </c>
      <c r="L51" s="271"/>
      <c r="M51" s="271"/>
      <c r="N51" s="271">
        <v>2</v>
      </c>
      <c r="O51" s="271">
        <v>2</v>
      </c>
      <c r="P51" s="271">
        <v>2</v>
      </c>
      <c r="Q51" s="271">
        <v>2</v>
      </c>
      <c r="R51" s="271">
        <v>2</v>
      </c>
      <c r="S51" s="271">
        <v>3</v>
      </c>
      <c r="T51" s="271"/>
      <c r="U51" s="271">
        <v>4</v>
      </c>
      <c r="V51" s="271">
        <v>5</v>
      </c>
      <c r="W51" s="271">
        <v>5</v>
      </c>
      <c r="X51" s="271">
        <v>5</v>
      </c>
      <c r="Y51" s="271">
        <v>4</v>
      </c>
      <c r="Z51" s="273"/>
      <c r="AA51" s="2122" t="s">
        <v>27</v>
      </c>
      <c r="AB51" s="280">
        <f t="shared" si="0"/>
        <v>80</v>
      </c>
      <c r="AC51" s="273"/>
    </row>
    <row r="52" spans="1:45" ht="29.25" customHeight="1" x14ac:dyDescent="0.25">
      <c r="A52" s="271">
        <v>42</v>
      </c>
      <c r="B52" s="1973">
        <f t="shared" si="1"/>
        <v>5191421042</v>
      </c>
      <c r="C52" s="278">
        <v>2</v>
      </c>
      <c r="D52" s="271">
        <v>2</v>
      </c>
      <c r="E52" s="271">
        <v>2</v>
      </c>
      <c r="F52" s="271">
        <v>0</v>
      </c>
      <c r="G52" s="271">
        <v>2</v>
      </c>
      <c r="H52" s="271">
        <v>2</v>
      </c>
      <c r="I52" s="271">
        <v>3</v>
      </c>
      <c r="J52" s="271">
        <v>1</v>
      </c>
      <c r="K52" s="271">
        <v>2</v>
      </c>
      <c r="L52" s="271"/>
      <c r="M52" s="271"/>
      <c r="N52" s="271">
        <v>0</v>
      </c>
      <c r="O52" s="271">
        <v>2</v>
      </c>
      <c r="P52" s="271">
        <v>1</v>
      </c>
      <c r="Q52" s="271">
        <v>2</v>
      </c>
      <c r="R52" s="271">
        <v>1</v>
      </c>
      <c r="S52" s="271"/>
      <c r="T52" s="271"/>
      <c r="U52" s="271"/>
      <c r="V52" s="271">
        <v>3</v>
      </c>
      <c r="W52" s="271">
        <v>2</v>
      </c>
      <c r="X52" s="271">
        <v>2</v>
      </c>
      <c r="Y52" s="271">
        <v>5</v>
      </c>
      <c r="Z52" s="273"/>
      <c r="AA52" s="2122" t="s">
        <v>29</v>
      </c>
      <c r="AB52" s="280">
        <f t="shared" si="0"/>
        <v>39</v>
      </c>
      <c r="AC52" s="273"/>
    </row>
    <row r="53" spans="1:45" ht="29.25" customHeight="1" x14ac:dyDescent="0.25">
      <c r="A53" s="271">
        <v>43</v>
      </c>
      <c r="B53" s="1973">
        <f t="shared" si="1"/>
        <v>5191421043</v>
      </c>
      <c r="C53" s="278">
        <v>2</v>
      </c>
      <c r="D53" s="271">
        <v>2</v>
      </c>
      <c r="E53" s="271">
        <v>2</v>
      </c>
      <c r="F53" s="271">
        <v>2</v>
      </c>
      <c r="G53" s="271">
        <v>2</v>
      </c>
      <c r="H53" s="271">
        <v>5</v>
      </c>
      <c r="I53" s="271">
        <v>5</v>
      </c>
      <c r="J53" s="271"/>
      <c r="K53" s="271">
        <v>5</v>
      </c>
      <c r="L53" s="271"/>
      <c r="M53" s="271"/>
      <c r="N53" s="271">
        <v>2</v>
      </c>
      <c r="O53" s="271">
        <v>2</v>
      </c>
      <c r="P53" s="271">
        <v>2</v>
      </c>
      <c r="Q53" s="271">
        <v>2</v>
      </c>
      <c r="R53" s="271">
        <v>1</v>
      </c>
      <c r="S53" s="271"/>
      <c r="T53" s="271"/>
      <c r="U53" s="271">
        <v>3</v>
      </c>
      <c r="V53" s="271">
        <v>0</v>
      </c>
      <c r="W53" s="271"/>
      <c r="X53" s="271"/>
      <c r="Y53" s="271">
        <v>5</v>
      </c>
      <c r="Z53" s="273"/>
      <c r="AA53" s="2122" t="s">
        <v>27</v>
      </c>
      <c r="AB53" s="280">
        <f t="shared" si="0"/>
        <v>80</v>
      </c>
      <c r="AC53" s="273"/>
    </row>
    <row r="54" spans="1:45" ht="29.25" customHeight="1" x14ac:dyDescent="0.25">
      <c r="A54" s="271">
        <v>44</v>
      </c>
      <c r="B54" s="1973">
        <f t="shared" si="1"/>
        <v>5191421044</v>
      </c>
      <c r="C54" s="278">
        <v>2</v>
      </c>
      <c r="D54" s="271">
        <v>2</v>
      </c>
      <c r="E54" s="271">
        <v>2</v>
      </c>
      <c r="F54" s="271">
        <v>2</v>
      </c>
      <c r="G54" s="271">
        <v>2</v>
      </c>
      <c r="H54" s="271">
        <v>5</v>
      </c>
      <c r="I54" s="271">
        <v>5</v>
      </c>
      <c r="J54" s="271">
        <v>5</v>
      </c>
      <c r="K54" s="271">
        <v>5</v>
      </c>
      <c r="L54" s="271"/>
      <c r="M54" s="271"/>
      <c r="N54" s="271">
        <v>2</v>
      </c>
      <c r="O54" s="271">
        <v>2</v>
      </c>
      <c r="P54" s="271">
        <v>2</v>
      </c>
      <c r="Q54" s="271">
        <v>2</v>
      </c>
      <c r="R54" s="271">
        <v>2</v>
      </c>
      <c r="S54" s="271"/>
      <c r="T54" s="271"/>
      <c r="U54" s="271">
        <v>3</v>
      </c>
      <c r="V54" s="271">
        <v>5</v>
      </c>
      <c r="W54" s="271">
        <v>5</v>
      </c>
      <c r="X54" s="271">
        <v>5</v>
      </c>
      <c r="Y54" s="271">
        <v>5</v>
      </c>
      <c r="Z54" s="273"/>
      <c r="AA54" s="2122" t="s">
        <v>82</v>
      </c>
      <c r="AB54" s="280">
        <f t="shared" si="0"/>
        <v>100</v>
      </c>
      <c r="AC54" s="273"/>
    </row>
    <row r="55" spans="1:45" ht="29.25" customHeight="1" x14ac:dyDescent="0.25">
      <c r="A55" s="271">
        <v>45</v>
      </c>
      <c r="B55" s="1973">
        <f t="shared" si="1"/>
        <v>5191421045</v>
      </c>
      <c r="C55" s="278">
        <v>0</v>
      </c>
      <c r="D55" s="271">
        <v>2</v>
      </c>
      <c r="E55" s="271">
        <v>2</v>
      </c>
      <c r="F55" s="271">
        <v>2</v>
      </c>
      <c r="G55" s="271">
        <v>0</v>
      </c>
      <c r="H55" s="271">
        <v>5</v>
      </c>
      <c r="I55" s="271">
        <v>5</v>
      </c>
      <c r="J55" s="271">
        <v>5</v>
      </c>
      <c r="K55" s="271">
        <v>5</v>
      </c>
      <c r="L55" s="271"/>
      <c r="M55" s="271"/>
      <c r="N55" s="271">
        <v>2</v>
      </c>
      <c r="O55" s="271">
        <v>2</v>
      </c>
      <c r="P55" s="271">
        <v>2</v>
      </c>
      <c r="Q55" s="271">
        <v>2</v>
      </c>
      <c r="R55" s="271">
        <v>2</v>
      </c>
      <c r="S55" s="271"/>
      <c r="T55" s="271"/>
      <c r="U55" s="271">
        <v>5</v>
      </c>
      <c r="V55" s="271">
        <v>5</v>
      </c>
      <c r="W55" s="271">
        <v>5</v>
      </c>
      <c r="X55" s="271">
        <v>5</v>
      </c>
      <c r="Y55" s="271">
        <v>5</v>
      </c>
      <c r="Z55" s="273"/>
      <c r="AA55" s="2122" t="s">
        <v>27</v>
      </c>
      <c r="AB55" s="280">
        <f t="shared" si="0"/>
        <v>80</v>
      </c>
      <c r="AC55" s="273"/>
      <c r="AD55" s="273"/>
    </row>
    <row r="56" spans="1:45" ht="29.25" customHeight="1" x14ac:dyDescent="0.25">
      <c r="A56" s="271">
        <v>46</v>
      </c>
      <c r="B56" s="1973">
        <f t="shared" si="1"/>
        <v>5191421046</v>
      </c>
      <c r="C56" s="278">
        <v>2</v>
      </c>
      <c r="D56" s="271">
        <v>2</v>
      </c>
      <c r="E56" s="271">
        <v>2</v>
      </c>
      <c r="F56" s="271">
        <v>2</v>
      </c>
      <c r="G56" s="271">
        <v>2</v>
      </c>
      <c r="H56" s="271">
        <v>5</v>
      </c>
      <c r="I56" s="271">
        <v>4</v>
      </c>
      <c r="J56" s="271">
        <v>5</v>
      </c>
      <c r="K56" s="271">
        <v>5</v>
      </c>
      <c r="L56" s="271"/>
      <c r="M56" s="271"/>
      <c r="N56" s="271">
        <v>2</v>
      </c>
      <c r="O56" s="271">
        <v>2</v>
      </c>
      <c r="P56" s="271">
        <v>2</v>
      </c>
      <c r="Q56" s="271">
        <v>2</v>
      </c>
      <c r="R56" s="271">
        <v>2</v>
      </c>
      <c r="S56" s="271">
        <v>5</v>
      </c>
      <c r="T56" s="271">
        <v>5</v>
      </c>
      <c r="U56" s="271">
        <v>2</v>
      </c>
      <c r="V56" s="271">
        <v>4</v>
      </c>
      <c r="W56" s="271"/>
      <c r="X56" s="271"/>
      <c r="Y56" s="271">
        <v>5</v>
      </c>
      <c r="Z56" s="273"/>
      <c r="AA56" s="2122" t="s">
        <v>30</v>
      </c>
      <c r="AB56" s="280">
        <f t="shared" si="0"/>
        <v>90</v>
      </c>
      <c r="AC56" s="273"/>
      <c r="AD56" s="273"/>
    </row>
    <row r="57" spans="1:45" ht="29.25" customHeight="1" x14ac:dyDescent="0.25">
      <c r="A57" s="271">
        <v>47</v>
      </c>
      <c r="B57" s="1973">
        <f t="shared" si="1"/>
        <v>5191421047</v>
      </c>
      <c r="C57" s="278">
        <v>2</v>
      </c>
      <c r="D57" s="271"/>
      <c r="E57" s="271">
        <v>2</v>
      </c>
      <c r="F57" s="271">
        <v>2</v>
      </c>
      <c r="G57" s="271">
        <v>2</v>
      </c>
      <c r="H57" s="271">
        <v>5</v>
      </c>
      <c r="I57" s="271">
        <v>2</v>
      </c>
      <c r="J57" s="271">
        <v>3</v>
      </c>
      <c r="K57" s="271">
        <v>5</v>
      </c>
      <c r="L57" s="271"/>
      <c r="M57" s="271">
        <v>2</v>
      </c>
      <c r="N57" s="271">
        <v>2</v>
      </c>
      <c r="O57" s="271">
        <v>2</v>
      </c>
      <c r="P57" s="271">
        <v>2</v>
      </c>
      <c r="Q57" s="271">
        <v>2</v>
      </c>
      <c r="R57" s="271">
        <v>2</v>
      </c>
      <c r="S57" s="271">
        <v>5</v>
      </c>
      <c r="T57" s="271">
        <v>5</v>
      </c>
      <c r="U57" s="271">
        <v>5</v>
      </c>
      <c r="V57" s="271">
        <v>3</v>
      </c>
      <c r="W57" s="271"/>
      <c r="X57" s="271"/>
      <c r="Y57" s="271">
        <v>5</v>
      </c>
      <c r="Z57" s="273"/>
      <c r="AA57" s="2122" t="s">
        <v>29</v>
      </c>
      <c r="AB57" s="280">
        <f t="shared" si="0"/>
        <v>39</v>
      </c>
      <c r="AC57" s="273"/>
      <c r="AD57" s="273"/>
    </row>
    <row r="58" spans="1:45" ht="29.25" customHeight="1" x14ac:dyDescent="0.25">
      <c r="A58" s="271">
        <v>48</v>
      </c>
      <c r="B58" s="1973">
        <f t="shared" si="1"/>
        <v>5191421048</v>
      </c>
      <c r="C58" s="278">
        <v>2</v>
      </c>
      <c r="D58" s="271">
        <v>2</v>
      </c>
      <c r="E58" s="271">
        <v>2</v>
      </c>
      <c r="F58" s="271">
        <v>2</v>
      </c>
      <c r="G58" s="271">
        <v>2</v>
      </c>
      <c r="H58" s="271">
        <v>2</v>
      </c>
      <c r="I58" s="271"/>
      <c r="J58" s="271">
        <v>5</v>
      </c>
      <c r="K58" s="271">
        <v>5</v>
      </c>
      <c r="L58" s="271"/>
      <c r="M58" s="271"/>
      <c r="N58" s="271">
        <v>2</v>
      </c>
      <c r="O58" s="271">
        <v>2</v>
      </c>
      <c r="P58" s="271">
        <v>2</v>
      </c>
      <c r="Q58" s="271">
        <v>2</v>
      </c>
      <c r="R58" s="271">
        <v>2</v>
      </c>
      <c r="S58" s="271">
        <v>5</v>
      </c>
      <c r="T58" s="271">
        <v>3</v>
      </c>
      <c r="U58" s="271">
        <v>5</v>
      </c>
      <c r="V58" s="271">
        <v>3</v>
      </c>
      <c r="W58" s="271"/>
      <c r="X58" s="271"/>
      <c r="Y58" s="271">
        <v>5</v>
      </c>
      <c r="Z58" s="273"/>
      <c r="AA58" s="2122" t="s">
        <v>33</v>
      </c>
      <c r="AB58" s="280">
        <f t="shared" si="0"/>
        <v>60</v>
      </c>
      <c r="AC58" s="273"/>
      <c r="AD58" s="273"/>
    </row>
    <row r="59" spans="1:45" ht="29.25" customHeight="1" x14ac:dyDescent="0.25">
      <c r="A59" s="271">
        <v>49</v>
      </c>
      <c r="B59" s="1973">
        <f t="shared" si="1"/>
        <v>5191421049</v>
      </c>
      <c r="C59" s="278">
        <v>2</v>
      </c>
      <c r="D59" s="271"/>
      <c r="E59" s="271"/>
      <c r="F59" s="271"/>
      <c r="G59" s="271"/>
      <c r="H59" s="271">
        <v>5</v>
      </c>
      <c r="I59" s="271">
        <v>5</v>
      </c>
      <c r="J59" s="271">
        <v>5</v>
      </c>
      <c r="K59" s="271">
        <v>5</v>
      </c>
      <c r="L59" s="271"/>
      <c r="M59" s="271"/>
      <c r="N59" s="271">
        <v>2</v>
      </c>
      <c r="O59" s="271">
        <v>2</v>
      </c>
      <c r="P59" s="271">
        <v>2</v>
      </c>
      <c r="Q59" s="271">
        <v>2</v>
      </c>
      <c r="R59" s="271">
        <v>2</v>
      </c>
      <c r="S59" s="271">
        <v>5</v>
      </c>
      <c r="T59" s="271">
        <v>5</v>
      </c>
      <c r="U59" s="271"/>
      <c r="V59" s="271"/>
      <c r="W59" s="271">
        <v>5</v>
      </c>
      <c r="X59" s="271">
        <v>3</v>
      </c>
      <c r="Y59" s="271">
        <v>5</v>
      </c>
      <c r="Z59" s="273"/>
      <c r="AA59" s="2123" t="s">
        <v>31</v>
      </c>
      <c r="AB59" s="280">
        <f t="shared" si="0"/>
        <v>55</v>
      </c>
      <c r="AC59" s="273"/>
      <c r="AD59" s="273"/>
    </row>
    <row r="60" spans="1:45" ht="24" customHeight="1" x14ac:dyDescent="0.25">
      <c r="A60" s="274"/>
      <c r="B60" s="273"/>
      <c r="C60" s="274">
        <f t="shared" ref="C60:Y60" si="2">COUNT(C11:C59)</f>
        <v>46</v>
      </c>
      <c r="D60" s="274">
        <f t="shared" si="2"/>
        <v>39</v>
      </c>
      <c r="E60" s="274">
        <f t="shared" si="2"/>
        <v>44</v>
      </c>
      <c r="F60" s="274">
        <f t="shared" si="2"/>
        <v>44</v>
      </c>
      <c r="G60" s="274">
        <f t="shared" si="2"/>
        <v>38</v>
      </c>
      <c r="H60" s="274">
        <f t="shared" si="2"/>
        <v>43</v>
      </c>
      <c r="I60" s="274">
        <f t="shared" si="2"/>
        <v>33</v>
      </c>
      <c r="J60" s="274">
        <f t="shared" si="2"/>
        <v>36</v>
      </c>
      <c r="K60" s="274">
        <f t="shared" si="2"/>
        <v>38</v>
      </c>
      <c r="L60" s="274">
        <f t="shared" si="2"/>
        <v>8</v>
      </c>
      <c r="M60" s="274">
        <f t="shared" si="2"/>
        <v>18</v>
      </c>
      <c r="N60" s="274">
        <f t="shared" si="2"/>
        <v>45</v>
      </c>
      <c r="O60" s="274">
        <f t="shared" si="2"/>
        <v>46</v>
      </c>
      <c r="P60" s="274">
        <f t="shared" si="2"/>
        <v>46</v>
      </c>
      <c r="Q60" s="274">
        <f t="shared" si="2"/>
        <v>45</v>
      </c>
      <c r="R60" s="274">
        <f t="shared" si="2"/>
        <v>36</v>
      </c>
      <c r="S60" s="274">
        <f t="shared" si="2"/>
        <v>28</v>
      </c>
      <c r="T60" s="274">
        <f t="shared" si="2"/>
        <v>33</v>
      </c>
      <c r="U60" s="274">
        <f t="shared" si="2"/>
        <v>34</v>
      </c>
      <c r="V60" s="274">
        <f t="shared" si="2"/>
        <v>38</v>
      </c>
      <c r="W60" s="274">
        <f t="shared" si="2"/>
        <v>18</v>
      </c>
      <c r="X60" s="274">
        <f t="shared" si="2"/>
        <v>25</v>
      </c>
      <c r="Y60" s="274">
        <f t="shared" si="2"/>
        <v>49</v>
      </c>
      <c r="Z60" s="274"/>
      <c r="AA60" s="274"/>
      <c r="AB60" s="274"/>
      <c r="AC60" s="273"/>
      <c r="AD60" s="273"/>
    </row>
    <row r="61" spans="1:45" ht="36.75" customHeight="1" x14ac:dyDescent="0.25">
      <c r="A61" s="286" t="s">
        <v>34</v>
      </c>
      <c r="B61" s="287">
        <v>55</v>
      </c>
      <c r="C61" s="206">
        <f>ROUNDUP(C10*(B61/100),1)</f>
        <v>1.1000000000000001</v>
      </c>
      <c r="D61" s="206">
        <f>D10*(B61/100)</f>
        <v>1.1000000000000001</v>
      </c>
      <c r="E61" s="206">
        <f>E10*(B61/100)</f>
        <v>1.1000000000000001</v>
      </c>
      <c r="F61" s="206">
        <f>F10*(B61/100)</f>
        <v>1.1000000000000001</v>
      </c>
      <c r="G61" s="206">
        <f>G10*(B61/100)</f>
        <v>1.1000000000000001</v>
      </c>
      <c r="H61" s="207">
        <f>(H10*(B61/100))</f>
        <v>2.75</v>
      </c>
      <c r="I61" s="207">
        <f>(I10*(B61/100))</f>
        <v>2.75</v>
      </c>
      <c r="J61" s="207">
        <f>J10*(B61/100)</f>
        <v>2.75</v>
      </c>
      <c r="K61" s="207">
        <f>K10*(B61/100)</f>
        <v>2.75</v>
      </c>
      <c r="L61" s="207">
        <f>L10*(B61/100)</f>
        <v>2.75</v>
      </c>
      <c r="M61" s="207">
        <f>M10*(B61/100)</f>
        <v>2.75</v>
      </c>
      <c r="N61" s="206">
        <f>N10*(B61/100)</f>
        <v>1.1000000000000001</v>
      </c>
      <c r="O61" s="206">
        <f>O10*(B61/100)</f>
        <v>1.1000000000000001</v>
      </c>
      <c r="P61" s="206">
        <f>P10*(B61/100)</f>
        <v>1.1000000000000001</v>
      </c>
      <c r="Q61" s="206">
        <f>Q10*(B61/100)</f>
        <v>1.1000000000000001</v>
      </c>
      <c r="R61" s="206">
        <f>R10*(B61/100)</f>
        <v>1.1000000000000001</v>
      </c>
      <c r="S61" s="207">
        <f>S10*(B61/100)</f>
        <v>2.75</v>
      </c>
      <c r="T61" s="207">
        <f>T10*(B61/100)</f>
        <v>2.75</v>
      </c>
      <c r="U61" s="207">
        <f>U10*(B61/100)</f>
        <v>2.75</v>
      </c>
      <c r="V61" s="207">
        <f>V10*(B61/100)</f>
        <v>2.75</v>
      </c>
      <c r="W61" s="207">
        <f>W10*(B61/100)</f>
        <v>2.75</v>
      </c>
      <c r="X61" s="207">
        <f>X10*(B61/100)</f>
        <v>2.75</v>
      </c>
      <c r="Y61" s="274">
        <f>Y10*(B61/100)</f>
        <v>2.75</v>
      </c>
      <c r="Z61" s="274"/>
      <c r="AA61" s="274"/>
      <c r="AB61" s="274">
        <f>COUNTIF(AB11:AB59,"&gt;="&amp;B61)</f>
        <v>42</v>
      </c>
      <c r="AC61" s="273"/>
      <c r="AD61" s="273"/>
    </row>
    <row r="62" spans="1:45" ht="52.5" customHeight="1" x14ac:dyDescent="0.25">
      <c r="A62" s="3005" t="s">
        <v>35</v>
      </c>
      <c r="B62" s="3005"/>
      <c r="C62" s="274">
        <f>COUNTIF(C11:C59,"&gt;=1")</f>
        <v>38</v>
      </c>
      <c r="D62" s="274">
        <f>COUNTIF(D11:D59,"&gt;=1")</f>
        <v>33</v>
      </c>
      <c r="E62" s="274">
        <f>COUNTIF(E11:E59,"&gt;=1")</f>
        <v>38</v>
      </c>
      <c r="F62" s="274">
        <f>COUNTIF(F11:F59,"&gt;=1")</f>
        <v>36</v>
      </c>
      <c r="G62" s="274">
        <f>COUNTIF(G11:G59,"&gt;=1")</f>
        <v>29</v>
      </c>
      <c r="H62" s="274">
        <f t="shared" ref="H62:M62" si="3">COUNTIF(H11:H59,"&gt;=2.5")</f>
        <v>35</v>
      </c>
      <c r="I62" s="274">
        <f t="shared" si="3"/>
        <v>23</v>
      </c>
      <c r="J62" s="274">
        <f t="shared" si="3"/>
        <v>27</v>
      </c>
      <c r="K62" s="274">
        <f t="shared" si="3"/>
        <v>24</v>
      </c>
      <c r="L62" s="274">
        <f t="shared" si="3"/>
        <v>2</v>
      </c>
      <c r="M62" s="274">
        <f t="shared" si="3"/>
        <v>8</v>
      </c>
      <c r="N62" s="274">
        <f>COUNTIF(N11:N59,"&gt;=1")</f>
        <v>43</v>
      </c>
      <c r="O62" s="274">
        <f>COUNTIF(O11:O59,"&gt;=1")</f>
        <v>46</v>
      </c>
      <c r="P62" s="274">
        <f>COUNTIF(P11:P59,"&gt;=1")</f>
        <v>45</v>
      </c>
      <c r="Q62" s="274">
        <f>COUNTIF(Q11:Q59,"&gt;=1")</f>
        <v>45</v>
      </c>
      <c r="R62" s="274">
        <f>COUNTIF(R11:R59,"&gt;=1")</f>
        <v>34</v>
      </c>
      <c r="S62" s="274">
        <f t="shared" ref="S62:X62" si="4">COUNTIF(S11:S59,"&gt;=2.5")</f>
        <v>25</v>
      </c>
      <c r="T62" s="274">
        <f t="shared" si="4"/>
        <v>29</v>
      </c>
      <c r="U62" s="274">
        <f t="shared" si="4"/>
        <v>20</v>
      </c>
      <c r="V62" s="274">
        <f t="shared" si="4"/>
        <v>35</v>
      </c>
      <c r="W62" s="274">
        <f t="shared" si="4"/>
        <v>12</v>
      </c>
      <c r="X62" s="274">
        <f t="shared" si="4"/>
        <v>13</v>
      </c>
      <c r="Y62" s="274">
        <f>COUNTIF(Y11:Y59,"&gt;=15")</f>
        <v>0</v>
      </c>
      <c r="Z62" s="274"/>
      <c r="AA62" s="274"/>
      <c r="AB62" s="274">
        <f>(AB61/A59)*100</f>
        <v>85.714285714285708</v>
      </c>
      <c r="AC62" s="273"/>
      <c r="AD62" s="273"/>
      <c r="AG62" s="2872"/>
      <c r="AH62" s="2872"/>
      <c r="AI62" s="2872"/>
      <c r="AJ62" s="2872"/>
      <c r="AK62" s="2872"/>
      <c r="AL62" s="8"/>
      <c r="AM62" s="8"/>
      <c r="AN62" s="153"/>
      <c r="AO62" s="2872"/>
      <c r="AP62" s="2872"/>
      <c r="AQ62" s="2872"/>
      <c r="AR62" s="2872"/>
      <c r="AS62" s="2872"/>
    </row>
    <row r="63" spans="1:45" ht="48.75" customHeight="1" x14ac:dyDescent="0.25">
      <c r="A63" s="3006" t="s">
        <v>36</v>
      </c>
      <c r="B63" s="3006"/>
      <c r="C63" s="274">
        <f t="shared" ref="C63:Y63" si="5">C62/C60</f>
        <v>0.82608695652173914</v>
      </c>
      <c r="D63" s="274">
        <f t="shared" si="5"/>
        <v>0.84615384615384615</v>
      </c>
      <c r="E63" s="274">
        <f t="shared" si="5"/>
        <v>0.86363636363636365</v>
      </c>
      <c r="F63" s="274">
        <f t="shared" si="5"/>
        <v>0.81818181818181823</v>
      </c>
      <c r="G63" s="274">
        <f t="shared" si="5"/>
        <v>0.76315789473684215</v>
      </c>
      <c r="H63" s="274">
        <f t="shared" si="5"/>
        <v>0.81395348837209303</v>
      </c>
      <c r="I63" s="274">
        <f t="shared" si="5"/>
        <v>0.69696969696969702</v>
      </c>
      <c r="J63" s="274">
        <f t="shared" si="5"/>
        <v>0.75</v>
      </c>
      <c r="K63" s="274">
        <f t="shared" si="5"/>
        <v>0.63157894736842102</v>
      </c>
      <c r="L63" s="274">
        <f t="shared" si="5"/>
        <v>0.25</v>
      </c>
      <c r="M63" s="274">
        <f t="shared" si="5"/>
        <v>0.44444444444444442</v>
      </c>
      <c r="N63" s="274">
        <f t="shared" si="5"/>
        <v>0.9555555555555556</v>
      </c>
      <c r="O63" s="274">
        <f t="shared" si="5"/>
        <v>1</v>
      </c>
      <c r="P63" s="274">
        <f t="shared" si="5"/>
        <v>0.97826086956521741</v>
      </c>
      <c r="Q63" s="274">
        <f t="shared" si="5"/>
        <v>1</v>
      </c>
      <c r="R63" s="274">
        <f t="shared" si="5"/>
        <v>0.94444444444444442</v>
      </c>
      <c r="S63" s="274">
        <f t="shared" si="5"/>
        <v>0.8928571428571429</v>
      </c>
      <c r="T63" s="274">
        <f t="shared" si="5"/>
        <v>0.87878787878787878</v>
      </c>
      <c r="U63" s="274">
        <f t="shared" si="5"/>
        <v>0.58823529411764708</v>
      </c>
      <c r="V63" s="274">
        <f t="shared" si="5"/>
        <v>0.92105263157894735</v>
      </c>
      <c r="W63" s="274">
        <f t="shared" si="5"/>
        <v>0.66666666666666663</v>
      </c>
      <c r="X63" s="274">
        <f t="shared" si="5"/>
        <v>0.52</v>
      </c>
      <c r="Y63" s="274">
        <f t="shared" si="5"/>
        <v>0</v>
      </c>
      <c r="Z63" s="274"/>
      <c r="AA63" s="274"/>
      <c r="AB63" s="274"/>
      <c r="AC63" s="273"/>
      <c r="AD63" s="273"/>
    </row>
    <row r="64" spans="1:45" ht="18" x14ac:dyDescent="0.25">
      <c r="A64" s="274"/>
      <c r="B64" s="273"/>
      <c r="C64" s="273"/>
      <c r="D64" s="273"/>
      <c r="E64" s="273"/>
      <c r="F64" s="273"/>
      <c r="G64" s="276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  <c r="AD64" s="273"/>
    </row>
    <row r="65" spans="1:30" ht="18" x14ac:dyDescent="0.25">
      <c r="A65" s="274"/>
      <c r="B65" s="269" t="s">
        <v>204</v>
      </c>
      <c r="C65" s="269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70"/>
      <c r="U65" s="270"/>
      <c r="V65" s="273"/>
      <c r="W65" s="273"/>
      <c r="X65" s="273"/>
      <c r="Y65" s="273"/>
      <c r="Z65" s="273"/>
      <c r="AA65" s="273"/>
      <c r="AB65" s="273"/>
      <c r="AC65" s="273"/>
      <c r="AD65" s="273"/>
    </row>
    <row r="66" spans="1:30" ht="18" x14ac:dyDescent="0.25">
      <c r="A66" s="274"/>
      <c r="B66" s="274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V66" s="273"/>
      <c r="W66" s="273"/>
      <c r="X66" s="273"/>
      <c r="Y66" s="273"/>
      <c r="Z66" s="273"/>
      <c r="AA66" s="273"/>
      <c r="AB66" s="273"/>
      <c r="AC66" s="273"/>
      <c r="AD66" s="273"/>
    </row>
    <row r="67" spans="1:30" ht="18" x14ac:dyDescent="0.25">
      <c r="A67" s="274"/>
      <c r="B67" s="274"/>
      <c r="C67" s="276"/>
      <c r="D67" s="2998" t="s">
        <v>38</v>
      </c>
      <c r="E67" s="2998"/>
      <c r="F67" s="2998" t="s">
        <v>39</v>
      </c>
      <c r="G67" s="2998"/>
      <c r="H67" s="2998" t="s">
        <v>37</v>
      </c>
      <c r="I67" s="2998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V67" s="273"/>
      <c r="W67" s="273"/>
      <c r="X67" s="273"/>
      <c r="Y67" s="273"/>
      <c r="Z67" s="273"/>
      <c r="AA67" s="273"/>
      <c r="AB67" s="273"/>
      <c r="AC67" s="273"/>
      <c r="AD67" s="273"/>
    </row>
    <row r="68" spans="1:30" ht="18" x14ac:dyDescent="0.25">
      <c r="A68" s="274"/>
      <c r="B68" s="274"/>
      <c r="C68" s="277" t="s">
        <v>22</v>
      </c>
      <c r="D68" s="276">
        <f>AVERAGE(C63,J63,K63,Y63)*100</f>
        <v>55.191647597254011</v>
      </c>
      <c r="E68" s="276">
        <f>IF(D68&gt;=70,3,IF(AND(D68&gt;=60,D68&lt;70),2,IF(AND(D68&gt;=50,D68&lt;60),1)))</f>
        <v>1</v>
      </c>
      <c r="F68" s="3011">
        <f>IF(AB62&gt;=70,3,IF(AND(AB62&gt;=60,AB62&lt;70),2,IF(AND(AB62&gt;=50,AB62&lt;60),1)))</f>
        <v>3</v>
      </c>
      <c r="G68" s="3011"/>
      <c r="H68" s="3011">
        <f>(70/100)*F68+(30/100)*E68</f>
        <v>2.3999999999999995</v>
      </c>
      <c r="I68" s="3011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V68" s="273"/>
      <c r="W68" s="273"/>
      <c r="X68" s="273"/>
      <c r="Y68" s="273"/>
      <c r="Z68" s="273"/>
      <c r="AA68" s="273"/>
      <c r="AB68" s="273"/>
      <c r="AC68" s="273"/>
      <c r="AD68" s="273"/>
    </row>
    <row r="69" spans="1:30" ht="18" x14ac:dyDescent="0.25">
      <c r="A69" s="274"/>
      <c r="B69" s="274"/>
      <c r="C69" s="277" t="s">
        <v>40</v>
      </c>
      <c r="D69" s="276">
        <f>AVERAGE(D63,E63,F63,G63,H63,I63,L63,M63,N63,S63,T63,Y63)*100</f>
        <v>68.530817747464027</v>
      </c>
      <c r="E69" s="276">
        <f>IF(D69&gt;=70,3,IF(AND(D69&gt;=60,D69&lt;70),2,IF(AND(D69&gt;=50,D69&lt;60),1)))</f>
        <v>2</v>
      </c>
      <c r="F69" s="3011">
        <f>IF(AB62&gt;=70,3,IF(AND(AB62&gt;=60,AB62&lt;70),2,IF(AND(AB62&gt;=50,AB62&lt;60),1)))</f>
        <v>3</v>
      </c>
      <c r="G69" s="3011"/>
      <c r="H69" s="3011">
        <f>(70/100)*F69+(30/100)*E69</f>
        <v>2.6999999999999997</v>
      </c>
      <c r="I69" s="3011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V69" s="273"/>
      <c r="W69" s="273"/>
      <c r="X69" s="273"/>
      <c r="Y69" s="273"/>
      <c r="Z69" s="273"/>
      <c r="AA69" s="273"/>
      <c r="AB69" s="273"/>
      <c r="AC69" s="273"/>
      <c r="AD69" s="273"/>
    </row>
    <row r="70" spans="1:30" ht="18" x14ac:dyDescent="0.25">
      <c r="A70" s="274"/>
      <c r="B70" s="274"/>
      <c r="C70" s="277" t="s">
        <v>41</v>
      </c>
      <c r="D70" s="276">
        <f>AVERAGE(Q63,R63,W63,X63,Y63)*100</f>
        <v>62.62222222222222</v>
      </c>
      <c r="E70" s="276">
        <f>IF(D70&gt;=70,3,IF(AND(D70&gt;=60,D70&lt;70),2,IF(AND(D70&gt;=50,D70&lt;60),1)))</f>
        <v>2</v>
      </c>
      <c r="F70" s="3011">
        <f>IF(AB62&gt;=70,3,IF(AND(AB62&gt;=60,AB62&lt;70),2,IF(AND(AB62&gt;=50,AB62&lt;60),1)))</f>
        <v>3</v>
      </c>
      <c r="G70" s="3011"/>
      <c r="H70" s="3011">
        <f>(70/100)*F70+(30/100)*E70</f>
        <v>2.6999999999999997</v>
      </c>
      <c r="I70" s="3011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V70" s="273"/>
      <c r="W70" s="273"/>
      <c r="X70" s="273"/>
      <c r="Y70" s="273"/>
      <c r="Z70" s="273"/>
      <c r="AA70" s="273"/>
      <c r="AB70" s="273"/>
      <c r="AC70" s="273"/>
      <c r="AD70" s="273"/>
    </row>
    <row r="71" spans="1:30" ht="18" x14ac:dyDescent="0.25">
      <c r="A71" s="274"/>
      <c r="B71" s="274"/>
      <c r="C71" s="277" t="s">
        <v>42</v>
      </c>
      <c r="D71" s="276">
        <f>AVERAGE(O63,P63,S63,U63,V63,Y63)*100</f>
        <v>73.006765635315901</v>
      </c>
      <c r="E71" s="276">
        <f>IF(D71&gt;=70,3,IF(AND(D71&gt;=60,D71&lt;70),2,IF(AND(D71&gt;=50,D71&lt;60),1)))</f>
        <v>3</v>
      </c>
      <c r="F71" s="3011">
        <f>IF(AB62&gt;=70,3,IF(AND(AB62&gt;=60,AB62&lt;70),2,IF(AND(AB62&gt;=50,AB62&lt;60),1)))</f>
        <v>3</v>
      </c>
      <c r="G71" s="3011"/>
      <c r="H71" s="3011">
        <f>(70/100)*F71+(30/100)*E71</f>
        <v>2.9999999999999996</v>
      </c>
      <c r="I71" s="3011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V71" s="273"/>
      <c r="W71" s="273"/>
      <c r="X71" s="273"/>
      <c r="Y71" s="273"/>
      <c r="Z71" s="273"/>
      <c r="AA71" s="273"/>
      <c r="AB71" s="273"/>
      <c r="AC71" s="273"/>
      <c r="AD71" s="273"/>
    </row>
    <row r="72" spans="1:30" ht="18" x14ac:dyDescent="0.25">
      <c r="A72" s="274"/>
      <c r="B72" s="274"/>
      <c r="C72" s="3011" t="s">
        <v>44</v>
      </c>
      <c r="D72" s="3011"/>
      <c r="E72" s="3011"/>
      <c r="F72" s="3011"/>
      <c r="G72" s="3011"/>
      <c r="H72" s="3017">
        <f>AVERAGE(H68:H71)</f>
        <v>2.6999999999999997</v>
      </c>
      <c r="I72" s="3017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V72" s="273"/>
      <c r="W72" s="273"/>
      <c r="X72" s="273"/>
      <c r="Y72" s="273"/>
      <c r="Z72" s="273"/>
      <c r="AA72" s="273"/>
      <c r="AB72" s="273"/>
      <c r="AC72" s="273"/>
      <c r="AD72" s="273"/>
    </row>
    <row r="73" spans="1:30" ht="18" x14ac:dyDescent="0.25">
      <c r="A73" s="274"/>
      <c r="B73" s="274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V73" s="273"/>
      <c r="W73" s="273"/>
      <c r="X73" s="273"/>
      <c r="Y73" s="273"/>
      <c r="Z73" s="273"/>
      <c r="AA73" s="273"/>
      <c r="AB73" s="273"/>
      <c r="AC73" s="273"/>
      <c r="AD73" s="273"/>
    </row>
    <row r="74" spans="1:30" ht="18" x14ac:dyDescent="0.25">
      <c r="A74" s="274"/>
      <c r="B74" s="282" t="s">
        <v>206</v>
      </c>
      <c r="C74" s="282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V74" s="273"/>
      <c r="W74" s="273"/>
      <c r="X74" s="273"/>
      <c r="Y74" s="273"/>
      <c r="Z74" s="273"/>
      <c r="AA74" s="273"/>
      <c r="AB74" s="273"/>
      <c r="AC74" s="273"/>
      <c r="AD74" s="273"/>
    </row>
    <row r="75" spans="1:30" ht="18" x14ac:dyDescent="0.2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3"/>
      <c r="Q75" s="273"/>
      <c r="R75" s="273"/>
      <c r="S75" s="273"/>
      <c r="V75" s="273"/>
      <c r="W75" s="273"/>
      <c r="X75" s="273"/>
      <c r="Y75" s="273"/>
      <c r="Z75" s="273"/>
      <c r="AA75" s="273"/>
      <c r="AB75" s="273"/>
      <c r="AC75" s="273"/>
      <c r="AD75" s="273"/>
    </row>
    <row r="76" spans="1:30" ht="18" x14ac:dyDescent="0.25">
      <c r="A76" s="274"/>
      <c r="B76" s="274"/>
      <c r="C76" s="283" t="s">
        <v>45</v>
      </c>
      <c r="D76" s="283" t="s">
        <v>68</v>
      </c>
      <c r="E76" s="283" t="s">
        <v>69</v>
      </c>
      <c r="F76" s="283" t="s">
        <v>70</v>
      </c>
      <c r="G76" s="283" t="s">
        <v>71</v>
      </c>
      <c r="H76" s="283" t="s">
        <v>72</v>
      </c>
      <c r="I76" s="283" t="s">
        <v>73</v>
      </c>
      <c r="J76" s="283" t="s">
        <v>74</v>
      </c>
      <c r="K76" s="283" t="s">
        <v>75</v>
      </c>
      <c r="L76" s="283" t="s">
        <v>76</v>
      </c>
      <c r="M76" s="283" t="s">
        <v>77</v>
      </c>
      <c r="N76" s="283" t="s">
        <v>78</v>
      </c>
      <c r="O76" s="283" t="s">
        <v>79</v>
      </c>
      <c r="P76" s="283" t="s">
        <v>60</v>
      </c>
      <c r="Q76" s="283" t="s">
        <v>61</v>
      </c>
      <c r="R76" s="283" t="s">
        <v>62</v>
      </c>
      <c r="U76" s="273"/>
      <c r="V76" s="273"/>
      <c r="W76" s="273"/>
      <c r="X76" s="273"/>
      <c r="Y76" s="273"/>
      <c r="Z76" s="273"/>
      <c r="AA76" s="273"/>
      <c r="AB76" s="273"/>
      <c r="AC76" s="273"/>
    </row>
    <row r="77" spans="1:30" ht="18.75" x14ac:dyDescent="0.25">
      <c r="A77" s="274"/>
      <c r="B77" s="274"/>
      <c r="C77" s="283" t="s">
        <v>20</v>
      </c>
      <c r="D77" s="2469">
        <v>3</v>
      </c>
      <c r="E77" s="2469">
        <v>2</v>
      </c>
      <c r="F77" s="2469">
        <v>1</v>
      </c>
      <c r="G77" s="2469">
        <v>1</v>
      </c>
      <c r="H77" s="2469">
        <v>2</v>
      </c>
      <c r="I77" s="2469"/>
      <c r="J77" s="2469"/>
      <c r="K77" s="2469"/>
      <c r="L77" s="2469"/>
      <c r="M77" s="2469"/>
      <c r="N77" s="2469"/>
      <c r="O77" s="2469">
        <v>2</v>
      </c>
      <c r="P77" s="2270">
        <v>2</v>
      </c>
      <c r="Q77" s="2270">
        <v>2</v>
      </c>
      <c r="R77" s="2270">
        <v>1</v>
      </c>
      <c r="U77" s="273"/>
      <c r="V77" s="273"/>
      <c r="W77" s="273"/>
      <c r="X77" s="273"/>
      <c r="Y77" s="273"/>
      <c r="Z77" s="273"/>
      <c r="AA77" s="273"/>
      <c r="AB77" s="273"/>
      <c r="AC77" s="273"/>
    </row>
    <row r="78" spans="1:30" ht="18.75" x14ac:dyDescent="0.25">
      <c r="A78" s="274"/>
      <c r="B78" s="274"/>
      <c r="C78" s="283" t="s">
        <v>21</v>
      </c>
      <c r="D78" s="2469">
        <v>3</v>
      </c>
      <c r="E78" s="2469">
        <v>3</v>
      </c>
      <c r="F78" s="2469">
        <v>2</v>
      </c>
      <c r="G78" s="2469">
        <v>2</v>
      </c>
      <c r="H78" s="2469">
        <v>3</v>
      </c>
      <c r="I78" s="2469"/>
      <c r="J78" s="2469"/>
      <c r="K78" s="2469"/>
      <c r="L78" s="2469">
        <v>1</v>
      </c>
      <c r="M78" s="2469">
        <v>1</v>
      </c>
      <c r="N78" s="2469"/>
      <c r="O78" s="2469">
        <v>2</v>
      </c>
      <c r="P78" s="2270">
        <v>3</v>
      </c>
      <c r="Q78" s="2270">
        <v>2</v>
      </c>
      <c r="R78" s="2270">
        <v>2</v>
      </c>
      <c r="U78" s="273"/>
      <c r="V78" s="273"/>
      <c r="W78" s="273"/>
      <c r="X78" s="273"/>
      <c r="Y78" s="273"/>
      <c r="Z78" s="273"/>
      <c r="AA78" s="273"/>
      <c r="AB78" s="273"/>
      <c r="AC78" s="273"/>
    </row>
    <row r="79" spans="1:30" ht="18.75" x14ac:dyDescent="0.25">
      <c r="A79" s="274"/>
      <c r="B79" s="274"/>
      <c r="C79" s="283" t="s">
        <v>23</v>
      </c>
      <c r="D79" s="2469">
        <v>3</v>
      </c>
      <c r="E79" s="2469">
        <v>3</v>
      </c>
      <c r="F79" s="2469">
        <v>2</v>
      </c>
      <c r="G79" s="2469">
        <v>3</v>
      </c>
      <c r="H79" s="2469">
        <v>3</v>
      </c>
      <c r="I79" s="2469"/>
      <c r="J79" s="2469"/>
      <c r="K79" s="2469"/>
      <c r="L79" s="2469"/>
      <c r="M79" s="2469"/>
      <c r="N79" s="2469"/>
      <c r="O79" s="2469">
        <v>2</v>
      </c>
      <c r="P79" s="2270">
        <v>3</v>
      </c>
      <c r="Q79" s="2270">
        <v>3</v>
      </c>
      <c r="R79" s="2270">
        <v>2</v>
      </c>
      <c r="U79" s="273"/>
      <c r="V79" s="273"/>
      <c r="W79" s="273"/>
      <c r="X79" s="273"/>
      <c r="Y79" s="273"/>
      <c r="Z79" s="273"/>
      <c r="AA79" s="273"/>
      <c r="AB79" s="273"/>
      <c r="AC79" s="273"/>
    </row>
    <row r="80" spans="1:30" ht="18.75" x14ac:dyDescent="0.25">
      <c r="A80" s="274"/>
      <c r="B80" s="274"/>
      <c r="C80" s="283" t="s">
        <v>25</v>
      </c>
      <c r="D80" s="2469">
        <v>3</v>
      </c>
      <c r="E80" s="2469">
        <v>3</v>
      </c>
      <c r="F80" s="2469">
        <v>3</v>
      </c>
      <c r="G80" s="2469">
        <v>2</v>
      </c>
      <c r="H80" s="2469">
        <v>2</v>
      </c>
      <c r="I80" s="2469"/>
      <c r="J80" s="2469"/>
      <c r="K80" s="2469"/>
      <c r="L80" s="2469">
        <v>1</v>
      </c>
      <c r="M80" s="2469">
        <v>1</v>
      </c>
      <c r="N80" s="2469">
        <v>1</v>
      </c>
      <c r="O80" s="2469">
        <v>2</v>
      </c>
      <c r="P80" s="2270">
        <v>3</v>
      </c>
      <c r="Q80" s="2270">
        <v>2</v>
      </c>
      <c r="R80" s="2270">
        <v>2</v>
      </c>
      <c r="U80" s="273"/>
      <c r="V80" s="273"/>
      <c r="W80" s="273"/>
      <c r="X80" s="273"/>
      <c r="Y80" s="273"/>
      <c r="Z80" s="273"/>
      <c r="AA80" s="273"/>
      <c r="AB80" s="273"/>
      <c r="AC80" s="273"/>
    </row>
    <row r="81" spans="1:30" ht="18.75" x14ac:dyDescent="0.25">
      <c r="A81" s="274"/>
      <c r="B81" s="274"/>
      <c r="C81" s="283" t="s">
        <v>10</v>
      </c>
      <c r="D81" s="2469">
        <f>AVERAGE(D77:D80)</f>
        <v>3</v>
      </c>
      <c r="E81" s="2469">
        <f t="shared" ref="E81:O81" si="6">AVERAGE(E77:E80)</f>
        <v>2.75</v>
      </c>
      <c r="F81" s="2469">
        <f t="shared" si="6"/>
        <v>2</v>
      </c>
      <c r="G81" s="2469">
        <f t="shared" si="6"/>
        <v>2</v>
      </c>
      <c r="H81" s="2469">
        <f t="shared" si="6"/>
        <v>2.5</v>
      </c>
      <c r="I81" s="2469"/>
      <c r="J81" s="2469"/>
      <c r="K81" s="2469"/>
      <c r="L81" s="2469">
        <f t="shared" si="6"/>
        <v>1</v>
      </c>
      <c r="M81" s="2469">
        <f t="shared" si="6"/>
        <v>1</v>
      </c>
      <c r="N81" s="2469">
        <f t="shared" si="6"/>
        <v>1</v>
      </c>
      <c r="O81" s="2469">
        <f t="shared" si="6"/>
        <v>2</v>
      </c>
      <c r="P81" s="2469">
        <f t="shared" ref="P81" si="7">AVERAGE(P77:P80)</f>
        <v>2.75</v>
      </c>
      <c r="Q81" s="2469">
        <f t="shared" ref="Q81" si="8">AVERAGE(Q77:Q80)</f>
        <v>2.25</v>
      </c>
      <c r="R81" s="2469">
        <f t="shared" ref="R81" si="9">AVERAGE(R77:R80)</f>
        <v>1.75</v>
      </c>
      <c r="U81" s="273"/>
      <c r="V81" s="273"/>
      <c r="W81" s="273"/>
      <c r="X81" s="273"/>
      <c r="Y81" s="273"/>
      <c r="Z81" s="273"/>
      <c r="AA81" s="273"/>
      <c r="AB81" s="273"/>
      <c r="AC81" s="273"/>
    </row>
    <row r="82" spans="1:30" ht="18" x14ac:dyDescent="0.25">
      <c r="A82" s="274"/>
      <c r="B82" s="274"/>
      <c r="C82" s="283" t="s">
        <v>58</v>
      </c>
      <c r="D82" s="3012">
        <f>AVERAGE(D81:O81)</f>
        <v>1.9166666666666667</v>
      </c>
      <c r="E82" s="3013"/>
      <c r="F82" s="3013"/>
      <c r="G82" s="3013"/>
      <c r="H82" s="3013"/>
      <c r="I82" s="3013"/>
      <c r="J82" s="3013"/>
      <c r="K82" s="3013"/>
      <c r="L82" s="3013"/>
      <c r="M82" s="3013"/>
      <c r="N82" s="3013"/>
      <c r="O82" s="3013"/>
      <c r="P82" s="3014">
        <f>AVERAGE(P81:R81)</f>
        <v>2.25</v>
      </c>
      <c r="Q82" s="3014"/>
      <c r="R82" s="3014"/>
      <c r="S82" s="3014"/>
      <c r="V82" s="273"/>
      <c r="W82" s="273"/>
      <c r="X82" s="273"/>
      <c r="Y82" s="273"/>
      <c r="Z82" s="273"/>
      <c r="AA82" s="273"/>
      <c r="AB82" s="273"/>
      <c r="AC82" s="273"/>
      <c r="AD82" s="273"/>
    </row>
    <row r="83" spans="1:30" ht="18" x14ac:dyDescent="0.25"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3"/>
      <c r="Q83" s="273"/>
      <c r="R83" s="273"/>
      <c r="S83" s="273"/>
    </row>
    <row r="84" spans="1:30" ht="18" x14ac:dyDescent="0.25">
      <c r="B84" s="282" t="s">
        <v>207</v>
      </c>
      <c r="C84" s="282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</row>
    <row r="85" spans="1:30" ht="18" x14ac:dyDescent="0.25">
      <c r="B85" s="274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</row>
    <row r="86" spans="1:30" ht="18" x14ac:dyDescent="0.25">
      <c r="B86" s="274"/>
      <c r="C86" s="283" t="s">
        <v>45</v>
      </c>
      <c r="D86" s="283" t="s">
        <v>68</v>
      </c>
      <c r="E86" s="283" t="s">
        <v>69</v>
      </c>
      <c r="F86" s="283" t="s">
        <v>70</v>
      </c>
      <c r="G86" s="283" t="s">
        <v>71</v>
      </c>
      <c r="H86" s="283" t="s">
        <v>72</v>
      </c>
      <c r="I86" s="283" t="s">
        <v>73</v>
      </c>
      <c r="J86" s="283" t="s">
        <v>74</v>
      </c>
      <c r="K86" s="283" t="s">
        <v>75</v>
      </c>
      <c r="L86" s="283" t="s">
        <v>76</v>
      </c>
      <c r="M86" s="283" t="s">
        <v>77</v>
      </c>
      <c r="N86" s="283" t="s">
        <v>78</v>
      </c>
      <c r="O86" s="283" t="s">
        <v>79</v>
      </c>
      <c r="P86" s="283" t="s">
        <v>60</v>
      </c>
      <c r="Q86" s="283" t="s">
        <v>61</v>
      </c>
      <c r="R86" s="283" t="s">
        <v>62</v>
      </c>
    </row>
    <row r="87" spans="1:30" ht="18" x14ac:dyDescent="0.25">
      <c r="B87" s="274"/>
      <c r="C87" s="283" t="s">
        <v>20</v>
      </c>
      <c r="D87" s="284">
        <f>(D77/3)*$H$68</f>
        <v>2.3999999999999995</v>
      </c>
      <c r="E87" s="284">
        <f t="shared" ref="E87:O87" si="10">(E77/3)*$H$68</f>
        <v>1.5999999999999996</v>
      </c>
      <c r="F87" s="284">
        <f t="shared" si="10"/>
        <v>0.79999999999999982</v>
      </c>
      <c r="G87" s="284">
        <f t="shared" si="10"/>
        <v>0.79999999999999982</v>
      </c>
      <c r="H87" s="284">
        <f t="shared" si="10"/>
        <v>1.5999999999999996</v>
      </c>
      <c r="I87" s="284"/>
      <c r="J87" s="284"/>
      <c r="K87" s="284"/>
      <c r="L87" s="284"/>
      <c r="M87" s="284"/>
      <c r="N87" s="284"/>
      <c r="O87" s="284">
        <f t="shared" si="10"/>
        <v>1.5999999999999996</v>
      </c>
      <c r="P87" s="271">
        <f t="shared" ref="P87:R90" si="11">P77/3*$H68</f>
        <v>1.5999999999999996</v>
      </c>
      <c r="Q87" s="271">
        <f t="shared" si="11"/>
        <v>1.5999999999999996</v>
      </c>
      <c r="R87" s="271">
        <f t="shared" si="11"/>
        <v>0.79999999999999982</v>
      </c>
    </row>
    <row r="88" spans="1:30" ht="18" x14ac:dyDescent="0.25">
      <c r="B88" s="274"/>
      <c r="C88" s="283" t="s">
        <v>21</v>
      </c>
      <c r="D88" s="284">
        <f>(D78/3)*$H69</f>
        <v>2.6999999999999997</v>
      </c>
      <c r="E88" s="284">
        <f t="shared" ref="E88:O88" si="12">(E78/3)*$H69</f>
        <v>2.6999999999999997</v>
      </c>
      <c r="F88" s="284">
        <f t="shared" si="12"/>
        <v>1.7999999999999998</v>
      </c>
      <c r="G88" s="284">
        <f t="shared" si="12"/>
        <v>1.7999999999999998</v>
      </c>
      <c r="H88" s="284">
        <f t="shared" si="12"/>
        <v>2.6999999999999997</v>
      </c>
      <c r="I88" s="284"/>
      <c r="J88" s="284"/>
      <c r="K88" s="284"/>
      <c r="L88" s="284">
        <f t="shared" si="12"/>
        <v>0.89999999999999991</v>
      </c>
      <c r="M88" s="284">
        <f t="shared" si="12"/>
        <v>0.89999999999999991</v>
      </c>
      <c r="N88" s="284"/>
      <c r="O88" s="284">
        <f t="shared" si="12"/>
        <v>1.7999999999999998</v>
      </c>
      <c r="P88" s="271">
        <f t="shared" si="11"/>
        <v>2.6999999999999997</v>
      </c>
      <c r="Q88" s="271">
        <f t="shared" si="11"/>
        <v>1.7999999999999998</v>
      </c>
      <c r="R88" s="271">
        <f t="shared" si="11"/>
        <v>1.7999999999999998</v>
      </c>
    </row>
    <row r="89" spans="1:30" ht="18" x14ac:dyDescent="0.25">
      <c r="B89" s="274"/>
      <c r="C89" s="283" t="s">
        <v>23</v>
      </c>
      <c r="D89" s="284">
        <f>(D79/3)*$H70</f>
        <v>2.6999999999999997</v>
      </c>
      <c r="E89" s="284">
        <f t="shared" ref="E89:O89" si="13">(E79/3)*$H70</f>
        <v>2.6999999999999997</v>
      </c>
      <c r="F89" s="284">
        <f t="shared" si="13"/>
        <v>1.7999999999999998</v>
      </c>
      <c r="G89" s="284">
        <f t="shared" si="13"/>
        <v>2.6999999999999997</v>
      </c>
      <c r="H89" s="284">
        <f t="shared" si="13"/>
        <v>2.6999999999999997</v>
      </c>
      <c r="I89" s="284"/>
      <c r="J89" s="284"/>
      <c r="K89" s="284"/>
      <c r="L89" s="284"/>
      <c r="M89" s="284"/>
      <c r="N89" s="284"/>
      <c r="O89" s="284">
        <f t="shared" si="13"/>
        <v>1.7999999999999998</v>
      </c>
      <c r="P89" s="271">
        <f t="shared" si="11"/>
        <v>2.6999999999999997</v>
      </c>
      <c r="Q89" s="271">
        <f t="shared" si="11"/>
        <v>2.6999999999999997</v>
      </c>
      <c r="R89" s="271">
        <f t="shared" si="11"/>
        <v>1.7999999999999998</v>
      </c>
    </row>
    <row r="90" spans="1:30" ht="18" x14ac:dyDescent="0.25">
      <c r="B90" s="274"/>
      <c r="C90" s="283" t="s">
        <v>25</v>
      </c>
      <c r="D90" s="284">
        <f>(D80/3)*$H71</f>
        <v>2.9999999999999996</v>
      </c>
      <c r="E90" s="284">
        <f t="shared" ref="E90:O90" si="14">(E80/3)*$H71</f>
        <v>2.9999999999999996</v>
      </c>
      <c r="F90" s="284">
        <f t="shared" si="14"/>
        <v>2.9999999999999996</v>
      </c>
      <c r="G90" s="284">
        <f t="shared" si="14"/>
        <v>1.9999999999999996</v>
      </c>
      <c r="H90" s="284">
        <f t="shared" si="14"/>
        <v>1.9999999999999996</v>
      </c>
      <c r="I90" s="284"/>
      <c r="J90" s="284"/>
      <c r="K90" s="284"/>
      <c r="L90" s="284">
        <f t="shared" si="14"/>
        <v>0.99999999999999978</v>
      </c>
      <c r="M90" s="284">
        <f t="shared" si="14"/>
        <v>0.99999999999999978</v>
      </c>
      <c r="N90" s="284">
        <f t="shared" si="14"/>
        <v>0.99999999999999978</v>
      </c>
      <c r="O90" s="284">
        <f t="shared" si="14"/>
        <v>1.9999999999999996</v>
      </c>
      <c r="P90" s="271">
        <f t="shared" si="11"/>
        <v>2.9999999999999996</v>
      </c>
      <c r="Q90" s="271">
        <f t="shared" si="11"/>
        <v>1.9999999999999996</v>
      </c>
      <c r="R90" s="271">
        <f t="shared" si="11"/>
        <v>1.9999999999999996</v>
      </c>
    </row>
    <row r="91" spans="1:30" ht="18" x14ac:dyDescent="0.25">
      <c r="B91" s="274"/>
      <c r="C91" s="283" t="s">
        <v>10</v>
      </c>
      <c r="D91" s="285">
        <f>AVERAGE(D87:D90)</f>
        <v>2.6999999999999997</v>
      </c>
      <c r="E91" s="285">
        <f t="shared" ref="E91:O91" si="15">AVERAGE(E87:E90)</f>
        <v>2.4999999999999996</v>
      </c>
      <c r="F91" s="285">
        <f t="shared" si="15"/>
        <v>1.8499999999999996</v>
      </c>
      <c r="G91" s="285">
        <f t="shared" si="15"/>
        <v>1.8249999999999997</v>
      </c>
      <c r="H91" s="285">
        <f t="shared" si="15"/>
        <v>2.2499999999999996</v>
      </c>
      <c r="I91" s="285"/>
      <c r="J91" s="285"/>
      <c r="K91" s="285"/>
      <c r="L91" s="2470">
        <f t="shared" si="15"/>
        <v>0.94999999999999984</v>
      </c>
      <c r="M91" s="2470">
        <f t="shared" si="15"/>
        <v>0.94999999999999984</v>
      </c>
      <c r="N91" s="285">
        <f t="shared" si="15"/>
        <v>0.99999999999999978</v>
      </c>
      <c r="O91" s="285">
        <f t="shared" si="15"/>
        <v>1.7999999999999998</v>
      </c>
      <c r="P91" s="283">
        <f>AVERAGE(P87:P90)</f>
        <v>2.4999999999999996</v>
      </c>
      <c r="Q91" s="283">
        <f t="shared" ref="Q91:R91" si="16">AVERAGE(Q87:Q90)</f>
        <v>2.0249999999999999</v>
      </c>
      <c r="R91" s="283">
        <f t="shared" si="16"/>
        <v>1.5999999999999996</v>
      </c>
    </row>
    <row r="92" spans="1:30" ht="18" x14ac:dyDescent="0.25">
      <c r="B92" s="274"/>
      <c r="C92" s="283" t="s">
        <v>58</v>
      </c>
      <c r="D92" s="3015">
        <f>AVERAGE(D91:O91)</f>
        <v>1.7583333333333329</v>
      </c>
      <c r="E92" s="3015"/>
      <c r="F92" s="3015"/>
      <c r="G92" s="3015"/>
      <c r="H92" s="3015"/>
      <c r="I92" s="3015"/>
      <c r="J92" s="3015"/>
      <c r="K92" s="3015"/>
      <c r="L92" s="3015"/>
      <c r="M92" s="3015"/>
      <c r="N92" s="3015"/>
      <c r="O92" s="3015"/>
      <c r="P92" s="3016">
        <f>AVERAGE(P91:R91)</f>
        <v>2.0416666666666665</v>
      </c>
      <c r="Q92" s="3016"/>
      <c r="R92" s="3016"/>
      <c r="S92" s="3016"/>
    </row>
    <row r="93" spans="1:30" ht="18" x14ac:dyDescent="0.25">
      <c r="B93" s="273"/>
    </row>
    <row r="94" spans="1:30" ht="18" x14ac:dyDescent="0.25">
      <c r="B94" s="273"/>
    </row>
    <row r="95" spans="1:30" ht="18" x14ac:dyDescent="0.25">
      <c r="B95" s="273"/>
    </row>
    <row r="96" spans="1:30" ht="18" x14ac:dyDescent="0.25">
      <c r="B96" s="273"/>
    </row>
    <row r="97" spans="2:2" ht="18" x14ac:dyDescent="0.25">
      <c r="B97" s="273"/>
    </row>
    <row r="98" spans="2:2" ht="18" x14ac:dyDescent="0.25">
      <c r="B98" s="273"/>
    </row>
    <row r="99" spans="2:2" ht="18" x14ac:dyDescent="0.25">
      <c r="B99" s="273"/>
    </row>
    <row r="100" spans="2:2" ht="18" x14ac:dyDescent="0.25">
      <c r="B100" s="273"/>
    </row>
    <row r="101" spans="2:2" ht="18" x14ac:dyDescent="0.25">
      <c r="B101" s="273"/>
    </row>
    <row r="102" spans="2:2" ht="18" x14ac:dyDescent="0.25">
      <c r="B102" s="273"/>
    </row>
    <row r="103" spans="2:2" ht="18" x14ac:dyDescent="0.25">
      <c r="B103" s="273"/>
    </row>
    <row r="104" spans="2:2" ht="18" x14ac:dyDescent="0.25">
      <c r="B104" s="273"/>
    </row>
    <row r="105" spans="2:2" ht="18" x14ac:dyDescent="0.25">
      <c r="B105" s="273"/>
    </row>
    <row r="106" spans="2:2" ht="18" x14ac:dyDescent="0.25">
      <c r="B106" s="273"/>
    </row>
    <row r="107" spans="2:2" ht="18" x14ac:dyDescent="0.25">
      <c r="B107" s="273"/>
    </row>
    <row r="108" spans="2:2" ht="18" x14ac:dyDescent="0.25">
      <c r="B108" s="273"/>
    </row>
    <row r="109" spans="2:2" ht="18" x14ac:dyDescent="0.25">
      <c r="B109" s="273"/>
    </row>
    <row r="110" spans="2:2" ht="18" x14ac:dyDescent="0.25">
      <c r="B110" s="273"/>
    </row>
    <row r="111" spans="2:2" ht="18" x14ac:dyDescent="0.25">
      <c r="B111" s="273"/>
    </row>
  </sheetData>
  <mergeCells count="47">
    <mergeCell ref="D82:O82"/>
    <mergeCell ref="P82:S82"/>
    <mergeCell ref="D92:O92"/>
    <mergeCell ref="P92:S92"/>
    <mergeCell ref="F71:G71"/>
    <mergeCell ref="H71:I71"/>
    <mergeCell ref="C72:G72"/>
    <mergeCell ref="H72:I72"/>
    <mergeCell ref="AG62:AK62"/>
    <mergeCell ref="AO62:AS62"/>
    <mergeCell ref="F70:G70"/>
    <mergeCell ref="H70:I70"/>
    <mergeCell ref="H67:I67"/>
    <mergeCell ref="F68:G68"/>
    <mergeCell ref="H68:I68"/>
    <mergeCell ref="F69:G69"/>
    <mergeCell ref="H69:I69"/>
    <mergeCell ref="A62:B62"/>
    <mergeCell ref="A63:B63"/>
    <mergeCell ref="Y7:Y8"/>
    <mergeCell ref="AA7:AA9"/>
    <mergeCell ref="AB7:AB9"/>
    <mergeCell ref="A7:A8"/>
    <mergeCell ref="B7:B8"/>
    <mergeCell ref="D67:E67"/>
    <mergeCell ref="F67:G67"/>
    <mergeCell ref="AA10:AB10"/>
    <mergeCell ref="C6:M6"/>
    <mergeCell ref="N6:X6"/>
    <mergeCell ref="C7:G7"/>
    <mergeCell ref="H7:I7"/>
    <mergeCell ref="J7:K7"/>
    <mergeCell ref="L7:M7"/>
    <mergeCell ref="N7:R7"/>
    <mergeCell ref="S7:T7"/>
    <mergeCell ref="U7:V7"/>
    <mergeCell ref="W7:X7"/>
    <mergeCell ref="D4:F4"/>
    <mergeCell ref="I4:J4"/>
    <mergeCell ref="K4:M4"/>
    <mergeCell ref="B2:C2"/>
    <mergeCell ref="D2:F2"/>
    <mergeCell ref="I2:J2"/>
    <mergeCell ref="K2:M2"/>
    <mergeCell ref="B3:C3"/>
    <mergeCell ref="I3:J3"/>
    <mergeCell ref="K3:M3"/>
  </mergeCells>
  <conditionalFormatting sqref="AA11:AA59">
    <cfRule type="containsText" dxfId="127" priority="1" operator="containsText" text="F">
      <formula>NOT(ISERROR(SEARCH("F",AA11)))</formula>
    </cfRule>
  </conditionalFormatting>
  <conditionalFormatting sqref="AA11:AA59">
    <cfRule type="containsText" dxfId="126" priority="2" operator="containsText" text="F">
      <formula>NOT(ISERROR(SEARCH("F",AA11)))</formula>
    </cfRule>
  </conditionalFormatting>
  <pageMargins left="0.7" right="0.7" top="0.75" bottom="0.75" header="0.3" footer="0.3"/>
  <pageSetup paperSize="8" scale="3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C103"/>
  <sheetViews>
    <sheetView view="pageBreakPreview" topLeftCell="A73" zoomScale="60" zoomScaleNormal="91" workbookViewId="0">
      <selection activeCell="G78" sqref="G78"/>
    </sheetView>
  </sheetViews>
  <sheetFormatPr defaultRowHeight="15.75" x14ac:dyDescent="0.25"/>
  <cols>
    <col min="1" max="1" width="7.140625" style="2271" customWidth="1"/>
    <col min="2" max="2" width="16.5703125" style="2271" customWidth="1"/>
    <col min="3" max="3" width="9.42578125" style="2271" customWidth="1"/>
    <col min="4" max="5" width="9.42578125" style="2303" customWidth="1"/>
    <col min="6" max="16" width="9.42578125" style="2271" customWidth="1"/>
    <col min="17" max="17" width="9.42578125" style="2303" customWidth="1"/>
    <col min="18" max="26" width="9.42578125" style="2271" customWidth="1"/>
    <col min="27" max="16384" width="9.140625" style="2271"/>
  </cols>
  <sheetData>
    <row r="1" spans="1:29" x14ac:dyDescent="0.25">
      <c r="A1" s="2298"/>
      <c r="B1" s="2299" t="s">
        <v>0</v>
      </c>
      <c r="C1" s="2300" t="s">
        <v>371</v>
      </c>
      <c r="D1" s="2301"/>
      <c r="E1" s="2301"/>
      <c r="F1" s="2298"/>
      <c r="G1" s="2299" t="s">
        <v>1</v>
      </c>
      <c r="H1" s="2302" t="s">
        <v>372</v>
      </c>
      <c r="I1" s="2302"/>
      <c r="J1" s="2298"/>
      <c r="K1" s="2298"/>
      <c r="P1" s="2299" t="s">
        <v>367</v>
      </c>
      <c r="Q1" s="2303" t="s">
        <v>150</v>
      </c>
    </row>
    <row r="2" spans="1:29" x14ac:dyDescent="0.25">
      <c r="A2" s="2298"/>
      <c r="C2" s="2304"/>
      <c r="D2" s="2301"/>
      <c r="E2" s="2301"/>
      <c r="F2" s="2298"/>
      <c r="H2" s="2298"/>
      <c r="I2" s="2298"/>
      <c r="L2" s="2298"/>
      <c r="M2" s="2298"/>
      <c r="N2" s="2298"/>
    </row>
    <row r="3" spans="1:29" x14ac:dyDescent="0.25">
      <c r="A3" s="2298"/>
      <c r="B3" s="2299" t="s">
        <v>2</v>
      </c>
      <c r="C3" s="2300" t="s">
        <v>373</v>
      </c>
      <c r="D3" s="2301"/>
      <c r="E3" s="2301"/>
      <c r="F3" s="2298"/>
      <c r="G3" s="2299" t="s">
        <v>369</v>
      </c>
      <c r="H3" s="2271" t="s">
        <v>66</v>
      </c>
      <c r="J3" s="2298"/>
      <c r="K3" s="2298"/>
      <c r="L3" s="2298"/>
      <c r="M3" s="2298"/>
      <c r="N3" s="2298"/>
    </row>
    <row r="4" spans="1:29" x14ac:dyDescent="0.25">
      <c r="A4" s="2305"/>
      <c r="B4" s="2306"/>
      <c r="C4" s="3031" t="s">
        <v>3</v>
      </c>
      <c r="D4" s="3031"/>
      <c r="E4" s="3031"/>
      <c r="F4" s="3031"/>
      <c r="G4" s="3031"/>
      <c r="H4" s="3031"/>
      <c r="I4" s="3031"/>
      <c r="J4" s="3031"/>
      <c r="K4" s="3031"/>
      <c r="L4" s="3031"/>
      <c r="M4" s="3031"/>
      <c r="N4" s="3032" t="s">
        <v>370</v>
      </c>
      <c r="O4" s="3039" t="s">
        <v>4</v>
      </c>
      <c r="P4" s="3039"/>
      <c r="Q4" s="3039"/>
      <c r="R4" s="3039"/>
      <c r="S4" s="3039"/>
      <c r="T4" s="3039"/>
      <c r="U4" s="3039"/>
      <c r="V4" s="3039"/>
      <c r="W4" s="3039"/>
      <c r="X4" s="3039"/>
      <c r="Y4" s="3039"/>
      <c r="Z4" s="3032" t="s">
        <v>370</v>
      </c>
    </row>
    <row r="5" spans="1:29" ht="15" customHeight="1" x14ac:dyDescent="0.25">
      <c r="A5" s="449"/>
      <c r="B5" s="3030" t="s">
        <v>5</v>
      </c>
      <c r="C5" s="3035" t="s">
        <v>6</v>
      </c>
      <c r="D5" s="3035"/>
      <c r="E5" s="3035"/>
      <c r="F5" s="3035"/>
      <c r="G5" s="3035"/>
      <c r="H5" s="3036" t="s">
        <v>7</v>
      </c>
      <c r="I5" s="3037"/>
      <c r="J5" s="3036" t="s">
        <v>8</v>
      </c>
      <c r="K5" s="3037"/>
      <c r="L5" s="3036" t="s">
        <v>9</v>
      </c>
      <c r="M5" s="3037"/>
      <c r="N5" s="3033"/>
      <c r="O5" s="3035" t="s">
        <v>6</v>
      </c>
      <c r="P5" s="3035"/>
      <c r="Q5" s="3035"/>
      <c r="R5" s="3035"/>
      <c r="S5" s="3035"/>
      <c r="T5" s="3036" t="s">
        <v>7</v>
      </c>
      <c r="U5" s="3037"/>
      <c r="V5" s="3036" t="s">
        <v>8</v>
      </c>
      <c r="W5" s="3037"/>
      <c r="X5" s="3036" t="s">
        <v>9</v>
      </c>
      <c r="Y5" s="3037"/>
      <c r="Z5" s="3033"/>
      <c r="AB5" s="3038" t="s">
        <v>11</v>
      </c>
      <c r="AC5" s="3038" t="s">
        <v>12</v>
      </c>
    </row>
    <row r="6" spans="1:29" x14ac:dyDescent="0.25">
      <c r="A6" s="449"/>
      <c r="B6" s="3030"/>
      <c r="C6" s="837" t="s">
        <v>13</v>
      </c>
      <c r="D6" s="694" t="s">
        <v>14</v>
      </c>
      <c r="E6" s="694" t="s">
        <v>15</v>
      </c>
      <c r="F6" s="837" t="s">
        <v>16</v>
      </c>
      <c r="G6" s="837" t="s">
        <v>17</v>
      </c>
      <c r="H6" s="837" t="s">
        <v>13</v>
      </c>
      <c r="I6" s="837" t="s">
        <v>14</v>
      </c>
      <c r="J6" s="837" t="s">
        <v>13</v>
      </c>
      <c r="K6" s="837" t="s">
        <v>14</v>
      </c>
      <c r="L6" s="837" t="s">
        <v>13</v>
      </c>
      <c r="M6" s="837" t="s">
        <v>14</v>
      </c>
      <c r="N6" s="3033"/>
      <c r="O6" s="837" t="s">
        <v>13</v>
      </c>
      <c r="P6" s="837" t="s">
        <v>14</v>
      </c>
      <c r="Q6" s="694" t="s">
        <v>15</v>
      </c>
      <c r="R6" s="837" t="s">
        <v>16</v>
      </c>
      <c r="S6" s="837" t="s">
        <v>17</v>
      </c>
      <c r="T6" s="837" t="s">
        <v>13</v>
      </c>
      <c r="U6" s="837" t="s">
        <v>14</v>
      </c>
      <c r="V6" s="837" t="s">
        <v>13</v>
      </c>
      <c r="W6" s="837" t="s">
        <v>14</v>
      </c>
      <c r="X6" s="837" t="s">
        <v>13</v>
      </c>
      <c r="Y6" s="837" t="s">
        <v>14</v>
      </c>
      <c r="Z6" s="3033"/>
      <c r="AB6" s="3038"/>
      <c r="AC6" s="3038"/>
    </row>
    <row r="7" spans="1:29" x14ac:dyDescent="0.25">
      <c r="A7" s="449"/>
      <c r="B7" s="837" t="s">
        <v>19</v>
      </c>
      <c r="C7" s="2268" t="s">
        <v>22</v>
      </c>
      <c r="D7" s="2269" t="s">
        <v>21</v>
      </c>
      <c r="E7" s="2269" t="s">
        <v>21</v>
      </c>
      <c r="F7" s="2268" t="s">
        <v>21</v>
      </c>
      <c r="G7" s="2268" t="s">
        <v>20</v>
      </c>
      <c r="H7" s="2268" t="s">
        <v>20</v>
      </c>
      <c r="I7" s="2268" t="s">
        <v>21</v>
      </c>
      <c r="J7" s="2268" t="s">
        <v>20</v>
      </c>
      <c r="K7" s="2268" t="s">
        <v>21</v>
      </c>
      <c r="L7" s="2268" t="s">
        <v>21</v>
      </c>
      <c r="M7" s="2268" t="s">
        <v>20</v>
      </c>
      <c r="N7" s="3034"/>
      <c r="O7" s="2268" t="s">
        <v>23</v>
      </c>
      <c r="P7" s="2268" t="s">
        <v>25</v>
      </c>
      <c r="Q7" s="2269" t="s">
        <v>25</v>
      </c>
      <c r="R7" s="2268" t="s">
        <v>25</v>
      </c>
      <c r="S7" s="2268" t="s">
        <v>24</v>
      </c>
      <c r="T7" s="2268" t="s">
        <v>23</v>
      </c>
      <c r="U7" s="2268" t="s">
        <v>23</v>
      </c>
      <c r="V7" s="2268" t="s">
        <v>25</v>
      </c>
      <c r="W7" s="2268" t="s">
        <v>25</v>
      </c>
      <c r="X7" s="2268" t="s">
        <v>24</v>
      </c>
      <c r="Y7" s="2268" t="s">
        <v>24</v>
      </c>
      <c r="Z7" s="3034"/>
      <c r="AB7" s="3038"/>
      <c r="AC7" s="3038"/>
    </row>
    <row r="8" spans="1:29" x14ac:dyDescent="0.25">
      <c r="A8" s="2268" t="s">
        <v>18</v>
      </c>
      <c r="B8" s="2268" t="s">
        <v>26</v>
      </c>
      <c r="C8" s="837">
        <v>2</v>
      </c>
      <c r="D8" s="837">
        <v>2</v>
      </c>
      <c r="E8" s="837">
        <v>2</v>
      </c>
      <c r="F8" s="837">
        <v>2</v>
      </c>
      <c r="G8" s="837">
        <v>2</v>
      </c>
      <c r="H8" s="837">
        <v>5</v>
      </c>
      <c r="I8" s="837">
        <v>5</v>
      </c>
      <c r="J8" s="837">
        <v>5</v>
      </c>
      <c r="K8" s="837">
        <v>5</v>
      </c>
      <c r="L8" s="837">
        <v>5</v>
      </c>
      <c r="M8" s="837">
        <v>5</v>
      </c>
      <c r="N8" s="837"/>
      <c r="O8" s="837">
        <v>2</v>
      </c>
      <c r="P8" s="837">
        <v>2</v>
      </c>
      <c r="Q8" s="837">
        <v>2</v>
      </c>
      <c r="R8" s="837">
        <v>2</v>
      </c>
      <c r="S8" s="837">
        <v>2</v>
      </c>
      <c r="T8" s="837">
        <v>5</v>
      </c>
      <c r="U8" s="837">
        <v>5</v>
      </c>
      <c r="V8" s="837">
        <v>5</v>
      </c>
      <c r="W8" s="837">
        <v>5</v>
      </c>
      <c r="X8" s="837">
        <v>5</v>
      </c>
      <c r="Y8" s="837">
        <v>5</v>
      </c>
      <c r="Z8" s="837"/>
      <c r="AB8" s="449"/>
      <c r="AC8" s="449"/>
    </row>
    <row r="9" spans="1:29" x14ac:dyDescent="0.25">
      <c r="A9" s="837">
        <v>1</v>
      </c>
      <c r="B9" s="2307">
        <v>5191421001</v>
      </c>
      <c r="C9" s="837">
        <v>2</v>
      </c>
      <c r="D9" s="694">
        <v>2</v>
      </c>
      <c r="E9" s="694">
        <v>2</v>
      </c>
      <c r="F9" s="837">
        <v>2</v>
      </c>
      <c r="G9" s="837">
        <v>2</v>
      </c>
      <c r="H9" s="837">
        <v>5</v>
      </c>
      <c r="I9" s="837">
        <v>5</v>
      </c>
      <c r="J9" s="837">
        <v>5</v>
      </c>
      <c r="K9" s="837">
        <v>5</v>
      </c>
      <c r="L9" s="837">
        <v>5</v>
      </c>
      <c r="M9" s="837">
        <v>5</v>
      </c>
      <c r="N9" s="837">
        <v>30</v>
      </c>
      <c r="O9" s="694">
        <v>2</v>
      </c>
      <c r="P9" s="694">
        <v>2</v>
      </c>
      <c r="Q9" s="694">
        <v>2</v>
      </c>
      <c r="R9" s="694">
        <v>2</v>
      </c>
      <c r="S9" s="837">
        <v>2</v>
      </c>
      <c r="T9" s="837"/>
      <c r="U9" s="837"/>
      <c r="V9" s="837">
        <v>1</v>
      </c>
      <c r="W9" s="837">
        <v>3</v>
      </c>
      <c r="X9" s="837">
        <v>1</v>
      </c>
      <c r="Y9" s="837">
        <v>4</v>
      </c>
      <c r="Z9" s="694">
        <f>Y9+X9+W9+V9+U9+T9+S9+R9+Q9+P9+O9</f>
        <v>19</v>
      </c>
      <c r="AB9" s="580" t="s">
        <v>27</v>
      </c>
      <c r="AC9" s="837">
        <f>IF(AB9="O",100,IF(AB9="A+",95,IF(AB9="A",90,IF(AB9="B+",85,IF(AB9="B",80,IF(AB9="C",70,IF(AB9="D",60,IF(AB9="E",50,IF(AB9="P",49,IF(AB9="F",39))))))))))</f>
        <v>90</v>
      </c>
    </row>
    <row r="10" spans="1:29" x14ac:dyDescent="0.25">
      <c r="A10" s="837">
        <v>2</v>
      </c>
      <c r="B10" s="2307">
        <v>5191421002</v>
      </c>
      <c r="C10" s="694">
        <v>2</v>
      </c>
      <c r="D10" s="694">
        <v>2</v>
      </c>
      <c r="E10" s="694">
        <v>2</v>
      </c>
      <c r="F10" s="694">
        <v>2</v>
      </c>
      <c r="G10" s="837">
        <v>2</v>
      </c>
      <c r="H10" s="837">
        <v>5</v>
      </c>
      <c r="I10" s="837">
        <v>5</v>
      </c>
      <c r="J10" s="837">
        <v>5</v>
      </c>
      <c r="K10" s="837">
        <v>5</v>
      </c>
      <c r="L10" s="837"/>
      <c r="M10" s="837"/>
      <c r="N10" s="694">
        <f>M10+L10+K10+J10+I10+H10+G10+F10+E10+D10+C10</f>
        <v>30</v>
      </c>
      <c r="O10" s="694">
        <v>2</v>
      </c>
      <c r="P10" s="694">
        <v>2</v>
      </c>
      <c r="Q10" s="694">
        <v>2</v>
      </c>
      <c r="R10" s="694">
        <v>2</v>
      </c>
      <c r="S10" s="837">
        <v>2</v>
      </c>
      <c r="T10" s="2308"/>
      <c r="U10" s="2308"/>
      <c r="V10" s="2308">
        <v>5</v>
      </c>
      <c r="W10" s="2308">
        <v>5</v>
      </c>
      <c r="X10" s="2308">
        <v>4</v>
      </c>
      <c r="Y10" s="2308">
        <v>5</v>
      </c>
      <c r="Z10" s="694">
        <f t="shared" ref="Z10:Z51" si="0">Y10+X10+W10+V10+U10+T10+S10+R10+Q10+P10+O10</f>
        <v>29</v>
      </c>
      <c r="AB10" s="580" t="s">
        <v>82</v>
      </c>
      <c r="AC10" s="837">
        <f t="shared" ref="AC10:AC57" si="1">IF(AB10="O",100,IF(AB10="A+",95,IF(AB10="A",90,IF(AB10="B+",85,IF(AB10="B",80,IF(AB10="C",70,IF(AB10="D",60,IF(AB10="E",50,IF(AB10="P",49,IF(AB10="F",39))))))))))</f>
        <v>100</v>
      </c>
    </row>
    <row r="11" spans="1:29" x14ac:dyDescent="0.25">
      <c r="A11" s="837">
        <v>3</v>
      </c>
      <c r="B11" s="2307">
        <v>5191421003</v>
      </c>
      <c r="C11" s="694">
        <v>2</v>
      </c>
      <c r="D11" s="694">
        <v>2</v>
      </c>
      <c r="E11" s="694">
        <v>2</v>
      </c>
      <c r="F11" s="694">
        <v>2</v>
      </c>
      <c r="G11" s="837">
        <v>2</v>
      </c>
      <c r="H11" s="837">
        <v>5</v>
      </c>
      <c r="I11" s="837">
        <v>5</v>
      </c>
      <c r="J11" s="837"/>
      <c r="K11" s="837"/>
      <c r="L11" s="837">
        <v>5</v>
      </c>
      <c r="M11" s="837">
        <v>5</v>
      </c>
      <c r="N11" s="694">
        <f t="shared" ref="N11:N57" si="2">M11+L11+K11+J11+I11+H11+G11+F11+E11+D11+C11</f>
        <v>30</v>
      </c>
      <c r="O11" s="694">
        <v>2</v>
      </c>
      <c r="P11" s="694">
        <v>2</v>
      </c>
      <c r="Q11" s="694">
        <v>2</v>
      </c>
      <c r="R11" s="694">
        <v>2</v>
      </c>
      <c r="S11" s="837">
        <v>1</v>
      </c>
      <c r="T11" s="837"/>
      <c r="U11" s="837"/>
      <c r="V11" s="837">
        <v>5</v>
      </c>
      <c r="W11" s="837">
        <v>5</v>
      </c>
      <c r="X11" s="837">
        <v>5</v>
      </c>
      <c r="Y11" s="837"/>
      <c r="Z11" s="694">
        <f t="shared" si="0"/>
        <v>24</v>
      </c>
      <c r="AB11" s="580" t="s">
        <v>27</v>
      </c>
      <c r="AC11" s="837">
        <f t="shared" si="1"/>
        <v>90</v>
      </c>
    </row>
    <row r="12" spans="1:29" x14ac:dyDescent="0.25">
      <c r="A12" s="837">
        <v>4</v>
      </c>
      <c r="B12" s="2307">
        <v>5191421004</v>
      </c>
      <c r="C12" s="694">
        <v>2</v>
      </c>
      <c r="D12" s="694">
        <v>2</v>
      </c>
      <c r="E12" s="694">
        <v>2</v>
      </c>
      <c r="F12" s="694">
        <v>2</v>
      </c>
      <c r="G12" s="837">
        <v>2</v>
      </c>
      <c r="H12" s="837">
        <v>5</v>
      </c>
      <c r="I12" s="837">
        <v>5</v>
      </c>
      <c r="J12" s="837"/>
      <c r="K12" s="837"/>
      <c r="L12" s="837">
        <v>5</v>
      </c>
      <c r="M12" s="837">
        <v>5</v>
      </c>
      <c r="N12" s="694">
        <f t="shared" si="2"/>
        <v>30</v>
      </c>
      <c r="O12" s="694">
        <v>2</v>
      </c>
      <c r="P12" s="2309">
        <v>2</v>
      </c>
      <c r="Q12" s="694">
        <v>2</v>
      </c>
      <c r="R12" s="694">
        <v>2</v>
      </c>
      <c r="S12" s="837">
        <v>2</v>
      </c>
      <c r="T12" s="837">
        <v>5</v>
      </c>
      <c r="U12" s="837">
        <v>5</v>
      </c>
      <c r="V12" s="837">
        <v>5</v>
      </c>
      <c r="W12" s="837">
        <v>5</v>
      </c>
      <c r="X12" s="837"/>
      <c r="Y12" s="837"/>
      <c r="Z12" s="694">
        <f t="shared" si="0"/>
        <v>30</v>
      </c>
      <c r="AB12" s="580" t="s">
        <v>30</v>
      </c>
      <c r="AC12" s="837">
        <f t="shared" si="1"/>
        <v>95</v>
      </c>
    </row>
    <row r="13" spans="1:29" x14ac:dyDescent="0.25">
      <c r="A13" s="837">
        <v>5</v>
      </c>
      <c r="B13" s="2307">
        <v>5191421005</v>
      </c>
      <c r="C13" s="694">
        <v>2</v>
      </c>
      <c r="D13" s="694">
        <v>2</v>
      </c>
      <c r="E13" s="694">
        <v>2</v>
      </c>
      <c r="F13" s="694">
        <v>2</v>
      </c>
      <c r="G13" s="837">
        <v>2</v>
      </c>
      <c r="H13" s="837">
        <v>5</v>
      </c>
      <c r="I13" s="837">
        <v>3</v>
      </c>
      <c r="J13" s="837"/>
      <c r="K13" s="837"/>
      <c r="L13" s="837">
        <v>5</v>
      </c>
      <c r="M13" s="837">
        <v>5</v>
      </c>
      <c r="N13" s="694">
        <f t="shared" si="2"/>
        <v>28</v>
      </c>
      <c r="O13" s="694">
        <v>2</v>
      </c>
      <c r="P13" s="694">
        <v>2</v>
      </c>
      <c r="Q13" s="694">
        <v>2</v>
      </c>
      <c r="R13" s="694">
        <v>2</v>
      </c>
      <c r="S13" s="837">
        <v>2</v>
      </c>
      <c r="T13" s="837"/>
      <c r="U13" s="837"/>
      <c r="V13" s="837"/>
      <c r="W13" s="837">
        <v>5</v>
      </c>
      <c r="X13" s="837">
        <v>4</v>
      </c>
      <c r="Y13" s="837">
        <v>4</v>
      </c>
      <c r="Z13" s="694">
        <f t="shared" si="0"/>
        <v>23</v>
      </c>
      <c r="AB13" s="580" t="s">
        <v>27</v>
      </c>
      <c r="AC13" s="837">
        <f t="shared" si="1"/>
        <v>90</v>
      </c>
    </row>
    <row r="14" spans="1:29" x14ac:dyDescent="0.25">
      <c r="A14" s="837">
        <v>6</v>
      </c>
      <c r="B14" s="2307">
        <v>5191421006</v>
      </c>
      <c r="C14" s="694">
        <v>1</v>
      </c>
      <c r="D14" s="694">
        <v>0</v>
      </c>
      <c r="E14" s="694">
        <v>1</v>
      </c>
      <c r="F14" s="694">
        <v>2</v>
      </c>
      <c r="G14" s="837">
        <v>2</v>
      </c>
      <c r="H14" s="837">
        <v>5</v>
      </c>
      <c r="I14" s="837">
        <v>2</v>
      </c>
      <c r="J14" s="837">
        <v>5</v>
      </c>
      <c r="K14" s="837">
        <v>5</v>
      </c>
      <c r="L14" s="837"/>
      <c r="M14" s="837"/>
      <c r="N14" s="694">
        <f t="shared" si="2"/>
        <v>23</v>
      </c>
      <c r="O14" s="694">
        <v>2</v>
      </c>
      <c r="P14" s="694">
        <v>2</v>
      </c>
      <c r="Q14" s="694">
        <v>2</v>
      </c>
      <c r="R14" s="694">
        <v>2</v>
      </c>
      <c r="S14" s="837">
        <v>0</v>
      </c>
      <c r="T14" s="837">
        <v>5</v>
      </c>
      <c r="U14" s="837"/>
      <c r="V14" s="837"/>
      <c r="W14" s="837"/>
      <c r="X14" s="837">
        <v>4</v>
      </c>
      <c r="Y14" s="837">
        <v>3</v>
      </c>
      <c r="Z14" s="694">
        <f t="shared" si="0"/>
        <v>20</v>
      </c>
      <c r="AB14" s="580" t="s">
        <v>33</v>
      </c>
      <c r="AC14" s="837">
        <f t="shared" si="1"/>
        <v>80</v>
      </c>
    </row>
    <row r="15" spans="1:29" x14ac:dyDescent="0.25">
      <c r="A15" s="837">
        <v>7</v>
      </c>
      <c r="B15" s="2307">
        <v>5191421007</v>
      </c>
      <c r="C15" s="694">
        <v>1</v>
      </c>
      <c r="D15" s="694">
        <v>2</v>
      </c>
      <c r="E15" s="694">
        <v>1</v>
      </c>
      <c r="F15" s="694">
        <v>2</v>
      </c>
      <c r="G15" s="837">
        <v>2</v>
      </c>
      <c r="H15" s="837">
        <v>5</v>
      </c>
      <c r="I15" s="837">
        <v>2</v>
      </c>
      <c r="J15" s="837"/>
      <c r="K15" s="837"/>
      <c r="L15" s="837"/>
      <c r="M15" s="837"/>
      <c r="N15" s="694">
        <f t="shared" si="2"/>
        <v>15</v>
      </c>
      <c r="O15" s="694"/>
      <c r="P15" s="694">
        <v>2</v>
      </c>
      <c r="Q15" s="694"/>
      <c r="R15" s="694">
        <v>2</v>
      </c>
      <c r="S15" s="837"/>
      <c r="T15" s="837"/>
      <c r="U15" s="837"/>
      <c r="V15" s="837"/>
      <c r="W15" s="837">
        <v>5</v>
      </c>
      <c r="X15" s="837"/>
      <c r="Y15" s="837">
        <v>3</v>
      </c>
      <c r="Z15" s="694">
        <f t="shared" si="0"/>
        <v>12</v>
      </c>
      <c r="AB15" s="580" t="s">
        <v>33</v>
      </c>
      <c r="AC15" s="837">
        <f t="shared" si="1"/>
        <v>80</v>
      </c>
    </row>
    <row r="16" spans="1:29" x14ac:dyDescent="0.25">
      <c r="A16" s="837">
        <v>8</v>
      </c>
      <c r="B16" s="2307">
        <v>5191421008</v>
      </c>
      <c r="C16" s="694">
        <v>2</v>
      </c>
      <c r="D16" s="694">
        <v>2</v>
      </c>
      <c r="E16" s="694">
        <v>2</v>
      </c>
      <c r="F16" s="694">
        <v>2</v>
      </c>
      <c r="G16" s="837">
        <v>2</v>
      </c>
      <c r="H16" s="837">
        <v>5</v>
      </c>
      <c r="I16" s="837">
        <v>5</v>
      </c>
      <c r="J16" s="837">
        <v>5</v>
      </c>
      <c r="K16" s="837">
        <v>5</v>
      </c>
      <c r="L16" s="837"/>
      <c r="M16" s="837"/>
      <c r="N16" s="694">
        <f t="shared" si="2"/>
        <v>30</v>
      </c>
      <c r="O16" s="694">
        <v>2</v>
      </c>
      <c r="P16" s="694">
        <v>2</v>
      </c>
      <c r="Q16" s="694">
        <v>2</v>
      </c>
      <c r="R16" s="694">
        <v>2</v>
      </c>
      <c r="S16" s="837">
        <v>2</v>
      </c>
      <c r="T16" s="837"/>
      <c r="U16" s="837"/>
      <c r="V16" s="837">
        <v>5</v>
      </c>
      <c r="W16" s="837">
        <v>5</v>
      </c>
      <c r="X16" s="837">
        <v>5</v>
      </c>
      <c r="Y16" s="837">
        <v>5</v>
      </c>
      <c r="Z16" s="694">
        <f t="shared" si="0"/>
        <v>30</v>
      </c>
      <c r="AB16" s="580" t="s">
        <v>82</v>
      </c>
      <c r="AC16" s="837">
        <f t="shared" si="1"/>
        <v>100</v>
      </c>
    </row>
    <row r="17" spans="1:29" x14ac:dyDescent="0.25">
      <c r="A17" s="837">
        <v>9</v>
      </c>
      <c r="B17" s="2307">
        <v>5191421009</v>
      </c>
      <c r="C17" s="694">
        <v>2</v>
      </c>
      <c r="D17" s="694">
        <v>2</v>
      </c>
      <c r="E17" s="694">
        <v>1</v>
      </c>
      <c r="F17" s="694">
        <v>2</v>
      </c>
      <c r="G17" s="837">
        <v>2</v>
      </c>
      <c r="H17" s="837">
        <v>5</v>
      </c>
      <c r="I17" s="837">
        <v>4</v>
      </c>
      <c r="J17" s="837"/>
      <c r="K17" s="837"/>
      <c r="L17" s="837">
        <v>1</v>
      </c>
      <c r="M17" s="837">
        <v>4</v>
      </c>
      <c r="N17" s="694">
        <f t="shared" si="2"/>
        <v>23</v>
      </c>
      <c r="O17" s="694">
        <v>2</v>
      </c>
      <c r="P17" s="694">
        <v>2</v>
      </c>
      <c r="Q17" s="694">
        <v>2</v>
      </c>
      <c r="R17" s="694">
        <v>2</v>
      </c>
      <c r="S17" s="837">
        <v>2</v>
      </c>
      <c r="T17" s="837"/>
      <c r="U17" s="837"/>
      <c r="V17" s="837"/>
      <c r="W17" s="837">
        <v>5</v>
      </c>
      <c r="X17" s="837">
        <v>4</v>
      </c>
      <c r="Y17" s="837">
        <v>3</v>
      </c>
      <c r="Z17" s="694">
        <f t="shared" si="0"/>
        <v>22</v>
      </c>
      <c r="AB17" s="580" t="s">
        <v>27</v>
      </c>
      <c r="AC17" s="837">
        <f t="shared" si="1"/>
        <v>90</v>
      </c>
    </row>
    <row r="18" spans="1:29" x14ac:dyDescent="0.25">
      <c r="A18" s="837">
        <v>10</v>
      </c>
      <c r="B18" s="2307">
        <v>5191421010</v>
      </c>
      <c r="C18" s="694">
        <v>1</v>
      </c>
      <c r="D18" s="694">
        <v>1</v>
      </c>
      <c r="E18" s="694">
        <v>2</v>
      </c>
      <c r="F18" s="694">
        <v>2</v>
      </c>
      <c r="G18" s="837">
        <v>2</v>
      </c>
      <c r="H18" s="837">
        <v>5</v>
      </c>
      <c r="I18" s="837">
        <v>2</v>
      </c>
      <c r="J18" s="837"/>
      <c r="K18" s="837"/>
      <c r="L18" s="837">
        <v>4</v>
      </c>
      <c r="M18" s="837"/>
      <c r="N18" s="694">
        <f t="shared" si="2"/>
        <v>19</v>
      </c>
      <c r="O18" s="694">
        <v>2</v>
      </c>
      <c r="P18" s="694">
        <v>2</v>
      </c>
      <c r="Q18" s="694">
        <v>2</v>
      </c>
      <c r="R18" s="694">
        <v>2</v>
      </c>
      <c r="S18" s="837">
        <v>2</v>
      </c>
      <c r="T18" s="837"/>
      <c r="U18" s="837"/>
      <c r="V18" s="837">
        <v>2</v>
      </c>
      <c r="W18" s="837">
        <v>3</v>
      </c>
      <c r="X18" s="837">
        <v>5</v>
      </c>
      <c r="Y18" s="837"/>
      <c r="Z18" s="694">
        <f t="shared" si="0"/>
        <v>20</v>
      </c>
      <c r="AB18" s="580" t="s">
        <v>33</v>
      </c>
      <c r="AC18" s="837">
        <f t="shared" si="1"/>
        <v>80</v>
      </c>
    </row>
    <row r="19" spans="1:29" x14ac:dyDescent="0.25">
      <c r="A19" s="837">
        <v>11</v>
      </c>
      <c r="B19" s="2307">
        <v>5191421011</v>
      </c>
      <c r="C19" s="694">
        <v>1</v>
      </c>
      <c r="D19" s="694">
        <v>2</v>
      </c>
      <c r="E19" s="694">
        <v>2</v>
      </c>
      <c r="F19" s="694">
        <v>2</v>
      </c>
      <c r="G19" s="837">
        <v>2</v>
      </c>
      <c r="H19" s="837">
        <v>1</v>
      </c>
      <c r="I19" s="837"/>
      <c r="J19" s="837"/>
      <c r="K19" s="837"/>
      <c r="L19" s="837"/>
      <c r="M19" s="837"/>
      <c r="N19" s="694">
        <f t="shared" si="2"/>
        <v>10</v>
      </c>
      <c r="O19" s="694"/>
      <c r="P19" s="694">
        <v>2</v>
      </c>
      <c r="Q19" s="694"/>
      <c r="R19" s="694">
        <v>2</v>
      </c>
      <c r="S19" s="837"/>
      <c r="T19" s="837"/>
      <c r="U19" s="837"/>
      <c r="V19" s="837">
        <v>4</v>
      </c>
      <c r="W19" s="837">
        <v>4</v>
      </c>
      <c r="X19" s="837"/>
      <c r="Y19" s="837"/>
      <c r="Z19" s="694">
        <f t="shared" si="0"/>
        <v>12</v>
      </c>
      <c r="AB19" s="580" t="s">
        <v>27</v>
      </c>
      <c r="AC19" s="837">
        <f t="shared" si="1"/>
        <v>90</v>
      </c>
    </row>
    <row r="20" spans="1:29" x14ac:dyDescent="0.25">
      <c r="A20" s="837">
        <v>12</v>
      </c>
      <c r="B20" s="2307">
        <v>5191421012</v>
      </c>
      <c r="C20" s="694">
        <v>0</v>
      </c>
      <c r="D20" s="694">
        <v>1</v>
      </c>
      <c r="E20" s="694">
        <v>1</v>
      </c>
      <c r="F20" s="694">
        <v>2</v>
      </c>
      <c r="G20" s="837">
        <v>2</v>
      </c>
      <c r="H20" s="837">
        <v>5</v>
      </c>
      <c r="I20" s="837">
        <v>5</v>
      </c>
      <c r="J20" s="837">
        <v>5</v>
      </c>
      <c r="K20" s="837"/>
      <c r="L20" s="837"/>
      <c r="M20" s="837"/>
      <c r="N20" s="694">
        <f t="shared" si="2"/>
        <v>21</v>
      </c>
      <c r="O20" s="694"/>
      <c r="P20" s="694">
        <v>1</v>
      </c>
      <c r="Q20" s="694"/>
      <c r="R20" s="694">
        <v>1</v>
      </c>
      <c r="S20" s="837">
        <v>1</v>
      </c>
      <c r="T20" s="837">
        <v>5</v>
      </c>
      <c r="U20" s="837"/>
      <c r="V20" s="837"/>
      <c r="W20" s="837">
        <v>2</v>
      </c>
      <c r="X20" s="837"/>
      <c r="Y20" s="837"/>
      <c r="Z20" s="694">
        <f t="shared" si="0"/>
        <v>10</v>
      </c>
      <c r="AB20" s="580" t="s">
        <v>33</v>
      </c>
      <c r="AC20" s="837">
        <f t="shared" si="1"/>
        <v>80</v>
      </c>
    </row>
    <row r="21" spans="1:29" x14ac:dyDescent="0.25">
      <c r="A21" s="837">
        <v>13</v>
      </c>
      <c r="B21" s="2307">
        <v>5191421013</v>
      </c>
      <c r="C21" s="694">
        <v>1</v>
      </c>
      <c r="D21" s="694">
        <v>0</v>
      </c>
      <c r="E21" s="694">
        <v>0</v>
      </c>
      <c r="F21" s="694"/>
      <c r="G21" s="837">
        <v>2</v>
      </c>
      <c r="H21" s="837">
        <v>5</v>
      </c>
      <c r="I21" s="837"/>
      <c r="J21" s="837">
        <v>4</v>
      </c>
      <c r="K21" s="837">
        <v>5</v>
      </c>
      <c r="L21" s="837"/>
      <c r="M21" s="837"/>
      <c r="N21" s="694">
        <f t="shared" si="2"/>
        <v>17</v>
      </c>
      <c r="O21" s="694"/>
      <c r="P21" s="694">
        <v>2</v>
      </c>
      <c r="Q21" s="694">
        <v>2</v>
      </c>
      <c r="R21" s="694">
        <v>2</v>
      </c>
      <c r="S21" s="837">
        <v>2</v>
      </c>
      <c r="T21" s="837">
        <v>4</v>
      </c>
      <c r="U21" s="837"/>
      <c r="V21" s="837"/>
      <c r="W21" s="837">
        <v>5</v>
      </c>
      <c r="X21" s="837"/>
      <c r="Y21" s="837"/>
      <c r="Z21" s="694">
        <f>Y21+X21+W21+V21+U21+T21+S21+R21+Q21+P21+O21</f>
        <v>17</v>
      </c>
      <c r="AB21" s="580" t="s">
        <v>27</v>
      </c>
      <c r="AC21" s="837">
        <f t="shared" si="1"/>
        <v>90</v>
      </c>
    </row>
    <row r="22" spans="1:29" x14ac:dyDescent="0.25">
      <c r="A22" s="837">
        <v>14</v>
      </c>
      <c r="B22" s="2307">
        <v>5191421014</v>
      </c>
      <c r="C22" s="694">
        <v>1</v>
      </c>
      <c r="D22" s="694">
        <v>1</v>
      </c>
      <c r="E22" s="694">
        <v>1</v>
      </c>
      <c r="F22" s="694">
        <v>2</v>
      </c>
      <c r="G22" s="837">
        <v>2</v>
      </c>
      <c r="H22" s="837">
        <v>4</v>
      </c>
      <c r="I22" s="837">
        <v>3</v>
      </c>
      <c r="J22" s="837">
        <v>4</v>
      </c>
      <c r="K22" s="837"/>
      <c r="L22" s="837"/>
      <c r="M22" s="837"/>
      <c r="N22" s="694">
        <f t="shared" si="2"/>
        <v>18</v>
      </c>
      <c r="O22" s="694">
        <v>2</v>
      </c>
      <c r="P22" s="694">
        <v>2</v>
      </c>
      <c r="Q22" s="694">
        <v>2</v>
      </c>
      <c r="R22" s="694">
        <v>2</v>
      </c>
      <c r="S22" s="837">
        <v>2</v>
      </c>
      <c r="T22" s="837"/>
      <c r="U22" s="837"/>
      <c r="V22" s="837">
        <v>5</v>
      </c>
      <c r="W22" s="837">
        <v>5</v>
      </c>
      <c r="X22" s="837">
        <v>5</v>
      </c>
      <c r="Y22" s="837">
        <v>5</v>
      </c>
      <c r="Z22" s="694">
        <f t="shared" si="0"/>
        <v>30</v>
      </c>
      <c r="AB22" s="580" t="s">
        <v>32</v>
      </c>
      <c r="AC22" s="837">
        <f t="shared" si="1"/>
        <v>85</v>
      </c>
    </row>
    <row r="23" spans="1:29" x14ac:dyDescent="0.25">
      <c r="A23" s="837">
        <v>15</v>
      </c>
      <c r="B23" s="2307">
        <v>5191421015</v>
      </c>
      <c r="C23" s="694">
        <v>1</v>
      </c>
      <c r="D23" s="694">
        <v>1</v>
      </c>
      <c r="E23" s="694">
        <v>1</v>
      </c>
      <c r="F23" s="694">
        <v>2</v>
      </c>
      <c r="G23" s="837">
        <v>2</v>
      </c>
      <c r="H23" s="837">
        <v>4</v>
      </c>
      <c r="I23" s="837"/>
      <c r="J23" s="837"/>
      <c r="K23" s="837"/>
      <c r="L23" s="837"/>
      <c r="M23" s="837"/>
      <c r="N23" s="694">
        <f t="shared" si="2"/>
        <v>11</v>
      </c>
      <c r="O23" s="694">
        <v>2</v>
      </c>
      <c r="P23" s="694">
        <v>2</v>
      </c>
      <c r="Q23" s="694">
        <v>2</v>
      </c>
      <c r="R23" s="694"/>
      <c r="S23" s="837"/>
      <c r="T23" s="2308"/>
      <c r="U23" s="2308"/>
      <c r="V23" s="2308"/>
      <c r="W23" s="2308"/>
      <c r="X23" s="2308"/>
      <c r="Y23" s="2308"/>
      <c r="Z23" s="694">
        <f t="shared" si="0"/>
        <v>6</v>
      </c>
      <c r="AB23" s="580" t="s">
        <v>27</v>
      </c>
      <c r="AC23" s="837">
        <f t="shared" si="1"/>
        <v>90</v>
      </c>
    </row>
    <row r="24" spans="1:29" x14ac:dyDescent="0.25">
      <c r="A24" s="837">
        <v>16</v>
      </c>
      <c r="B24" s="2307">
        <v>5191421016</v>
      </c>
      <c r="C24" s="694">
        <v>2</v>
      </c>
      <c r="D24" s="694">
        <v>1</v>
      </c>
      <c r="E24" s="694">
        <v>0</v>
      </c>
      <c r="F24" s="694"/>
      <c r="G24" s="837">
        <v>1</v>
      </c>
      <c r="H24" s="837">
        <v>5</v>
      </c>
      <c r="I24" s="837"/>
      <c r="J24" s="837"/>
      <c r="K24" s="837">
        <v>2</v>
      </c>
      <c r="L24" s="837"/>
      <c r="M24" s="837"/>
      <c r="N24" s="694">
        <f t="shared" si="2"/>
        <v>11</v>
      </c>
      <c r="O24" s="694">
        <v>2</v>
      </c>
      <c r="P24" s="694">
        <v>2</v>
      </c>
      <c r="Q24" s="694">
        <v>2</v>
      </c>
      <c r="R24" s="694"/>
      <c r="S24" s="837"/>
      <c r="T24" s="837"/>
      <c r="U24" s="837"/>
      <c r="V24" s="837"/>
      <c r="W24" s="837">
        <v>4</v>
      </c>
      <c r="X24" s="837"/>
      <c r="Y24" s="837">
        <v>2</v>
      </c>
      <c r="Z24" s="694">
        <f t="shared" si="0"/>
        <v>12</v>
      </c>
      <c r="AB24" s="580" t="s">
        <v>27</v>
      </c>
      <c r="AC24" s="837">
        <f t="shared" si="1"/>
        <v>90</v>
      </c>
    </row>
    <row r="25" spans="1:29" x14ac:dyDescent="0.25">
      <c r="A25" s="837">
        <v>17</v>
      </c>
      <c r="B25" s="2307">
        <v>5191421017</v>
      </c>
      <c r="C25" s="694">
        <v>2</v>
      </c>
      <c r="D25" s="694">
        <v>2</v>
      </c>
      <c r="E25" s="694">
        <v>2</v>
      </c>
      <c r="F25" s="694">
        <v>2</v>
      </c>
      <c r="G25" s="837">
        <v>2</v>
      </c>
      <c r="H25" s="837">
        <v>5</v>
      </c>
      <c r="I25" s="837">
        <v>5</v>
      </c>
      <c r="J25" s="837">
        <v>5</v>
      </c>
      <c r="K25" s="837">
        <v>5</v>
      </c>
      <c r="L25" s="837"/>
      <c r="M25" s="837"/>
      <c r="N25" s="694">
        <f t="shared" si="2"/>
        <v>30</v>
      </c>
      <c r="O25" s="694">
        <v>2</v>
      </c>
      <c r="P25" s="694">
        <v>2</v>
      </c>
      <c r="Q25" s="694">
        <v>2</v>
      </c>
      <c r="R25" s="694">
        <v>2</v>
      </c>
      <c r="S25" s="837">
        <v>2</v>
      </c>
      <c r="T25" s="837">
        <v>5</v>
      </c>
      <c r="U25" s="837"/>
      <c r="V25" s="837"/>
      <c r="W25" s="837"/>
      <c r="X25" s="837">
        <v>5</v>
      </c>
      <c r="Y25" s="837"/>
      <c r="Z25" s="694">
        <f t="shared" si="0"/>
        <v>20</v>
      </c>
      <c r="AB25" s="580" t="s">
        <v>33</v>
      </c>
      <c r="AC25" s="837">
        <f t="shared" si="1"/>
        <v>80</v>
      </c>
    </row>
    <row r="26" spans="1:29" x14ac:dyDescent="0.25">
      <c r="A26" s="837">
        <v>18</v>
      </c>
      <c r="B26" s="2307">
        <v>5191421018</v>
      </c>
      <c r="C26" s="694">
        <v>2</v>
      </c>
      <c r="D26" s="694">
        <v>2</v>
      </c>
      <c r="E26" s="694">
        <v>2</v>
      </c>
      <c r="F26" s="694">
        <v>2</v>
      </c>
      <c r="G26" s="837">
        <v>2</v>
      </c>
      <c r="H26" s="837">
        <v>5</v>
      </c>
      <c r="I26" s="837">
        <v>5</v>
      </c>
      <c r="J26" s="837">
        <v>5</v>
      </c>
      <c r="K26" s="837">
        <v>5</v>
      </c>
      <c r="L26" s="837"/>
      <c r="M26" s="837"/>
      <c r="N26" s="694">
        <f t="shared" si="2"/>
        <v>30</v>
      </c>
      <c r="O26" s="694">
        <v>2</v>
      </c>
      <c r="P26" s="694">
        <v>2</v>
      </c>
      <c r="Q26" s="694">
        <v>2</v>
      </c>
      <c r="R26" s="694">
        <v>2</v>
      </c>
      <c r="S26" s="837">
        <v>2</v>
      </c>
      <c r="T26" s="837"/>
      <c r="U26" s="837"/>
      <c r="V26" s="837">
        <v>5</v>
      </c>
      <c r="W26" s="837">
        <v>5</v>
      </c>
      <c r="X26" s="837">
        <v>5</v>
      </c>
      <c r="Y26" s="837">
        <v>5</v>
      </c>
      <c r="Z26" s="694">
        <f t="shared" si="0"/>
        <v>30</v>
      </c>
      <c r="AB26" s="580" t="s">
        <v>82</v>
      </c>
      <c r="AC26" s="837">
        <f t="shared" si="1"/>
        <v>100</v>
      </c>
    </row>
    <row r="27" spans="1:29" x14ac:dyDescent="0.25">
      <c r="A27" s="837">
        <v>19</v>
      </c>
      <c r="B27" s="2307">
        <v>5191421019</v>
      </c>
      <c r="C27" s="694">
        <v>1</v>
      </c>
      <c r="D27" s="694">
        <v>2</v>
      </c>
      <c r="E27" s="694">
        <v>2</v>
      </c>
      <c r="F27" s="837">
        <v>1</v>
      </c>
      <c r="G27" s="837">
        <v>2</v>
      </c>
      <c r="H27" s="837">
        <v>2</v>
      </c>
      <c r="I27" s="837">
        <v>1</v>
      </c>
      <c r="J27" s="837">
        <v>1</v>
      </c>
      <c r="K27" s="837">
        <v>0</v>
      </c>
      <c r="L27" s="837"/>
      <c r="M27" s="837"/>
      <c r="N27" s="694">
        <f t="shared" si="2"/>
        <v>12</v>
      </c>
      <c r="O27" s="694">
        <v>2</v>
      </c>
      <c r="P27" s="837">
        <v>2</v>
      </c>
      <c r="Q27" s="694">
        <v>2</v>
      </c>
      <c r="R27" s="837">
        <v>2</v>
      </c>
      <c r="S27" s="837">
        <v>1</v>
      </c>
      <c r="T27" s="837"/>
      <c r="U27" s="837"/>
      <c r="V27" s="837"/>
      <c r="W27" s="837">
        <v>4</v>
      </c>
      <c r="X27" s="837"/>
      <c r="Y27" s="837">
        <v>2</v>
      </c>
      <c r="Z27" s="694">
        <f t="shared" si="0"/>
        <v>15</v>
      </c>
      <c r="AB27" s="580" t="s">
        <v>27</v>
      </c>
      <c r="AC27" s="837">
        <f t="shared" si="1"/>
        <v>90</v>
      </c>
    </row>
    <row r="28" spans="1:29" x14ac:dyDescent="0.25">
      <c r="A28" s="837">
        <v>20</v>
      </c>
      <c r="B28" s="2307">
        <v>5191421020</v>
      </c>
      <c r="C28" s="837">
        <v>2</v>
      </c>
      <c r="D28" s="694">
        <v>2</v>
      </c>
      <c r="E28" s="694">
        <v>2</v>
      </c>
      <c r="F28" s="837">
        <v>2</v>
      </c>
      <c r="G28" s="837">
        <v>2</v>
      </c>
      <c r="H28" s="837"/>
      <c r="I28" s="837">
        <v>2</v>
      </c>
      <c r="J28" s="837">
        <v>1</v>
      </c>
      <c r="K28" s="837"/>
      <c r="L28" s="837"/>
      <c r="M28" s="837"/>
      <c r="N28" s="694">
        <f t="shared" si="2"/>
        <v>13</v>
      </c>
      <c r="O28" s="837">
        <v>2</v>
      </c>
      <c r="P28" s="837">
        <v>2</v>
      </c>
      <c r="Q28" s="694">
        <v>2</v>
      </c>
      <c r="R28" s="837">
        <v>2</v>
      </c>
      <c r="S28" s="837"/>
      <c r="T28" s="837"/>
      <c r="U28" s="837"/>
      <c r="V28" s="837"/>
      <c r="W28" s="837">
        <v>5</v>
      </c>
      <c r="X28" s="837"/>
      <c r="Y28" s="837">
        <v>5</v>
      </c>
      <c r="Z28" s="694">
        <f t="shared" si="0"/>
        <v>18</v>
      </c>
      <c r="AB28" s="580" t="s">
        <v>31</v>
      </c>
      <c r="AC28" s="837">
        <f t="shared" si="1"/>
        <v>70</v>
      </c>
    </row>
    <row r="29" spans="1:29" x14ac:dyDescent="0.25">
      <c r="A29" s="837">
        <v>21</v>
      </c>
      <c r="B29" s="2307">
        <v>5191421021</v>
      </c>
      <c r="C29" s="837">
        <v>2</v>
      </c>
      <c r="D29" s="694">
        <v>2</v>
      </c>
      <c r="E29" s="694">
        <v>1</v>
      </c>
      <c r="F29" s="837">
        <v>2</v>
      </c>
      <c r="G29" s="837">
        <v>2</v>
      </c>
      <c r="H29" s="837">
        <v>3</v>
      </c>
      <c r="I29" s="837">
        <v>5</v>
      </c>
      <c r="J29" s="837"/>
      <c r="K29" s="837"/>
      <c r="L29" s="837">
        <v>1</v>
      </c>
      <c r="M29" s="837"/>
      <c r="N29" s="694">
        <f t="shared" si="2"/>
        <v>18</v>
      </c>
      <c r="O29" s="837">
        <v>2</v>
      </c>
      <c r="P29" s="837">
        <v>2</v>
      </c>
      <c r="Q29" s="694">
        <v>2</v>
      </c>
      <c r="R29" s="837">
        <v>2</v>
      </c>
      <c r="S29" s="837">
        <v>2</v>
      </c>
      <c r="T29" s="837"/>
      <c r="U29" s="837"/>
      <c r="V29" s="837">
        <v>2</v>
      </c>
      <c r="W29" s="837">
        <v>5</v>
      </c>
      <c r="X29" s="837"/>
      <c r="Y29" s="837">
        <v>5</v>
      </c>
      <c r="Z29" s="694">
        <f t="shared" si="0"/>
        <v>22</v>
      </c>
      <c r="AB29" s="580" t="s">
        <v>31</v>
      </c>
      <c r="AC29" s="837">
        <f t="shared" si="1"/>
        <v>70</v>
      </c>
    </row>
    <row r="30" spans="1:29" x14ac:dyDescent="0.25">
      <c r="A30" s="837">
        <v>22</v>
      </c>
      <c r="B30" s="2307">
        <v>5191421022</v>
      </c>
      <c r="C30" s="694">
        <v>2</v>
      </c>
      <c r="D30" s="694">
        <v>1</v>
      </c>
      <c r="E30" s="694">
        <v>2</v>
      </c>
      <c r="F30" s="837">
        <v>2</v>
      </c>
      <c r="G30" s="837">
        <v>0</v>
      </c>
      <c r="H30" s="837">
        <v>5</v>
      </c>
      <c r="I30" s="837">
        <v>5</v>
      </c>
      <c r="J30" s="837"/>
      <c r="K30" s="837"/>
      <c r="L30" s="837">
        <v>5</v>
      </c>
      <c r="M30" s="837">
        <v>5</v>
      </c>
      <c r="N30" s="694">
        <f t="shared" si="2"/>
        <v>27</v>
      </c>
      <c r="O30" s="694">
        <v>1</v>
      </c>
      <c r="P30" s="837">
        <v>2</v>
      </c>
      <c r="Q30" s="694"/>
      <c r="R30" s="837">
        <v>2</v>
      </c>
      <c r="S30" s="837"/>
      <c r="T30" s="837">
        <v>4</v>
      </c>
      <c r="U30" s="837"/>
      <c r="V30" s="837"/>
      <c r="W30" s="837"/>
      <c r="X30" s="837"/>
      <c r="Y30" s="837">
        <v>3</v>
      </c>
      <c r="Z30" s="694">
        <f t="shared" si="0"/>
        <v>12</v>
      </c>
      <c r="AB30" s="580" t="s">
        <v>32</v>
      </c>
      <c r="AC30" s="837">
        <f t="shared" si="1"/>
        <v>85</v>
      </c>
    </row>
    <row r="31" spans="1:29" x14ac:dyDescent="0.25">
      <c r="A31" s="837">
        <v>23</v>
      </c>
      <c r="B31" s="2307">
        <v>5191421023</v>
      </c>
      <c r="C31" s="694">
        <v>1</v>
      </c>
      <c r="D31" s="694">
        <v>2</v>
      </c>
      <c r="E31" s="694"/>
      <c r="F31" s="837">
        <v>2</v>
      </c>
      <c r="G31" s="837">
        <v>2</v>
      </c>
      <c r="H31" s="837">
        <v>4</v>
      </c>
      <c r="I31" s="837">
        <v>4</v>
      </c>
      <c r="J31" s="837"/>
      <c r="K31" s="837"/>
      <c r="L31" s="837">
        <v>5</v>
      </c>
      <c r="M31" s="837">
        <v>5</v>
      </c>
      <c r="N31" s="694">
        <f t="shared" si="2"/>
        <v>25</v>
      </c>
      <c r="O31" s="694">
        <v>2</v>
      </c>
      <c r="P31" s="837">
        <v>2</v>
      </c>
      <c r="Q31" s="694"/>
      <c r="R31" s="837">
        <v>2</v>
      </c>
      <c r="S31" s="837">
        <v>2</v>
      </c>
      <c r="T31" s="837">
        <v>3</v>
      </c>
      <c r="U31" s="837"/>
      <c r="V31" s="837"/>
      <c r="W31" s="837"/>
      <c r="X31" s="837"/>
      <c r="Y31" s="837">
        <v>4</v>
      </c>
      <c r="Z31" s="694">
        <f t="shared" si="0"/>
        <v>15</v>
      </c>
      <c r="AB31" s="580" t="s">
        <v>32</v>
      </c>
      <c r="AC31" s="837">
        <f t="shared" si="1"/>
        <v>85</v>
      </c>
    </row>
    <row r="32" spans="1:29" x14ac:dyDescent="0.25">
      <c r="A32" s="837">
        <v>24</v>
      </c>
      <c r="B32" s="2307">
        <v>5191421024</v>
      </c>
      <c r="C32" s="694">
        <v>1</v>
      </c>
      <c r="D32" s="694">
        <v>2</v>
      </c>
      <c r="E32" s="694">
        <v>1</v>
      </c>
      <c r="F32" s="837">
        <v>2</v>
      </c>
      <c r="G32" s="837">
        <v>1</v>
      </c>
      <c r="H32" s="2308">
        <v>4</v>
      </c>
      <c r="I32" s="2308">
        <v>5</v>
      </c>
      <c r="J32" s="2308">
        <v>1</v>
      </c>
      <c r="K32" s="2308">
        <v>4</v>
      </c>
      <c r="L32" s="2308"/>
      <c r="M32" s="2308"/>
      <c r="N32" s="694">
        <f t="shared" si="2"/>
        <v>21</v>
      </c>
      <c r="O32" s="694">
        <v>2</v>
      </c>
      <c r="P32" s="837">
        <v>2</v>
      </c>
      <c r="Q32" s="694">
        <v>1</v>
      </c>
      <c r="R32" s="837">
        <v>0</v>
      </c>
      <c r="S32" s="837">
        <v>1</v>
      </c>
      <c r="T32" s="2308"/>
      <c r="U32" s="2308"/>
      <c r="V32" s="2308">
        <v>2</v>
      </c>
      <c r="W32" s="2308">
        <v>4</v>
      </c>
      <c r="X32" s="2308"/>
      <c r="Y32" s="2308">
        <v>5</v>
      </c>
      <c r="Z32" s="694">
        <f>Y32+X32+W32+V32+U32+T32+S32+R32+Q32+P32+O32</f>
        <v>17</v>
      </c>
      <c r="AB32" s="580" t="s">
        <v>27</v>
      </c>
      <c r="AC32" s="837">
        <f t="shared" si="1"/>
        <v>90</v>
      </c>
    </row>
    <row r="33" spans="1:29" x14ac:dyDescent="0.25">
      <c r="A33" s="837">
        <v>25</v>
      </c>
      <c r="B33" s="2307">
        <v>5191421025</v>
      </c>
      <c r="C33" s="694">
        <v>1</v>
      </c>
      <c r="D33" s="694">
        <v>1</v>
      </c>
      <c r="E33" s="694">
        <v>1</v>
      </c>
      <c r="F33" s="837">
        <v>2</v>
      </c>
      <c r="G33" s="837">
        <v>2</v>
      </c>
      <c r="H33" s="837">
        <v>5</v>
      </c>
      <c r="I33" s="837">
        <v>5</v>
      </c>
      <c r="J33" s="837">
        <v>5</v>
      </c>
      <c r="K33" s="837">
        <v>5</v>
      </c>
      <c r="L33" s="837"/>
      <c r="M33" s="837"/>
      <c r="N33" s="694">
        <f t="shared" si="2"/>
        <v>27</v>
      </c>
      <c r="O33" s="694">
        <v>2</v>
      </c>
      <c r="P33" s="837">
        <v>2</v>
      </c>
      <c r="Q33" s="694">
        <v>2</v>
      </c>
      <c r="R33" s="837">
        <v>2</v>
      </c>
      <c r="S33" s="837">
        <v>0</v>
      </c>
      <c r="T33" s="837">
        <v>5</v>
      </c>
      <c r="U33" s="837"/>
      <c r="V33" s="837"/>
      <c r="W33" s="837"/>
      <c r="X33" s="837">
        <v>5</v>
      </c>
      <c r="Y33" s="837">
        <v>4</v>
      </c>
      <c r="Z33" s="694">
        <f t="shared" si="0"/>
        <v>22</v>
      </c>
      <c r="AB33" s="580" t="s">
        <v>32</v>
      </c>
      <c r="AC33" s="837">
        <f t="shared" si="1"/>
        <v>85</v>
      </c>
    </row>
    <row r="34" spans="1:29" x14ac:dyDescent="0.25">
      <c r="A34" s="837">
        <v>26</v>
      </c>
      <c r="B34" s="2307">
        <v>5191421026</v>
      </c>
      <c r="C34" s="694">
        <v>1</v>
      </c>
      <c r="D34" s="694">
        <v>1</v>
      </c>
      <c r="E34" s="694">
        <v>1</v>
      </c>
      <c r="F34" s="837">
        <v>1</v>
      </c>
      <c r="G34" s="837">
        <v>1</v>
      </c>
      <c r="H34" s="837">
        <v>5</v>
      </c>
      <c r="I34" s="837">
        <v>5</v>
      </c>
      <c r="J34" s="837"/>
      <c r="K34" s="837"/>
      <c r="L34" s="837">
        <v>5</v>
      </c>
      <c r="M34" s="837">
        <v>5</v>
      </c>
      <c r="N34" s="694">
        <f t="shared" si="2"/>
        <v>25</v>
      </c>
      <c r="O34" s="694">
        <v>2</v>
      </c>
      <c r="P34" s="837">
        <v>2</v>
      </c>
      <c r="Q34" s="694">
        <v>2</v>
      </c>
      <c r="R34" s="837">
        <v>2</v>
      </c>
      <c r="S34" s="837">
        <v>2</v>
      </c>
      <c r="T34" s="837"/>
      <c r="U34" s="837"/>
      <c r="V34" s="837">
        <v>5</v>
      </c>
      <c r="W34" s="837">
        <v>5</v>
      </c>
      <c r="X34" s="837">
        <v>5</v>
      </c>
      <c r="Y34" s="837">
        <v>5</v>
      </c>
      <c r="Z34" s="694">
        <f t="shared" si="0"/>
        <v>30</v>
      </c>
      <c r="AB34" s="580" t="s">
        <v>27</v>
      </c>
      <c r="AC34" s="837">
        <f t="shared" si="1"/>
        <v>90</v>
      </c>
    </row>
    <row r="35" spans="1:29" x14ac:dyDescent="0.25">
      <c r="A35" s="837">
        <v>27</v>
      </c>
      <c r="B35" s="2307">
        <v>5191421027</v>
      </c>
      <c r="C35" s="694">
        <v>2</v>
      </c>
      <c r="D35" s="694">
        <v>2</v>
      </c>
      <c r="E35" s="694">
        <v>2</v>
      </c>
      <c r="F35" s="837">
        <v>2</v>
      </c>
      <c r="G35" s="837">
        <v>2</v>
      </c>
      <c r="H35" s="837">
        <v>5</v>
      </c>
      <c r="I35" s="837">
        <v>5</v>
      </c>
      <c r="J35" s="837">
        <v>4</v>
      </c>
      <c r="K35" s="837">
        <v>5</v>
      </c>
      <c r="L35" s="837"/>
      <c r="M35" s="837"/>
      <c r="N35" s="694">
        <f t="shared" si="2"/>
        <v>29</v>
      </c>
      <c r="O35" s="694">
        <v>2</v>
      </c>
      <c r="P35" s="837">
        <v>2</v>
      </c>
      <c r="Q35" s="694">
        <v>2</v>
      </c>
      <c r="R35" s="837">
        <v>2</v>
      </c>
      <c r="S35" s="837">
        <v>2</v>
      </c>
      <c r="T35" s="837"/>
      <c r="U35" s="837">
        <v>4</v>
      </c>
      <c r="V35" s="837">
        <v>4</v>
      </c>
      <c r="W35" s="837">
        <v>5</v>
      </c>
      <c r="X35" s="837"/>
      <c r="Y35" s="837"/>
      <c r="Z35" s="694">
        <f t="shared" si="0"/>
        <v>23</v>
      </c>
      <c r="AB35" s="580" t="s">
        <v>27</v>
      </c>
      <c r="AC35" s="837">
        <f t="shared" si="1"/>
        <v>90</v>
      </c>
    </row>
    <row r="36" spans="1:29" x14ac:dyDescent="0.25">
      <c r="A36" s="837">
        <v>28</v>
      </c>
      <c r="B36" s="2307">
        <v>5191421028</v>
      </c>
      <c r="C36" s="694">
        <v>1</v>
      </c>
      <c r="D36" s="694">
        <v>2</v>
      </c>
      <c r="E36" s="694">
        <v>2</v>
      </c>
      <c r="F36" s="837">
        <v>2</v>
      </c>
      <c r="G36" s="837">
        <v>2</v>
      </c>
      <c r="H36" s="837">
        <v>5</v>
      </c>
      <c r="I36" s="837">
        <v>5</v>
      </c>
      <c r="J36" s="837"/>
      <c r="K36" s="837"/>
      <c r="L36" s="837">
        <v>5</v>
      </c>
      <c r="M36" s="837">
        <v>5</v>
      </c>
      <c r="N36" s="694">
        <f t="shared" si="2"/>
        <v>29</v>
      </c>
      <c r="O36" s="694">
        <v>2</v>
      </c>
      <c r="P36" s="837">
        <v>2</v>
      </c>
      <c r="Q36" s="694">
        <v>2</v>
      </c>
      <c r="R36" s="837">
        <v>2</v>
      </c>
      <c r="S36" s="837">
        <v>2</v>
      </c>
      <c r="T36" s="837">
        <v>5</v>
      </c>
      <c r="U36" s="837">
        <v>5</v>
      </c>
      <c r="V36" s="837">
        <v>5</v>
      </c>
      <c r="W36" s="837">
        <v>5</v>
      </c>
      <c r="X36" s="837"/>
      <c r="Y36" s="837"/>
      <c r="Z36" s="694">
        <f t="shared" si="0"/>
        <v>30</v>
      </c>
      <c r="AB36" s="580" t="s">
        <v>30</v>
      </c>
      <c r="AC36" s="837">
        <f t="shared" si="1"/>
        <v>95</v>
      </c>
    </row>
    <row r="37" spans="1:29" x14ac:dyDescent="0.25">
      <c r="A37" s="837">
        <v>29</v>
      </c>
      <c r="B37" s="2307">
        <v>5191421029</v>
      </c>
      <c r="C37" s="694">
        <v>1</v>
      </c>
      <c r="D37" s="694">
        <v>1</v>
      </c>
      <c r="E37" s="694">
        <v>1</v>
      </c>
      <c r="F37" s="837">
        <v>2</v>
      </c>
      <c r="G37" s="837">
        <v>2</v>
      </c>
      <c r="H37" s="837">
        <v>5</v>
      </c>
      <c r="I37" s="837">
        <v>5</v>
      </c>
      <c r="J37" s="837">
        <v>5</v>
      </c>
      <c r="K37" s="837">
        <v>5</v>
      </c>
      <c r="L37" s="837"/>
      <c r="M37" s="837"/>
      <c r="N37" s="694">
        <f t="shared" si="2"/>
        <v>27</v>
      </c>
      <c r="O37" s="694">
        <v>2</v>
      </c>
      <c r="P37" s="837">
        <v>2</v>
      </c>
      <c r="Q37" s="694">
        <v>2</v>
      </c>
      <c r="R37" s="837">
        <v>2</v>
      </c>
      <c r="S37" s="837">
        <v>2</v>
      </c>
      <c r="T37" s="837"/>
      <c r="U37" s="837"/>
      <c r="V37" s="837">
        <v>5</v>
      </c>
      <c r="W37" s="837">
        <v>5</v>
      </c>
      <c r="X37" s="837">
        <v>5</v>
      </c>
      <c r="Y37" s="837">
        <v>3</v>
      </c>
      <c r="Z37" s="694">
        <f t="shared" si="0"/>
        <v>28</v>
      </c>
      <c r="AB37" s="580" t="s">
        <v>27</v>
      </c>
      <c r="AC37" s="837">
        <f t="shared" si="1"/>
        <v>90</v>
      </c>
    </row>
    <row r="38" spans="1:29" x14ac:dyDescent="0.25">
      <c r="A38" s="837">
        <v>30</v>
      </c>
      <c r="B38" s="2307">
        <v>5191421030</v>
      </c>
      <c r="C38" s="694"/>
      <c r="D38" s="694">
        <v>1</v>
      </c>
      <c r="E38" s="694">
        <v>1</v>
      </c>
      <c r="F38" s="837">
        <v>1</v>
      </c>
      <c r="G38" s="837">
        <v>2</v>
      </c>
      <c r="H38" s="837">
        <v>5</v>
      </c>
      <c r="I38" s="837">
        <v>3</v>
      </c>
      <c r="J38" s="837">
        <v>1</v>
      </c>
      <c r="K38" s="837">
        <v>4</v>
      </c>
      <c r="L38" s="837"/>
      <c r="M38" s="837"/>
      <c r="N38" s="694">
        <f t="shared" si="2"/>
        <v>18</v>
      </c>
      <c r="O38" s="694">
        <v>1</v>
      </c>
      <c r="P38" s="837">
        <v>2</v>
      </c>
      <c r="Q38" s="694">
        <v>2</v>
      </c>
      <c r="R38" s="837">
        <v>1</v>
      </c>
      <c r="S38" s="837"/>
      <c r="T38" s="837"/>
      <c r="U38" s="837"/>
      <c r="V38" s="837"/>
      <c r="W38" s="837">
        <v>5</v>
      </c>
      <c r="X38" s="837">
        <v>5</v>
      </c>
      <c r="Y38" s="837">
        <v>5</v>
      </c>
      <c r="Z38" s="694">
        <f t="shared" si="0"/>
        <v>21</v>
      </c>
      <c r="AB38" s="580" t="s">
        <v>33</v>
      </c>
      <c r="AC38" s="837">
        <f t="shared" si="1"/>
        <v>80</v>
      </c>
    </row>
    <row r="39" spans="1:29" x14ac:dyDescent="0.25">
      <c r="A39" s="837">
        <v>31</v>
      </c>
      <c r="B39" s="2307">
        <v>5191421031</v>
      </c>
      <c r="C39" s="694">
        <v>2</v>
      </c>
      <c r="D39" s="694">
        <v>2</v>
      </c>
      <c r="E39" s="694">
        <v>2</v>
      </c>
      <c r="F39" s="837">
        <v>2</v>
      </c>
      <c r="G39" s="837">
        <v>2</v>
      </c>
      <c r="H39" s="837">
        <v>5</v>
      </c>
      <c r="I39" s="837">
        <v>5</v>
      </c>
      <c r="J39" s="837">
        <v>5</v>
      </c>
      <c r="K39" s="837">
        <v>5</v>
      </c>
      <c r="L39" s="837"/>
      <c r="M39" s="837"/>
      <c r="N39" s="694">
        <f t="shared" si="2"/>
        <v>30</v>
      </c>
      <c r="O39" s="449"/>
      <c r="P39" s="449"/>
      <c r="Q39" s="2310"/>
      <c r="R39" s="449"/>
      <c r="S39" s="449"/>
      <c r="T39" s="449"/>
      <c r="U39" s="449"/>
      <c r="V39" s="449"/>
      <c r="W39" s="449"/>
      <c r="X39" s="449"/>
      <c r="Y39" s="449"/>
      <c r="Z39" s="694">
        <f t="shared" si="0"/>
        <v>0</v>
      </c>
      <c r="AB39" s="580" t="s">
        <v>32</v>
      </c>
      <c r="AC39" s="837">
        <f t="shared" si="1"/>
        <v>85</v>
      </c>
    </row>
    <row r="40" spans="1:29" x14ac:dyDescent="0.25">
      <c r="A40" s="837">
        <v>32</v>
      </c>
      <c r="B40" s="2307">
        <v>5191421032</v>
      </c>
      <c r="C40" s="694">
        <v>2</v>
      </c>
      <c r="D40" s="694">
        <v>2</v>
      </c>
      <c r="E40" s="694">
        <v>2</v>
      </c>
      <c r="F40" s="837">
        <v>2</v>
      </c>
      <c r="G40" s="837">
        <v>2</v>
      </c>
      <c r="H40" s="837">
        <v>5</v>
      </c>
      <c r="I40" s="837">
        <v>5</v>
      </c>
      <c r="J40" s="837"/>
      <c r="K40" s="837"/>
      <c r="L40" s="837">
        <v>5</v>
      </c>
      <c r="M40" s="837"/>
      <c r="N40" s="694">
        <f t="shared" si="2"/>
        <v>25</v>
      </c>
      <c r="O40" s="694">
        <v>2</v>
      </c>
      <c r="P40" s="837">
        <v>2</v>
      </c>
      <c r="Q40" s="694">
        <v>1</v>
      </c>
      <c r="R40" s="837">
        <v>1</v>
      </c>
      <c r="S40" s="837">
        <v>2</v>
      </c>
      <c r="T40" s="837">
        <v>5</v>
      </c>
      <c r="U40" s="837"/>
      <c r="V40" s="837">
        <v>5</v>
      </c>
      <c r="W40" s="837">
        <v>2</v>
      </c>
      <c r="X40" s="837"/>
      <c r="Y40" s="837"/>
      <c r="Z40" s="694">
        <f>Y40+X40+W40+V40+U40+T40+S40+R40+Q40+P40+O40</f>
        <v>20</v>
      </c>
      <c r="AB40" s="580" t="s">
        <v>32</v>
      </c>
      <c r="AC40" s="837">
        <f t="shared" si="1"/>
        <v>85</v>
      </c>
    </row>
    <row r="41" spans="1:29" x14ac:dyDescent="0.25">
      <c r="A41" s="837">
        <v>33</v>
      </c>
      <c r="B41" s="2307">
        <v>5191421033</v>
      </c>
      <c r="C41" s="694">
        <v>2</v>
      </c>
      <c r="D41" s="694">
        <v>2</v>
      </c>
      <c r="E41" s="694">
        <v>2</v>
      </c>
      <c r="F41" s="837">
        <v>2</v>
      </c>
      <c r="G41" s="837">
        <v>2</v>
      </c>
      <c r="H41" s="837">
        <v>5</v>
      </c>
      <c r="I41" s="837">
        <v>5</v>
      </c>
      <c r="J41" s="837">
        <v>5</v>
      </c>
      <c r="K41" s="837">
        <v>5</v>
      </c>
      <c r="L41" s="837"/>
      <c r="M41" s="837"/>
      <c r="N41" s="694">
        <f t="shared" si="2"/>
        <v>30</v>
      </c>
      <c r="O41" s="694">
        <v>2</v>
      </c>
      <c r="P41" s="837">
        <v>2</v>
      </c>
      <c r="Q41" s="694">
        <v>2</v>
      </c>
      <c r="R41" s="837">
        <v>2</v>
      </c>
      <c r="S41" s="837">
        <v>2</v>
      </c>
      <c r="T41" s="837"/>
      <c r="U41" s="837"/>
      <c r="V41" s="837"/>
      <c r="W41" s="837">
        <v>5</v>
      </c>
      <c r="X41" s="837"/>
      <c r="Y41" s="837">
        <v>5</v>
      </c>
      <c r="Z41" s="694">
        <f t="shared" si="0"/>
        <v>20</v>
      </c>
      <c r="AB41" s="580" t="s">
        <v>27</v>
      </c>
      <c r="AC41" s="837">
        <f t="shared" si="1"/>
        <v>90</v>
      </c>
    </row>
    <row r="42" spans="1:29" x14ac:dyDescent="0.25">
      <c r="A42" s="837">
        <v>34</v>
      </c>
      <c r="B42" s="2307">
        <v>5191421034</v>
      </c>
      <c r="C42" s="694">
        <v>2</v>
      </c>
      <c r="D42" s="694">
        <v>2</v>
      </c>
      <c r="E42" s="694">
        <v>2</v>
      </c>
      <c r="F42" s="837">
        <v>2</v>
      </c>
      <c r="G42" s="837">
        <v>2</v>
      </c>
      <c r="H42" s="837">
        <v>5</v>
      </c>
      <c r="I42" s="837">
        <v>5</v>
      </c>
      <c r="J42" s="837"/>
      <c r="K42" s="837"/>
      <c r="L42" s="837">
        <v>5</v>
      </c>
      <c r="M42" s="837">
        <v>4</v>
      </c>
      <c r="N42" s="694">
        <f t="shared" si="2"/>
        <v>29</v>
      </c>
      <c r="O42" s="694">
        <v>2</v>
      </c>
      <c r="P42" s="837">
        <v>2</v>
      </c>
      <c r="Q42" s="694">
        <v>2</v>
      </c>
      <c r="R42" s="837">
        <v>2</v>
      </c>
      <c r="S42" s="837">
        <v>2</v>
      </c>
      <c r="T42" s="837"/>
      <c r="U42" s="837"/>
      <c r="V42" s="837"/>
      <c r="W42" s="837"/>
      <c r="X42" s="837">
        <v>5</v>
      </c>
      <c r="Y42" s="837">
        <v>5</v>
      </c>
      <c r="Z42" s="694">
        <f t="shared" si="0"/>
        <v>20</v>
      </c>
      <c r="AB42" s="580" t="s">
        <v>32</v>
      </c>
      <c r="AC42" s="837">
        <f t="shared" si="1"/>
        <v>85</v>
      </c>
    </row>
    <row r="43" spans="1:29" x14ac:dyDescent="0.25">
      <c r="A43" s="837">
        <v>35</v>
      </c>
      <c r="B43" s="2307">
        <v>5191421035</v>
      </c>
      <c r="C43" s="694">
        <v>2</v>
      </c>
      <c r="D43" s="694">
        <v>2</v>
      </c>
      <c r="E43" s="694">
        <v>2</v>
      </c>
      <c r="F43" s="837">
        <v>2</v>
      </c>
      <c r="G43" s="837">
        <v>2</v>
      </c>
      <c r="H43" s="837">
        <v>5</v>
      </c>
      <c r="I43" s="837">
        <v>5</v>
      </c>
      <c r="J43" s="837">
        <v>5</v>
      </c>
      <c r="K43" s="837">
        <v>5</v>
      </c>
      <c r="L43" s="837"/>
      <c r="M43" s="837"/>
      <c r="N43" s="694">
        <f t="shared" si="2"/>
        <v>30</v>
      </c>
      <c r="O43" s="694">
        <v>2</v>
      </c>
      <c r="P43" s="837">
        <v>2</v>
      </c>
      <c r="Q43" s="694">
        <v>2</v>
      </c>
      <c r="R43" s="837">
        <v>2</v>
      </c>
      <c r="S43" s="837">
        <v>2</v>
      </c>
      <c r="T43" s="837">
        <v>5</v>
      </c>
      <c r="U43" s="837">
        <v>2</v>
      </c>
      <c r="V43" s="837">
        <v>4</v>
      </c>
      <c r="W43" s="837">
        <v>5</v>
      </c>
      <c r="X43" s="837"/>
      <c r="Y43" s="837"/>
      <c r="Z43" s="694">
        <f t="shared" si="0"/>
        <v>26</v>
      </c>
      <c r="AB43" s="580" t="s">
        <v>30</v>
      </c>
      <c r="AC43" s="837">
        <f t="shared" si="1"/>
        <v>95</v>
      </c>
    </row>
    <row r="44" spans="1:29" x14ac:dyDescent="0.25">
      <c r="A44" s="837">
        <v>36</v>
      </c>
      <c r="B44" s="2307">
        <v>5191421036</v>
      </c>
      <c r="C44" s="694">
        <v>2</v>
      </c>
      <c r="D44" s="694">
        <v>2</v>
      </c>
      <c r="E44" s="694">
        <v>2</v>
      </c>
      <c r="F44" s="837">
        <v>2</v>
      </c>
      <c r="G44" s="837">
        <v>2</v>
      </c>
      <c r="H44" s="837">
        <v>5</v>
      </c>
      <c r="I44" s="837">
        <v>5</v>
      </c>
      <c r="J44" s="837">
        <v>5</v>
      </c>
      <c r="K44" s="837">
        <v>5</v>
      </c>
      <c r="L44" s="837">
        <v>5</v>
      </c>
      <c r="M44" s="837"/>
      <c r="N44" s="694">
        <f t="shared" si="2"/>
        <v>35</v>
      </c>
      <c r="O44" s="694">
        <v>2</v>
      </c>
      <c r="P44" s="837">
        <v>2</v>
      </c>
      <c r="Q44" s="694">
        <v>2</v>
      </c>
      <c r="R44" s="837">
        <v>2</v>
      </c>
      <c r="S44" s="837">
        <v>2</v>
      </c>
      <c r="T44" s="837">
        <v>5</v>
      </c>
      <c r="U44" s="837"/>
      <c r="V44" s="837"/>
      <c r="W44" s="837"/>
      <c r="X44" s="837">
        <v>5</v>
      </c>
      <c r="Y44" s="837">
        <v>3</v>
      </c>
      <c r="Z44" s="694">
        <f t="shared" si="0"/>
        <v>23</v>
      </c>
      <c r="AB44" s="580" t="s">
        <v>30</v>
      </c>
      <c r="AC44" s="837">
        <f t="shared" si="1"/>
        <v>95</v>
      </c>
    </row>
    <row r="45" spans="1:29" x14ac:dyDescent="0.25">
      <c r="A45" s="837">
        <v>37</v>
      </c>
      <c r="B45" s="2307">
        <v>5191421037</v>
      </c>
      <c r="C45" s="694">
        <v>2</v>
      </c>
      <c r="D45" s="694">
        <v>2</v>
      </c>
      <c r="E45" s="694">
        <v>2</v>
      </c>
      <c r="F45" s="837">
        <v>2</v>
      </c>
      <c r="G45" s="837">
        <v>2</v>
      </c>
      <c r="H45" s="837">
        <v>5</v>
      </c>
      <c r="I45" s="837">
        <v>5</v>
      </c>
      <c r="J45" s="837">
        <v>5</v>
      </c>
      <c r="K45" s="837">
        <v>5</v>
      </c>
      <c r="L45" s="837"/>
      <c r="M45" s="837"/>
      <c r="N45" s="694">
        <f t="shared" si="2"/>
        <v>30</v>
      </c>
      <c r="O45" s="694">
        <v>2</v>
      </c>
      <c r="P45" s="837">
        <v>2</v>
      </c>
      <c r="Q45" s="694">
        <v>2</v>
      </c>
      <c r="R45" s="837">
        <v>2</v>
      </c>
      <c r="S45" s="837">
        <v>2</v>
      </c>
      <c r="T45" s="837"/>
      <c r="U45" s="837"/>
      <c r="V45" s="837">
        <v>5</v>
      </c>
      <c r="W45" s="837">
        <v>5</v>
      </c>
      <c r="X45" s="837">
        <v>5</v>
      </c>
      <c r="Y45" s="837">
        <v>5</v>
      </c>
      <c r="Z45" s="694">
        <f t="shared" si="0"/>
        <v>30</v>
      </c>
      <c r="AB45" s="580" t="s">
        <v>33</v>
      </c>
      <c r="AC45" s="837">
        <f t="shared" si="1"/>
        <v>80</v>
      </c>
    </row>
    <row r="46" spans="1:29" x14ac:dyDescent="0.25">
      <c r="A46" s="837">
        <v>38</v>
      </c>
      <c r="B46" s="2307">
        <v>5191421038</v>
      </c>
      <c r="C46" s="694">
        <v>2</v>
      </c>
      <c r="D46" s="694">
        <v>2</v>
      </c>
      <c r="E46" s="694">
        <v>2</v>
      </c>
      <c r="F46" s="837">
        <v>2</v>
      </c>
      <c r="G46" s="837">
        <v>2</v>
      </c>
      <c r="H46" s="837">
        <v>5</v>
      </c>
      <c r="I46" s="837">
        <v>4</v>
      </c>
      <c r="J46" s="837">
        <v>1</v>
      </c>
      <c r="K46" s="837">
        <v>4</v>
      </c>
      <c r="L46" s="837"/>
      <c r="M46" s="837"/>
      <c r="N46" s="694">
        <f t="shared" si="2"/>
        <v>24</v>
      </c>
      <c r="O46" s="694">
        <v>2</v>
      </c>
      <c r="P46" s="837">
        <v>2</v>
      </c>
      <c r="Q46" s="694">
        <v>2</v>
      </c>
      <c r="R46" s="837">
        <v>1</v>
      </c>
      <c r="S46" s="837">
        <v>2</v>
      </c>
      <c r="T46" s="837"/>
      <c r="U46" s="837"/>
      <c r="V46" s="837"/>
      <c r="W46" s="837">
        <v>4</v>
      </c>
      <c r="X46" s="837">
        <v>4</v>
      </c>
      <c r="Y46" s="837"/>
      <c r="Z46" s="694">
        <f t="shared" si="0"/>
        <v>17</v>
      </c>
      <c r="AB46" s="580" t="s">
        <v>27</v>
      </c>
      <c r="AC46" s="837">
        <f t="shared" si="1"/>
        <v>90</v>
      </c>
    </row>
    <row r="47" spans="1:29" x14ac:dyDescent="0.25">
      <c r="A47" s="837">
        <v>39</v>
      </c>
      <c r="B47" s="2307">
        <v>5191421039</v>
      </c>
      <c r="C47" s="694">
        <v>2</v>
      </c>
      <c r="D47" s="694">
        <v>2</v>
      </c>
      <c r="E47" s="694">
        <v>2</v>
      </c>
      <c r="F47" s="837">
        <v>1</v>
      </c>
      <c r="G47" s="837">
        <v>2</v>
      </c>
      <c r="H47" s="837">
        <v>5</v>
      </c>
      <c r="I47" s="837">
        <v>5</v>
      </c>
      <c r="J47" s="837"/>
      <c r="K47" s="837"/>
      <c r="L47" s="837">
        <v>5</v>
      </c>
      <c r="M47" s="837">
        <v>5</v>
      </c>
      <c r="N47" s="694">
        <f t="shared" si="2"/>
        <v>29</v>
      </c>
      <c r="O47" s="694">
        <v>2</v>
      </c>
      <c r="P47" s="837">
        <v>2</v>
      </c>
      <c r="Q47" s="694">
        <v>2</v>
      </c>
      <c r="R47" s="837">
        <v>2</v>
      </c>
      <c r="S47" s="837">
        <v>2</v>
      </c>
      <c r="T47" s="837">
        <v>5</v>
      </c>
      <c r="U47" s="837">
        <v>1</v>
      </c>
      <c r="V47" s="837"/>
      <c r="W47" s="837"/>
      <c r="X47" s="837">
        <v>5</v>
      </c>
      <c r="Y47" s="837">
        <v>1</v>
      </c>
      <c r="Z47" s="694">
        <f t="shared" si="0"/>
        <v>22</v>
      </c>
      <c r="AB47" s="580" t="s">
        <v>32</v>
      </c>
      <c r="AC47" s="837">
        <f t="shared" si="1"/>
        <v>85</v>
      </c>
    </row>
    <row r="48" spans="1:29" x14ac:dyDescent="0.25">
      <c r="A48" s="837">
        <v>40</v>
      </c>
      <c r="B48" s="2307">
        <v>5191421040</v>
      </c>
      <c r="C48" s="694">
        <v>0</v>
      </c>
      <c r="D48" s="694">
        <v>2</v>
      </c>
      <c r="E48" s="694">
        <v>2</v>
      </c>
      <c r="F48" s="837"/>
      <c r="G48" s="837">
        <v>1</v>
      </c>
      <c r="H48" s="837">
        <v>4</v>
      </c>
      <c r="I48" s="837">
        <v>5</v>
      </c>
      <c r="J48" s="837">
        <v>5</v>
      </c>
      <c r="K48" s="837">
        <v>2</v>
      </c>
      <c r="L48" s="837"/>
      <c r="M48" s="837"/>
      <c r="N48" s="694">
        <f t="shared" si="2"/>
        <v>21</v>
      </c>
      <c r="O48" s="694">
        <v>1</v>
      </c>
      <c r="P48" s="837">
        <v>2</v>
      </c>
      <c r="Q48" s="694">
        <v>2</v>
      </c>
      <c r="R48" s="837">
        <v>2</v>
      </c>
      <c r="S48" s="837">
        <v>2</v>
      </c>
      <c r="T48" s="837"/>
      <c r="U48" s="837"/>
      <c r="V48" s="837">
        <v>3</v>
      </c>
      <c r="W48" s="837">
        <v>4</v>
      </c>
      <c r="X48" s="837">
        <v>4</v>
      </c>
      <c r="Y48" s="837">
        <v>5</v>
      </c>
      <c r="Z48" s="694">
        <f t="shared" si="0"/>
        <v>25</v>
      </c>
      <c r="AB48" s="580" t="s">
        <v>27</v>
      </c>
      <c r="AC48" s="837">
        <f t="shared" si="1"/>
        <v>90</v>
      </c>
    </row>
    <row r="49" spans="1:29" x14ac:dyDescent="0.25">
      <c r="A49" s="837">
        <v>41</v>
      </c>
      <c r="B49" s="2307">
        <v>5191421041</v>
      </c>
      <c r="C49" s="694">
        <v>1</v>
      </c>
      <c r="D49" s="694">
        <v>2</v>
      </c>
      <c r="E49" s="694"/>
      <c r="F49" s="837">
        <v>1</v>
      </c>
      <c r="G49" s="837">
        <v>2</v>
      </c>
      <c r="H49" s="837">
        <v>4</v>
      </c>
      <c r="I49" s="837">
        <v>5</v>
      </c>
      <c r="J49" s="837">
        <v>5</v>
      </c>
      <c r="K49" s="837">
        <v>1</v>
      </c>
      <c r="L49" s="837"/>
      <c r="M49" s="837"/>
      <c r="N49" s="694">
        <f t="shared" si="2"/>
        <v>21</v>
      </c>
      <c r="O49" s="694">
        <v>0</v>
      </c>
      <c r="P49" s="837">
        <v>2</v>
      </c>
      <c r="Q49" s="694">
        <v>2</v>
      </c>
      <c r="R49" s="837"/>
      <c r="S49" s="837"/>
      <c r="T49" s="837">
        <v>3</v>
      </c>
      <c r="U49" s="837"/>
      <c r="V49" s="837"/>
      <c r="W49" s="837"/>
      <c r="X49" s="837"/>
      <c r="Y49" s="837">
        <v>4</v>
      </c>
      <c r="Z49" s="694">
        <f t="shared" si="0"/>
        <v>11</v>
      </c>
      <c r="AB49" s="580" t="s">
        <v>33</v>
      </c>
      <c r="AC49" s="837">
        <f t="shared" si="1"/>
        <v>80</v>
      </c>
    </row>
    <row r="50" spans="1:29" x14ac:dyDescent="0.25">
      <c r="A50" s="837">
        <v>42</v>
      </c>
      <c r="B50" s="2307">
        <v>5191421042</v>
      </c>
      <c r="C50" s="694">
        <v>1</v>
      </c>
      <c r="D50" s="694">
        <v>2</v>
      </c>
      <c r="E50" s="694">
        <v>2</v>
      </c>
      <c r="F50" s="837">
        <v>2</v>
      </c>
      <c r="G50" s="837">
        <v>2</v>
      </c>
      <c r="H50" s="837">
        <v>5</v>
      </c>
      <c r="I50" s="837">
        <v>5</v>
      </c>
      <c r="J50" s="837">
        <v>5</v>
      </c>
      <c r="K50" s="837">
        <v>5</v>
      </c>
      <c r="L50" s="837"/>
      <c r="M50" s="837"/>
      <c r="N50" s="694">
        <f t="shared" si="2"/>
        <v>29</v>
      </c>
      <c r="O50" s="694">
        <v>2</v>
      </c>
      <c r="P50" s="837">
        <v>2</v>
      </c>
      <c r="Q50" s="694">
        <v>2</v>
      </c>
      <c r="R50" s="837">
        <v>2</v>
      </c>
      <c r="S50" s="837">
        <v>2</v>
      </c>
      <c r="T50" s="837"/>
      <c r="U50" s="837"/>
      <c r="V50" s="837"/>
      <c r="W50" s="837">
        <v>5</v>
      </c>
      <c r="X50" s="837">
        <v>5</v>
      </c>
      <c r="Y50" s="837">
        <v>4</v>
      </c>
      <c r="Z50" s="694">
        <f t="shared" si="0"/>
        <v>24</v>
      </c>
      <c r="AB50" s="580" t="s">
        <v>27</v>
      </c>
      <c r="AC50" s="837">
        <f t="shared" si="1"/>
        <v>90</v>
      </c>
    </row>
    <row r="51" spans="1:29" x14ac:dyDescent="0.25">
      <c r="A51" s="837">
        <v>43</v>
      </c>
      <c r="B51" s="2307">
        <v>5191421043</v>
      </c>
      <c r="C51" s="694">
        <v>1</v>
      </c>
      <c r="D51" s="694">
        <v>2</v>
      </c>
      <c r="E51" s="694">
        <v>1</v>
      </c>
      <c r="F51" s="837">
        <v>2</v>
      </c>
      <c r="G51" s="837">
        <v>2</v>
      </c>
      <c r="H51" s="837">
        <v>3</v>
      </c>
      <c r="I51" s="837">
        <v>2</v>
      </c>
      <c r="J51" s="837"/>
      <c r="K51" s="837"/>
      <c r="L51" s="837">
        <v>2</v>
      </c>
      <c r="M51" s="837">
        <v>4</v>
      </c>
      <c r="N51" s="694">
        <f t="shared" si="2"/>
        <v>19</v>
      </c>
      <c r="O51" s="694">
        <v>2</v>
      </c>
      <c r="P51" s="837">
        <v>2</v>
      </c>
      <c r="Q51" s="694">
        <v>2</v>
      </c>
      <c r="R51" s="837">
        <v>2</v>
      </c>
      <c r="S51" s="837">
        <v>2</v>
      </c>
      <c r="T51" s="837"/>
      <c r="U51" s="837"/>
      <c r="V51" s="837">
        <v>2</v>
      </c>
      <c r="W51" s="837">
        <v>3</v>
      </c>
      <c r="X51" s="837">
        <v>4</v>
      </c>
      <c r="Y51" s="837">
        <v>4</v>
      </c>
      <c r="Z51" s="694">
        <f t="shared" si="0"/>
        <v>23</v>
      </c>
      <c r="AB51" s="580" t="s">
        <v>32</v>
      </c>
      <c r="AC51" s="837">
        <f t="shared" si="1"/>
        <v>85</v>
      </c>
    </row>
    <row r="52" spans="1:29" x14ac:dyDescent="0.25">
      <c r="A52" s="837">
        <v>44</v>
      </c>
      <c r="B52" s="2307">
        <v>5191421044</v>
      </c>
      <c r="C52" s="694">
        <v>2</v>
      </c>
      <c r="D52" s="694">
        <v>2</v>
      </c>
      <c r="E52" s="694">
        <v>2</v>
      </c>
      <c r="F52" s="837">
        <v>2</v>
      </c>
      <c r="G52" s="837">
        <v>2</v>
      </c>
      <c r="H52" s="837">
        <v>5</v>
      </c>
      <c r="I52" s="837">
        <v>5</v>
      </c>
      <c r="J52" s="837"/>
      <c r="K52" s="837"/>
      <c r="L52" s="837">
        <v>5</v>
      </c>
      <c r="M52" s="837">
        <v>5</v>
      </c>
      <c r="N52" s="694">
        <f t="shared" si="2"/>
        <v>30</v>
      </c>
      <c r="O52" s="694">
        <v>2</v>
      </c>
      <c r="P52" s="837">
        <v>2</v>
      </c>
      <c r="Q52" s="694">
        <v>2</v>
      </c>
      <c r="R52" s="837">
        <v>2</v>
      </c>
      <c r="S52" s="837">
        <v>2</v>
      </c>
      <c r="T52" s="837"/>
      <c r="U52" s="837"/>
      <c r="V52" s="837">
        <v>4</v>
      </c>
      <c r="W52" s="837">
        <v>4</v>
      </c>
      <c r="X52" s="837"/>
      <c r="Y52" s="837">
        <v>1</v>
      </c>
      <c r="Z52" s="694">
        <f>Y52+X52+W52+V52+U52+T52+S52+R52+Q52+P52+O52</f>
        <v>19</v>
      </c>
      <c r="AB52" s="580" t="s">
        <v>27</v>
      </c>
      <c r="AC52" s="837">
        <f t="shared" si="1"/>
        <v>90</v>
      </c>
    </row>
    <row r="53" spans="1:29" x14ac:dyDescent="0.25">
      <c r="A53" s="837">
        <v>45</v>
      </c>
      <c r="B53" s="2307">
        <v>5191421045</v>
      </c>
      <c r="C53" s="694">
        <v>2</v>
      </c>
      <c r="D53" s="694">
        <v>2</v>
      </c>
      <c r="E53" s="694">
        <v>2</v>
      </c>
      <c r="F53" s="837">
        <v>2</v>
      </c>
      <c r="G53" s="837">
        <v>2</v>
      </c>
      <c r="H53" s="837">
        <v>5</v>
      </c>
      <c r="I53" s="837">
        <v>5</v>
      </c>
      <c r="J53" s="837"/>
      <c r="K53" s="837"/>
      <c r="L53" s="837">
        <v>5</v>
      </c>
      <c r="M53" s="837">
        <v>5</v>
      </c>
      <c r="N53" s="694">
        <f t="shared" si="2"/>
        <v>30</v>
      </c>
      <c r="O53" s="694">
        <v>2</v>
      </c>
      <c r="P53" s="837">
        <v>2</v>
      </c>
      <c r="Q53" s="694">
        <v>2</v>
      </c>
      <c r="R53" s="837">
        <v>2</v>
      </c>
      <c r="S53" s="837">
        <v>2</v>
      </c>
      <c r="T53" s="837"/>
      <c r="U53" s="837"/>
      <c r="V53" s="837">
        <v>5</v>
      </c>
      <c r="W53" s="837">
        <v>5</v>
      </c>
      <c r="X53" s="837">
        <v>5</v>
      </c>
      <c r="Y53" s="837">
        <v>5</v>
      </c>
      <c r="Z53" s="694">
        <f>Y53+X53+W53+V53+U53+T53+S53+R53+Q53+P53+O53</f>
        <v>30</v>
      </c>
      <c r="AB53" s="580" t="s">
        <v>33</v>
      </c>
      <c r="AC53" s="837">
        <f t="shared" si="1"/>
        <v>80</v>
      </c>
    </row>
    <row r="54" spans="1:29" x14ac:dyDescent="0.25">
      <c r="A54" s="837">
        <v>46</v>
      </c>
      <c r="B54" s="2307">
        <v>5191421046</v>
      </c>
      <c r="C54" s="694">
        <v>2</v>
      </c>
      <c r="D54" s="694">
        <v>2</v>
      </c>
      <c r="E54" s="694">
        <v>2</v>
      </c>
      <c r="F54" s="837">
        <v>2</v>
      </c>
      <c r="G54" s="837">
        <v>2</v>
      </c>
      <c r="H54" s="837">
        <v>5</v>
      </c>
      <c r="I54" s="837">
        <v>5</v>
      </c>
      <c r="J54" s="837">
        <v>5</v>
      </c>
      <c r="K54" s="837">
        <v>5</v>
      </c>
      <c r="L54" s="837"/>
      <c r="M54" s="837"/>
      <c r="N54" s="694">
        <f t="shared" si="2"/>
        <v>30</v>
      </c>
      <c r="O54" s="694">
        <v>2</v>
      </c>
      <c r="P54" s="837">
        <v>2</v>
      </c>
      <c r="Q54" s="694">
        <v>2</v>
      </c>
      <c r="R54" s="837">
        <v>2</v>
      </c>
      <c r="S54" s="837">
        <v>2</v>
      </c>
      <c r="T54" s="837">
        <v>3</v>
      </c>
      <c r="U54" s="837"/>
      <c r="V54" s="837">
        <v>0</v>
      </c>
      <c r="W54" s="837"/>
      <c r="X54" s="837"/>
      <c r="Y54" s="837"/>
      <c r="Z54" s="694">
        <f t="shared" ref="Z54" si="3">Y54+X54+W54+V54+U54+T54+S54+R54+Q54+P54+O54</f>
        <v>13</v>
      </c>
      <c r="AB54" s="580" t="s">
        <v>32</v>
      </c>
      <c r="AC54" s="837">
        <f t="shared" si="1"/>
        <v>85</v>
      </c>
    </row>
    <row r="55" spans="1:29" x14ac:dyDescent="0.25">
      <c r="A55" s="837">
        <v>47</v>
      </c>
      <c r="B55" s="2307">
        <v>5191421047</v>
      </c>
      <c r="C55" s="694">
        <v>2</v>
      </c>
      <c r="D55" s="694">
        <v>2</v>
      </c>
      <c r="E55" s="694">
        <v>2</v>
      </c>
      <c r="F55" s="837">
        <v>2</v>
      </c>
      <c r="G55" s="837">
        <v>2</v>
      </c>
      <c r="H55" s="837">
        <v>5</v>
      </c>
      <c r="I55" s="837">
        <v>5</v>
      </c>
      <c r="J55" s="837">
        <v>5</v>
      </c>
      <c r="K55" s="837">
        <v>5</v>
      </c>
      <c r="L55" s="837"/>
      <c r="M55" s="837"/>
      <c r="N55" s="694">
        <f t="shared" si="2"/>
        <v>30</v>
      </c>
      <c r="O55" s="694">
        <v>2</v>
      </c>
      <c r="P55" s="837">
        <v>2</v>
      </c>
      <c r="Q55" s="694">
        <v>2</v>
      </c>
      <c r="R55" s="837">
        <v>2</v>
      </c>
      <c r="S55" s="837">
        <v>2</v>
      </c>
      <c r="T55" s="2308"/>
      <c r="U55" s="2308"/>
      <c r="V55" s="2308">
        <v>5</v>
      </c>
      <c r="W55" s="2308">
        <v>5</v>
      </c>
      <c r="X55" s="2308">
        <v>5</v>
      </c>
      <c r="Y55" s="2308">
        <v>5</v>
      </c>
      <c r="Z55" s="694">
        <f>Y55+X55+W55+V55+U55+T55+S55+R55+Q55+P55+O55</f>
        <v>30</v>
      </c>
      <c r="AB55" s="580" t="s">
        <v>33</v>
      </c>
      <c r="AC55" s="837">
        <f t="shared" si="1"/>
        <v>80</v>
      </c>
    </row>
    <row r="56" spans="1:29" x14ac:dyDescent="0.25">
      <c r="A56" s="837">
        <v>48</v>
      </c>
      <c r="B56" s="2307">
        <v>5191421048</v>
      </c>
      <c r="C56" s="694">
        <v>2</v>
      </c>
      <c r="D56" s="694">
        <v>2</v>
      </c>
      <c r="E56" s="694">
        <v>2</v>
      </c>
      <c r="F56" s="837">
        <v>2</v>
      </c>
      <c r="G56" s="837">
        <v>2</v>
      </c>
      <c r="H56" s="837">
        <v>5</v>
      </c>
      <c r="I56" s="837">
        <v>5</v>
      </c>
      <c r="J56" s="837"/>
      <c r="K56" s="837"/>
      <c r="L56" s="837"/>
      <c r="M56" s="837">
        <v>5</v>
      </c>
      <c r="N56" s="694">
        <f t="shared" si="2"/>
        <v>25</v>
      </c>
      <c r="O56" s="694">
        <v>2</v>
      </c>
      <c r="P56" s="837">
        <v>2</v>
      </c>
      <c r="Q56" s="694">
        <v>2</v>
      </c>
      <c r="R56" s="837">
        <v>2</v>
      </c>
      <c r="S56" s="837">
        <v>1</v>
      </c>
      <c r="T56" s="2311">
        <v>1</v>
      </c>
      <c r="U56" s="2311"/>
      <c r="V56" s="2311">
        <v>3</v>
      </c>
      <c r="W56" s="2311"/>
      <c r="X56" s="2311"/>
      <c r="Y56" s="2311"/>
      <c r="Z56" s="2312">
        <f t="shared" ref="Z56:Z57" si="4">Y56+X56+W56+V56+U56+T56+S56+R56+Q56+P56+O56</f>
        <v>13</v>
      </c>
      <c r="AB56" s="580" t="s">
        <v>27</v>
      </c>
      <c r="AC56" s="837">
        <f t="shared" si="1"/>
        <v>90</v>
      </c>
    </row>
    <row r="57" spans="1:29" x14ac:dyDescent="0.25">
      <c r="A57" s="837">
        <v>49</v>
      </c>
      <c r="B57" s="2307">
        <v>5191421049</v>
      </c>
      <c r="C57" s="694">
        <v>2</v>
      </c>
      <c r="D57" s="694">
        <v>2</v>
      </c>
      <c r="E57" s="694">
        <v>2</v>
      </c>
      <c r="F57" s="837">
        <v>2</v>
      </c>
      <c r="G57" s="837">
        <v>2</v>
      </c>
      <c r="H57" s="837">
        <v>3</v>
      </c>
      <c r="I57" s="837">
        <v>3</v>
      </c>
      <c r="J57" s="837"/>
      <c r="K57" s="837"/>
      <c r="L57" s="837"/>
      <c r="M57" s="837">
        <v>3</v>
      </c>
      <c r="N57" s="694">
        <f t="shared" si="2"/>
        <v>19</v>
      </c>
      <c r="O57" s="694">
        <v>2</v>
      </c>
      <c r="P57" s="837">
        <v>2</v>
      </c>
      <c r="Q57" s="694">
        <v>2</v>
      </c>
      <c r="R57" s="837">
        <v>2</v>
      </c>
      <c r="S57" s="837">
        <v>2</v>
      </c>
      <c r="T57" s="837">
        <v>0</v>
      </c>
      <c r="U57" s="837"/>
      <c r="V57" s="837">
        <v>3</v>
      </c>
      <c r="W57" s="837"/>
      <c r="X57" s="837"/>
      <c r="Y57" s="837"/>
      <c r="Z57" s="694">
        <f t="shared" si="4"/>
        <v>13</v>
      </c>
      <c r="AA57" s="2313"/>
      <c r="AB57" s="580" t="s">
        <v>32</v>
      </c>
      <c r="AC57" s="837">
        <f t="shared" si="1"/>
        <v>85</v>
      </c>
    </row>
    <row r="58" spans="1:29" x14ac:dyDescent="0.25">
      <c r="A58" s="2271" t="e">
        <f>+A58:M80A63A63:O79</f>
        <v>#NAME?</v>
      </c>
      <c r="C58" s="449">
        <f t="shared" ref="C58:M58" si="5">COUNT(C9:C57)</f>
        <v>48</v>
      </c>
      <c r="D58" s="449">
        <f t="shared" si="5"/>
        <v>49</v>
      </c>
      <c r="E58" s="449">
        <f t="shared" si="5"/>
        <v>47</v>
      </c>
      <c r="F58" s="449">
        <f t="shared" si="5"/>
        <v>46</v>
      </c>
      <c r="G58" s="449">
        <f t="shared" si="5"/>
        <v>49</v>
      </c>
      <c r="H58" s="449">
        <f t="shared" si="5"/>
        <v>48</v>
      </c>
      <c r="I58" s="449">
        <f t="shared" si="5"/>
        <v>45</v>
      </c>
      <c r="J58" s="449">
        <f t="shared" si="5"/>
        <v>27</v>
      </c>
      <c r="K58" s="449">
        <f t="shared" si="5"/>
        <v>25</v>
      </c>
      <c r="L58" s="449">
        <f t="shared" si="5"/>
        <v>18</v>
      </c>
      <c r="M58" s="449">
        <f t="shared" si="5"/>
        <v>16</v>
      </c>
      <c r="N58" s="449"/>
      <c r="O58" s="449">
        <f t="shared" ref="O58:Y58" si="6">COUNT(O9:O57)</f>
        <v>44</v>
      </c>
      <c r="P58" s="449">
        <f t="shared" si="6"/>
        <v>48</v>
      </c>
      <c r="Q58" s="449">
        <f t="shared" si="6"/>
        <v>43</v>
      </c>
      <c r="R58" s="449">
        <f t="shared" si="6"/>
        <v>45</v>
      </c>
      <c r="S58" s="449">
        <f t="shared" si="6"/>
        <v>40</v>
      </c>
      <c r="T58" s="449">
        <f t="shared" si="6"/>
        <v>17</v>
      </c>
      <c r="U58" s="449">
        <f t="shared" si="6"/>
        <v>5</v>
      </c>
      <c r="V58" s="449">
        <f t="shared" si="6"/>
        <v>26</v>
      </c>
      <c r="W58" s="449">
        <f t="shared" si="6"/>
        <v>35</v>
      </c>
      <c r="X58" s="449">
        <f t="shared" si="6"/>
        <v>25</v>
      </c>
      <c r="Y58" s="449">
        <f t="shared" si="6"/>
        <v>32</v>
      </c>
    </row>
    <row r="59" spans="1:29" ht="19.5" customHeight="1" x14ac:dyDescent="0.25">
      <c r="A59" s="2276" t="s">
        <v>34</v>
      </c>
      <c r="B59" s="2272">
        <v>55</v>
      </c>
      <c r="C59" s="2310">
        <f>C8*(B59/100)</f>
        <v>1.1000000000000001</v>
      </c>
      <c r="D59" s="2310">
        <f>D8*(B59/100)</f>
        <v>1.1000000000000001</v>
      </c>
      <c r="E59" s="2310">
        <f>E8*(B59/100)</f>
        <v>1.1000000000000001</v>
      </c>
      <c r="F59" s="2310">
        <f>F8*(B59/100)</f>
        <v>1.1000000000000001</v>
      </c>
      <c r="G59" s="2310">
        <f>G8*(B59/100)</f>
        <v>1.1000000000000001</v>
      </c>
      <c r="H59" s="2314">
        <f>H8*(B59/100)</f>
        <v>2.75</v>
      </c>
      <c r="I59" s="2314">
        <f>I8*(B59/100)</f>
        <v>2.75</v>
      </c>
      <c r="J59" s="2314">
        <f>J8*(B59/100)</f>
        <v>2.75</v>
      </c>
      <c r="K59" s="2314">
        <f>K8*(B59/100)</f>
        <v>2.75</v>
      </c>
      <c r="L59" s="2314">
        <f>L8*(B59/100)</f>
        <v>2.75</v>
      </c>
      <c r="M59" s="2314">
        <f>M8*(B59/100)</f>
        <v>2.75</v>
      </c>
      <c r="N59" s="694"/>
      <c r="O59" s="2310">
        <f>O8*(B59/100)</f>
        <v>1.1000000000000001</v>
      </c>
      <c r="P59" s="2310">
        <f>P8*(B59/100)</f>
        <v>1.1000000000000001</v>
      </c>
      <c r="Q59" s="2310">
        <f>Q8*(B59/100)</f>
        <v>1.1000000000000001</v>
      </c>
      <c r="R59" s="2310">
        <f>R8*(B59/100)</f>
        <v>1.1000000000000001</v>
      </c>
      <c r="S59" s="2310">
        <f>S8*(B59/100)</f>
        <v>1.1000000000000001</v>
      </c>
      <c r="T59" s="2314">
        <f>T8*(B59/100)</f>
        <v>2.75</v>
      </c>
      <c r="U59" s="2314">
        <f>U8*(B59/100)</f>
        <v>2.75</v>
      </c>
      <c r="V59" s="2314">
        <f>V8*(B59/100)</f>
        <v>2.75</v>
      </c>
      <c r="W59" s="2314">
        <f>W8*(B59/100)</f>
        <v>2.75</v>
      </c>
      <c r="X59" s="2314">
        <f>X8*(B59/100)</f>
        <v>2.75</v>
      </c>
      <c r="Y59" s="2314">
        <f>Y8*(B59/100)</f>
        <v>2.75</v>
      </c>
      <c r="Z59" s="2278"/>
      <c r="AC59" s="2276">
        <f>COUNTIF(AC9:AC57,"&gt;="&amp;B59)</f>
        <v>49</v>
      </c>
    </row>
    <row r="60" spans="1:29" ht="32.25" customHeight="1" x14ac:dyDescent="0.25">
      <c r="A60" s="2996" t="s">
        <v>35</v>
      </c>
      <c r="B60" s="2996"/>
      <c r="C60" s="449">
        <f>COUNTIF(C9:C57,"&gt;=1")</f>
        <v>46</v>
      </c>
      <c r="D60" s="2310">
        <f>COUNTIF(D9:D57,"&gt;=1")</f>
        <v>47</v>
      </c>
      <c r="E60" s="2310">
        <f>COUNTIF(E9:E57,"&gt;=1")</f>
        <v>45</v>
      </c>
      <c r="F60" s="449">
        <f>COUNTIF(F9:F57,"&gt;=1")</f>
        <v>46</v>
      </c>
      <c r="G60" s="449">
        <f>COUNTIF(G9:G57,"&gt;=1")</f>
        <v>48</v>
      </c>
      <c r="H60" s="449">
        <f t="shared" ref="H60:M60" si="7">COUNTIF(H9:H57,"&gt;=2.5")</f>
        <v>46</v>
      </c>
      <c r="I60" s="449">
        <f t="shared" si="7"/>
        <v>39</v>
      </c>
      <c r="J60" s="449">
        <f t="shared" si="7"/>
        <v>22</v>
      </c>
      <c r="K60" s="449">
        <f t="shared" si="7"/>
        <v>21</v>
      </c>
      <c r="L60" s="449">
        <f t="shared" si="7"/>
        <v>15</v>
      </c>
      <c r="M60" s="449">
        <f t="shared" si="7"/>
        <v>16</v>
      </c>
      <c r="N60" s="694"/>
      <c r="O60" s="449">
        <f>COUNTIF(O9:O57,"&gt;=1")</f>
        <v>43</v>
      </c>
      <c r="P60" s="449">
        <f>COUNTIF(P9:P57,"&gt;=1")</f>
        <v>48</v>
      </c>
      <c r="Q60" s="2310">
        <f>COUNTIF(Q9:Q57,"&gt;=1")</f>
        <v>43</v>
      </c>
      <c r="R60" s="449">
        <f>COUNTIF(R9:R57,"&gt;=1")</f>
        <v>44</v>
      </c>
      <c r="S60" s="449">
        <f>COUNTIF(S9:S57,"&gt;=1")</f>
        <v>38</v>
      </c>
      <c r="T60" s="449">
        <f t="shared" ref="T60:Y60" si="8">COUNTIF(T9:T57,"&gt;=2.5")</f>
        <v>15</v>
      </c>
      <c r="U60" s="449">
        <f t="shared" si="8"/>
        <v>3</v>
      </c>
      <c r="V60" s="449">
        <f t="shared" si="8"/>
        <v>20</v>
      </c>
      <c r="W60" s="449">
        <f t="shared" si="8"/>
        <v>33</v>
      </c>
      <c r="X60" s="449">
        <f t="shared" si="8"/>
        <v>24</v>
      </c>
      <c r="Y60" s="449">
        <f t="shared" si="8"/>
        <v>28</v>
      </c>
      <c r="Z60" s="2278"/>
      <c r="AC60" s="2276">
        <f>(AC59/48)*100</f>
        <v>102.08333333333333</v>
      </c>
    </row>
    <row r="61" spans="1:29" ht="27" customHeight="1" x14ac:dyDescent="0.25">
      <c r="A61" s="2968" t="s">
        <v>36</v>
      </c>
      <c r="B61" s="2968"/>
      <c r="C61" s="449">
        <f t="shared" ref="C61:Y61" si="9">C60/C58</f>
        <v>0.95833333333333337</v>
      </c>
      <c r="D61" s="449">
        <f t="shared" si="9"/>
        <v>0.95918367346938771</v>
      </c>
      <c r="E61" s="449">
        <f t="shared" si="9"/>
        <v>0.95744680851063835</v>
      </c>
      <c r="F61" s="449">
        <f t="shared" si="9"/>
        <v>1</v>
      </c>
      <c r="G61" s="449">
        <f t="shared" si="9"/>
        <v>0.97959183673469385</v>
      </c>
      <c r="H61" s="449">
        <f t="shared" si="9"/>
        <v>0.95833333333333337</v>
      </c>
      <c r="I61" s="449">
        <f t="shared" si="9"/>
        <v>0.8666666666666667</v>
      </c>
      <c r="J61" s="449">
        <f t="shared" si="9"/>
        <v>0.81481481481481477</v>
      </c>
      <c r="K61" s="449">
        <f t="shared" si="9"/>
        <v>0.84</v>
      </c>
      <c r="L61" s="449">
        <f t="shared" si="9"/>
        <v>0.83333333333333337</v>
      </c>
      <c r="M61" s="449">
        <f t="shared" si="9"/>
        <v>1</v>
      </c>
      <c r="N61" s="694"/>
      <c r="O61" s="449">
        <f t="shared" si="9"/>
        <v>0.97727272727272729</v>
      </c>
      <c r="P61" s="449">
        <f t="shared" si="9"/>
        <v>1</v>
      </c>
      <c r="Q61" s="2310">
        <f t="shared" si="9"/>
        <v>1</v>
      </c>
      <c r="R61" s="449">
        <f t="shared" si="9"/>
        <v>0.97777777777777775</v>
      </c>
      <c r="S61" s="449">
        <f t="shared" si="9"/>
        <v>0.95</v>
      </c>
      <c r="T61" s="449">
        <f t="shared" si="9"/>
        <v>0.88235294117647056</v>
      </c>
      <c r="U61" s="449">
        <f t="shared" si="9"/>
        <v>0.6</v>
      </c>
      <c r="V61" s="449">
        <f t="shared" si="9"/>
        <v>0.76923076923076927</v>
      </c>
      <c r="W61" s="449">
        <f t="shared" si="9"/>
        <v>0.94285714285714284</v>
      </c>
      <c r="X61" s="449">
        <f t="shared" si="9"/>
        <v>0.96</v>
      </c>
      <c r="Y61" s="449">
        <f t="shared" si="9"/>
        <v>0.875</v>
      </c>
      <c r="Z61" s="2278"/>
    </row>
    <row r="62" spans="1:29" ht="27" customHeight="1" x14ac:dyDescent="0.25">
      <c r="A62" s="2086"/>
      <c r="B62" s="2086"/>
      <c r="C62" s="2268" t="s">
        <v>22</v>
      </c>
      <c r="D62" s="2269" t="s">
        <v>21</v>
      </c>
      <c r="E62" s="2269" t="s">
        <v>21</v>
      </c>
      <c r="F62" s="2268" t="s">
        <v>21</v>
      </c>
      <c r="G62" s="2268" t="s">
        <v>20</v>
      </c>
      <c r="H62" s="2268" t="s">
        <v>20</v>
      </c>
      <c r="I62" s="2268" t="s">
        <v>21</v>
      </c>
      <c r="J62" s="2268" t="s">
        <v>20</v>
      </c>
      <c r="K62" s="2268" t="s">
        <v>21</v>
      </c>
      <c r="L62" s="2268" t="s">
        <v>21</v>
      </c>
      <c r="M62" s="2268" t="s">
        <v>20</v>
      </c>
      <c r="N62" s="2278"/>
      <c r="O62" s="2268" t="s">
        <v>23</v>
      </c>
      <c r="P62" s="2268" t="s">
        <v>25</v>
      </c>
      <c r="Q62" s="2269" t="s">
        <v>25</v>
      </c>
      <c r="R62" s="2268" t="s">
        <v>25</v>
      </c>
      <c r="S62" s="2268" t="s">
        <v>24</v>
      </c>
      <c r="T62" s="2268" t="s">
        <v>23</v>
      </c>
      <c r="U62" s="2268" t="s">
        <v>23</v>
      </c>
      <c r="V62" s="2268" t="s">
        <v>25</v>
      </c>
      <c r="W62" s="2268" t="s">
        <v>25</v>
      </c>
      <c r="X62" s="2268" t="s">
        <v>24</v>
      </c>
      <c r="Y62" s="2268" t="s">
        <v>24</v>
      </c>
      <c r="Z62" s="2278"/>
    </row>
    <row r="63" spans="1:29" ht="27" customHeight="1" x14ac:dyDescent="0.25">
      <c r="A63" s="2086"/>
      <c r="B63" s="2086"/>
      <c r="C63" s="2268"/>
      <c r="D63" s="2269"/>
      <c r="E63" s="2269"/>
      <c r="F63" s="2268"/>
      <c r="G63" s="2268"/>
      <c r="H63" s="2268"/>
      <c r="I63" s="2275"/>
      <c r="J63" s="2275"/>
      <c r="K63" s="2275"/>
      <c r="L63" s="2275"/>
      <c r="M63" s="2275"/>
      <c r="N63" s="2278"/>
      <c r="O63" s="2275"/>
      <c r="P63" s="2275"/>
      <c r="Q63" s="2248"/>
      <c r="R63" s="2275"/>
      <c r="S63" s="2275"/>
      <c r="T63" s="2275"/>
      <c r="U63" s="2275"/>
      <c r="V63" s="2275"/>
      <c r="W63" s="2275"/>
      <c r="X63" s="2275"/>
      <c r="Y63" s="2275"/>
      <c r="Z63" s="2278"/>
    </row>
    <row r="64" spans="1:29" x14ac:dyDescent="0.25">
      <c r="B64" s="449"/>
      <c r="C64" s="449" t="s">
        <v>38</v>
      </c>
      <c r="D64" s="2310"/>
      <c r="E64" s="2310" t="s">
        <v>39</v>
      </c>
      <c r="F64" s="449"/>
      <c r="G64" s="449" t="s">
        <v>37</v>
      </c>
      <c r="H64" s="449"/>
    </row>
    <row r="65" spans="1:17" x14ac:dyDescent="0.25">
      <c r="B65" s="449" t="s">
        <v>22</v>
      </c>
      <c r="C65" s="449">
        <f>AVERAGE(C61,G61,H61,J61,M61)*100</f>
        <v>94.221466364323518</v>
      </c>
      <c r="D65" s="694">
        <f t="shared" ref="D65:D66" si="10">IF(C65&gt;=70,3,IF(AND(C65&gt;=60,C65&lt;70),2,IF(AND(C65&gt;=50,C65&lt;60),1)))</f>
        <v>3</v>
      </c>
      <c r="E65" s="694">
        <f>IF(AC60&gt;=70,3,IF(AND(AC60&gt;=60,AC60&lt;70),2,IF(AND(AC60&gt;=50,AC60&lt;60),1)))</f>
        <v>3</v>
      </c>
      <c r="F65" s="449"/>
      <c r="G65" s="837">
        <f t="shared" ref="G65:G66" si="11">(70/100)*E65+(30/100)*D65</f>
        <v>2.9999999999999996</v>
      </c>
      <c r="H65" s="449"/>
    </row>
    <row r="66" spans="1:17" x14ac:dyDescent="0.25">
      <c r="B66" s="449" t="s">
        <v>40</v>
      </c>
      <c r="C66" s="449">
        <f>AVERAGE(D61,E61,F61,I61,K61,L61)*100</f>
        <v>90.943841366333771</v>
      </c>
      <c r="D66" s="694">
        <f t="shared" si="10"/>
        <v>3</v>
      </c>
      <c r="E66" s="694">
        <f>IF(AC60&gt;=70,3,IF(AND(AC60&gt;=60,AC60&lt;70),2,IF(AND(AC60&gt;=50,AC60&lt;60),1)))</f>
        <v>3</v>
      </c>
      <c r="F66" s="449"/>
      <c r="G66" s="837">
        <f t="shared" si="11"/>
        <v>2.9999999999999996</v>
      </c>
      <c r="H66" s="449"/>
    </row>
    <row r="67" spans="1:17" x14ac:dyDescent="0.25">
      <c r="B67" s="449" t="s">
        <v>41</v>
      </c>
      <c r="C67" s="449">
        <f>AVERAGE(O61,T61)*100</f>
        <v>92.981283422459896</v>
      </c>
      <c r="D67" s="694">
        <f>IF(C67&gt;=70,3,IF(AND(C67&gt;=60,C67&lt;70),2,IF(AND(C67&gt;=50,C67&lt;60),1)))</f>
        <v>3</v>
      </c>
      <c r="E67" s="694">
        <f>IF(AC60&gt;=70,3,IF(AND(AC60&gt;=60,AC60&lt;70),2,IF(AND(AC60&gt;=50,AC60&lt;60),1)))</f>
        <v>3</v>
      </c>
      <c r="F67" s="449"/>
      <c r="G67" s="837">
        <f>(70/100)*E67+(30/100)*D67</f>
        <v>2.9999999999999996</v>
      </c>
      <c r="H67" s="449"/>
    </row>
    <row r="68" spans="1:17" x14ac:dyDescent="0.25">
      <c r="B68" s="449" t="s">
        <v>42</v>
      </c>
      <c r="C68" s="449">
        <f>AVERAGE(P61,X61)*100</f>
        <v>98</v>
      </c>
      <c r="D68" s="694">
        <f t="shared" ref="D68:D69" si="12">IF(C68&gt;=70,3,IF(AND(C68&gt;=60,C68&lt;70),2,IF(AND(C68&gt;=50,C68&lt;60),1)))</f>
        <v>3</v>
      </c>
      <c r="E68" s="694">
        <f>IF(AC60&gt;=70,3,IF(AND(AC60&gt;=60,AC60&lt;70),2,IF(AND(AC60&gt;=50,AC60&lt;60),1)))</f>
        <v>3</v>
      </c>
      <c r="F68" s="449"/>
      <c r="G68" s="837">
        <f>(70/100)*E68+(30/100)*D68</f>
        <v>2.9999999999999996</v>
      </c>
      <c r="H68" s="449"/>
    </row>
    <row r="69" spans="1:17" x14ac:dyDescent="0.25">
      <c r="B69" s="449" t="s">
        <v>43</v>
      </c>
      <c r="C69" s="449">
        <f>AVERAGE(Q61,W61)*100</f>
        <v>97.142857142857139</v>
      </c>
      <c r="D69" s="694">
        <f t="shared" si="12"/>
        <v>3</v>
      </c>
      <c r="E69" s="694">
        <f>IF(AC60&gt;=70,3,IF(AND(AC60&gt;=60,AC60&lt;70),2,IF(AND(AC60&gt;=50,AC60&lt;60),1)))</f>
        <v>3</v>
      </c>
      <c r="F69" s="449"/>
      <c r="G69" s="837">
        <f>(70/100)*E69+(30/100)*D69</f>
        <v>2.9999999999999996</v>
      </c>
      <c r="H69" s="449"/>
    </row>
    <row r="70" spans="1:17" x14ac:dyDescent="0.25">
      <c r="B70" s="3039" t="s">
        <v>44</v>
      </c>
      <c r="C70" s="3039"/>
      <c r="D70" s="3039"/>
      <c r="E70" s="3039"/>
      <c r="F70" s="3039"/>
      <c r="G70" s="2315">
        <f>AVERAGE(G65:G69)</f>
        <v>2.9999999999999996</v>
      </c>
      <c r="H70" s="449"/>
    </row>
    <row r="71" spans="1:17" x14ac:dyDescent="0.25">
      <c r="B71" s="54"/>
      <c r="C71" s="54"/>
      <c r="D71" s="54"/>
      <c r="E71" s="54"/>
      <c r="F71" s="54"/>
      <c r="G71" s="2321"/>
      <c r="H71" s="2277"/>
    </row>
    <row r="72" spans="1:17" x14ac:dyDescent="0.25">
      <c r="A72" s="2872" t="s">
        <v>134</v>
      </c>
      <c r="B72" s="2872"/>
      <c r="C72" s="2872"/>
      <c r="D72" s="2872"/>
      <c r="E72" s="2872"/>
      <c r="F72" s="19"/>
      <c r="G72" s="19"/>
      <c r="H72" s="19"/>
      <c r="I72" s="19"/>
      <c r="J72" s="19"/>
      <c r="K72" s="19"/>
      <c r="L72" s="19"/>
      <c r="M72" s="19"/>
      <c r="N72" s="19"/>
      <c r="Q72" s="2271"/>
    </row>
    <row r="73" spans="1:17" x14ac:dyDescent="0.25">
      <c r="B73" s="2294" t="s">
        <v>371</v>
      </c>
      <c r="C73" s="570" t="s">
        <v>46</v>
      </c>
      <c r="D73" s="570" t="s">
        <v>135</v>
      </c>
      <c r="E73" s="570" t="s">
        <v>48</v>
      </c>
      <c r="F73" s="570" t="s">
        <v>49</v>
      </c>
      <c r="G73" s="570" t="s">
        <v>50</v>
      </c>
      <c r="H73" s="570" t="s">
        <v>136</v>
      </c>
      <c r="I73" s="570" t="s">
        <v>52</v>
      </c>
      <c r="J73" s="570" t="s">
        <v>53</v>
      </c>
      <c r="K73" s="570" t="s">
        <v>54</v>
      </c>
      <c r="L73" s="570" t="s">
        <v>55</v>
      </c>
      <c r="M73" s="570" t="s">
        <v>56</v>
      </c>
      <c r="N73" s="570" t="s">
        <v>57</v>
      </c>
      <c r="Q73" s="2271"/>
    </row>
    <row r="74" spans="1:17" x14ac:dyDescent="0.25">
      <c r="B74" s="571" t="s">
        <v>22</v>
      </c>
      <c r="C74" s="2362">
        <v>3</v>
      </c>
      <c r="D74" s="2362">
        <v>2</v>
      </c>
      <c r="E74" s="2362">
        <v>3</v>
      </c>
      <c r="F74" s="2362">
        <v>1</v>
      </c>
      <c r="G74" s="2362">
        <v>1</v>
      </c>
      <c r="H74" s="2362">
        <v>3</v>
      </c>
      <c r="I74" s="2362">
        <v>3</v>
      </c>
      <c r="J74" s="2362">
        <v>3</v>
      </c>
      <c r="K74" s="2362"/>
      <c r="L74" s="2362">
        <v>2</v>
      </c>
      <c r="M74" s="2362">
        <v>3</v>
      </c>
      <c r="N74" s="2362">
        <v>3</v>
      </c>
      <c r="Q74" s="2271"/>
    </row>
    <row r="75" spans="1:17" x14ac:dyDescent="0.25">
      <c r="B75" s="571" t="s">
        <v>40</v>
      </c>
      <c r="C75" s="2362">
        <v>3</v>
      </c>
      <c r="D75" s="2362">
        <v>2</v>
      </c>
      <c r="E75" s="2362"/>
      <c r="F75" s="2362">
        <v>2</v>
      </c>
      <c r="G75" s="2362">
        <v>1</v>
      </c>
      <c r="H75" s="2362">
        <v>3</v>
      </c>
      <c r="I75" s="2362">
        <v>3</v>
      </c>
      <c r="J75" s="2362">
        <v>3</v>
      </c>
      <c r="K75" s="2362">
        <v>3</v>
      </c>
      <c r="L75" s="2362">
        <v>3</v>
      </c>
      <c r="M75" s="2362">
        <v>3</v>
      </c>
      <c r="N75" s="2362">
        <v>3</v>
      </c>
      <c r="Q75" s="2271"/>
    </row>
    <row r="76" spans="1:17" x14ac:dyDescent="0.25">
      <c r="B76" s="571" t="s">
        <v>41</v>
      </c>
      <c r="C76" s="2362">
        <v>3</v>
      </c>
      <c r="D76" s="2362">
        <v>2</v>
      </c>
      <c r="E76" s="2362">
        <v>3</v>
      </c>
      <c r="F76" s="2362">
        <v>2</v>
      </c>
      <c r="G76" s="2362">
        <v>1</v>
      </c>
      <c r="H76" s="2362">
        <v>3</v>
      </c>
      <c r="I76" s="2362">
        <v>3</v>
      </c>
      <c r="J76" s="2362">
        <v>3</v>
      </c>
      <c r="K76" s="2362"/>
      <c r="L76" s="2362">
        <v>3</v>
      </c>
      <c r="M76" s="2362">
        <v>3</v>
      </c>
      <c r="N76" s="2362">
        <v>3</v>
      </c>
      <c r="Q76" s="2271"/>
    </row>
    <row r="77" spans="1:17" x14ac:dyDescent="0.25">
      <c r="B77" s="571" t="s">
        <v>42</v>
      </c>
      <c r="C77" s="2362">
        <v>3</v>
      </c>
      <c r="D77" s="2362">
        <v>2</v>
      </c>
      <c r="E77" s="2362">
        <v>3</v>
      </c>
      <c r="F77" s="2362">
        <v>1</v>
      </c>
      <c r="G77" s="2362"/>
      <c r="H77" s="2362">
        <v>3</v>
      </c>
      <c r="I77" s="2362">
        <v>3</v>
      </c>
      <c r="J77" s="2362">
        <v>3</v>
      </c>
      <c r="K77" s="2362">
        <v>3</v>
      </c>
      <c r="L77" s="2362">
        <v>3</v>
      </c>
      <c r="M77" s="2362">
        <v>3</v>
      </c>
      <c r="N77" s="2362">
        <v>3</v>
      </c>
      <c r="Q77" s="2271"/>
    </row>
    <row r="78" spans="1:17" x14ac:dyDescent="0.25">
      <c r="B78" s="571" t="s">
        <v>43</v>
      </c>
      <c r="C78" s="2362">
        <v>3</v>
      </c>
      <c r="D78" s="2362">
        <v>2</v>
      </c>
      <c r="E78" s="2362">
        <v>3</v>
      </c>
      <c r="F78" s="2362">
        <v>1</v>
      </c>
      <c r="G78" s="2362">
        <v>1</v>
      </c>
      <c r="H78" s="2362">
        <v>3</v>
      </c>
      <c r="I78" s="2362">
        <v>3</v>
      </c>
      <c r="J78" s="2362">
        <v>3</v>
      </c>
      <c r="K78" s="2362"/>
      <c r="L78" s="2362">
        <v>2</v>
      </c>
      <c r="M78" s="2362">
        <v>3</v>
      </c>
      <c r="N78" s="2362">
        <v>3</v>
      </c>
      <c r="Q78" s="2271"/>
    </row>
    <row r="79" spans="1:17" x14ac:dyDescent="0.25">
      <c r="B79" s="746" t="s">
        <v>80</v>
      </c>
      <c r="C79" s="2404">
        <f t="shared" ref="C79:N79" si="13">AVERAGE(C74:C78)</f>
        <v>3</v>
      </c>
      <c r="D79" s="2404">
        <f t="shared" si="13"/>
        <v>2</v>
      </c>
      <c r="E79" s="2404">
        <f t="shared" si="13"/>
        <v>3</v>
      </c>
      <c r="F79" s="2404">
        <f t="shared" si="13"/>
        <v>1.4</v>
      </c>
      <c r="G79" s="2404">
        <f t="shared" si="13"/>
        <v>1</v>
      </c>
      <c r="H79" s="2404">
        <f t="shared" si="13"/>
        <v>3</v>
      </c>
      <c r="I79" s="2404">
        <f t="shared" si="13"/>
        <v>3</v>
      </c>
      <c r="J79" s="2404">
        <f t="shared" si="13"/>
        <v>3</v>
      </c>
      <c r="K79" s="2404">
        <f t="shared" si="13"/>
        <v>3</v>
      </c>
      <c r="L79" s="2404">
        <f t="shared" si="13"/>
        <v>2.6</v>
      </c>
      <c r="M79" s="2404">
        <f t="shared" si="13"/>
        <v>3</v>
      </c>
      <c r="N79" s="2404">
        <f t="shared" si="13"/>
        <v>3</v>
      </c>
      <c r="Q79" s="2271"/>
    </row>
    <row r="80" spans="1:17" x14ac:dyDescent="0.25">
      <c r="B80" s="746" t="s">
        <v>160</v>
      </c>
      <c r="C80" s="3027">
        <f>AVERAGE(C79:N79)</f>
        <v>2.5833333333333335</v>
      </c>
      <c r="D80" s="3028"/>
      <c r="E80" s="3028"/>
      <c r="F80" s="3028"/>
      <c r="G80" s="3028"/>
      <c r="H80" s="3028"/>
      <c r="I80" s="3028"/>
      <c r="J80" s="3028"/>
      <c r="K80" s="3028"/>
      <c r="L80" s="3028"/>
      <c r="M80" s="3028"/>
      <c r="N80" s="3029"/>
      <c r="Q80" s="2271"/>
    </row>
    <row r="81" spans="1:17" x14ac:dyDescent="0.25">
      <c r="B81" s="2318"/>
      <c r="C81" s="2319"/>
      <c r="D81" s="2320"/>
      <c r="E81" s="2320"/>
      <c r="F81" s="2320"/>
      <c r="G81" s="2320"/>
      <c r="H81" s="2320"/>
      <c r="I81" s="2320"/>
      <c r="J81" s="2320"/>
      <c r="K81" s="2320"/>
      <c r="L81" s="2320"/>
      <c r="M81" s="2320"/>
      <c r="N81" s="2320"/>
      <c r="Q81" s="2271"/>
    </row>
    <row r="82" spans="1:17" x14ac:dyDescent="0.25">
      <c r="A82" s="2872" t="s">
        <v>323</v>
      </c>
      <c r="B82" s="2872"/>
      <c r="C82" s="2872"/>
      <c r="D82" s="2872"/>
      <c r="E82" s="2872"/>
      <c r="F82" s="2872"/>
      <c r="Q82" s="2271"/>
    </row>
    <row r="83" spans="1:17" x14ac:dyDescent="0.25">
      <c r="B83" s="837" t="s">
        <v>45</v>
      </c>
      <c r="C83" s="2311" t="s">
        <v>68</v>
      </c>
      <c r="D83" s="2311" t="s">
        <v>69</v>
      </c>
      <c r="E83" s="2311" t="s">
        <v>70</v>
      </c>
      <c r="F83" s="2311" t="s">
        <v>71</v>
      </c>
      <c r="G83" s="2311" t="s">
        <v>72</v>
      </c>
      <c r="H83" s="2311" t="s">
        <v>73</v>
      </c>
      <c r="I83" s="2311" t="s">
        <v>74</v>
      </c>
      <c r="J83" s="2311" t="s">
        <v>75</v>
      </c>
      <c r="K83" s="2311" t="s">
        <v>76</v>
      </c>
      <c r="L83" s="2311" t="s">
        <v>77</v>
      </c>
      <c r="M83" s="2311" t="s">
        <v>78</v>
      </c>
      <c r="N83" s="2311" t="s">
        <v>79</v>
      </c>
      <c r="Q83" s="2271"/>
    </row>
    <row r="84" spans="1:17" x14ac:dyDescent="0.25">
      <c r="B84" s="2316" t="s">
        <v>20</v>
      </c>
      <c r="C84" s="2270">
        <f>(G66*C74)/3</f>
        <v>2.9999999999999996</v>
      </c>
      <c r="D84" s="2270">
        <f>G66*D74/3</f>
        <v>1.9999999999999998</v>
      </c>
      <c r="E84" s="2270">
        <f>G66*E74/3</f>
        <v>2.9999999999999996</v>
      </c>
      <c r="F84" s="2270">
        <f>G66*F74/3</f>
        <v>0.99999999999999989</v>
      </c>
      <c r="G84" s="2270">
        <f>G66*G74/3</f>
        <v>0.99999999999999989</v>
      </c>
      <c r="H84" s="2270">
        <f>G66*H74/3</f>
        <v>2.9999999999999996</v>
      </c>
      <c r="I84" s="2270">
        <f>G66*I74/3</f>
        <v>2.9999999999999996</v>
      </c>
      <c r="J84" s="2270">
        <f>G66*J74/3</f>
        <v>2.9999999999999996</v>
      </c>
      <c r="K84" s="2270"/>
      <c r="L84" s="2270">
        <f>G66*L74/3</f>
        <v>1.9999999999999998</v>
      </c>
      <c r="M84" s="2270">
        <f>G66*M74/3</f>
        <v>2.9999999999999996</v>
      </c>
      <c r="N84" s="2270">
        <f>G66*N74/3</f>
        <v>2.9999999999999996</v>
      </c>
      <c r="Q84" s="2271"/>
    </row>
    <row r="85" spans="1:17" x14ac:dyDescent="0.25">
      <c r="B85" s="2316" t="s">
        <v>21</v>
      </c>
      <c r="C85" s="2270">
        <f>(G67*C75)/3</f>
        <v>2.9999999999999996</v>
      </c>
      <c r="D85" s="2270">
        <f>G67*D75/3</f>
        <v>1.9999999999999998</v>
      </c>
      <c r="E85" s="2270"/>
      <c r="F85" s="2270">
        <f>G67*F75/3</f>
        <v>1.9999999999999998</v>
      </c>
      <c r="G85" s="2270">
        <f>G67*G75/3</f>
        <v>0.99999999999999989</v>
      </c>
      <c r="H85" s="2270">
        <f>G67*H75/3</f>
        <v>2.9999999999999996</v>
      </c>
      <c r="I85" s="2270">
        <f>G67*I75/3</f>
        <v>2.9999999999999996</v>
      </c>
      <c r="J85" s="2270">
        <f>G67*J75/3</f>
        <v>2.9999999999999996</v>
      </c>
      <c r="K85" s="2270">
        <f>G67*K75/3</f>
        <v>2.9999999999999996</v>
      </c>
      <c r="L85" s="2270">
        <f>G67*L75/3</f>
        <v>2.9999999999999996</v>
      </c>
      <c r="M85" s="2270">
        <f>G67*M75/3</f>
        <v>2.9999999999999996</v>
      </c>
      <c r="N85" s="2270">
        <f>G67*N75/3</f>
        <v>2.9999999999999996</v>
      </c>
      <c r="Q85" s="2271"/>
    </row>
    <row r="86" spans="1:17" x14ac:dyDescent="0.25">
      <c r="B86" s="2316" t="s">
        <v>23</v>
      </c>
      <c r="C86" s="2270">
        <f>(G68*C76)/3</f>
        <v>2.9999999999999996</v>
      </c>
      <c r="D86" s="2270">
        <f>G68*D76/3</f>
        <v>1.9999999999999998</v>
      </c>
      <c r="E86" s="2270">
        <f>G68*E76/3</f>
        <v>2.9999999999999996</v>
      </c>
      <c r="F86" s="2270">
        <f>G68*F76/3</f>
        <v>1.9999999999999998</v>
      </c>
      <c r="G86" s="2270">
        <f>G68*G76/3</f>
        <v>0.99999999999999989</v>
      </c>
      <c r="H86" s="2270">
        <f>G68*H76/3</f>
        <v>2.9999999999999996</v>
      </c>
      <c r="I86" s="2270">
        <f>G68*I76/3</f>
        <v>2.9999999999999996</v>
      </c>
      <c r="J86" s="2270">
        <f>G68*J76/3</f>
        <v>2.9999999999999996</v>
      </c>
      <c r="K86" s="2270"/>
      <c r="L86" s="2270">
        <f>G68*L76/3</f>
        <v>2.9999999999999996</v>
      </c>
      <c r="M86" s="2270">
        <f>G68*M76/3</f>
        <v>2.9999999999999996</v>
      </c>
      <c r="N86" s="2270">
        <f>G68*N76/3</f>
        <v>2.9999999999999996</v>
      </c>
      <c r="Q86" s="2271"/>
    </row>
    <row r="87" spans="1:17" x14ac:dyDescent="0.25">
      <c r="B87" s="2316" t="s">
        <v>25</v>
      </c>
      <c r="C87" s="2270">
        <f>(G69*C77)/3</f>
        <v>2.9999999999999996</v>
      </c>
      <c r="D87" s="2270">
        <f>G69*D77/3</f>
        <v>1.9999999999999998</v>
      </c>
      <c r="E87" s="2270">
        <f>G69*E77/3</f>
        <v>2.9999999999999996</v>
      </c>
      <c r="F87" s="2270">
        <f>G69*F77/3</f>
        <v>0.99999999999999989</v>
      </c>
      <c r="G87" s="2270"/>
      <c r="H87" s="2270">
        <f>G69*H77/3</f>
        <v>2.9999999999999996</v>
      </c>
      <c r="I87" s="2270">
        <f>G69*I77/3</f>
        <v>2.9999999999999996</v>
      </c>
      <c r="J87" s="2270">
        <f>G69*J77/3</f>
        <v>2.9999999999999996</v>
      </c>
      <c r="K87" s="2270">
        <f>G69*K77/3</f>
        <v>2.9999999999999996</v>
      </c>
      <c r="L87" s="2270">
        <f>G69*L77/3</f>
        <v>2.9999999999999996</v>
      </c>
      <c r="M87" s="2270">
        <f>G69*M77/3</f>
        <v>2.9999999999999996</v>
      </c>
      <c r="N87" s="2270">
        <f>G69*N77/3</f>
        <v>2.9999999999999996</v>
      </c>
      <c r="Q87" s="2271"/>
    </row>
    <row r="88" spans="1:17" x14ac:dyDescent="0.25">
      <c r="B88" s="2316" t="s">
        <v>24</v>
      </c>
      <c r="C88" s="2270">
        <f>(G70*C78)/3</f>
        <v>2.9999999999999996</v>
      </c>
      <c r="D88" s="2270">
        <f>G70*D78/3</f>
        <v>1.9999999999999998</v>
      </c>
      <c r="E88" s="2270">
        <f>G70*E78/3</f>
        <v>2.9999999999999996</v>
      </c>
      <c r="F88" s="2270">
        <f>G70*F78/3</f>
        <v>0.99999999999999989</v>
      </c>
      <c r="G88" s="2270"/>
      <c r="H88" s="2270">
        <f>G70*H78/3</f>
        <v>2.9999999999999996</v>
      </c>
      <c r="I88" s="2270">
        <f>G70*I78/3</f>
        <v>2.9999999999999996</v>
      </c>
      <c r="J88" s="2270">
        <f>G70*J78/3</f>
        <v>2.9999999999999996</v>
      </c>
      <c r="K88" s="2270"/>
      <c r="L88" s="2270">
        <f>G70*L78/3</f>
        <v>1.9999999999999998</v>
      </c>
      <c r="M88" s="2270">
        <f>G70*M78/3</f>
        <v>2.9999999999999996</v>
      </c>
      <c r="N88" s="2270">
        <f>G70*N78/3</f>
        <v>2.9999999999999996</v>
      </c>
      <c r="Q88" s="2271"/>
    </row>
    <row r="89" spans="1:17" x14ac:dyDescent="0.25">
      <c r="B89" s="2126" t="s">
        <v>10</v>
      </c>
      <c r="C89" s="908">
        <f t="shared" ref="C89:N89" si="14">AVERAGE(C84:C88)</f>
        <v>2.9999999999999996</v>
      </c>
      <c r="D89" s="908">
        <f t="shared" si="14"/>
        <v>1.9999999999999996</v>
      </c>
      <c r="E89" s="908">
        <f t="shared" si="14"/>
        <v>2.9999999999999996</v>
      </c>
      <c r="F89" s="908">
        <f t="shared" si="14"/>
        <v>1.4</v>
      </c>
      <c r="G89" s="908">
        <f t="shared" si="14"/>
        <v>0.99999999999999989</v>
      </c>
      <c r="H89" s="908">
        <f t="shared" si="14"/>
        <v>2.9999999999999996</v>
      </c>
      <c r="I89" s="908">
        <f t="shared" si="14"/>
        <v>2.9999999999999996</v>
      </c>
      <c r="J89" s="908">
        <f t="shared" si="14"/>
        <v>2.9999999999999996</v>
      </c>
      <c r="K89" s="908">
        <f t="shared" si="14"/>
        <v>2.9999999999999996</v>
      </c>
      <c r="L89" s="908">
        <f t="shared" si="14"/>
        <v>2.5999999999999996</v>
      </c>
      <c r="M89" s="908">
        <f t="shared" si="14"/>
        <v>2.9999999999999996</v>
      </c>
      <c r="N89" s="908">
        <f t="shared" si="14"/>
        <v>2.9999999999999996</v>
      </c>
      <c r="Q89" s="2271"/>
    </row>
    <row r="90" spans="1:17" x14ac:dyDescent="0.25">
      <c r="B90" s="2126" t="s">
        <v>58</v>
      </c>
      <c r="C90" s="3024">
        <f>AVERAGE(C89:N89)</f>
        <v>2.5833333333333335</v>
      </c>
      <c r="D90" s="3025"/>
      <c r="E90" s="3025"/>
      <c r="F90" s="3025"/>
      <c r="G90" s="3025"/>
      <c r="H90" s="3025"/>
      <c r="I90" s="3025"/>
      <c r="J90" s="3025"/>
      <c r="K90" s="3025"/>
      <c r="L90" s="3025"/>
      <c r="M90" s="3025"/>
      <c r="N90" s="3026"/>
      <c r="Q90" s="2271"/>
    </row>
    <row r="91" spans="1:17" x14ac:dyDescent="0.25">
      <c r="D91" s="2271"/>
      <c r="E91" s="2271"/>
      <c r="Q91" s="2271"/>
    </row>
    <row r="92" spans="1:17" x14ac:dyDescent="0.25">
      <c r="D92" s="2271"/>
      <c r="E92" s="2271"/>
      <c r="Q92" s="2271"/>
    </row>
    <row r="93" spans="1:17" x14ac:dyDescent="0.25">
      <c r="A93" s="2872" t="s">
        <v>137</v>
      </c>
      <c r="B93" s="2872"/>
      <c r="C93" s="2872"/>
      <c r="D93" s="2872"/>
      <c r="E93" s="2872"/>
      <c r="J93" s="2872" t="s">
        <v>324</v>
      </c>
      <c r="K93" s="2872"/>
      <c r="L93" s="2872"/>
      <c r="M93" s="2872"/>
      <c r="N93" s="2872"/>
      <c r="Q93" s="2271"/>
    </row>
    <row r="94" spans="1:17" x14ac:dyDescent="0.25">
      <c r="B94" s="330"/>
      <c r="C94" s="330"/>
      <c r="D94" s="19"/>
      <c r="E94" s="19"/>
      <c r="J94" s="19"/>
      <c r="K94" s="2292"/>
      <c r="L94" s="2292"/>
      <c r="M94" s="19"/>
      <c r="N94" s="19"/>
      <c r="Q94" s="2271"/>
    </row>
    <row r="95" spans="1:17" x14ac:dyDescent="0.25">
      <c r="B95" s="2294" t="s">
        <v>374</v>
      </c>
      <c r="C95" s="748" t="s">
        <v>87</v>
      </c>
      <c r="D95" s="748" t="s">
        <v>88</v>
      </c>
      <c r="E95" s="748" t="s">
        <v>85</v>
      </c>
      <c r="J95" s="2295"/>
      <c r="K95" s="837" t="s">
        <v>59</v>
      </c>
      <c r="L95" s="2311" t="s">
        <v>60</v>
      </c>
      <c r="M95" s="2311" t="s">
        <v>61</v>
      </c>
      <c r="N95" s="2311" t="s">
        <v>62</v>
      </c>
      <c r="Q95" s="2271"/>
    </row>
    <row r="96" spans="1:17" x14ac:dyDescent="0.25">
      <c r="B96" s="572" t="s">
        <v>22</v>
      </c>
      <c r="C96" s="2295">
        <v>2</v>
      </c>
      <c r="D96" s="2271">
        <v>3</v>
      </c>
      <c r="E96" s="2271">
        <v>3</v>
      </c>
      <c r="J96" s="2296"/>
      <c r="K96" s="2262" t="s">
        <v>20</v>
      </c>
      <c r="L96" s="2270">
        <f>G66*C96/3</f>
        <v>1.9999999999999998</v>
      </c>
      <c r="M96" s="2270">
        <f>G66*D96/3</f>
        <v>2.9999999999999996</v>
      </c>
      <c r="N96" s="2270">
        <f>G66*E96/3</f>
        <v>2.9999999999999996</v>
      </c>
      <c r="Q96" s="2271"/>
    </row>
    <row r="97" spans="2:17" x14ac:dyDescent="0.25">
      <c r="B97" s="572" t="s">
        <v>40</v>
      </c>
      <c r="C97" s="2296">
        <v>2</v>
      </c>
      <c r="D97" s="2271">
        <v>3</v>
      </c>
      <c r="E97" s="2271">
        <v>3</v>
      </c>
      <c r="J97" s="2296"/>
      <c r="K97" s="2262" t="s">
        <v>21</v>
      </c>
      <c r="L97" s="2270">
        <f>G67*C97/3</f>
        <v>1.9999999999999998</v>
      </c>
      <c r="M97" s="2270">
        <f>G67*D97/3</f>
        <v>2.9999999999999996</v>
      </c>
      <c r="N97" s="2270">
        <f>G67*E97/3</f>
        <v>2.9999999999999996</v>
      </c>
      <c r="Q97" s="2271"/>
    </row>
    <row r="98" spans="2:17" x14ac:dyDescent="0.25">
      <c r="B98" s="572" t="s">
        <v>41</v>
      </c>
      <c r="C98" s="2296">
        <v>2</v>
      </c>
      <c r="D98" s="2271">
        <v>2</v>
      </c>
      <c r="E98" s="2271">
        <v>3</v>
      </c>
      <c r="J98" s="2296"/>
      <c r="K98" s="2262" t="s">
        <v>23</v>
      </c>
      <c r="L98" s="2270">
        <f>G68*C98/3</f>
        <v>1.9999999999999998</v>
      </c>
      <c r="M98" s="2270">
        <f>G68*D98/3</f>
        <v>1.9999999999999998</v>
      </c>
      <c r="N98" s="2270">
        <f>G68*E98/3</f>
        <v>2.9999999999999996</v>
      </c>
      <c r="Q98" s="2271"/>
    </row>
    <row r="99" spans="2:17" x14ac:dyDescent="0.25">
      <c r="B99" s="572" t="s">
        <v>42</v>
      </c>
      <c r="C99" s="2296">
        <v>2</v>
      </c>
      <c r="D99" s="2271">
        <v>2</v>
      </c>
      <c r="E99" s="2271">
        <v>3</v>
      </c>
      <c r="J99" s="2296"/>
      <c r="K99" s="2262" t="s">
        <v>25</v>
      </c>
      <c r="L99" s="2270">
        <f>G69*C99/3</f>
        <v>1.9999999999999998</v>
      </c>
      <c r="M99" s="2270">
        <f>G69*D99/3</f>
        <v>1.9999999999999998</v>
      </c>
      <c r="N99" s="2270">
        <f>G69*E99/3</f>
        <v>2.9999999999999996</v>
      </c>
      <c r="Q99" s="2271"/>
    </row>
    <row r="100" spans="2:17" x14ac:dyDescent="0.25">
      <c r="B100" s="572" t="s">
        <v>43</v>
      </c>
      <c r="C100" s="2296">
        <v>2</v>
      </c>
      <c r="D100" s="2271">
        <v>2</v>
      </c>
      <c r="E100" s="2271">
        <v>3</v>
      </c>
      <c r="J100" s="2296"/>
      <c r="K100" s="2262" t="s">
        <v>24</v>
      </c>
      <c r="L100" s="2270">
        <f>G70*C100/3</f>
        <v>1.9999999999999998</v>
      </c>
      <c r="M100" s="2270">
        <f>G70*D100/3</f>
        <v>1.9999999999999998</v>
      </c>
      <c r="N100" s="2270">
        <f>G70*E100/3</f>
        <v>2.9999999999999996</v>
      </c>
      <c r="Q100" s="2271"/>
    </row>
    <row r="101" spans="2:17" x14ac:dyDescent="0.25">
      <c r="B101" s="748" t="s">
        <v>80</v>
      </c>
      <c r="C101" s="750">
        <f>AVERAGE(C96:C100)</f>
        <v>2</v>
      </c>
      <c r="D101" s="750">
        <f>AVERAGE(D96:D100)</f>
        <v>2.4</v>
      </c>
      <c r="E101" s="750">
        <f>AVERAGE(E96:E100)</f>
        <v>3</v>
      </c>
      <c r="J101" s="2297"/>
      <c r="K101" s="748" t="s">
        <v>80</v>
      </c>
      <c r="L101" s="981">
        <f>AVERAGE(L96:L100)</f>
        <v>1.9999999999999996</v>
      </c>
      <c r="M101" s="981">
        <f>AVERAGE(M96:M100)</f>
        <v>2.3999999999999995</v>
      </c>
      <c r="N101" s="981">
        <f>AVERAGE(N96:N100)</f>
        <v>2.9999999999999996</v>
      </c>
      <c r="Q101" s="2271"/>
    </row>
    <row r="102" spans="2:17" x14ac:dyDescent="0.25">
      <c r="B102" s="2126" t="s">
        <v>58</v>
      </c>
      <c r="C102" s="3018">
        <f>AVERAGE(C101:E101)</f>
        <v>2.4666666666666668</v>
      </c>
      <c r="D102" s="3019"/>
      <c r="E102" s="3020"/>
      <c r="J102" s="2317"/>
      <c r="K102" s="2126" t="s">
        <v>58</v>
      </c>
      <c r="L102" s="3021">
        <f>AVERAGE(L101:N101)</f>
        <v>2.4666666666666663</v>
      </c>
      <c r="M102" s="3022"/>
      <c r="N102" s="3023"/>
      <c r="Q102" s="2271"/>
    </row>
    <row r="103" spans="2:17" x14ac:dyDescent="0.25">
      <c r="D103" s="2271"/>
      <c r="E103" s="2271"/>
      <c r="Q103" s="2271"/>
    </row>
  </sheetData>
  <mergeCells count="26">
    <mergeCell ref="AC5:AC7"/>
    <mergeCell ref="Z4:Z7"/>
    <mergeCell ref="AB5:AB7"/>
    <mergeCell ref="A60:B60"/>
    <mergeCell ref="B70:F70"/>
    <mergeCell ref="O4:Y4"/>
    <mergeCell ref="O5:S5"/>
    <mergeCell ref="T5:U5"/>
    <mergeCell ref="V5:W5"/>
    <mergeCell ref="X5:Y5"/>
    <mergeCell ref="C80:N80"/>
    <mergeCell ref="A72:E72"/>
    <mergeCell ref="B5:B6"/>
    <mergeCell ref="A61:B61"/>
    <mergeCell ref="C4:M4"/>
    <mergeCell ref="N4:N7"/>
    <mergeCell ref="C5:G5"/>
    <mergeCell ref="H5:I5"/>
    <mergeCell ref="J5:K5"/>
    <mergeCell ref="L5:M5"/>
    <mergeCell ref="C102:E102"/>
    <mergeCell ref="L102:N102"/>
    <mergeCell ref="A93:E93"/>
    <mergeCell ref="J93:N93"/>
    <mergeCell ref="A82:F82"/>
    <mergeCell ref="C90:N90"/>
  </mergeCells>
  <conditionalFormatting sqref="AB9:AB57">
    <cfRule type="containsText" dxfId="125" priority="1" operator="containsText" text="F">
      <formula>NOT(ISERROR(SEARCH("F",AB9)))</formula>
    </cfRule>
  </conditionalFormatting>
  <pageMargins left="0.7" right="0.7" top="0.75" bottom="0.75" header="0.3" footer="0.3"/>
  <pageSetup paperSize="8" scale="4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1"/>
  <sheetViews>
    <sheetView topLeftCell="E64" zoomScale="85" zoomScaleNormal="85" workbookViewId="0">
      <selection activeCell="F65" sqref="F65:G65"/>
    </sheetView>
  </sheetViews>
  <sheetFormatPr defaultRowHeight="15" x14ac:dyDescent="0.25"/>
  <cols>
    <col min="2" max="2" width="22.85546875" bestFit="1" customWidth="1"/>
    <col min="3" max="3" width="28" bestFit="1" customWidth="1"/>
    <col min="4" max="4" width="19.7109375" bestFit="1" customWidth="1"/>
    <col min="5" max="5" width="18.85546875" bestFit="1" customWidth="1"/>
    <col min="6" max="6" width="20.5703125" customWidth="1"/>
    <col min="7" max="7" width="10.5703125" customWidth="1"/>
    <col min="8" max="8" width="22" bestFit="1" customWidth="1"/>
    <col min="9" max="9" width="8.140625" bestFit="1" customWidth="1"/>
    <col min="11" max="11" width="7.42578125" customWidth="1"/>
    <col min="12" max="12" width="7.28515625" bestFit="1" customWidth="1"/>
    <col min="13" max="13" width="10.85546875" customWidth="1"/>
    <col min="14" max="14" width="7.42578125" bestFit="1" customWidth="1"/>
  </cols>
  <sheetData>
    <row r="1" spans="1:23" ht="15.75" x14ac:dyDescent="0.25">
      <c r="A1" s="128"/>
      <c r="B1" s="128"/>
      <c r="C1" s="128"/>
      <c r="D1" s="128"/>
      <c r="E1" s="128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3" ht="15.75" x14ac:dyDescent="0.25">
      <c r="A2" s="2873" t="s">
        <v>0</v>
      </c>
      <c r="B2" s="2874"/>
      <c r="C2" s="306" t="s">
        <v>213</v>
      </c>
      <c r="D2" s="179" t="s">
        <v>63</v>
      </c>
      <c r="E2" s="78" t="s">
        <v>366</v>
      </c>
      <c r="F2" s="180"/>
    </row>
    <row r="3" spans="1:23" ht="19.5" customHeight="1" x14ac:dyDescent="0.25">
      <c r="A3" s="2875" t="s">
        <v>1</v>
      </c>
      <c r="B3" s="2876"/>
      <c r="C3" s="307" t="s">
        <v>214</v>
      </c>
      <c r="D3" s="3" t="s">
        <v>64</v>
      </c>
      <c r="E3" s="78" t="s">
        <v>319</v>
      </c>
      <c r="F3" s="75"/>
    </row>
    <row r="4" spans="1:23" ht="15.75" x14ac:dyDescent="0.25">
      <c r="A4" s="97"/>
      <c r="B4" s="5" t="s">
        <v>2</v>
      </c>
      <c r="C4" s="306" t="s">
        <v>215</v>
      </c>
      <c r="D4" s="5" t="s">
        <v>65</v>
      </c>
      <c r="E4" s="78" t="s">
        <v>66</v>
      </c>
      <c r="F4" s="15"/>
    </row>
    <row r="5" spans="1:23" ht="15.75" x14ac:dyDescent="0.25">
      <c r="A5" s="67"/>
      <c r="B5" s="2662" t="s">
        <v>5</v>
      </c>
      <c r="C5" s="2889" t="s">
        <v>165</v>
      </c>
      <c r="D5" s="2661" t="s">
        <v>11</v>
      </c>
      <c r="E5" s="2661" t="s">
        <v>12</v>
      </c>
    </row>
    <row r="6" spans="1:23" ht="15.75" x14ac:dyDescent="0.25">
      <c r="A6" s="16"/>
      <c r="B6" s="2651"/>
      <c r="C6" s="2890"/>
      <c r="D6" s="2662"/>
      <c r="E6" s="2662"/>
    </row>
    <row r="7" spans="1:23" ht="15.75" x14ac:dyDescent="0.25">
      <c r="A7" s="16"/>
      <c r="B7" s="116" t="s">
        <v>19</v>
      </c>
      <c r="C7" s="110" t="s">
        <v>166</v>
      </c>
      <c r="D7" s="2884" t="s">
        <v>166</v>
      </c>
      <c r="E7" s="2885"/>
    </row>
    <row r="8" spans="1:23" ht="15.75" x14ac:dyDescent="0.25">
      <c r="A8" s="108" t="s">
        <v>18</v>
      </c>
      <c r="B8" s="109" t="s">
        <v>26</v>
      </c>
      <c r="C8" s="184">
        <v>50</v>
      </c>
      <c r="D8" s="2886">
        <v>100</v>
      </c>
      <c r="E8" s="2887"/>
    </row>
    <row r="9" spans="1:23" ht="20.25" x14ac:dyDescent="0.25">
      <c r="A9" s="185">
        <v>1</v>
      </c>
      <c r="B9" s="1973">
        <v>5191421001</v>
      </c>
      <c r="C9" s="186">
        <v>46</v>
      </c>
      <c r="D9" s="2124" t="s">
        <v>30</v>
      </c>
      <c r="E9" s="185">
        <f t="shared" ref="E9:E57" si="0">IF(D9="O",100,IF(D9="A+",90,IF(D9="A",80,IF(D9="B+",70,IF(D9="B",60,IF(D9="C",55,IF(D9="P",50,IF(D9="F",39))))))))</f>
        <v>90</v>
      </c>
    </row>
    <row r="10" spans="1:23" ht="20.25" x14ac:dyDescent="0.25">
      <c r="A10" s="185">
        <v>2</v>
      </c>
      <c r="B10" s="1973">
        <f>+B9+1</f>
        <v>5191421002</v>
      </c>
      <c r="C10" s="186">
        <v>45</v>
      </c>
      <c r="D10" s="2124" t="s">
        <v>82</v>
      </c>
      <c r="E10" s="185">
        <f t="shared" si="0"/>
        <v>100</v>
      </c>
    </row>
    <row r="11" spans="1:23" ht="20.25" x14ac:dyDescent="0.25">
      <c r="A11" s="185">
        <v>3</v>
      </c>
      <c r="B11" s="1973">
        <f t="shared" ref="B11:B57" si="1">+B10+1</f>
        <v>5191421003</v>
      </c>
      <c r="C11" s="186">
        <v>49</v>
      </c>
      <c r="D11" s="2124" t="s">
        <v>82</v>
      </c>
      <c r="E11" s="185">
        <f t="shared" si="0"/>
        <v>100</v>
      </c>
    </row>
    <row r="12" spans="1:23" ht="20.25" x14ac:dyDescent="0.25">
      <c r="A12" s="185">
        <v>4</v>
      </c>
      <c r="B12" s="1973">
        <f t="shared" si="1"/>
        <v>5191421004</v>
      </c>
      <c r="C12" s="186">
        <v>43</v>
      </c>
      <c r="D12" s="2124" t="s">
        <v>27</v>
      </c>
      <c r="E12" s="185">
        <f t="shared" si="0"/>
        <v>80</v>
      </c>
    </row>
    <row r="13" spans="1:23" ht="20.25" x14ac:dyDescent="0.25">
      <c r="A13" s="185">
        <v>5</v>
      </c>
      <c r="B13" s="1973">
        <f t="shared" si="1"/>
        <v>5191421005</v>
      </c>
      <c r="C13" s="186">
        <v>46</v>
      </c>
      <c r="D13" s="2124" t="s">
        <v>30</v>
      </c>
      <c r="E13" s="185">
        <f t="shared" si="0"/>
        <v>90</v>
      </c>
    </row>
    <row r="14" spans="1:23" ht="20.25" x14ac:dyDescent="0.25">
      <c r="A14" s="185">
        <v>6</v>
      </c>
      <c r="B14" s="1973">
        <f t="shared" si="1"/>
        <v>5191421006</v>
      </c>
      <c r="C14" s="186">
        <v>36</v>
      </c>
      <c r="D14" s="2124" t="s">
        <v>82</v>
      </c>
      <c r="E14" s="185">
        <f t="shared" si="0"/>
        <v>100</v>
      </c>
    </row>
    <row r="15" spans="1:23" ht="20.25" x14ac:dyDescent="0.25">
      <c r="A15" s="185">
        <v>7</v>
      </c>
      <c r="B15" s="1973">
        <f t="shared" si="1"/>
        <v>5191421007</v>
      </c>
      <c r="C15" s="186">
        <v>49</v>
      </c>
      <c r="D15" s="2124" t="s">
        <v>82</v>
      </c>
      <c r="E15" s="185">
        <f t="shared" si="0"/>
        <v>100</v>
      </c>
    </row>
    <row r="16" spans="1:23" ht="20.25" x14ac:dyDescent="0.25">
      <c r="A16" s="185">
        <v>8</v>
      </c>
      <c r="B16" s="1973">
        <f t="shared" si="1"/>
        <v>5191421008</v>
      </c>
      <c r="C16" s="186">
        <v>48</v>
      </c>
      <c r="D16" s="2124" t="s">
        <v>30</v>
      </c>
      <c r="E16" s="185">
        <f t="shared" si="0"/>
        <v>90</v>
      </c>
    </row>
    <row r="17" spans="1:5" ht="20.25" x14ac:dyDescent="0.25">
      <c r="A17" s="185">
        <v>9</v>
      </c>
      <c r="B17" s="1973">
        <f t="shared" si="1"/>
        <v>5191421009</v>
      </c>
      <c r="C17" s="186">
        <v>41</v>
      </c>
      <c r="D17" s="2124" t="s">
        <v>82</v>
      </c>
      <c r="E17" s="185">
        <f t="shared" si="0"/>
        <v>100</v>
      </c>
    </row>
    <row r="18" spans="1:5" ht="20.25" x14ac:dyDescent="0.25">
      <c r="A18" s="185">
        <v>10</v>
      </c>
      <c r="B18" s="1973">
        <f t="shared" si="1"/>
        <v>5191421010</v>
      </c>
      <c r="C18" s="186">
        <v>40</v>
      </c>
      <c r="D18" s="2124" t="s">
        <v>82</v>
      </c>
      <c r="E18" s="185">
        <f t="shared" si="0"/>
        <v>100</v>
      </c>
    </row>
    <row r="19" spans="1:5" ht="20.25" x14ac:dyDescent="0.25">
      <c r="A19" s="185">
        <v>11</v>
      </c>
      <c r="B19" s="1973">
        <f t="shared" si="1"/>
        <v>5191421011</v>
      </c>
      <c r="C19" s="186">
        <v>40</v>
      </c>
      <c r="D19" s="2124" t="s">
        <v>30</v>
      </c>
      <c r="E19" s="185">
        <f t="shared" si="0"/>
        <v>90</v>
      </c>
    </row>
    <row r="20" spans="1:5" ht="20.25" x14ac:dyDescent="0.25">
      <c r="A20" s="185">
        <v>12</v>
      </c>
      <c r="B20" s="1973">
        <f t="shared" si="1"/>
        <v>5191421012</v>
      </c>
      <c r="C20" s="186">
        <v>43</v>
      </c>
      <c r="D20" s="2124" t="s">
        <v>30</v>
      </c>
      <c r="E20" s="185">
        <f t="shared" si="0"/>
        <v>90</v>
      </c>
    </row>
    <row r="21" spans="1:5" ht="20.25" x14ac:dyDescent="0.25">
      <c r="A21" s="185">
        <v>13</v>
      </c>
      <c r="B21" s="1973">
        <f t="shared" si="1"/>
        <v>5191421013</v>
      </c>
      <c r="C21" s="186">
        <v>35</v>
      </c>
      <c r="D21" s="2124" t="s">
        <v>82</v>
      </c>
      <c r="E21" s="185">
        <f t="shared" si="0"/>
        <v>100</v>
      </c>
    </row>
    <row r="22" spans="1:5" ht="20.25" x14ac:dyDescent="0.25">
      <c r="A22" s="185">
        <v>14</v>
      </c>
      <c r="B22" s="1973">
        <f t="shared" si="1"/>
        <v>5191421014</v>
      </c>
      <c r="C22" s="186">
        <v>38</v>
      </c>
      <c r="D22" s="2124" t="s">
        <v>30</v>
      </c>
      <c r="E22" s="185">
        <f t="shared" si="0"/>
        <v>90</v>
      </c>
    </row>
    <row r="23" spans="1:5" ht="20.25" x14ac:dyDescent="0.25">
      <c r="A23" s="185">
        <v>15</v>
      </c>
      <c r="B23" s="1973">
        <f t="shared" si="1"/>
        <v>5191421015</v>
      </c>
      <c r="C23" s="186">
        <v>40</v>
      </c>
      <c r="D23" s="2124" t="s">
        <v>30</v>
      </c>
      <c r="E23" s="185">
        <f t="shared" si="0"/>
        <v>90</v>
      </c>
    </row>
    <row r="24" spans="1:5" ht="20.25" x14ac:dyDescent="0.25">
      <c r="A24" s="185">
        <v>16</v>
      </c>
      <c r="B24" s="1973">
        <f t="shared" si="1"/>
        <v>5191421016</v>
      </c>
      <c r="C24" s="186">
        <v>41</v>
      </c>
      <c r="D24" s="2124" t="s">
        <v>30</v>
      </c>
      <c r="E24" s="185">
        <f t="shared" si="0"/>
        <v>90</v>
      </c>
    </row>
    <row r="25" spans="1:5" ht="20.25" x14ac:dyDescent="0.25">
      <c r="A25" s="185">
        <v>17</v>
      </c>
      <c r="B25" s="1973">
        <f t="shared" si="1"/>
        <v>5191421017</v>
      </c>
      <c r="C25" s="186">
        <v>49</v>
      </c>
      <c r="D25" s="2124" t="s">
        <v>82</v>
      </c>
      <c r="E25" s="185">
        <f t="shared" si="0"/>
        <v>100</v>
      </c>
    </row>
    <row r="26" spans="1:5" ht="20.25" x14ac:dyDescent="0.25">
      <c r="A26" s="185">
        <v>18</v>
      </c>
      <c r="B26" s="1973">
        <f t="shared" si="1"/>
        <v>5191421018</v>
      </c>
      <c r="C26" s="186">
        <v>41</v>
      </c>
      <c r="D26" s="2125" t="s">
        <v>30</v>
      </c>
      <c r="E26" s="185">
        <f t="shared" si="0"/>
        <v>90</v>
      </c>
    </row>
    <row r="27" spans="1:5" ht="20.25" x14ac:dyDescent="0.25">
      <c r="A27" s="185">
        <v>19</v>
      </c>
      <c r="B27" s="1973">
        <f t="shared" si="1"/>
        <v>5191421019</v>
      </c>
      <c r="C27" s="186">
        <v>35</v>
      </c>
      <c r="D27" s="2124" t="s">
        <v>30</v>
      </c>
      <c r="E27" s="185">
        <f t="shared" si="0"/>
        <v>90</v>
      </c>
    </row>
    <row r="28" spans="1:5" ht="20.25" x14ac:dyDescent="0.25">
      <c r="A28" s="185">
        <v>20</v>
      </c>
      <c r="B28" s="1973">
        <f t="shared" si="1"/>
        <v>5191421020</v>
      </c>
      <c r="C28" s="186">
        <v>38</v>
      </c>
      <c r="D28" s="2125" t="s">
        <v>82</v>
      </c>
      <c r="E28" s="185">
        <f t="shared" si="0"/>
        <v>100</v>
      </c>
    </row>
    <row r="29" spans="1:5" ht="20.25" x14ac:dyDescent="0.25">
      <c r="A29" s="185">
        <v>21</v>
      </c>
      <c r="B29" s="1973">
        <f t="shared" si="1"/>
        <v>5191421021</v>
      </c>
      <c r="C29" s="186">
        <v>45</v>
      </c>
      <c r="D29" s="2124" t="s">
        <v>82</v>
      </c>
      <c r="E29" s="185">
        <f t="shared" si="0"/>
        <v>100</v>
      </c>
    </row>
    <row r="30" spans="1:5" ht="20.25" x14ac:dyDescent="0.25">
      <c r="A30" s="185">
        <v>22</v>
      </c>
      <c r="B30" s="1973">
        <f t="shared" si="1"/>
        <v>5191421022</v>
      </c>
      <c r="C30" s="186">
        <v>41</v>
      </c>
      <c r="D30" s="2125" t="s">
        <v>30</v>
      </c>
      <c r="E30" s="185">
        <f t="shared" si="0"/>
        <v>90</v>
      </c>
    </row>
    <row r="31" spans="1:5" ht="20.25" x14ac:dyDescent="0.25">
      <c r="A31" s="185">
        <v>23</v>
      </c>
      <c r="B31" s="1973">
        <f t="shared" si="1"/>
        <v>5191421023</v>
      </c>
      <c r="C31" s="186">
        <v>43</v>
      </c>
      <c r="D31" s="2124" t="s">
        <v>30</v>
      </c>
      <c r="E31" s="185">
        <f t="shared" si="0"/>
        <v>90</v>
      </c>
    </row>
    <row r="32" spans="1:5" ht="20.25" x14ac:dyDescent="0.25">
      <c r="A32" s="185">
        <v>24</v>
      </c>
      <c r="B32" s="1973">
        <f t="shared" si="1"/>
        <v>5191421024</v>
      </c>
      <c r="C32" s="186">
        <v>49</v>
      </c>
      <c r="D32" s="2125" t="s">
        <v>27</v>
      </c>
      <c r="E32" s="185">
        <f t="shared" si="0"/>
        <v>80</v>
      </c>
    </row>
    <row r="33" spans="1:23" ht="20.25" x14ac:dyDescent="0.25">
      <c r="A33" s="185">
        <v>25</v>
      </c>
      <c r="B33" s="1973">
        <f t="shared" si="1"/>
        <v>5191421025</v>
      </c>
      <c r="C33" s="186">
        <v>49</v>
      </c>
      <c r="D33" s="2124" t="s">
        <v>82</v>
      </c>
      <c r="E33" s="185">
        <f t="shared" si="0"/>
        <v>100</v>
      </c>
      <c r="G33" s="121"/>
      <c r="H33" s="121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69"/>
      <c r="U33" s="69"/>
      <c r="V33" s="22"/>
      <c r="W33" s="19"/>
    </row>
    <row r="34" spans="1:23" ht="20.25" x14ac:dyDescent="0.25">
      <c r="A34" s="185">
        <v>26</v>
      </c>
      <c r="B34" s="1973">
        <f t="shared" si="1"/>
        <v>5191421026</v>
      </c>
      <c r="C34" s="186">
        <v>48</v>
      </c>
      <c r="D34" s="2125" t="s">
        <v>82</v>
      </c>
      <c r="E34" s="185">
        <f t="shared" si="0"/>
        <v>100</v>
      </c>
      <c r="G34" s="121"/>
      <c r="H34" s="121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69"/>
      <c r="U34" s="69"/>
      <c r="V34" s="22"/>
      <c r="W34" s="19"/>
    </row>
    <row r="35" spans="1:23" ht="20.25" x14ac:dyDescent="0.25">
      <c r="A35" s="185">
        <v>27</v>
      </c>
      <c r="B35" s="1973">
        <f t="shared" si="1"/>
        <v>5191421027</v>
      </c>
      <c r="C35" s="186">
        <v>49</v>
      </c>
      <c r="D35" s="2124" t="s">
        <v>82</v>
      </c>
      <c r="E35" s="185">
        <f t="shared" si="0"/>
        <v>100</v>
      </c>
      <c r="G35" s="121"/>
      <c r="H35" s="121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69"/>
      <c r="U35" s="69"/>
      <c r="V35" s="22"/>
      <c r="W35" s="19"/>
    </row>
    <row r="36" spans="1:23" ht="20.25" x14ac:dyDescent="0.25">
      <c r="A36" s="185">
        <v>28</v>
      </c>
      <c r="B36" s="1973">
        <f t="shared" si="1"/>
        <v>5191421028</v>
      </c>
      <c r="C36" s="186">
        <v>46</v>
      </c>
      <c r="D36" s="2125" t="s">
        <v>30</v>
      </c>
      <c r="E36" s="185">
        <f t="shared" si="0"/>
        <v>90</v>
      </c>
      <c r="G36" s="121"/>
      <c r="H36" s="121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69"/>
      <c r="U36" s="69"/>
      <c r="V36" s="22"/>
      <c r="W36" s="19"/>
    </row>
    <row r="37" spans="1:23" ht="20.25" x14ac:dyDescent="0.25">
      <c r="A37" s="185">
        <v>29</v>
      </c>
      <c r="B37" s="1973">
        <f t="shared" si="1"/>
        <v>5191421029</v>
      </c>
      <c r="C37" s="186">
        <v>32</v>
      </c>
      <c r="D37" s="2124" t="s">
        <v>30</v>
      </c>
      <c r="E37" s="185">
        <f t="shared" si="0"/>
        <v>90</v>
      </c>
      <c r="G37" s="121"/>
      <c r="H37" s="121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69"/>
      <c r="U37" s="69"/>
      <c r="V37" s="22"/>
      <c r="W37" s="19"/>
    </row>
    <row r="38" spans="1:23" ht="20.25" x14ac:dyDescent="0.25">
      <c r="A38" s="185">
        <v>30</v>
      </c>
      <c r="B38" s="1973">
        <f t="shared" si="1"/>
        <v>5191421030</v>
      </c>
      <c r="C38" s="186">
        <v>46</v>
      </c>
      <c r="D38" s="2125" t="s">
        <v>27</v>
      </c>
      <c r="E38" s="185">
        <f t="shared" si="0"/>
        <v>80</v>
      </c>
      <c r="G38" s="121"/>
      <c r="H38" s="121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69"/>
      <c r="U38" s="69"/>
      <c r="V38" s="22"/>
      <c r="W38" s="19"/>
    </row>
    <row r="39" spans="1:23" ht="20.25" x14ac:dyDescent="0.25">
      <c r="A39" s="185">
        <v>31</v>
      </c>
      <c r="B39" s="1973">
        <f t="shared" si="1"/>
        <v>5191421031</v>
      </c>
      <c r="C39" s="186">
        <v>34</v>
      </c>
      <c r="D39" s="2124" t="s">
        <v>82</v>
      </c>
      <c r="E39" s="185">
        <f t="shared" si="0"/>
        <v>100</v>
      </c>
      <c r="G39" s="121"/>
      <c r="H39" s="121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69"/>
      <c r="U39" s="69"/>
      <c r="V39" s="22"/>
      <c r="W39" s="19"/>
    </row>
    <row r="40" spans="1:23" ht="20.25" x14ac:dyDescent="0.25">
      <c r="A40" s="185">
        <v>32</v>
      </c>
      <c r="B40" s="1973">
        <f t="shared" si="1"/>
        <v>5191421032</v>
      </c>
      <c r="C40" s="186">
        <v>40</v>
      </c>
      <c r="D40" s="2125" t="s">
        <v>30</v>
      </c>
      <c r="E40" s="185">
        <f t="shared" si="0"/>
        <v>90</v>
      </c>
      <c r="G40" s="121"/>
      <c r="H40" s="121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69"/>
      <c r="U40" s="69"/>
      <c r="V40" s="22"/>
      <c r="W40" s="19"/>
    </row>
    <row r="41" spans="1:23" ht="20.25" x14ac:dyDescent="0.25">
      <c r="A41" s="185">
        <v>33</v>
      </c>
      <c r="B41" s="1973">
        <f t="shared" si="1"/>
        <v>5191421033</v>
      </c>
      <c r="C41" s="186">
        <v>36</v>
      </c>
      <c r="D41" s="2124" t="s">
        <v>82</v>
      </c>
      <c r="E41" s="185">
        <f t="shared" si="0"/>
        <v>100</v>
      </c>
      <c r="G41" s="121"/>
      <c r="H41" s="121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69"/>
      <c r="U41" s="69"/>
      <c r="V41" s="22"/>
      <c r="W41" s="19"/>
    </row>
    <row r="42" spans="1:23" ht="20.25" x14ac:dyDescent="0.25">
      <c r="A42" s="185">
        <v>34</v>
      </c>
      <c r="B42" s="1973">
        <f t="shared" si="1"/>
        <v>5191421034</v>
      </c>
      <c r="C42" s="186">
        <v>43</v>
      </c>
      <c r="D42" s="2125" t="s">
        <v>82</v>
      </c>
      <c r="E42" s="185">
        <f t="shared" si="0"/>
        <v>100</v>
      </c>
      <c r="G42" s="121"/>
      <c r="H42" s="121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69"/>
      <c r="U42" s="69"/>
      <c r="V42" s="22"/>
      <c r="W42" s="19"/>
    </row>
    <row r="43" spans="1:23" ht="20.25" x14ac:dyDescent="0.25">
      <c r="A43" s="185">
        <v>35</v>
      </c>
      <c r="B43" s="1973">
        <f t="shared" si="1"/>
        <v>5191421035</v>
      </c>
      <c r="C43" s="186">
        <v>49</v>
      </c>
      <c r="D43" s="2124" t="s">
        <v>30</v>
      </c>
      <c r="E43" s="185">
        <f t="shared" si="0"/>
        <v>90</v>
      </c>
      <c r="G43" s="121"/>
      <c r="H43" s="121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69"/>
      <c r="U43" s="69"/>
      <c r="V43" s="22"/>
      <c r="W43" s="19"/>
    </row>
    <row r="44" spans="1:23" ht="20.25" x14ac:dyDescent="0.25">
      <c r="A44" s="185">
        <v>36</v>
      </c>
      <c r="B44" s="1973">
        <f t="shared" si="1"/>
        <v>5191421036</v>
      </c>
      <c r="C44" s="186">
        <v>42</v>
      </c>
      <c r="D44" s="2125" t="s">
        <v>82</v>
      </c>
      <c r="E44" s="185">
        <f t="shared" si="0"/>
        <v>100</v>
      </c>
      <c r="G44" s="121"/>
      <c r="H44" s="121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69"/>
      <c r="U44" s="69"/>
      <c r="V44" s="22"/>
      <c r="W44" s="19"/>
    </row>
    <row r="45" spans="1:23" ht="20.25" x14ac:dyDescent="0.25">
      <c r="A45" s="185">
        <v>37</v>
      </c>
      <c r="B45" s="1973">
        <f t="shared" si="1"/>
        <v>5191421037</v>
      </c>
      <c r="C45" s="186">
        <v>33</v>
      </c>
      <c r="D45" s="2124" t="s">
        <v>27</v>
      </c>
      <c r="E45" s="185">
        <f t="shared" si="0"/>
        <v>80</v>
      </c>
      <c r="G45" s="121"/>
      <c r="H45" s="121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69"/>
      <c r="U45" s="69"/>
      <c r="V45" s="22"/>
      <c r="W45" s="19"/>
    </row>
    <row r="46" spans="1:23" ht="20.25" x14ac:dyDescent="0.25">
      <c r="A46" s="185">
        <v>38</v>
      </c>
      <c r="B46" s="1973">
        <f t="shared" si="1"/>
        <v>5191421038</v>
      </c>
      <c r="C46" s="186">
        <v>43</v>
      </c>
      <c r="D46" s="2125" t="s">
        <v>27</v>
      </c>
      <c r="E46" s="185">
        <f t="shared" si="0"/>
        <v>80</v>
      </c>
      <c r="G46" s="121"/>
      <c r="H46" s="121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69"/>
      <c r="U46" s="69"/>
      <c r="V46" s="22"/>
      <c r="W46" s="19"/>
    </row>
    <row r="47" spans="1:23" ht="20.25" x14ac:dyDescent="0.25">
      <c r="A47" s="185">
        <v>39</v>
      </c>
      <c r="B47" s="1973">
        <f t="shared" si="1"/>
        <v>5191421039</v>
      </c>
      <c r="C47" s="186">
        <v>45</v>
      </c>
      <c r="D47" s="2124" t="s">
        <v>30</v>
      </c>
      <c r="E47" s="185">
        <f t="shared" si="0"/>
        <v>90</v>
      </c>
      <c r="G47" s="121"/>
      <c r="H47" s="121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69"/>
      <c r="U47" s="69"/>
      <c r="V47" s="22"/>
      <c r="W47" s="19"/>
    </row>
    <row r="48" spans="1:23" ht="20.25" x14ac:dyDescent="0.25">
      <c r="A48" s="185">
        <v>40</v>
      </c>
      <c r="B48" s="1973">
        <f t="shared" si="1"/>
        <v>5191421040</v>
      </c>
      <c r="C48" s="186">
        <v>48</v>
      </c>
      <c r="D48" s="2125" t="s">
        <v>30</v>
      </c>
      <c r="E48" s="185">
        <f t="shared" si="0"/>
        <v>90</v>
      </c>
      <c r="G48" s="121"/>
      <c r="H48" s="121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69"/>
      <c r="U48" s="69"/>
      <c r="V48" s="22"/>
      <c r="W48" s="19"/>
    </row>
    <row r="49" spans="1:23" ht="20.25" x14ac:dyDescent="0.25">
      <c r="A49" s="185">
        <v>41</v>
      </c>
      <c r="B49" s="1973">
        <f t="shared" si="1"/>
        <v>5191421041</v>
      </c>
      <c r="C49" s="186">
        <v>42</v>
      </c>
      <c r="D49" s="2124" t="s">
        <v>82</v>
      </c>
      <c r="E49" s="185">
        <f t="shared" si="0"/>
        <v>100</v>
      </c>
      <c r="G49" s="121"/>
      <c r="H49" s="121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69"/>
      <c r="U49" s="69"/>
      <c r="V49" s="22"/>
      <c r="W49" s="19"/>
    </row>
    <row r="50" spans="1:23" ht="20.25" x14ac:dyDescent="0.25">
      <c r="A50" s="185">
        <v>42</v>
      </c>
      <c r="B50" s="1973">
        <f t="shared" si="1"/>
        <v>5191421042</v>
      </c>
      <c r="C50" s="186">
        <v>40</v>
      </c>
      <c r="D50" s="2124" t="s">
        <v>30</v>
      </c>
      <c r="E50" s="185">
        <f t="shared" si="0"/>
        <v>90</v>
      </c>
      <c r="G50" s="121"/>
      <c r="H50" s="121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69"/>
      <c r="U50" s="69"/>
      <c r="V50" s="22"/>
      <c r="W50" s="19"/>
    </row>
    <row r="51" spans="1:23" ht="20.25" x14ac:dyDescent="0.25">
      <c r="A51" s="185">
        <v>43</v>
      </c>
      <c r="B51" s="1973">
        <f t="shared" si="1"/>
        <v>5191421043</v>
      </c>
      <c r="C51" s="186">
        <v>45</v>
      </c>
      <c r="D51" s="2124" t="s">
        <v>82</v>
      </c>
      <c r="E51" s="185">
        <f t="shared" si="0"/>
        <v>100</v>
      </c>
      <c r="G51" s="121"/>
      <c r="H51" s="121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69"/>
      <c r="U51" s="69"/>
      <c r="V51" s="22"/>
      <c r="W51" s="19"/>
    </row>
    <row r="52" spans="1:23" ht="20.25" x14ac:dyDescent="0.25">
      <c r="A52" s="185">
        <v>44</v>
      </c>
      <c r="B52" s="1973">
        <f t="shared" si="1"/>
        <v>5191421044</v>
      </c>
      <c r="C52" s="186">
        <v>49</v>
      </c>
      <c r="D52" s="2124" t="s">
        <v>82</v>
      </c>
      <c r="E52" s="185">
        <f t="shared" si="0"/>
        <v>100</v>
      </c>
      <c r="G52" s="121"/>
      <c r="H52" s="121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69"/>
      <c r="U52" s="69"/>
      <c r="V52" s="22"/>
      <c r="W52" s="19"/>
    </row>
    <row r="53" spans="1:23" ht="20.25" x14ac:dyDescent="0.25">
      <c r="A53" s="185">
        <v>45</v>
      </c>
      <c r="B53" s="1973">
        <f t="shared" si="1"/>
        <v>5191421045</v>
      </c>
      <c r="C53" s="186">
        <v>42</v>
      </c>
      <c r="D53" s="2124" t="s">
        <v>30</v>
      </c>
      <c r="E53" s="185">
        <f t="shared" si="0"/>
        <v>90</v>
      </c>
      <c r="G53" s="121"/>
      <c r="H53" s="121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69"/>
      <c r="U53" s="69"/>
      <c r="V53" s="22"/>
      <c r="W53" s="19"/>
    </row>
    <row r="54" spans="1:23" ht="20.25" x14ac:dyDescent="0.25">
      <c r="A54" s="185">
        <v>46</v>
      </c>
      <c r="B54" s="1973">
        <f t="shared" si="1"/>
        <v>5191421046</v>
      </c>
      <c r="C54" s="186">
        <v>48</v>
      </c>
      <c r="D54" s="2124" t="s">
        <v>30</v>
      </c>
      <c r="E54" s="185">
        <f t="shared" si="0"/>
        <v>90</v>
      </c>
      <c r="G54" s="121"/>
      <c r="H54" s="121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69"/>
      <c r="U54" s="69"/>
      <c r="V54" s="22"/>
      <c r="W54" s="19"/>
    </row>
    <row r="55" spans="1:23" ht="20.25" x14ac:dyDescent="0.25">
      <c r="A55" s="185">
        <v>47</v>
      </c>
      <c r="B55" s="1973">
        <f t="shared" si="1"/>
        <v>5191421047</v>
      </c>
      <c r="C55" s="186">
        <v>43</v>
      </c>
      <c r="D55" s="2124" t="s">
        <v>27</v>
      </c>
      <c r="E55" s="185">
        <f t="shared" si="0"/>
        <v>80</v>
      </c>
      <c r="G55" s="121"/>
      <c r="H55" s="121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69"/>
      <c r="U55" s="69"/>
      <c r="V55" s="22"/>
      <c r="W55" s="19"/>
    </row>
    <row r="56" spans="1:23" ht="20.25" x14ac:dyDescent="0.25">
      <c r="A56" s="185">
        <v>48</v>
      </c>
      <c r="B56" s="1973">
        <f t="shared" si="1"/>
        <v>5191421048</v>
      </c>
      <c r="C56" s="186">
        <v>41</v>
      </c>
      <c r="D56" s="2124" t="s">
        <v>82</v>
      </c>
      <c r="E56" s="185">
        <f t="shared" si="0"/>
        <v>100</v>
      </c>
      <c r="G56" s="121"/>
      <c r="H56" s="121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69"/>
      <c r="U56" s="69"/>
      <c r="V56" s="22"/>
      <c r="W56" s="19"/>
    </row>
    <row r="57" spans="1:23" ht="20.25" x14ac:dyDescent="0.25">
      <c r="A57" s="185">
        <v>49</v>
      </c>
      <c r="B57" s="1973">
        <f t="shared" si="1"/>
        <v>5191421049</v>
      </c>
      <c r="C57" s="186">
        <v>48</v>
      </c>
      <c r="D57" s="2125" t="s">
        <v>30</v>
      </c>
      <c r="E57" s="185">
        <f t="shared" si="0"/>
        <v>90</v>
      </c>
      <c r="G57" s="121"/>
      <c r="H57" s="121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69"/>
      <c r="U57" s="69"/>
      <c r="V57" s="22"/>
      <c r="W57" s="19"/>
    </row>
    <row r="58" spans="1:23" ht="18.75" x14ac:dyDescent="0.3">
      <c r="A58" s="192" t="s">
        <v>34</v>
      </c>
      <c r="B58" s="193"/>
      <c r="C58" s="125">
        <f>COUNT(C9:C57)</f>
        <v>49</v>
      </c>
      <c r="D58" s="193"/>
      <c r="E58" s="193"/>
      <c r="G58" s="153"/>
      <c r="H58" s="153"/>
      <c r="I58" s="153"/>
      <c r="J58" s="153"/>
      <c r="K58" s="153"/>
      <c r="L58" s="120"/>
      <c r="M58" s="8"/>
      <c r="N58" s="8"/>
      <c r="O58" s="153"/>
      <c r="P58" s="153"/>
      <c r="Q58" s="153"/>
      <c r="R58" s="153"/>
      <c r="S58" s="153"/>
      <c r="T58" s="153"/>
      <c r="U58" s="153"/>
      <c r="V58" s="153"/>
    </row>
    <row r="59" spans="1:23" ht="18.75" x14ac:dyDescent="0.3">
      <c r="A59" s="194"/>
      <c r="B59" s="125">
        <v>65</v>
      </c>
      <c r="C59" s="195">
        <f>C8*(B59/100)</f>
        <v>32.5</v>
      </c>
      <c r="D59" s="193"/>
      <c r="E59" s="193"/>
      <c r="G59" s="153"/>
      <c r="H59" s="153"/>
      <c r="I59" s="153"/>
      <c r="J59" s="153"/>
      <c r="K59" s="153"/>
      <c r="L59" s="24"/>
      <c r="M59" s="8"/>
      <c r="N59" s="8"/>
      <c r="O59" s="153"/>
      <c r="P59" s="153"/>
      <c r="Q59" s="153"/>
      <c r="R59" s="153"/>
      <c r="S59" s="153"/>
      <c r="T59" s="153"/>
      <c r="U59" s="153"/>
      <c r="V59" s="153"/>
    </row>
    <row r="60" spans="1:23" ht="18.75" x14ac:dyDescent="0.3">
      <c r="A60" s="2888" t="s">
        <v>35</v>
      </c>
      <c r="B60" s="2888"/>
      <c r="C60" s="125">
        <f>COUNTIF(C9:C57,"&gt;=" &amp;C59)</f>
        <v>48</v>
      </c>
      <c r="D60" s="193"/>
      <c r="E60" s="125">
        <f>COUNTIF(E9:E57,"&gt;="&amp;B59)</f>
        <v>49</v>
      </c>
      <c r="G60" s="153"/>
      <c r="H60" s="2872"/>
      <c r="I60" s="2872"/>
      <c r="J60" s="2872"/>
      <c r="K60" s="2872"/>
      <c r="L60" s="2872"/>
      <c r="M60" s="8"/>
      <c r="N60" s="8"/>
      <c r="O60" s="153"/>
      <c r="P60" s="2872"/>
      <c r="Q60" s="2872"/>
      <c r="R60" s="2872"/>
      <c r="S60" s="2872"/>
      <c r="T60" s="2872"/>
      <c r="U60" s="153"/>
      <c r="V60" s="153"/>
    </row>
    <row r="61" spans="1:23" ht="18.75" x14ac:dyDescent="0.3">
      <c r="A61" s="2877" t="s">
        <v>36</v>
      </c>
      <c r="B61" s="2877"/>
      <c r="C61" s="197">
        <f t="shared" ref="C61" si="2">C60/C58</f>
        <v>0.97959183673469385</v>
      </c>
      <c r="D61" s="193"/>
      <c r="E61" s="197">
        <f>(E60/A57)*100</f>
        <v>100</v>
      </c>
      <c r="G61" s="153"/>
      <c r="H61" s="153"/>
      <c r="I61" s="153"/>
      <c r="J61" s="153"/>
      <c r="K61" s="153"/>
      <c r="L61" s="24"/>
      <c r="M61" s="8"/>
      <c r="N61" s="8"/>
      <c r="O61" s="153"/>
      <c r="P61" s="153"/>
      <c r="Q61" s="153"/>
      <c r="R61" s="153"/>
      <c r="S61" s="153"/>
      <c r="T61" s="153"/>
      <c r="U61" s="153"/>
      <c r="V61" s="153"/>
    </row>
    <row r="64" spans="1:23" ht="15.75" x14ac:dyDescent="0.25">
      <c r="B64" s="180"/>
    </row>
    <row r="65" spans="2:19" ht="15.75" x14ac:dyDescent="0.25">
      <c r="B65" s="75"/>
      <c r="C65" s="30"/>
      <c r="D65" s="2897" t="s">
        <v>38</v>
      </c>
      <c r="E65" s="2897"/>
      <c r="F65" s="2897" t="s">
        <v>39</v>
      </c>
      <c r="G65" s="2897"/>
      <c r="H65" s="2897" t="s">
        <v>37</v>
      </c>
      <c r="I65" s="2897"/>
    </row>
    <row r="66" spans="2:19" ht="15.75" x14ac:dyDescent="0.25">
      <c r="C66" s="119" t="s">
        <v>22</v>
      </c>
      <c r="D66" s="48">
        <f>AVERAGE(C61)*100</f>
        <v>97.959183673469383</v>
      </c>
      <c r="E66" s="123">
        <f>IF(D66&gt;=70,3,IF(AND(D66&gt;=60,D66&lt;70),2,IF(AND(D66&gt;=50,D66&lt;60),1)))</f>
        <v>3</v>
      </c>
      <c r="F66" s="2275">
        <f>IF(E61&gt;=70,3,IF(AND(E61&gt;=60,E61&lt;70),2,IF(AND(E61&gt;=50,E61&lt;60),1)))</f>
        <v>3</v>
      </c>
      <c r="G66" s="27"/>
      <c r="H66" s="27">
        <f>(70/100)*F66+(30/100)*E66</f>
        <v>2.9999999999999996</v>
      </c>
      <c r="I66" s="27"/>
    </row>
    <row r="67" spans="2:19" ht="15.75" x14ac:dyDescent="0.25">
      <c r="B67" s="182"/>
      <c r="C67" s="122" t="s">
        <v>44</v>
      </c>
      <c r="D67" s="122"/>
      <c r="E67" s="122"/>
      <c r="F67" s="122"/>
      <c r="G67" s="122"/>
      <c r="H67" s="183">
        <f>AVERAGE(H66)</f>
        <v>2.9999999999999996</v>
      </c>
      <c r="I67" s="27"/>
    </row>
    <row r="68" spans="2:19" ht="15.75" x14ac:dyDescent="0.25">
      <c r="C68" s="119"/>
      <c r="D68" s="48"/>
      <c r="E68" s="123"/>
      <c r="F68" s="27"/>
      <c r="G68" s="27"/>
      <c r="H68" s="27"/>
      <c r="I68" s="27"/>
    </row>
    <row r="69" spans="2:19" ht="15.75" x14ac:dyDescent="0.25">
      <c r="B69" s="3041" t="s">
        <v>159</v>
      </c>
      <c r="C69" s="3041"/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2:19" ht="15.75" x14ac:dyDescent="0.25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S70" s="153"/>
    </row>
    <row r="71" spans="2:19" ht="15.75" x14ac:dyDescent="0.25">
      <c r="C71" s="187" t="s">
        <v>167</v>
      </c>
      <c r="D71" s="74" t="s">
        <v>46</v>
      </c>
      <c r="E71" s="74" t="s">
        <v>135</v>
      </c>
      <c r="F71" s="74" t="s">
        <v>48</v>
      </c>
      <c r="G71" s="74" t="s">
        <v>49</v>
      </c>
      <c r="H71" s="74" t="s">
        <v>50</v>
      </c>
      <c r="I71" s="74" t="s">
        <v>136</v>
      </c>
      <c r="J71" s="74" t="s">
        <v>52</v>
      </c>
      <c r="K71" s="74" t="s">
        <v>53</v>
      </c>
      <c r="L71" s="74" t="s">
        <v>54</v>
      </c>
      <c r="M71" s="74" t="s">
        <v>55</v>
      </c>
      <c r="N71" s="74" t="s">
        <v>56</v>
      </c>
      <c r="O71" s="74" t="s">
        <v>57</v>
      </c>
      <c r="P71" s="112" t="s">
        <v>87</v>
      </c>
      <c r="Q71" s="112" t="s">
        <v>88</v>
      </c>
      <c r="R71" s="112" t="s">
        <v>85</v>
      </c>
      <c r="S71" s="153"/>
    </row>
    <row r="72" spans="2:19" ht="15.75" x14ac:dyDescent="0.25">
      <c r="C72" s="74" t="s">
        <v>22</v>
      </c>
      <c r="D72" s="21">
        <v>3</v>
      </c>
      <c r="E72" s="21">
        <v>3</v>
      </c>
      <c r="F72" s="21">
        <v>1</v>
      </c>
      <c r="G72" s="21">
        <v>3</v>
      </c>
      <c r="H72" s="21">
        <v>1</v>
      </c>
      <c r="I72" s="21">
        <v>3</v>
      </c>
      <c r="J72" s="21">
        <v>3</v>
      </c>
      <c r="K72" s="21">
        <v>3</v>
      </c>
      <c r="L72" s="21">
        <v>3</v>
      </c>
      <c r="M72" s="21">
        <v>3</v>
      </c>
      <c r="N72" s="21">
        <v>2</v>
      </c>
      <c r="O72" s="21">
        <v>3</v>
      </c>
      <c r="P72" s="23">
        <v>1</v>
      </c>
      <c r="Q72" s="23">
        <v>3</v>
      </c>
      <c r="R72" s="23">
        <v>3</v>
      </c>
      <c r="S72" s="153"/>
    </row>
    <row r="73" spans="2:19" ht="15.75" x14ac:dyDescent="0.25">
      <c r="C73" s="112" t="s">
        <v>168</v>
      </c>
      <c r="D73" s="188">
        <f t="shared" ref="D73:R73" si="3">AVERAGE(D72:D72)</f>
        <v>3</v>
      </c>
      <c r="E73" s="188">
        <f t="shared" si="3"/>
        <v>3</v>
      </c>
      <c r="F73" s="188">
        <f t="shared" si="3"/>
        <v>1</v>
      </c>
      <c r="G73" s="188">
        <f t="shared" si="3"/>
        <v>3</v>
      </c>
      <c r="H73" s="188">
        <f t="shared" si="3"/>
        <v>1</v>
      </c>
      <c r="I73" s="188">
        <f t="shared" si="3"/>
        <v>3</v>
      </c>
      <c r="J73" s="188">
        <f t="shared" si="3"/>
        <v>3</v>
      </c>
      <c r="K73" s="188">
        <f t="shared" si="3"/>
        <v>3</v>
      </c>
      <c r="L73" s="188">
        <f t="shared" si="3"/>
        <v>3</v>
      </c>
      <c r="M73" s="188">
        <f t="shared" si="3"/>
        <v>3</v>
      </c>
      <c r="N73" s="188">
        <f t="shared" si="3"/>
        <v>2</v>
      </c>
      <c r="O73" s="188">
        <f t="shared" si="3"/>
        <v>3</v>
      </c>
      <c r="P73" s="188">
        <f t="shared" si="3"/>
        <v>1</v>
      </c>
      <c r="Q73" s="188">
        <f t="shared" si="3"/>
        <v>3</v>
      </c>
      <c r="R73" s="188">
        <f t="shared" si="3"/>
        <v>3</v>
      </c>
      <c r="S73" s="153"/>
    </row>
    <row r="74" spans="2:19" ht="15.75" x14ac:dyDescent="0.25">
      <c r="C74" s="112" t="s">
        <v>169</v>
      </c>
      <c r="D74" s="2878">
        <f>AVERAGE(D73:O73)</f>
        <v>2.5833333333333335</v>
      </c>
      <c r="E74" s="2879"/>
      <c r="F74" s="2879"/>
      <c r="G74" s="2879"/>
      <c r="H74" s="2879"/>
      <c r="I74" s="2879"/>
      <c r="J74" s="2879"/>
      <c r="K74" s="2879"/>
      <c r="L74" s="2879"/>
      <c r="M74" s="2879"/>
      <c r="N74" s="2879"/>
      <c r="O74" s="2880"/>
      <c r="P74" s="2881">
        <f>ROUND(AVERAGE(P73:R73),2)</f>
        <v>2.33</v>
      </c>
      <c r="Q74" s="2882"/>
      <c r="R74" s="2883"/>
      <c r="S74" s="153"/>
    </row>
    <row r="75" spans="2:19" x14ac:dyDescent="0.25">
      <c r="S75" s="153"/>
    </row>
    <row r="76" spans="2:19" x14ac:dyDescent="0.25">
      <c r="B76" s="3040" t="s">
        <v>161</v>
      </c>
      <c r="C76" s="3040"/>
      <c r="D76" s="304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S76" s="153"/>
    </row>
    <row r="77" spans="2:19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S77" s="153"/>
    </row>
    <row r="78" spans="2:19" x14ac:dyDescent="0.25">
      <c r="B78" s="7"/>
      <c r="C78" s="117" t="s">
        <v>45</v>
      </c>
      <c r="D78" s="12" t="s">
        <v>68</v>
      </c>
      <c r="E78" s="12" t="s">
        <v>69</v>
      </c>
      <c r="F78" s="12" t="s">
        <v>70</v>
      </c>
      <c r="G78" s="12" t="s">
        <v>71</v>
      </c>
      <c r="H78" s="12" t="s">
        <v>72</v>
      </c>
      <c r="I78" s="12" t="s">
        <v>73</v>
      </c>
      <c r="J78" s="12" t="s">
        <v>74</v>
      </c>
      <c r="K78" s="12" t="s">
        <v>75</v>
      </c>
      <c r="L78" s="12" t="s">
        <v>76</v>
      </c>
      <c r="M78" s="12" t="s">
        <v>77</v>
      </c>
      <c r="N78" s="12" t="s">
        <v>78</v>
      </c>
      <c r="O78" s="12" t="s">
        <v>79</v>
      </c>
      <c r="P78" s="117" t="s">
        <v>60</v>
      </c>
      <c r="Q78" s="117" t="s">
        <v>61</v>
      </c>
      <c r="R78" s="117" t="s">
        <v>62</v>
      </c>
      <c r="S78" s="153"/>
    </row>
    <row r="79" spans="2:19" ht="15.75" x14ac:dyDescent="0.25">
      <c r="B79" s="7"/>
      <c r="C79" s="114" t="s">
        <v>20</v>
      </c>
      <c r="D79" s="113">
        <f t="shared" ref="D79:R79" si="4">ROUND((D72/3)*$H66,0)</f>
        <v>3</v>
      </c>
      <c r="E79" s="113">
        <f t="shared" si="4"/>
        <v>3</v>
      </c>
      <c r="F79" s="113">
        <f t="shared" si="4"/>
        <v>1</v>
      </c>
      <c r="G79" s="113">
        <f t="shared" si="4"/>
        <v>3</v>
      </c>
      <c r="H79" s="113">
        <f t="shared" si="4"/>
        <v>1</v>
      </c>
      <c r="I79" s="113">
        <f t="shared" si="4"/>
        <v>3</v>
      </c>
      <c r="J79" s="113">
        <f t="shared" si="4"/>
        <v>3</v>
      </c>
      <c r="K79" s="113">
        <f t="shared" si="4"/>
        <v>3</v>
      </c>
      <c r="L79" s="113">
        <f t="shared" si="4"/>
        <v>3</v>
      </c>
      <c r="M79" s="113">
        <f t="shared" si="4"/>
        <v>3</v>
      </c>
      <c r="N79" s="113">
        <f t="shared" si="4"/>
        <v>2</v>
      </c>
      <c r="O79" s="113">
        <f t="shared" si="4"/>
        <v>3</v>
      </c>
      <c r="P79" s="113">
        <f t="shared" si="4"/>
        <v>1</v>
      </c>
      <c r="Q79" s="113">
        <f t="shared" si="4"/>
        <v>3</v>
      </c>
      <c r="R79" s="113">
        <f t="shared" si="4"/>
        <v>3</v>
      </c>
    </row>
    <row r="80" spans="2:19" x14ac:dyDescent="0.25">
      <c r="B80" s="7"/>
      <c r="C80" s="117" t="s">
        <v>10</v>
      </c>
      <c r="D80" s="190">
        <f t="shared" ref="D80:O80" si="5">ROUND(AVERAGE(D79:D79),2)</f>
        <v>3</v>
      </c>
      <c r="E80" s="190">
        <f t="shared" si="5"/>
        <v>3</v>
      </c>
      <c r="F80" s="190">
        <f t="shared" si="5"/>
        <v>1</v>
      </c>
      <c r="G80" s="190">
        <f t="shared" si="5"/>
        <v>3</v>
      </c>
      <c r="H80" s="190">
        <f t="shared" si="5"/>
        <v>1</v>
      </c>
      <c r="I80" s="190">
        <f t="shared" si="5"/>
        <v>3</v>
      </c>
      <c r="J80" s="190">
        <f t="shared" si="5"/>
        <v>3</v>
      </c>
      <c r="K80" s="190">
        <f t="shared" si="5"/>
        <v>3</v>
      </c>
      <c r="L80" s="190">
        <f t="shared" si="5"/>
        <v>3</v>
      </c>
      <c r="M80" s="190">
        <f t="shared" si="5"/>
        <v>3</v>
      </c>
      <c r="N80" s="190">
        <f t="shared" si="5"/>
        <v>2</v>
      </c>
      <c r="O80" s="190">
        <f t="shared" si="5"/>
        <v>3</v>
      </c>
      <c r="P80" s="191">
        <f>AVERAGE(P79:P79)</f>
        <v>1</v>
      </c>
      <c r="Q80" s="191">
        <f>AVERAGE(Q79:Q79)</f>
        <v>3</v>
      </c>
      <c r="R80" s="191">
        <f>AVERAGE(R79:R79)</f>
        <v>3</v>
      </c>
    </row>
    <row r="81" spans="2:18" x14ac:dyDescent="0.25">
      <c r="B81" s="7"/>
      <c r="C81" s="117" t="s">
        <v>58</v>
      </c>
      <c r="D81" s="2891">
        <f>AVERAGE(D80:O80)</f>
        <v>2.5833333333333335</v>
      </c>
      <c r="E81" s="2892"/>
      <c r="F81" s="2892"/>
      <c r="G81" s="2892"/>
      <c r="H81" s="2892"/>
      <c r="I81" s="2892"/>
      <c r="J81" s="2892"/>
      <c r="K81" s="2892"/>
      <c r="L81" s="2892"/>
      <c r="M81" s="2892"/>
      <c r="N81" s="2892"/>
      <c r="O81" s="2893"/>
      <c r="P81" s="2894">
        <f>ROUND(AVERAGE(P80:R80),2)</f>
        <v>2.33</v>
      </c>
      <c r="Q81" s="2895"/>
      <c r="R81" s="2896"/>
    </row>
  </sheetData>
  <mergeCells count="21">
    <mergeCell ref="H60:L60"/>
    <mergeCell ref="P60:T60"/>
    <mergeCell ref="A61:B61"/>
    <mergeCell ref="B69:C69"/>
    <mergeCell ref="D74:O74"/>
    <mergeCell ref="A2:B2"/>
    <mergeCell ref="A3:B3"/>
    <mergeCell ref="P74:R74"/>
    <mergeCell ref="B76:D76"/>
    <mergeCell ref="D81:O81"/>
    <mergeCell ref="P81:R81"/>
    <mergeCell ref="H65:I65"/>
    <mergeCell ref="D7:E7"/>
    <mergeCell ref="D8:E8"/>
    <mergeCell ref="F65:G65"/>
    <mergeCell ref="B5:B6"/>
    <mergeCell ref="C5:C6"/>
    <mergeCell ref="D5:D6"/>
    <mergeCell ref="E5:E6"/>
    <mergeCell ref="D65:E65"/>
    <mergeCell ref="A60:B60"/>
  </mergeCells>
  <conditionalFormatting sqref="D72:G72">
    <cfRule type="cellIs" dxfId="124" priority="2" operator="equal">
      <formula>FALSE</formula>
    </cfRule>
  </conditionalFormatting>
  <conditionalFormatting sqref="P72:R72">
    <cfRule type="cellIs" dxfId="123" priority="1" operator="equal">
      <formula>FALSE</formula>
    </cfRule>
  </conditionalFormatting>
  <conditionalFormatting sqref="D9:D57">
    <cfRule type="containsText" dxfId="122" priority="3" operator="containsText" text="F">
      <formula>NOT(ISERROR(SEARCH("F",D9)))</formula>
    </cfRule>
  </conditionalFormatting>
  <pageMargins left="0.7" right="0.7" top="0.75" bottom="0.75" header="0.3" footer="0.3"/>
  <pageSetup paperSize="8" scale="6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5"/>
  <sheetViews>
    <sheetView topLeftCell="E19" zoomScale="85" zoomScaleNormal="85" workbookViewId="0">
      <selection activeCell="E65" sqref="E65"/>
    </sheetView>
  </sheetViews>
  <sheetFormatPr defaultRowHeight="15" x14ac:dyDescent="0.25"/>
  <cols>
    <col min="2" max="2" width="22.85546875" bestFit="1" customWidth="1"/>
    <col min="3" max="3" width="28" bestFit="1" customWidth="1"/>
    <col min="4" max="4" width="19.7109375" bestFit="1" customWidth="1"/>
    <col min="5" max="5" width="18.85546875" bestFit="1" customWidth="1"/>
    <col min="6" max="6" width="29.28515625" customWidth="1"/>
    <col min="7" max="7" width="10.5703125" customWidth="1"/>
    <col min="8" max="8" width="22" bestFit="1" customWidth="1"/>
    <col min="9" max="9" width="8.140625" bestFit="1" customWidth="1"/>
    <col min="11" max="11" width="7.42578125" customWidth="1"/>
    <col min="12" max="12" width="7.28515625" bestFit="1" customWidth="1"/>
    <col min="13" max="13" width="10.85546875" customWidth="1"/>
    <col min="14" max="14" width="7.42578125" bestFit="1" customWidth="1"/>
  </cols>
  <sheetData>
    <row r="1" spans="1:24" ht="15.75" x14ac:dyDescent="0.25">
      <c r="A1" s="128"/>
      <c r="B1" s="128"/>
      <c r="C1" s="128"/>
      <c r="D1" s="128"/>
      <c r="E1" s="128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4" ht="15.75" x14ac:dyDescent="0.25">
      <c r="A2" s="2873" t="s">
        <v>0</v>
      </c>
      <c r="B2" s="2874"/>
      <c r="C2" s="178" t="s">
        <v>216</v>
      </c>
      <c r="D2" s="179" t="s">
        <v>63</v>
      </c>
      <c r="E2" s="131" t="s">
        <v>366</v>
      </c>
      <c r="F2" s="180"/>
      <c r="G2" s="180"/>
    </row>
    <row r="3" spans="1:24" ht="19.5" customHeight="1" x14ac:dyDescent="0.25">
      <c r="A3" s="2875" t="s">
        <v>1</v>
      </c>
      <c r="B3" s="2876"/>
      <c r="C3" s="181" t="s">
        <v>217</v>
      </c>
      <c r="D3" s="3" t="s">
        <v>64</v>
      </c>
      <c r="E3" s="131" t="s">
        <v>232</v>
      </c>
      <c r="F3" s="75"/>
      <c r="G3" s="75"/>
      <c r="H3" s="30"/>
      <c r="I3" s="30"/>
      <c r="J3" s="119" t="s">
        <v>38</v>
      </c>
      <c r="K3" s="2897" t="s">
        <v>39</v>
      </c>
      <c r="L3" s="2897"/>
      <c r="M3" s="2897" t="s">
        <v>37</v>
      </c>
      <c r="N3" s="2897"/>
    </row>
    <row r="4" spans="1:24" ht="15.75" x14ac:dyDescent="0.25">
      <c r="A4" s="97"/>
      <c r="B4" s="5" t="s">
        <v>2</v>
      </c>
      <c r="C4" s="130" t="s">
        <v>164</v>
      </c>
      <c r="D4" s="5" t="s">
        <v>65</v>
      </c>
      <c r="E4" s="131" t="s">
        <v>66</v>
      </c>
      <c r="F4" s="15"/>
      <c r="H4" s="119" t="s">
        <v>22</v>
      </c>
      <c r="I4" s="48">
        <f>AVERAGE(C61)*100</f>
        <v>97.959183673469383</v>
      </c>
      <c r="J4" s="123">
        <f>IF(I4&gt;=70,3,IF(AND(I4&gt;=60,I4&lt;70),2,IF(AND(I4&gt;=50,I4&lt;60),1)))</f>
        <v>3</v>
      </c>
      <c r="K4" s="27">
        <f>IF(E61&gt;=70,3,IF(AND(E61&gt;=60,E61&lt;70),2,IF(AND(E61&gt;=50,E61&lt;60),1)))</f>
        <v>3</v>
      </c>
      <c r="L4" s="27"/>
      <c r="M4" s="27">
        <f>(70/100)*K4+(30/100)*J4</f>
        <v>2.9999999999999996</v>
      </c>
      <c r="N4" s="27"/>
    </row>
    <row r="5" spans="1:24" ht="15.75" x14ac:dyDescent="0.25">
      <c r="A5" s="67"/>
      <c r="B5" s="2662" t="s">
        <v>5</v>
      </c>
      <c r="C5" s="2889" t="s">
        <v>165</v>
      </c>
      <c r="D5" s="2661" t="s">
        <v>11</v>
      </c>
      <c r="E5" s="2661" t="s">
        <v>12</v>
      </c>
      <c r="G5" s="182"/>
      <c r="H5" s="122" t="s">
        <v>44</v>
      </c>
      <c r="I5" s="122"/>
      <c r="J5" s="122"/>
      <c r="K5" s="122"/>
      <c r="L5" s="122"/>
      <c r="M5" s="183">
        <f>AVERAGE(M4)</f>
        <v>2.9999999999999996</v>
      </c>
      <c r="N5" s="27"/>
    </row>
    <row r="6" spans="1:24" ht="15.75" x14ac:dyDescent="0.25">
      <c r="A6" s="16"/>
      <c r="B6" s="2651"/>
      <c r="C6" s="2890"/>
      <c r="D6" s="2662"/>
      <c r="E6" s="2662"/>
      <c r="H6" s="119"/>
      <c r="I6" s="48"/>
      <c r="J6" s="123"/>
      <c r="K6" s="27"/>
      <c r="L6" s="27"/>
      <c r="M6" s="27"/>
      <c r="N6" s="27"/>
    </row>
    <row r="7" spans="1:24" ht="15.75" x14ac:dyDescent="0.25">
      <c r="A7" s="16"/>
      <c r="B7" s="116" t="s">
        <v>19</v>
      </c>
      <c r="C7" s="110" t="s">
        <v>166</v>
      </c>
      <c r="D7" s="2884" t="s">
        <v>166</v>
      </c>
      <c r="E7" s="2885"/>
      <c r="H7" s="119"/>
      <c r="I7" s="48"/>
      <c r="J7" s="123"/>
      <c r="K7" s="27"/>
      <c r="L7" s="27"/>
      <c r="M7" s="27"/>
      <c r="N7" s="27"/>
    </row>
    <row r="8" spans="1:24" ht="15.75" x14ac:dyDescent="0.25">
      <c r="A8" s="108" t="s">
        <v>18</v>
      </c>
      <c r="B8" s="109" t="s">
        <v>26</v>
      </c>
      <c r="C8" s="184">
        <v>50</v>
      </c>
      <c r="D8" s="2886">
        <v>100</v>
      </c>
      <c r="E8" s="2887"/>
      <c r="N8" s="15"/>
    </row>
    <row r="9" spans="1:24" ht="20.25" x14ac:dyDescent="0.25">
      <c r="A9" s="185">
        <v>1</v>
      </c>
      <c r="B9" s="1973">
        <v>5191421001</v>
      </c>
      <c r="C9" s="308">
        <v>43</v>
      </c>
      <c r="D9" s="2124" t="s">
        <v>32</v>
      </c>
      <c r="E9" s="185">
        <f t="shared" ref="E9:E57" si="0">IF(D9="O",100,IF(D9="A+",90,IF(D9="A",80,IF(D9="B+",70,IF(D9="B",60,IF(D9="C",55,IF(D9="P",50,IF(D9="F",39))))))))</f>
        <v>70</v>
      </c>
    </row>
    <row r="10" spans="1:24" ht="20.25" x14ac:dyDescent="0.25">
      <c r="A10" s="185">
        <v>2</v>
      </c>
      <c r="B10" s="1973">
        <f>+B9+1</f>
        <v>5191421002</v>
      </c>
      <c r="C10" s="308">
        <v>38</v>
      </c>
      <c r="D10" s="2125" t="s">
        <v>82</v>
      </c>
      <c r="E10" s="185">
        <f t="shared" si="0"/>
        <v>100</v>
      </c>
      <c r="G10" s="18" t="s">
        <v>159</v>
      </c>
      <c r="H10" s="18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4" ht="20.25" x14ac:dyDescent="0.25">
      <c r="A11" s="185">
        <v>3</v>
      </c>
      <c r="B11" s="1973">
        <f t="shared" ref="B11:B57" si="1">+B10+1</f>
        <v>5191421003</v>
      </c>
      <c r="C11" s="308">
        <v>47</v>
      </c>
      <c r="D11" s="2124" t="s">
        <v>82</v>
      </c>
      <c r="E11" s="185">
        <f t="shared" si="0"/>
        <v>100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X11" s="153"/>
    </row>
    <row r="12" spans="1:24" ht="20.25" x14ac:dyDescent="0.25">
      <c r="A12" s="185">
        <v>4</v>
      </c>
      <c r="B12" s="1973">
        <f t="shared" si="1"/>
        <v>5191421004</v>
      </c>
      <c r="C12" s="308">
        <v>46</v>
      </c>
      <c r="D12" s="2125" t="s">
        <v>32</v>
      </c>
      <c r="E12" s="185">
        <f t="shared" si="0"/>
        <v>70</v>
      </c>
      <c r="H12" s="187" t="s">
        <v>167</v>
      </c>
      <c r="I12" s="74" t="s">
        <v>46</v>
      </c>
      <c r="J12" s="74" t="s">
        <v>135</v>
      </c>
      <c r="K12" s="74" t="s">
        <v>48</v>
      </c>
      <c r="L12" s="74" t="s">
        <v>49</v>
      </c>
      <c r="M12" s="74" t="s">
        <v>50</v>
      </c>
      <c r="N12" s="74" t="s">
        <v>136</v>
      </c>
      <c r="O12" s="74" t="s">
        <v>52</v>
      </c>
      <c r="P12" s="74" t="s">
        <v>53</v>
      </c>
      <c r="Q12" s="74" t="s">
        <v>54</v>
      </c>
      <c r="R12" s="74" t="s">
        <v>55</v>
      </c>
      <c r="S12" s="74" t="s">
        <v>56</v>
      </c>
      <c r="T12" s="74" t="s">
        <v>57</v>
      </c>
      <c r="U12" s="112" t="s">
        <v>87</v>
      </c>
      <c r="V12" s="112" t="s">
        <v>88</v>
      </c>
      <c r="W12" s="112" t="s">
        <v>85</v>
      </c>
      <c r="X12" s="153"/>
    </row>
    <row r="13" spans="1:24" ht="20.25" x14ac:dyDescent="0.25">
      <c r="A13" s="185">
        <v>5</v>
      </c>
      <c r="B13" s="1973">
        <f t="shared" si="1"/>
        <v>5191421005</v>
      </c>
      <c r="C13" s="308">
        <v>41</v>
      </c>
      <c r="D13" s="2124" t="s">
        <v>27</v>
      </c>
      <c r="E13" s="185">
        <f t="shared" si="0"/>
        <v>80</v>
      </c>
      <c r="H13" s="74" t="s">
        <v>22</v>
      </c>
      <c r="I13" s="74">
        <v>3</v>
      </c>
      <c r="J13" s="74">
        <v>3</v>
      </c>
      <c r="K13" s="74">
        <v>3</v>
      </c>
      <c r="L13" s="74">
        <v>3</v>
      </c>
      <c r="M13" s="74">
        <v>2</v>
      </c>
      <c r="N13" s="74">
        <v>2</v>
      </c>
      <c r="O13" s="74"/>
      <c r="P13" s="74">
        <v>2</v>
      </c>
      <c r="Q13" s="74"/>
      <c r="R13" s="74"/>
      <c r="S13" s="74">
        <v>2</v>
      </c>
      <c r="T13" s="74">
        <v>2</v>
      </c>
      <c r="U13" s="112">
        <v>3</v>
      </c>
      <c r="V13" s="112">
        <v>3</v>
      </c>
      <c r="W13" s="112">
        <v>3</v>
      </c>
      <c r="X13" s="153"/>
    </row>
    <row r="14" spans="1:24" ht="20.25" x14ac:dyDescent="0.25">
      <c r="A14" s="185">
        <v>6</v>
      </c>
      <c r="B14" s="1973">
        <f t="shared" si="1"/>
        <v>5191421006</v>
      </c>
      <c r="C14" s="308">
        <v>41</v>
      </c>
      <c r="D14" s="2125" t="s">
        <v>82</v>
      </c>
      <c r="E14" s="185">
        <f t="shared" si="0"/>
        <v>100</v>
      </c>
      <c r="H14" s="112" t="s">
        <v>168</v>
      </c>
      <c r="I14" s="188">
        <f t="shared" ref="I14:W14" si="2">AVERAGE(I13:I13)</f>
        <v>3</v>
      </c>
      <c r="J14" s="188">
        <f t="shared" si="2"/>
        <v>3</v>
      </c>
      <c r="K14" s="188">
        <f t="shared" si="2"/>
        <v>3</v>
      </c>
      <c r="L14" s="188">
        <f t="shared" si="2"/>
        <v>3</v>
      </c>
      <c r="M14" s="188">
        <f t="shared" si="2"/>
        <v>2</v>
      </c>
      <c r="N14" s="188">
        <f t="shared" si="2"/>
        <v>2</v>
      </c>
      <c r="O14" s="188"/>
      <c r="P14" s="188">
        <f t="shared" si="2"/>
        <v>2</v>
      </c>
      <c r="Q14" s="188"/>
      <c r="R14" s="188"/>
      <c r="S14" s="188">
        <f t="shared" si="2"/>
        <v>2</v>
      </c>
      <c r="T14" s="188">
        <f t="shared" si="2"/>
        <v>2</v>
      </c>
      <c r="U14" s="188">
        <f t="shared" si="2"/>
        <v>3</v>
      </c>
      <c r="V14" s="188">
        <f t="shared" si="2"/>
        <v>3</v>
      </c>
      <c r="W14" s="188">
        <f t="shared" si="2"/>
        <v>3</v>
      </c>
      <c r="X14" s="153"/>
    </row>
    <row r="15" spans="1:24" ht="20.25" x14ac:dyDescent="0.25">
      <c r="A15" s="185">
        <v>7</v>
      </c>
      <c r="B15" s="1973">
        <f t="shared" si="1"/>
        <v>5191421007</v>
      </c>
      <c r="C15" s="308">
        <v>48</v>
      </c>
      <c r="D15" s="2124" t="s">
        <v>30</v>
      </c>
      <c r="E15" s="185">
        <f t="shared" si="0"/>
        <v>90</v>
      </c>
      <c r="H15" s="112" t="s">
        <v>169</v>
      </c>
      <c r="I15" s="2878">
        <f>AVERAGE(I14:T14)</f>
        <v>2.4444444444444446</v>
      </c>
      <c r="J15" s="2879"/>
      <c r="K15" s="2879"/>
      <c r="L15" s="2879"/>
      <c r="M15" s="2879"/>
      <c r="N15" s="2879"/>
      <c r="O15" s="2879"/>
      <c r="P15" s="2879"/>
      <c r="Q15" s="2879"/>
      <c r="R15" s="2879"/>
      <c r="S15" s="2879"/>
      <c r="T15" s="2880"/>
      <c r="U15" s="2881">
        <f>ROUND(AVERAGE(U14:W14),2)</f>
        <v>3</v>
      </c>
      <c r="V15" s="2882"/>
      <c r="W15" s="2883"/>
      <c r="X15" s="153"/>
    </row>
    <row r="16" spans="1:24" ht="20.25" x14ac:dyDescent="0.25">
      <c r="A16" s="185">
        <v>8</v>
      </c>
      <c r="B16" s="1973">
        <f t="shared" si="1"/>
        <v>5191421008</v>
      </c>
      <c r="C16" s="308">
        <v>45</v>
      </c>
      <c r="D16" s="2125" t="s">
        <v>27</v>
      </c>
      <c r="E16" s="185">
        <f t="shared" si="0"/>
        <v>80</v>
      </c>
      <c r="X16" s="153"/>
    </row>
    <row r="17" spans="1:24" ht="20.25" x14ac:dyDescent="0.25">
      <c r="A17" s="185">
        <v>9</v>
      </c>
      <c r="B17" s="1973">
        <f t="shared" si="1"/>
        <v>5191421009</v>
      </c>
      <c r="C17" s="308">
        <v>45</v>
      </c>
      <c r="D17" s="2124" t="s">
        <v>27</v>
      </c>
      <c r="E17" s="185">
        <f t="shared" si="0"/>
        <v>80</v>
      </c>
      <c r="G17" s="189" t="s">
        <v>161</v>
      </c>
      <c r="H17" s="189"/>
      <c r="I17" s="1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X17" s="153"/>
    </row>
    <row r="18" spans="1:24" ht="20.25" x14ac:dyDescent="0.25">
      <c r="A18" s="185">
        <v>10</v>
      </c>
      <c r="B18" s="1973">
        <f t="shared" si="1"/>
        <v>5191421010</v>
      </c>
      <c r="C18" s="308">
        <v>45</v>
      </c>
      <c r="D18" s="2125" t="s">
        <v>30</v>
      </c>
      <c r="E18" s="185">
        <f t="shared" si="0"/>
        <v>90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X18" s="153"/>
    </row>
    <row r="19" spans="1:24" ht="20.25" x14ac:dyDescent="0.25">
      <c r="A19" s="185">
        <v>11</v>
      </c>
      <c r="B19" s="1973">
        <f t="shared" si="1"/>
        <v>5191421011</v>
      </c>
      <c r="C19" s="308">
        <v>38</v>
      </c>
      <c r="D19" s="2124" t="s">
        <v>82</v>
      </c>
      <c r="E19" s="185">
        <f t="shared" si="0"/>
        <v>100</v>
      </c>
      <c r="G19" s="7"/>
      <c r="H19" s="117" t="s">
        <v>45</v>
      </c>
      <c r="I19" s="12" t="s">
        <v>68</v>
      </c>
      <c r="J19" s="12" t="s">
        <v>69</v>
      </c>
      <c r="K19" s="12" t="s">
        <v>70</v>
      </c>
      <c r="L19" s="12" t="s">
        <v>71</v>
      </c>
      <c r="M19" s="12" t="s">
        <v>72</v>
      </c>
      <c r="N19" s="12" t="s">
        <v>73</v>
      </c>
      <c r="O19" s="12" t="s">
        <v>74</v>
      </c>
      <c r="P19" s="12" t="s">
        <v>75</v>
      </c>
      <c r="Q19" s="12" t="s">
        <v>76</v>
      </c>
      <c r="R19" s="12" t="s">
        <v>77</v>
      </c>
      <c r="S19" s="12" t="s">
        <v>78</v>
      </c>
      <c r="T19" s="12" t="s">
        <v>79</v>
      </c>
      <c r="U19" s="117" t="s">
        <v>60</v>
      </c>
      <c r="V19" s="117" t="s">
        <v>61</v>
      </c>
      <c r="W19" s="117" t="s">
        <v>62</v>
      </c>
      <c r="X19" s="153"/>
    </row>
    <row r="20" spans="1:24" ht="20.25" x14ac:dyDescent="0.25">
      <c r="A20" s="185">
        <v>12</v>
      </c>
      <c r="B20" s="1973">
        <f t="shared" si="1"/>
        <v>5191421012</v>
      </c>
      <c r="C20" s="308">
        <v>45</v>
      </c>
      <c r="D20" s="2125" t="s">
        <v>32</v>
      </c>
      <c r="E20" s="185">
        <f t="shared" si="0"/>
        <v>70</v>
      </c>
      <c r="G20" s="7"/>
      <c r="H20" s="114" t="s">
        <v>20</v>
      </c>
      <c r="I20" s="113">
        <f>ROUND((I13/3)*$M4,0)</f>
        <v>3</v>
      </c>
      <c r="J20" s="113">
        <f t="shared" ref="J20:W20" si="3">ROUND((J13/3)*$M4,0)</f>
        <v>3</v>
      </c>
      <c r="K20" s="113">
        <f t="shared" si="3"/>
        <v>3</v>
      </c>
      <c r="L20" s="113">
        <f t="shared" si="3"/>
        <v>3</v>
      </c>
      <c r="M20" s="113">
        <f t="shared" si="3"/>
        <v>2</v>
      </c>
      <c r="N20" s="113">
        <f t="shared" si="3"/>
        <v>2</v>
      </c>
      <c r="O20" s="113"/>
      <c r="P20" s="113">
        <f t="shared" si="3"/>
        <v>2</v>
      </c>
      <c r="Q20" s="113"/>
      <c r="R20" s="113"/>
      <c r="S20" s="113">
        <f t="shared" si="3"/>
        <v>2</v>
      </c>
      <c r="T20" s="113">
        <f t="shared" si="3"/>
        <v>2</v>
      </c>
      <c r="U20" s="113">
        <f t="shared" si="3"/>
        <v>3</v>
      </c>
      <c r="V20" s="113">
        <f t="shared" si="3"/>
        <v>3</v>
      </c>
      <c r="W20" s="113">
        <f t="shared" si="3"/>
        <v>3</v>
      </c>
    </row>
    <row r="21" spans="1:24" ht="20.25" x14ac:dyDescent="0.25">
      <c r="A21" s="185">
        <v>13</v>
      </c>
      <c r="B21" s="1973">
        <f t="shared" si="1"/>
        <v>5191421013</v>
      </c>
      <c r="C21" s="308">
        <v>41</v>
      </c>
      <c r="D21" s="2124" t="s">
        <v>82</v>
      </c>
      <c r="E21" s="185">
        <f t="shared" si="0"/>
        <v>100</v>
      </c>
      <c r="G21" s="7"/>
      <c r="H21" s="116" t="s">
        <v>10</v>
      </c>
      <c r="I21" s="309">
        <f t="shared" ref="I21:T21" si="4">ROUND(AVERAGE(I20:I20),2)</f>
        <v>3</v>
      </c>
      <c r="J21" s="309">
        <f t="shared" si="4"/>
        <v>3</v>
      </c>
      <c r="K21" s="309">
        <f t="shared" si="4"/>
        <v>3</v>
      </c>
      <c r="L21" s="309">
        <f t="shared" si="4"/>
        <v>3</v>
      </c>
      <c r="M21" s="309">
        <f t="shared" si="4"/>
        <v>2</v>
      </c>
      <c r="N21" s="309">
        <f t="shared" si="4"/>
        <v>2</v>
      </c>
      <c r="O21" s="309"/>
      <c r="P21" s="309">
        <f t="shared" si="4"/>
        <v>2</v>
      </c>
      <c r="Q21" s="309"/>
      <c r="R21" s="309"/>
      <c r="S21" s="309">
        <f t="shared" si="4"/>
        <v>2</v>
      </c>
      <c r="T21" s="309">
        <f t="shared" si="4"/>
        <v>2</v>
      </c>
      <c r="U21" s="310">
        <f>AVERAGE(U20:U20)</f>
        <v>3</v>
      </c>
      <c r="V21" s="310">
        <f>AVERAGE(V20:V20)</f>
        <v>3</v>
      </c>
      <c r="W21" s="310">
        <f>AVERAGE(W20:W20)</f>
        <v>3</v>
      </c>
    </row>
    <row r="22" spans="1:24" ht="20.25" x14ac:dyDescent="0.25">
      <c r="A22" s="185">
        <v>14</v>
      </c>
      <c r="B22" s="1973">
        <f t="shared" si="1"/>
        <v>5191421014</v>
      </c>
      <c r="C22" s="308">
        <v>41</v>
      </c>
      <c r="D22" s="2125" t="s">
        <v>30</v>
      </c>
      <c r="E22" s="185">
        <f t="shared" si="0"/>
        <v>90</v>
      </c>
      <c r="G22" s="7"/>
      <c r="H22" s="116" t="s">
        <v>58</v>
      </c>
      <c r="I22" s="3042">
        <f>AVERAGE(I21:T21)</f>
        <v>2.4444444444444446</v>
      </c>
      <c r="J22" s="3043"/>
      <c r="K22" s="3043"/>
      <c r="L22" s="3043"/>
      <c r="M22" s="3043"/>
      <c r="N22" s="3043"/>
      <c r="O22" s="3043"/>
      <c r="P22" s="3043"/>
      <c r="Q22" s="3043"/>
      <c r="R22" s="3043"/>
      <c r="S22" s="3043"/>
      <c r="T22" s="3044"/>
      <c r="U22" s="2632">
        <f>ROUND(AVERAGE(U21:W21),2)</f>
        <v>3</v>
      </c>
      <c r="V22" s="2633"/>
      <c r="W22" s="2634"/>
    </row>
    <row r="23" spans="1:24" ht="20.25" x14ac:dyDescent="0.25">
      <c r="A23" s="185">
        <v>15</v>
      </c>
      <c r="B23" s="1973">
        <f t="shared" si="1"/>
        <v>5191421015</v>
      </c>
      <c r="C23" s="308">
        <v>41</v>
      </c>
      <c r="D23" s="2124" t="s">
        <v>30</v>
      </c>
      <c r="E23" s="185">
        <f t="shared" si="0"/>
        <v>90</v>
      </c>
    </row>
    <row r="24" spans="1:24" ht="20.25" x14ac:dyDescent="0.25">
      <c r="A24" s="185">
        <v>16</v>
      </c>
      <c r="B24" s="1973">
        <f t="shared" si="1"/>
        <v>5191421016</v>
      </c>
      <c r="C24" s="308">
        <v>40</v>
      </c>
      <c r="D24" s="2125" t="s">
        <v>27</v>
      </c>
      <c r="E24" s="185">
        <f t="shared" si="0"/>
        <v>80</v>
      </c>
    </row>
    <row r="25" spans="1:24" ht="20.25" x14ac:dyDescent="0.25">
      <c r="A25" s="185">
        <v>17</v>
      </c>
      <c r="B25" s="1973">
        <f t="shared" si="1"/>
        <v>5191421017</v>
      </c>
      <c r="C25" s="308">
        <v>40</v>
      </c>
      <c r="D25" s="2124" t="s">
        <v>32</v>
      </c>
      <c r="E25" s="185">
        <f t="shared" si="0"/>
        <v>70</v>
      </c>
    </row>
    <row r="26" spans="1:24" ht="20.25" x14ac:dyDescent="0.25">
      <c r="A26" s="185">
        <v>18</v>
      </c>
      <c r="B26" s="1973">
        <f t="shared" si="1"/>
        <v>5191421018</v>
      </c>
      <c r="C26" s="308">
        <v>41</v>
      </c>
      <c r="D26" s="2125" t="s">
        <v>33</v>
      </c>
      <c r="E26" s="185">
        <f t="shared" si="0"/>
        <v>60</v>
      </c>
    </row>
    <row r="27" spans="1:24" ht="20.25" x14ac:dyDescent="0.25">
      <c r="A27" s="185">
        <v>19</v>
      </c>
      <c r="B27" s="1973">
        <f t="shared" si="1"/>
        <v>5191421019</v>
      </c>
      <c r="C27" s="308">
        <v>42</v>
      </c>
      <c r="D27" s="2124" t="s">
        <v>82</v>
      </c>
      <c r="E27" s="185">
        <f t="shared" si="0"/>
        <v>100</v>
      </c>
    </row>
    <row r="28" spans="1:24" ht="20.25" x14ac:dyDescent="0.25">
      <c r="A28" s="185">
        <v>20</v>
      </c>
      <c r="B28" s="1973">
        <f t="shared" si="1"/>
        <v>5191421020</v>
      </c>
      <c r="C28" s="308">
        <v>45</v>
      </c>
      <c r="D28" s="2125" t="s">
        <v>82</v>
      </c>
      <c r="E28" s="185">
        <f t="shared" si="0"/>
        <v>100</v>
      </c>
    </row>
    <row r="29" spans="1:24" ht="20.25" x14ac:dyDescent="0.25">
      <c r="A29" s="185">
        <v>21</v>
      </c>
      <c r="B29" s="1973">
        <f t="shared" si="1"/>
        <v>5191421021</v>
      </c>
      <c r="C29" s="308">
        <v>48</v>
      </c>
      <c r="D29" s="2124" t="s">
        <v>30</v>
      </c>
      <c r="E29" s="185">
        <f t="shared" si="0"/>
        <v>90</v>
      </c>
    </row>
    <row r="30" spans="1:24" ht="20.25" x14ac:dyDescent="0.25">
      <c r="A30" s="185">
        <v>22</v>
      </c>
      <c r="B30" s="1973">
        <f t="shared" si="1"/>
        <v>5191421022</v>
      </c>
      <c r="C30" s="308">
        <v>47</v>
      </c>
      <c r="D30" s="2125" t="s">
        <v>32</v>
      </c>
      <c r="E30" s="185">
        <f t="shared" si="0"/>
        <v>70</v>
      </c>
    </row>
    <row r="31" spans="1:24" ht="20.25" x14ac:dyDescent="0.25">
      <c r="A31" s="185">
        <v>23</v>
      </c>
      <c r="B31" s="1973">
        <f t="shared" si="1"/>
        <v>5191421023</v>
      </c>
      <c r="C31" s="308">
        <v>47</v>
      </c>
      <c r="D31" s="2124" t="s">
        <v>30</v>
      </c>
      <c r="E31" s="185">
        <f t="shared" si="0"/>
        <v>90</v>
      </c>
    </row>
    <row r="32" spans="1:24" ht="20.25" x14ac:dyDescent="0.25">
      <c r="A32" s="185">
        <v>24</v>
      </c>
      <c r="B32" s="1973">
        <f t="shared" si="1"/>
        <v>5191421024</v>
      </c>
      <c r="C32" s="308">
        <v>47</v>
      </c>
      <c r="D32" s="2125" t="s">
        <v>32</v>
      </c>
      <c r="E32" s="185">
        <f t="shared" si="0"/>
        <v>70</v>
      </c>
    </row>
    <row r="33" spans="1:23" ht="20.25" x14ac:dyDescent="0.25">
      <c r="A33" s="185">
        <v>25</v>
      </c>
      <c r="B33" s="1973">
        <f t="shared" si="1"/>
        <v>5191421025</v>
      </c>
      <c r="C33" s="308">
        <v>46</v>
      </c>
      <c r="D33" s="2124" t="s">
        <v>82</v>
      </c>
      <c r="E33" s="185">
        <f t="shared" si="0"/>
        <v>100</v>
      </c>
      <c r="G33" s="121"/>
      <c r="H33" s="121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69"/>
      <c r="U33" s="69"/>
      <c r="V33" s="22"/>
      <c r="W33" s="19"/>
    </row>
    <row r="34" spans="1:23" ht="20.25" x14ac:dyDescent="0.25">
      <c r="A34" s="185">
        <v>26</v>
      </c>
      <c r="B34" s="1973">
        <f t="shared" si="1"/>
        <v>5191421026</v>
      </c>
      <c r="C34" s="308">
        <v>47</v>
      </c>
      <c r="D34" s="2125" t="s">
        <v>27</v>
      </c>
      <c r="E34" s="185">
        <f t="shared" si="0"/>
        <v>80</v>
      </c>
      <c r="G34" s="121"/>
      <c r="H34" s="121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69"/>
      <c r="U34" s="69"/>
      <c r="V34" s="22"/>
      <c r="W34" s="19"/>
    </row>
    <row r="35" spans="1:23" ht="20.25" x14ac:dyDescent="0.25">
      <c r="A35" s="185">
        <v>27</v>
      </c>
      <c r="B35" s="1973">
        <f t="shared" si="1"/>
        <v>5191421027</v>
      </c>
      <c r="C35" s="308">
        <v>48</v>
      </c>
      <c r="D35" s="2124" t="s">
        <v>82</v>
      </c>
      <c r="E35" s="185">
        <f t="shared" si="0"/>
        <v>100</v>
      </c>
      <c r="G35" s="121"/>
      <c r="H35" s="121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69"/>
      <c r="U35" s="69"/>
      <c r="V35" s="22"/>
      <c r="W35" s="19"/>
    </row>
    <row r="36" spans="1:23" ht="20.25" x14ac:dyDescent="0.25">
      <c r="A36" s="185">
        <v>28</v>
      </c>
      <c r="B36" s="1973">
        <f t="shared" si="1"/>
        <v>5191421028</v>
      </c>
      <c r="C36" s="308">
        <v>43</v>
      </c>
      <c r="D36" s="2125" t="s">
        <v>30</v>
      </c>
      <c r="E36" s="185">
        <f t="shared" si="0"/>
        <v>90</v>
      </c>
      <c r="G36" s="121"/>
      <c r="H36" s="121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69"/>
      <c r="U36" s="69"/>
      <c r="V36" s="22"/>
      <c r="W36" s="19"/>
    </row>
    <row r="37" spans="1:23" ht="20.25" x14ac:dyDescent="0.25">
      <c r="A37" s="185">
        <v>29</v>
      </c>
      <c r="B37" s="1973">
        <f t="shared" si="1"/>
        <v>5191421029</v>
      </c>
      <c r="C37" s="308">
        <v>38</v>
      </c>
      <c r="D37" s="2124" t="s">
        <v>30</v>
      </c>
      <c r="E37" s="185">
        <f t="shared" si="0"/>
        <v>90</v>
      </c>
      <c r="G37" s="121"/>
      <c r="H37" s="121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69"/>
      <c r="U37" s="69"/>
      <c r="V37" s="22"/>
      <c r="W37" s="19"/>
    </row>
    <row r="38" spans="1:23" ht="20.25" x14ac:dyDescent="0.25">
      <c r="A38" s="185">
        <v>30</v>
      </c>
      <c r="B38" s="1973">
        <f t="shared" si="1"/>
        <v>5191421030</v>
      </c>
      <c r="C38" s="308">
        <v>46</v>
      </c>
      <c r="D38" s="2125" t="s">
        <v>33</v>
      </c>
      <c r="E38" s="185">
        <f t="shared" si="0"/>
        <v>60</v>
      </c>
      <c r="G38" s="121"/>
      <c r="H38" s="121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69"/>
      <c r="U38" s="69"/>
      <c r="V38" s="22"/>
      <c r="W38" s="19"/>
    </row>
    <row r="39" spans="1:23" ht="20.25" x14ac:dyDescent="0.25">
      <c r="A39" s="185">
        <v>31</v>
      </c>
      <c r="B39" s="1973">
        <f t="shared" si="1"/>
        <v>5191421031</v>
      </c>
      <c r="C39" s="308">
        <v>15</v>
      </c>
      <c r="D39" s="2124" t="s">
        <v>30</v>
      </c>
      <c r="E39" s="185">
        <f t="shared" si="0"/>
        <v>90</v>
      </c>
      <c r="G39" s="121"/>
      <c r="H39" s="121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69"/>
      <c r="U39" s="69"/>
      <c r="V39" s="22"/>
      <c r="W39" s="19"/>
    </row>
    <row r="40" spans="1:23" ht="20.25" x14ac:dyDescent="0.25">
      <c r="A40" s="185">
        <v>32</v>
      </c>
      <c r="B40" s="1973">
        <f t="shared" si="1"/>
        <v>5191421032</v>
      </c>
      <c r="C40" s="308">
        <v>48</v>
      </c>
      <c r="D40" s="2125" t="s">
        <v>32</v>
      </c>
      <c r="E40" s="185">
        <f t="shared" si="0"/>
        <v>70</v>
      </c>
      <c r="G40" s="121"/>
      <c r="H40" s="121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69"/>
      <c r="U40" s="69"/>
      <c r="V40" s="22"/>
      <c r="W40" s="19"/>
    </row>
    <row r="41" spans="1:23" ht="20.25" x14ac:dyDescent="0.25">
      <c r="A41" s="185">
        <v>33</v>
      </c>
      <c r="B41" s="1973">
        <f t="shared" si="1"/>
        <v>5191421033</v>
      </c>
      <c r="C41" s="308">
        <v>41</v>
      </c>
      <c r="D41" s="2124" t="s">
        <v>82</v>
      </c>
      <c r="E41" s="185">
        <f t="shared" si="0"/>
        <v>100</v>
      </c>
      <c r="G41" s="121"/>
      <c r="H41" s="121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69"/>
      <c r="U41" s="69"/>
      <c r="V41" s="22"/>
      <c r="W41" s="19"/>
    </row>
    <row r="42" spans="1:23" ht="20.25" x14ac:dyDescent="0.25">
      <c r="A42" s="185">
        <v>34</v>
      </c>
      <c r="B42" s="1973">
        <f t="shared" si="1"/>
        <v>5191421034</v>
      </c>
      <c r="C42" s="308">
        <v>45</v>
      </c>
      <c r="D42" s="2125" t="s">
        <v>82</v>
      </c>
      <c r="E42" s="185">
        <f t="shared" si="0"/>
        <v>100</v>
      </c>
      <c r="G42" s="121"/>
      <c r="H42" s="121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69"/>
      <c r="U42" s="69"/>
      <c r="V42" s="22"/>
      <c r="W42" s="19"/>
    </row>
    <row r="43" spans="1:23" ht="20.25" x14ac:dyDescent="0.25">
      <c r="A43" s="185">
        <v>35</v>
      </c>
      <c r="B43" s="1973">
        <f t="shared" si="1"/>
        <v>5191421035</v>
      </c>
      <c r="C43" s="308">
        <v>45</v>
      </c>
      <c r="D43" s="2124" t="s">
        <v>32</v>
      </c>
      <c r="E43" s="185">
        <f t="shared" si="0"/>
        <v>70</v>
      </c>
      <c r="G43" s="121"/>
      <c r="H43" s="121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69"/>
      <c r="U43" s="69"/>
      <c r="V43" s="22"/>
      <c r="W43" s="19"/>
    </row>
    <row r="44" spans="1:23" ht="20.25" x14ac:dyDescent="0.25">
      <c r="A44" s="185">
        <v>36</v>
      </c>
      <c r="B44" s="1973">
        <f t="shared" si="1"/>
        <v>5191421036</v>
      </c>
      <c r="C44" s="308">
        <v>45</v>
      </c>
      <c r="D44" s="2125" t="s">
        <v>82</v>
      </c>
      <c r="E44" s="185">
        <f t="shared" si="0"/>
        <v>100</v>
      </c>
      <c r="G44" s="121"/>
      <c r="H44" s="121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69"/>
      <c r="U44" s="69"/>
      <c r="V44" s="22"/>
      <c r="W44" s="19"/>
    </row>
    <row r="45" spans="1:23" ht="24" customHeight="1" x14ac:dyDescent="0.25">
      <c r="A45" s="185">
        <v>37</v>
      </c>
      <c r="B45" s="1973">
        <f t="shared" si="1"/>
        <v>5191421037</v>
      </c>
      <c r="C45" s="308">
        <v>41</v>
      </c>
      <c r="D45" s="2124" t="s">
        <v>32</v>
      </c>
      <c r="E45" s="185">
        <f t="shared" si="0"/>
        <v>70</v>
      </c>
      <c r="G45" s="121"/>
      <c r="H45" s="121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69"/>
      <c r="U45" s="69"/>
      <c r="V45" s="22"/>
      <c r="W45" s="19"/>
    </row>
    <row r="46" spans="1:23" ht="24" customHeight="1" x14ac:dyDescent="0.25">
      <c r="A46" s="185">
        <v>38</v>
      </c>
      <c r="B46" s="1973">
        <f t="shared" si="1"/>
        <v>5191421038</v>
      </c>
      <c r="C46" s="308">
        <v>45</v>
      </c>
      <c r="D46" s="2125" t="s">
        <v>32</v>
      </c>
      <c r="E46" s="185">
        <f t="shared" si="0"/>
        <v>70</v>
      </c>
      <c r="G46" s="121"/>
      <c r="H46" s="121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69"/>
      <c r="U46" s="69"/>
      <c r="V46" s="22"/>
      <c r="W46" s="19"/>
    </row>
    <row r="47" spans="1:23" ht="24" customHeight="1" x14ac:dyDescent="0.25">
      <c r="A47" s="185">
        <v>39</v>
      </c>
      <c r="B47" s="1973">
        <f t="shared" si="1"/>
        <v>5191421039</v>
      </c>
      <c r="C47" s="308">
        <v>41</v>
      </c>
      <c r="D47" s="2124" t="s">
        <v>82</v>
      </c>
      <c r="E47" s="185">
        <f t="shared" si="0"/>
        <v>100</v>
      </c>
      <c r="G47" s="121"/>
      <c r="H47" s="121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69"/>
      <c r="U47" s="69"/>
      <c r="V47" s="22"/>
      <c r="W47" s="19"/>
    </row>
    <row r="48" spans="1:23" ht="24" customHeight="1" x14ac:dyDescent="0.25">
      <c r="A48" s="185">
        <v>40</v>
      </c>
      <c r="B48" s="1973">
        <f t="shared" si="1"/>
        <v>5191421040</v>
      </c>
      <c r="C48" s="308">
        <v>41</v>
      </c>
      <c r="D48" s="2125" t="s">
        <v>27</v>
      </c>
      <c r="E48" s="185">
        <f t="shared" si="0"/>
        <v>80</v>
      </c>
      <c r="G48" s="121"/>
      <c r="H48" s="121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69"/>
      <c r="U48" s="69"/>
      <c r="V48" s="22"/>
      <c r="W48" s="19"/>
    </row>
    <row r="49" spans="1:23" ht="24" customHeight="1" x14ac:dyDescent="0.25">
      <c r="A49" s="185">
        <v>41</v>
      </c>
      <c r="B49" s="1973">
        <f t="shared" si="1"/>
        <v>5191421041</v>
      </c>
      <c r="C49" s="308">
        <v>38</v>
      </c>
      <c r="D49" s="2124" t="s">
        <v>30</v>
      </c>
      <c r="E49" s="185">
        <f t="shared" si="0"/>
        <v>90</v>
      </c>
      <c r="G49" s="121"/>
      <c r="H49" s="121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69"/>
      <c r="U49" s="69"/>
      <c r="V49" s="22"/>
      <c r="W49" s="19"/>
    </row>
    <row r="50" spans="1:23" ht="24" customHeight="1" x14ac:dyDescent="0.25">
      <c r="A50" s="185">
        <v>42</v>
      </c>
      <c r="B50" s="1973">
        <f t="shared" si="1"/>
        <v>5191421042</v>
      </c>
      <c r="C50" s="308">
        <v>42</v>
      </c>
      <c r="D50" s="2124" t="s">
        <v>32</v>
      </c>
      <c r="E50" s="185">
        <f t="shared" si="0"/>
        <v>70</v>
      </c>
      <c r="G50" s="121"/>
      <c r="H50" s="121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69"/>
      <c r="U50" s="69"/>
      <c r="V50" s="22"/>
      <c r="W50" s="19"/>
    </row>
    <row r="51" spans="1:23" ht="24" customHeight="1" x14ac:dyDescent="0.25">
      <c r="A51" s="185">
        <v>43</v>
      </c>
      <c r="B51" s="1973">
        <f t="shared" si="1"/>
        <v>5191421043</v>
      </c>
      <c r="C51" s="308">
        <v>42</v>
      </c>
      <c r="D51" s="2124" t="s">
        <v>27</v>
      </c>
      <c r="E51" s="185">
        <f t="shared" si="0"/>
        <v>80</v>
      </c>
      <c r="G51" s="121"/>
      <c r="H51" s="121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69"/>
      <c r="U51" s="69"/>
      <c r="V51" s="22"/>
      <c r="W51" s="19"/>
    </row>
    <row r="52" spans="1:23" ht="24" customHeight="1" x14ac:dyDescent="0.25">
      <c r="A52" s="185">
        <v>44</v>
      </c>
      <c r="B52" s="1973">
        <f t="shared" si="1"/>
        <v>5191421044</v>
      </c>
      <c r="C52" s="308">
        <v>48</v>
      </c>
      <c r="D52" s="2124" t="s">
        <v>82</v>
      </c>
      <c r="E52" s="185">
        <f t="shared" si="0"/>
        <v>100</v>
      </c>
      <c r="G52" s="121"/>
      <c r="H52" s="121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69"/>
      <c r="U52" s="69"/>
      <c r="V52" s="22"/>
      <c r="W52" s="19"/>
    </row>
    <row r="53" spans="1:23" ht="24" customHeight="1" x14ac:dyDescent="0.25">
      <c r="A53" s="185">
        <v>45</v>
      </c>
      <c r="B53" s="1973">
        <f t="shared" si="1"/>
        <v>5191421045</v>
      </c>
      <c r="C53" s="308">
        <v>48</v>
      </c>
      <c r="D53" s="2124" t="s">
        <v>27</v>
      </c>
      <c r="E53" s="185">
        <f t="shared" si="0"/>
        <v>80</v>
      </c>
      <c r="G53" s="121"/>
      <c r="H53" s="121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69"/>
      <c r="U53" s="69"/>
      <c r="V53" s="22"/>
      <c r="W53" s="19"/>
    </row>
    <row r="54" spans="1:23" ht="24" customHeight="1" x14ac:dyDescent="0.25">
      <c r="A54" s="185">
        <v>46</v>
      </c>
      <c r="B54" s="1973">
        <f t="shared" si="1"/>
        <v>5191421046</v>
      </c>
      <c r="C54" s="308">
        <v>47</v>
      </c>
      <c r="D54" s="2124" t="s">
        <v>30</v>
      </c>
      <c r="E54" s="185">
        <f t="shared" si="0"/>
        <v>90</v>
      </c>
      <c r="G54" s="121"/>
      <c r="H54" s="121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69"/>
      <c r="U54" s="69"/>
      <c r="V54" s="22"/>
      <c r="W54" s="19"/>
    </row>
    <row r="55" spans="1:23" ht="24" customHeight="1" x14ac:dyDescent="0.25">
      <c r="A55" s="185">
        <v>47</v>
      </c>
      <c r="B55" s="1973">
        <f t="shared" si="1"/>
        <v>5191421047</v>
      </c>
      <c r="C55" s="308">
        <v>46</v>
      </c>
      <c r="D55" s="2124" t="s">
        <v>33</v>
      </c>
      <c r="E55" s="185">
        <f t="shared" si="0"/>
        <v>60</v>
      </c>
      <c r="G55" s="121"/>
      <c r="H55" s="121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69"/>
      <c r="U55" s="69"/>
      <c r="V55" s="22"/>
      <c r="W55" s="19"/>
    </row>
    <row r="56" spans="1:23" ht="24" customHeight="1" x14ac:dyDescent="0.25">
      <c r="A56" s="185">
        <v>48</v>
      </c>
      <c r="B56" s="1973">
        <f t="shared" si="1"/>
        <v>5191421048</v>
      </c>
      <c r="C56" s="308">
        <v>45</v>
      </c>
      <c r="D56" s="2124" t="s">
        <v>27</v>
      </c>
      <c r="E56" s="185">
        <f t="shared" si="0"/>
        <v>80</v>
      </c>
      <c r="G56" s="121"/>
      <c r="H56" s="121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69"/>
      <c r="U56" s="69"/>
      <c r="V56" s="22"/>
      <c r="W56" s="19"/>
    </row>
    <row r="57" spans="1:23" ht="24" customHeight="1" x14ac:dyDescent="0.25">
      <c r="A57" s="185">
        <v>49</v>
      </c>
      <c r="B57" s="1973">
        <f t="shared" si="1"/>
        <v>5191421049</v>
      </c>
      <c r="C57" s="308">
        <v>46</v>
      </c>
      <c r="D57" s="2125" t="s">
        <v>31</v>
      </c>
      <c r="E57" s="185">
        <f t="shared" si="0"/>
        <v>55</v>
      </c>
      <c r="G57" s="121"/>
      <c r="H57" s="121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69"/>
      <c r="U57" s="69"/>
      <c r="V57" s="22"/>
      <c r="W57" s="19"/>
    </row>
    <row r="58" spans="1:23" ht="24" customHeight="1" x14ac:dyDescent="0.3">
      <c r="A58" s="192" t="s">
        <v>34</v>
      </c>
      <c r="B58" s="193"/>
      <c r="C58" s="125">
        <f>COUNT(C9:C57)</f>
        <v>49</v>
      </c>
      <c r="D58" s="193"/>
      <c r="E58" s="193"/>
      <c r="G58" s="153"/>
      <c r="H58" s="153"/>
      <c r="I58" s="153"/>
      <c r="J58" s="153"/>
      <c r="K58" s="153"/>
      <c r="L58" s="120"/>
      <c r="M58" s="8"/>
      <c r="N58" s="8"/>
      <c r="O58" s="153"/>
      <c r="P58" s="153"/>
      <c r="Q58" s="153"/>
      <c r="R58" s="153"/>
      <c r="S58" s="153"/>
      <c r="T58" s="153"/>
      <c r="U58" s="153"/>
      <c r="V58" s="153"/>
    </row>
    <row r="59" spans="1:23" ht="24" customHeight="1" x14ac:dyDescent="0.3">
      <c r="A59" s="194"/>
      <c r="B59" s="125">
        <v>65</v>
      </c>
      <c r="C59" s="195">
        <f>C8*(B59/100)</f>
        <v>32.5</v>
      </c>
      <c r="D59" s="193"/>
      <c r="E59" s="193"/>
      <c r="G59" s="153"/>
      <c r="H59" s="153"/>
      <c r="I59" s="153"/>
      <c r="J59" s="153"/>
      <c r="K59" s="153"/>
      <c r="L59" s="24"/>
      <c r="M59" s="8"/>
      <c r="N59" s="8"/>
      <c r="O59" s="153"/>
      <c r="P59" s="153"/>
      <c r="Q59" s="153"/>
      <c r="R59" s="153"/>
      <c r="S59" s="153"/>
      <c r="T59" s="153"/>
      <c r="U59" s="153"/>
      <c r="V59" s="153"/>
    </row>
    <row r="60" spans="1:23" ht="24" customHeight="1" x14ac:dyDescent="0.3">
      <c r="A60" s="2888" t="s">
        <v>35</v>
      </c>
      <c r="B60" s="2888"/>
      <c r="C60" s="125">
        <f>COUNTIF(C9:C57,"&gt;=" &amp;C59)</f>
        <v>48</v>
      </c>
      <c r="D60" s="193"/>
      <c r="E60" s="125">
        <f>COUNTIF(E9:E57,"&gt;="&amp;B59)</f>
        <v>45</v>
      </c>
      <c r="G60" s="153"/>
      <c r="H60" s="2872"/>
      <c r="I60" s="2872"/>
      <c r="J60" s="2872"/>
      <c r="K60" s="2872"/>
      <c r="L60" s="2872"/>
      <c r="M60" s="8"/>
      <c r="N60" s="8"/>
      <c r="O60" s="153"/>
      <c r="P60" s="2872"/>
      <c r="Q60" s="2872"/>
      <c r="R60" s="2872"/>
      <c r="S60" s="2872"/>
      <c r="T60" s="2872"/>
      <c r="U60" s="153"/>
      <c r="V60" s="153"/>
    </row>
    <row r="61" spans="1:23" ht="24" customHeight="1" x14ac:dyDescent="0.3">
      <c r="A61" s="2877" t="s">
        <v>36</v>
      </c>
      <c r="B61" s="2877"/>
      <c r="C61" s="196">
        <f t="shared" ref="C61" si="5">C60/C58</f>
        <v>0.97959183673469385</v>
      </c>
      <c r="D61" s="193"/>
      <c r="E61" s="197">
        <f>(E60/A57)*100</f>
        <v>91.83673469387756</v>
      </c>
      <c r="G61" s="153"/>
      <c r="H61" s="153"/>
      <c r="I61" s="153"/>
      <c r="J61" s="153"/>
      <c r="K61" s="153"/>
      <c r="L61" s="24"/>
      <c r="M61" s="8"/>
      <c r="N61" s="8"/>
      <c r="O61" s="153"/>
      <c r="P61" s="153"/>
      <c r="Q61" s="153"/>
      <c r="R61" s="153"/>
      <c r="S61" s="153"/>
      <c r="T61" s="153"/>
      <c r="U61" s="153"/>
      <c r="V61" s="153"/>
    </row>
    <row r="64" spans="1:23" ht="18" customHeight="1" x14ac:dyDescent="0.25"/>
    <row r="65" ht="18" customHeight="1" x14ac:dyDescent="0.25"/>
  </sheetData>
  <mergeCells count="18">
    <mergeCell ref="P60:T60"/>
    <mergeCell ref="A61:B61"/>
    <mergeCell ref="I15:T15"/>
    <mergeCell ref="K3:L3"/>
    <mergeCell ref="M3:N3"/>
    <mergeCell ref="A60:B60"/>
    <mergeCell ref="H60:L60"/>
    <mergeCell ref="A2:B2"/>
    <mergeCell ref="A3:B3"/>
    <mergeCell ref="U15:W15"/>
    <mergeCell ref="I22:T22"/>
    <mergeCell ref="U22:W22"/>
    <mergeCell ref="D7:E7"/>
    <mergeCell ref="D8:E8"/>
    <mergeCell ref="B5:B6"/>
    <mergeCell ref="C5:C6"/>
    <mergeCell ref="D5:D6"/>
    <mergeCell ref="E5:E6"/>
  </mergeCells>
  <conditionalFormatting sqref="D9:D57">
    <cfRule type="containsText" dxfId="121" priority="1" operator="containsText" text="F">
      <formula>NOT(ISERROR(SEARCH("F",D9)))</formula>
    </cfRule>
  </conditionalFormatting>
  <pageMargins left="0.7" right="0.7" top="0.75" bottom="0.75" header="0.3" footer="0.3"/>
  <pageSetup paperSize="8" scale="5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7"/>
  <sheetViews>
    <sheetView topLeftCell="A76" zoomScale="87" zoomScaleNormal="87" workbookViewId="0">
      <selection activeCell="D99" sqref="D99"/>
    </sheetView>
  </sheetViews>
  <sheetFormatPr defaultRowHeight="15.75" x14ac:dyDescent="0.25"/>
  <cols>
    <col min="1" max="1" width="15.140625" style="2271" bestFit="1" customWidth="1"/>
    <col min="2" max="2" width="18.28515625" style="2271" bestFit="1" customWidth="1"/>
    <col min="3" max="3" width="16.5703125" style="2271" bestFit="1" customWidth="1"/>
    <col min="4" max="5" width="9.140625" style="2271"/>
    <col min="6" max="6" width="12.7109375" style="2271" customWidth="1"/>
    <col min="7" max="7" width="13" style="2271" customWidth="1"/>
    <col min="8" max="8" width="12.5703125" style="2271" customWidth="1"/>
    <col min="9" max="9" width="9.85546875" style="2271" customWidth="1"/>
    <col min="10" max="10" width="10.5703125" style="2271" customWidth="1"/>
    <col min="11" max="11" width="10.5703125" style="806" customWidth="1"/>
    <col min="12" max="12" width="10.5703125" style="2271" customWidth="1"/>
    <col min="13" max="15" width="11.140625" style="2271" bestFit="1" customWidth="1"/>
    <col min="16" max="17" width="9.140625" style="2271"/>
    <col min="18" max="18" width="10.42578125" style="2271" customWidth="1"/>
    <col min="19" max="20" width="10.5703125" style="2271" customWidth="1"/>
    <col min="21" max="23" width="9.140625" style="2271"/>
    <col min="24" max="24" width="8" style="2271" customWidth="1"/>
    <col min="25" max="25" width="7.42578125" style="2271" customWidth="1"/>
    <col min="26" max="16384" width="9.140625" style="2271"/>
  </cols>
  <sheetData>
    <row r="1" spans="1:21" x14ac:dyDescent="0.25">
      <c r="A1" s="333"/>
      <c r="K1" s="2271"/>
    </row>
    <row r="2" spans="1:21" x14ac:dyDescent="0.25">
      <c r="A2" s="2875" t="s">
        <v>0</v>
      </c>
      <c r="B2" s="2876"/>
      <c r="C2" s="2527" t="s">
        <v>402</v>
      </c>
      <c r="D2" s="2528"/>
      <c r="E2" s="2528"/>
      <c r="F2" s="2528"/>
      <c r="G2" s="2528"/>
      <c r="H2" s="380" t="s">
        <v>63</v>
      </c>
      <c r="I2" s="3073" t="s">
        <v>155</v>
      </c>
      <c r="J2" s="3074"/>
      <c r="K2" s="3074"/>
      <c r="L2" s="3074"/>
      <c r="M2" s="3074"/>
      <c r="N2" s="3074"/>
      <c r="O2" s="3074"/>
      <c r="P2" s="3074"/>
      <c r="Q2" s="735"/>
      <c r="R2" s="735"/>
      <c r="S2" s="735"/>
      <c r="T2" s="735"/>
      <c r="U2" s="735"/>
    </row>
    <row r="3" spans="1:21" x14ac:dyDescent="0.25">
      <c r="A3" s="2875" t="s">
        <v>1</v>
      </c>
      <c r="B3" s="2876"/>
      <c r="C3" s="2527" t="s">
        <v>403</v>
      </c>
      <c r="D3" s="2528"/>
      <c r="E3" s="2528"/>
      <c r="F3" s="2528"/>
      <c r="G3" s="2528"/>
      <c r="H3" s="344" t="s">
        <v>64</v>
      </c>
      <c r="I3" s="3073" t="s">
        <v>226</v>
      </c>
      <c r="J3" s="3074"/>
      <c r="K3" s="3074"/>
      <c r="L3" s="3074"/>
      <c r="M3" s="3074"/>
      <c r="N3" s="3074"/>
      <c r="O3" s="3074"/>
      <c r="P3" s="3074"/>
      <c r="Q3" s="735"/>
      <c r="R3" s="735"/>
      <c r="S3" s="735"/>
      <c r="T3" s="735"/>
      <c r="U3" s="735"/>
    </row>
    <row r="4" spans="1:21" ht="16.5" thickBot="1" x14ac:dyDescent="0.3">
      <c r="A4" s="4"/>
      <c r="B4" s="5" t="s">
        <v>2</v>
      </c>
      <c r="C4" s="2529" t="s">
        <v>133</v>
      </c>
      <c r="D4" s="2530"/>
      <c r="E4" s="2530"/>
      <c r="F4" s="2530"/>
      <c r="G4" s="2530"/>
      <c r="H4" s="5" t="s">
        <v>65</v>
      </c>
      <c r="I4" s="3062" t="s">
        <v>66</v>
      </c>
      <c r="J4" s="3063"/>
      <c r="K4" s="3063"/>
      <c r="L4" s="3063"/>
      <c r="M4" s="3063"/>
      <c r="N4" s="3063"/>
      <c r="O4" s="3063"/>
      <c r="P4" s="3063"/>
      <c r="Q4" s="735"/>
      <c r="R4" s="735"/>
      <c r="S4" s="735"/>
      <c r="T4" s="735"/>
      <c r="U4" s="735"/>
    </row>
    <row r="5" spans="1:21" ht="16.5" thickBot="1" x14ac:dyDescent="0.3">
      <c r="A5" s="3064"/>
      <c r="B5" s="3065"/>
      <c r="C5" s="3070"/>
      <c r="D5" s="3071"/>
      <c r="E5" s="3071"/>
      <c r="F5" s="3071"/>
      <c r="G5" s="3071"/>
      <c r="H5" s="3072"/>
      <c r="K5" s="2271"/>
    </row>
    <row r="6" spans="1:21" ht="15" customHeight="1" x14ac:dyDescent="0.25">
      <c r="A6" s="3066"/>
      <c r="B6" s="3069" t="s">
        <v>5</v>
      </c>
      <c r="C6" s="2525" t="s">
        <v>6</v>
      </c>
      <c r="D6" s="2526"/>
      <c r="E6" s="2526"/>
      <c r="F6" s="3049" t="s">
        <v>11</v>
      </c>
      <c r="G6" s="3052" t="s">
        <v>12</v>
      </c>
      <c r="K6" s="2271"/>
    </row>
    <row r="7" spans="1:21" ht="15.75" customHeight="1" x14ac:dyDescent="0.25">
      <c r="A7" s="3067"/>
      <c r="B7" s="2632"/>
      <c r="C7" s="2477" t="s">
        <v>404</v>
      </c>
      <c r="D7" s="2477" t="s">
        <v>405</v>
      </c>
      <c r="E7" s="3047" t="s">
        <v>233</v>
      </c>
      <c r="F7" s="3050"/>
      <c r="G7" s="3052"/>
      <c r="K7" s="2271"/>
    </row>
    <row r="8" spans="1:21" x14ac:dyDescent="0.25">
      <c r="A8" s="3068"/>
      <c r="B8" s="2481" t="s">
        <v>19</v>
      </c>
      <c r="C8" s="2477" t="s">
        <v>292</v>
      </c>
      <c r="D8" s="2477" t="s">
        <v>406</v>
      </c>
      <c r="E8" s="3048"/>
      <c r="F8" s="3051"/>
      <c r="G8" s="3052"/>
      <c r="K8" s="2271"/>
    </row>
    <row r="9" spans="1:21" x14ac:dyDescent="0.25">
      <c r="A9" s="2484" t="s">
        <v>18</v>
      </c>
      <c r="B9" s="2474" t="s">
        <v>26</v>
      </c>
      <c r="C9" s="2477">
        <v>30</v>
      </c>
      <c r="D9" s="2477">
        <v>30</v>
      </c>
      <c r="E9" s="2487">
        <v>10</v>
      </c>
      <c r="F9" s="2484"/>
      <c r="G9" s="2479"/>
      <c r="H9" s="2479"/>
      <c r="I9" s="330"/>
      <c r="K9" s="2271"/>
    </row>
    <row r="10" spans="1:21" ht="18.75" x14ac:dyDescent="0.25">
      <c r="A10" s="2484">
        <v>1</v>
      </c>
      <c r="B10" s="395">
        <v>5191421001</v>
      </c>
      <c r="C10" s="2524">
        <v>21</v>
      </c>
      <c r="D10" s="2524">
        <v>17</v>
      </c>
      <c r="E10" s="383">
        <v>10</v>
      </c>
      <c r="F10" s="2281" t="s">
        <v>33</v>
      </c>
      <c r="G10" s="2480">
        <f>IF(F10="O",100,IF(F10="A+",90,IF(F10="A",80,IF(F10="B+",70,IF(F10="B",60,IF(F10="C",55,IF(F10="P",50,IF(F10="F",39))))))))</f>
        <v>60</v>
      </c>
      <c r="K10" s="2271"/>
    </row>
    <row r="11" spans="1:21" ht="18.75" x14ac:dyDescent="0.25">
      <c r="A11" s="2484">
        <v>2</v>
      </c>
      <c r="B11" s="395">
        <v>5191421002</v>
      </c>
      <c r="C11" s="2524">
        <v>24</v>
      </c>
      <c r="D11" s="2524">
        <v>29</v>
      </c>
      <c r="E11" s="383">
        <v>10</v>
      </c>
      <c r="F11" s="2281" t="s">
        <v>32</v>
      </c>
      <c r="G11" s="2480">
        <f t="shared" ref="G11:G67" si="0">IF(F11="O",100,IF(F11="A+",90,IF(F11="A",80,IF(F11="B+",70,IF(F11="B",60,IF(F11="C",55,IF(F11="P",50,IF(F11="F",39))))))))</f>
        <v>70</v>
      </c>
      <c r="K11" s="2271"/>
    </row>
    <row r="12" spans="1:21" ht="18.75" x14ac:dyDescent="0.25">
      <c r="A12" s="2484">
        <v>3</v>
      </c>
      <c r="B12" s="395">
        <v>5191421003</v>
      </c>
      <c r="C12" s="2524">
        <v>29</v>
      </c>
      <c r="D12" s="2524">
        <v>30</v>
      </c>
      <c r="E12" s="383">
        <v>10</v>
      </c>
      <c r="F12" s="2281" t="s">
        <v>27</v>
      </c>
      <c r="G12" s="2480">
        <f t="shared" si="0"/>
        <v>80</v>
      </c>
      <c r="K12" s="2271"/>
    </row>
    <row r="13" spans="1:21" ht="18.75" x14ac:dyDescent="0.25">
      <c r="A13" s="2484">
        <v>4</v>
      </c>
      <c r="B13" s="395">
        <v>5191421004</v>
      </c>
      <c r="C13" s="2524">
        <v>6</v>
      </c>
      <c r="D13" s="2524">
        <v>19</v>
      </c>
      <c r="E13" s="383">
        <v>10</v>
      </c>
      <c r="F13" s="2281" t="s">
        <v>33</v>
      </c>
      <c r="G13" s="2480">
        <f t="shared" si="0"/>
        <v>60</v>
      </c>
      <c r="K13" s="2271"/>
    </row>
    <row r="14" spans="1:21" ht="18.75" x14ac:dyDescent="0.25">
      <c r="A14" s="2484">
        <v>5</v>
      </c>
      <c r="B14" s="395">
        <v>5191421005</v>
      </c>
      <c r="C14" s="2524">
        <v>20</v>
      </c>
      <c r="D14" s="2524">
        <v>27</v>
      </c>
      <c r="E14" s="383">
        <v>10</v>
      </c>
      <c r="F14" s="2281" t="s">
        <v>32</v>
      </c>
      <c r="G14" s="2480">
        <f t="shared" si="0"/>
        <v>70</v>
      </c>
      <c r="K14" s="2271"/>
    </row>
    <row r="15" spans="1:21" ht="18.75" x14ac:dyDescent="0.25">
      <c r="A15" s="2484">
        <v>6</v>
      </c>
      <c r="B15" s="395">
        <v>5191421006</v>
      </c>
      <c r="C15" s="2524">
        <v>24</v>
      </c>
      <c r="D15" s="2524">
        <v>24</v>
      </c>
      <c r="E15" s="383">
        <v>10</v>
      </c>
      <c r="F15" s="2281" t="s">
        <v>31</v>
      </c>
      <c r="G15" s="2480">
        <f t="shared" si="0"/>
        <v>55</v>
      </c>
      <c r="K15" s="2271"/>
    </row>
    <row r="16" spans="1:21" ht="18.75" x14ac:dyDescent="0.25">
      <c r="A16" s="2484">
        <v>7</v>
      </c>
      <c r="B16" s="395">
        <v>5191421007</v>
      </c>
      <c r="C16" s="2524">
        <v>22</v>
      </c>
      <c r="D16" s="2524">
        <v>30</v>
      </c>
      <c r="E16" s="383">
        <v>10</v>
      </c>
      <c r="F16" s="2281" t="s">
        <v>27</v>
      </c>
      <c r="G16" s="2480">
        <f t="shared" si="0"/>
        <v>80</v>
      </c>
      <c r="K16" s="2271"/>
    </row>
    <row r="17" spans="1:11" ht="18.75" x14ac:dyDescent="0.25">
      <c r="A17" s="2484">
        <v>8</v>
      </c>
      <c r="B17" s="395">
        <v>5191421008</v>
      </c>
      <c r="C17" s="2524">
        <v>12</v>
      </c>
      <c r="D17" s="2524">
        <v>29</v>
      </c>
      <c r="E17" s="383">
        <v>10</v>
      </c>
      <c r="F17" s="2281" t="s">
        <v>27</v>
      </c>
      <c r="G17" s="2480">
        <f t="shared" si="0"/>
        <v>80</v>
      </c>
      <c r="K17" s="2271"/>
    </row>
    <row r="18" spans="1:11" ht="18.75" x14ac:dyDescent="0.25">
      <c r="A18" s="2484">
        <v>9</v>
      </c>
      <c r="B18" s="395">
        <v>5191421009</v>
      </c>
      <c r="C18" s="2524">
        <v>15</v>
      </c>
      <c r="D18" s="2524">
        <v>28</v>
      </c>
      <c r="E18" s="383">
        <v>10</v>
      </c>
      <c r="F18" s="2281" t="s">
        <v>32</v>
      </c>
      <c r="G18" s="2480">
        <f t="shared" si="0"/>
        <v>70</v>
      </c>
      <c r="K18" s="2271"/>
    </row>
    <row r="19" spans="1:11" ht="18.75" x14ac:dyDescent="0.25">
      <c r="A19" s="2484">
        <v>10</v>
      </c>
      <c r="B19" s="395">
        <v>5191421010</v>
      </c>
      <c r="C19" s="2524">
        <v>14</v>
      </c>
      <c r="D19" s="2524">
        <v>23</v>
      </c>
      <c r="E19" s="383">
        <v>10</v>
      </c>
      <c r="F19" s="2281" t="s">
        <v>29</v>
      </c>
      <c r="G19" s="2480">
        <f t="shared" si="0"/>
        <v>39</v>
      </c>
      <c r="K19" s="2271"/>
    </row>
    <row r="20" spans="1:11" ht="18.75" x14ac:dyDescent="0.25">
      <c r="A20" s="2484">
        <v>11</v>
      </c>
      <c r="B20" s="395">
        <v>5191421011</v>
      </c>
      <c r="C20" s="2524">
        <v>24</v>
      </c>
      <c r="D20" s="2524">
        <v>30</v>
      </c>
      <c r="E20" s="383">
        <v>10</v>
      </c>
      <c r="F20" s="2281" t="s">
        <v>30</v>
      </c>
      <c r="G20" s="2480">
        <f t="shared" si="0"/>
        <v>90</v>
      </c>
      <c r="K20" s="2271"/>
    </row>
    <row r="21" spans="1:11" ht="18.75" x14ac:dyDescent="0.25">
      <c r="A21" s="2484">
        <v>12</v>
      </c>
      <c r="B21" s="395">
        <v>5191421012</v>
      </c>
      <c r="C21" s="2524">
        <v>20</v>
      </c>
      <c r="D21" s="2524">
        <v>10</v>
      </c>
      <c r="E21" s="383">
        <v>10</v>
      </c>
      <c r="F21" s="2281" t="s">
        <v>33</v>
      </c>
      <c r="G21" s="2480">
        <f t="shared" si="0"/>
        <v>60</v>
      </c>
      <c r="K21" s="2271"/>
    </row>
    <row r="22" spans="1:11" ht="18.75" x14ac:dyDescent="0.25">
      <c r="A22" s="2484">
        <v>13</v>
      </c>
      <c r="B22" s="395">
        <v>5191421013</v>
      </c>
      <c r="C22" s="2524">
        <v>27</v>
      </c>
      <c r="D22" s="2524">
        <v>29</v>
      </c>
      <c r="E22" s="383">
        <v>10</v>
      </c>
      <c r="F22" s="2281" t="s">
        <v>30</v>
      </c>
      <c r="G22" s="2480">
        <f t="shared" si="0"/>
        <v>90</v>
      </c>
      <c r="K22" s="2271"/>
    </row>
    <row r="23" spans="1:11" ht="18.75" x14ac:dyDescent="0.25">
      <c r="A23" s="2484">
        <v>14</v>
      </c>
      <c r="B23" s="395">
        <v>5191421014</v>
      </c>
      <c r="C23" s="2524">
        <v>14</v>
      </c>
      <c r="D23" s="2524">
        <v>18</v>
      </c>
      <c r="E23" s="383">
        <v>10</v>
      </c>
      <c r="F23" s="2281" t="s">
        <v>32</v>
      </c>
      <c r="G23" s="2480">
        <f t="shared" si="0"/>
        <v>70</v>
      </c>
      <c r="K23" s="2271"/>
    </row>
    <row r="24" spans="1:11" ht="18.75" x14ac:dyDescent="0.25">
      <c r="A24" s="2484">
        <v>15</v>
      </c>
      <c r="B24" s="395">
        <v>5191421015</v>
      </c>
      <c r="C24" s="2524">
        <v>12</v>
      </c>
      <c r="D24" s="2524">
        <v>28</v>
      </c>
      <c r="E24" s="383">
        <v>10</v>
      </c>
      <c r="F24" s="2281" t="s">
        <v>32</v>
      </c>
      <c r="G24" s="2480">
        <f t="shared" si="0"/>
        <v>70</v>
      </c>
      <c r="K24" s="2271"/>
    </row>
    <row r="25" spans="1:11" ht="18.75" x14ac:dyDescent="0.25">
      <c r="A25" s="2484">
        <v>16</v>
      </c>
      <c r="B25" s="395">
        <v>5191421016</v>
      </c>
      <c r="C25" s="2524">
        <v>11</v>
      </c>
      <c r="D25" s="2524">
        <v>26</v>
      </c>
      <c r="E25" s="383">
        <v>10</v>
      </c>
      <c r="F25" s="2281" t="s">
        <v>32</v>
      </c>
      <c r="G25" s="2480">
        <f t="shared" si="0"/>
        <v>70</v>
      </c>
      <c r="K25" s="2271"/>
    </row>
    <row r="26" spans="1:11" ht="18.75" x14ac:dyDescent="0.25">
      <c r="A26" s="2484">
        <v>17</v>
      </c>
      <c r="B26" s="395">
        <v>5191421017</v>
      </c>
      <c r="C26" s="2524">
        <v>15</v>
      </c>
      <c r="D26" s="2524">
        <v>25</v>
      </c>
      <c r="E26" s="383">
        <v>10</v>
      </c>
      <c r="F26" s="2281" t="s">
        <v>32</v>
      </c>
      <c r="G26" s="2480">
        <f t="shared" si="0"/>
        <v>70</v>
      </c>
      <c r="K26" s="2271"/>
    </row>
    <row r="27" spans="1:11" ht="18.75" x14ac:dyDescent="0.25">
      <c r="A27" s="2484">
        <v>18</v>
      </c>
      <c r="B27" s="395">
        <v>5191421018</v>
      </c>
      <c r="C27" s="2524">
        <v>6</v>
      </c>
      <c r="D27" s="2524">
        <v>15</v>
      </c>
      <c r="E27" s="383">
        <v>10</v>
      </c>
      <c r="F27" s="2281" t="s">
        <v>31</v>
      </c>
      <c r="G27" s="2480">
        <f t="shared" si="0"/>
        <v>55</v>
      </c>
      <c r="K27" s="2271"/>
    </row>
    <row r="28" spans="1:11" ht="18.75" x14ac:dyDescent="0.25">
      <c r="A28" s="2484">
        <v>19</v>
      </c>
      <c r="B28" s="395">
        <v>5191421019</v>
      </c>
      <c r="C28" s="2524">
        <v>26</v>
      </c>
      <c r="D28" s="2524">
        <v>28</v>
      </c>
      <c r="E28" s="383">
        <v>10</v>
      </c>
      <c r="F28" s="2281" t="s">
        <v>30</v>
      </c>
      <c r="G28" s="2480">
        <f t="shared" si="0"/>
        <v>90</v>
      </c>
      <c r="K28" s="2271"/>
    </row>
    <row r="29" spans="1:11" ht="18.75" x14ac:dyDescent="0.25">
      <c r="A29" s="2484">
        <v>20</v>
      </c>
      <c r="B29" s="395">
        <v>5191421020</v>
      </c>
      <c r="C29" s="2524">
        <v>30</v>
      </c>
      <c r="D29" s="2524">
        <v>28</v>
      </c>
      <c r="E29" s="383">
        <v>10</v>
      </c>
      <c r="F29" s="2281" t="s">
        <v>27</v>
      </c>
      <c r="G29" s="2480">
        <f t="shared" si="0"/>
        <v>80</v>
      </c>
      <c r="K29" s="2271"/>
    </row>
    <row r="30" spans="1:11" ht="18.75" x14ac:dyDescent="0.25">
      <c r="A30" s="2484">
        <v>21</v>
      </c>
      <c r="B30" s="395">
        <v>5191421021</v>
      </c>
      <c r="C30" s="2524">
        <v>19</v>
      </c>
      <c r="D30" s="2524">
        <v>30</v>
      </c>
      <c r="E30" s="383">
        <v>10</v>
      </c>
      <c r="F30" s="2281" t="s">
        <v>27</v>
      </c>
      <c r="G30" s="2480">
        <f t="shared" si="0"/>
        <v>80</v>
      </c>
      <c r="K30" s="2271"/>
    </row>
    <row r="31" spans="1:11" ht="18.75" x14ac:dyDescent="0.25">
      <c r="A31" s="2484">
        <v>22</v>
      </c>
      <c r="B31" s="395">
        <v>5191421022</v>
      </c>
      <c r="C31" s="2524">
        <v>7</v>
      </c>
      <c r="D31" s="2524">
        <v>21</v>
      </c>
      <c r="E31" s="383">
        <v>10</v>
      </c>
      <c r="F31" s="2281" t="s">
        <v>27</v>
      </c>
      <c r="G31" s="2480">
        <f t="shared" si="0"/>
        <v>80</v>
      </c>
      <c r="K31" s="2271"/>
    </row>
    <row r="32" spans="1:11" ht="18.75" x14ac:dyDescent="0.25">
      <c r="A32" s="2484">
        <v>23</v>
      </c>
      <c r="B32" s="395">
        <v>5191421023</v>
      </c>
      <c r="C32" s="2524">
        <v>19</v>
      </c>
      <c r="D32" s="2524">
        <v>18</v>
      </c>
      <c r="E32" s="383">
        <v>10</v>
      </c>
      <c r="F32" s="2281" t="s">
        <v>29</v>
      </c>
      <c r="G32" s="2480">
        <f t="shared" si="0"/>
        <v>39</v>
      </c>
      <c r="K32" s="2271"/>
    </row>
    <row r="33" spans="1:11" ht="18.75" x14ac:dyDescent="0.25">
      <c r="A33" s="2484">
        <v>24</v>
      </c>
      <c r="B33" s="395">
        <v>5191421024</v>
      </c>
      <c r="C33" s="2524">
        <v>0</v>
      </c>
      <c r="D33" s="2524">
        <v>14</v>
      </c>
      <c r="E33" s="383">
        <v>10</v>
      </c>
      <c r="F33" s="2281" t="s">
        <v>31</v>
      </c>
      <c r="G33" s="2480">
        <f t="shared" si="0"/>
        <v>55</v>
      </c>
      <c r="K33" s="2271"/>
    </row>
    <row r="34" spans="1:11" ht="18.75" x14ac:dyDescent="0.25">
      <c r="A34" s="2484">
        <v>25</v>
      </c>
      <c r="B34" s="395">
        <v>5191421025</v>
      </c>
      <c r="C34" s="2524">
        <v>30</v>
      </c>
      <c r="D34" s="2524">
        <v>30</v>
      </c>
      <c r="E34" s="383">
        <v>10</v>
      </c>
      <c r="F34" s="2281" t="s">
        <v>27</v>
      </c>
      <c r="G34" s="2480">
        <f t="shared" si="0"/>
        <v>80</v>
      </c>
      <c r="K34" s="2271"/>
    </row>
    <row r="35" spans="1:11" ht="18.75" x14ac:dyDescent="0.25">
      <c r="A35" s="2484">
        <v>26</v>
      </c>
      <c r="B35" s="395">
        <v>5191421026</v>
      </c>
      <c r="C35" s="2524">
        <v>19</v>
      </c>
      <c r="D35" s="2524">
        <v>29</v>
      </c>
      <c r="E35" s="383">
        <v>10</v>
      </c>
      <c r="F35" s="2281" t="s">
        <v>27</v>
      </c>
      <c r="G35" s="2480">
        <f t="shared" si="0"/>
        <v>80</v>
      </c>
      <c r="K35" s="2271"/>
    </row>
    <row r="36" spans="1:11" ht="18.75" x14ac:dyDescent="0.25">
      <c r="A36" s="2484">
        <v>27</v>
      </c>
      <c r="B36" s="395">
        <v>5191421027</v>
      </c>
      <c r="C36" s="2524">
        <v>15</v>
      </c>
      <c r="D36" s="2524">
        <v>30</v>
      </c>
      <c r="E36" s="383">
        <v>10</v>
      </c>
      <c r="F36" s="2281" t="s">
        <v>32</v>
      </c>
      <c r="G36" s="2480">
        <f t="shared" si="0"/>
        <v>70</v>
      </c>
      <c r="K36" s="2271"/>
    </row>
    <row r="37" spans="1:11" ht="18.75" x14ac:dyDescent="0.25">
      <c r="A37" s="2484">
        <v>28</v>
      </c>
      <c r="B37" s="395">
        <v>5191421028</v>
      </c>
      <c r="C37" s="2524">
        <v>23</v>
      </c>
      <c r="D37" s="2524">
        <v>30</v>
      </c>
      <c r="E37" s="383">
        <v>10</v>
      </c>
      <c r="F37" s="2284" t="s">
        <v>32</v>
      </c>
      <c r="G37" s="2480">
        <f t="shared" si="0"/>
        <v>70</v>
      </c>
      <c r="K37" s="2271"/>
    </row>
    <row r="38" spans="1:11" ht="18.75" x14ac:dyDescent="0.25">
      <c r="A38" s="2484">
        <v>29</v>
      </c>
      <c r="B38" s="395">
        <v>5191421029</v>
      </c>
      <c r="C38" s="2524">
        <v>12</v>
      </c>
      <c r="D38" s="2524">
        <v>22</v>
      </c>
      <c r="E38" s="383">
        <v>10</v>
      </c>
      <c r="F38" s="2281" t="s">
        <v>32</v>
      </c>
      <c r="G38" s="2480">
        <f t="shared" si="0"/>
        <v>70</v>
      </c>
      <c r="K38" s="2271"/>
    </row>
    <row r="39" spans="1:11" ht="18.75" x14ac:dyDescent="0.25">
      <c r="A39" s="2484">
        <v>30</v>
      </c>
      <c r="B39" s="395">
        <v>5191421030</v>
      </c>
      <c r="C39" s="2524">
        <v>3</v>
      </c>
      <c r="D39" s="2524">
        <v>22</v>
      </c>
      <c r="E39" s="383">
        <v>10</v>
      </c>
      <c r="F39" s="2281" t="s">
        <v>29</v>
      </c>
      <c r="G39" s="2480">
        <f t="shared" si="0"/>
        <v>39</v>
      </c>
      <c r="K39" s="2271"/>
    </row>
    <row r="40" spans="1:11" ht="18.75" x14ac:dyDescent="0.25">
      <c r="A40" s="2484">
        <v>31</v>
      </c>
      <c r="B40" s="395">
        <v>5191421031</v>
      </c>
      <c r="C40" s="2524">
        <v>18</v>
      </c>
      <c r="D40" s="2524">
        <v>19</v>
      </c>
      <c r="E40" s="383">
        <v>10</v>
      </c>
      <c r="F40" s="2281" t="s">
        <v>33</v>
      </c>
      <c r="G40" s="2480">
        <f t="shared" si="0"/>
        <v>60</v>
      </c>
      <c r="K40" s="2271"/>
    </row>
    <row r="41" spans="1:11" ht="18.75" x14ac:dyDescent="0.25">
      <c r="A41" s="2484">
        <v>32</v>
      </c>
      <c r="B41" s="395">
        <v>5191421032</v>
      </c>
      <c r="C41" s="2524">
        <v>6</v>
      </c>
      <c r="D41" s="2524">
        <v>22</v>
      </c>
      <c r="E41" s="383">
        <v>10</v>
      </c>
      <c r="F41" s="2281" t="s">
        <v>32</v>
      </c>
      <c r="G41" s="2480">
        <f t="shared" si="0"/>
        <v>70</v>
      </c>
      <c r="K41" s="2271"/>
    </row>
    <row r="42" spans="1:11" ht="18.75" x14ac:dyDescent="0.25">
      <c r="A42" s="2484">
        <v>33</v>
      </c>
      <c r="B42" s="395">
        <v>5191421033</v>
      </c>
      <c r="C42" s="2524">
        <v>18</v>
      </c>
      <c r="D42" s="2524">
        <v>29</v>
      </c>
      <c r="E42" s="383">
        <v>10</v>
      </c>
      <c r="F42" s="2281" t="s">
        <v>27</v>
      </c>
      <c r="G42" s="2480">
        <f t="shared" si="0"/>
        <v>80</v>
      </c>
      <c r="K42" s="2271"/>
    </row>
    <row r="43" spans="1:11" ht="18.75" x14ac:dyDescent="0.25">
      <c r="A43" s="2484">
        <v>34</v>
      </c>
      <c r="B43" s="395">
        <v>5191421034</v>
      </c>
      <c r="C43" s="2524">
        <v>30</v>
      </c>
      <c r="D43" s="2524">
        <v>30</v>
      </c>
      <c r="E43" s="383">
        <v>10</v>
      </c>
      <c r="F43" s="2281" t="s">
        <v>30</v>
      </c>
      <c r="G43" s="2480">
        <f t="shared" si="0"/>
        <v>90</v>
      </c>
      <c r="K43" s="2271"/>
    </row>
    <row r="44" spans="1:11" ht="18.75" x14ac:dyDescent="0.25">
      <c r="A44" s="2484">
        <v>35</v>
      </c>
      <c r="B44" s="395">
        <v>5191421035</v>
      </c>
      <c r="C44" s="2524">
        <v>19</v>
      </c>
      <c r="D44" s="2524">
        <v>14</v>
      </c>
      <c r="E44" s="383">
        <v>10</v>
      </c>
      <c r="F44" s="2281" t="s">
        <v>32</v>
      </c>
      <c r="G44" s="2480">
        <f t="shared" si="0"/>
        <v>70</v>
      </c>
      <c r="K44" s="2271"/>
    </row>
    <row r="45" spans="1:11" ht="18.75" x14ac:dyDescent="0.25">
      <c r="A45" s="2484">
        <v>36</v>
      </c>
      <c r="B45" s="395">
        <v>5191421036</v>
      </c>
      <c r="C45" s="2524">
        <v>23</v>
      </c>
      <c r="D45" s="2524">
        <v>29</v>
      </c>
      <c r="E45" s="383">
        <v>10</v>
      </c>
      <c r="F45" s="2281" t="s">
        <v>32</v>
      </c>
      <c r="G45" s="2480">
        <f t="shared" si="0"/>
        <v>70</v>
      </c>
      <c r="K45" s="2271"/>
    </row>
    <row r="46" spans="1:11" ht="18.75" x14ac:dyDescent="0.25">
      <c r="A46" s="2484">
        <v>37</v>
      </c>
      <c r="B46" s="395">
        <v>5191421037</v>
      </c>
      <c r="C46" s="2524">
        <v>20</v>
      </c>
      <c r="D46" s="2524">
        <v>21</v>
      </c>
      <c r="E46" s="383">
        <v>10</v>
      </c>
      <c r="F46" s="2281" t="s">
        <v>27</v>
      </c>
      <c r="G46" s="2480">
        <f t="shared" si="0"/>
        <v>80</v>
      </c>
      <c r="K46" s="2271"/>
    </row>
    <row r="47" spans="1:11" ht="18.75" x14ac:dyDescent="0.25">
      <c r="A47" s="2484">
        <v>38</v>
      </c>
      <c r="B47" s="395">
        <v>5191421038</v>
      </c>
      <c r="C47" s="2524">
        <v>5</v>
      </c>
      <c r="D47" s="2524">
        <v>18</v>
      </c>
      <c r="E47" s="383">
        <v>10</v>
      </c>
      <c r="F47" s="2281" t="s">
        <v>27</v>
      </c>
      <c r="G47" s="2480">
        <f t="shared" si="0"/>
        <v>80</v>
      </c>
      <c r="K47" s="2271"/>
    </row>
    <row r="48" spans="1:11" ht="18.75" x14ac:dyDescent="0.25">
      <c r="A48" s="2484">
        <v>39</v>
      </c>
      <c r="B48" s="395">
        <v>5191421039</v>
      </c>
      <c r="C48" s="2524">
        <v>24</v>
      </c>
      <c r="D48" s="2524">
        <v>28</v>
      </c>
      <c r="E48" s="383">
        <v>10</v>
      </c>
      <c r="F48" s="2281" t="s">
        <v>27</v>
      </c>
      <c r="G48" s="2480">
        <f t="shared" si="0"/>
        <v>80</v>
      </c>
      <c r="K48" s="2271"/>
    </row>
    <row r="49" spans="1:11" ht="18.75" x14ac:dyDescent="0.25">
      <c r="A49" s="2484">
        <v>40</v>
      </c>
      <c r="B49" s="395">
        <v>5191421040</v>
      </c>
      <c r="C49" s="2524">
        <v>24</v>
      </c>
      <c r="D49" s="2524">
        <v>15</v>
      </c>
      <c r="E49" s="383">
        <v>10</v>
      </c>
      <c r="F49" s="2281" t="s">
        <v>27</v>
      </c>
      <c r="G49" s="2480">
        <f t="shared" si="0"/>
        <v>80</v>
      </c>
      <c r="K49" s="2271"/>
    </row>
    <row r="50" spans="1:11" ht="18.75" x14ac:dyDescent="0.25">
      <c r="A50" s="2484">
        <v>41</v>
      </c>
      <c r="B50" s="395">
        <v>5191421041</v>
      </c>
      <c r="C50" s="2524">
        <v>17</v>
      </c>
      <c r="D50" s="2524">
        <v>24</v>
      </c>
      <c r="E50" s="383">
        <v>10</v>
      </c>
      <c r="F50" s="2281" t="s">
        <v>27</v>
      </c>
      <c r="G50" s="2480">
        <f t="shared" si="0"/>
        <v>80</v>
      </c>
      <c r="K50" s="2271"/>
    </row>
    <row r="51" spans="1:11" ht="18.75" x14ac:dyDescent="0.25">
      <c r="A51" s="2484">
        <v>42</v>
      </c>
      <c r="B51" s="395">
        <v>5191421042</v>
      </c>
      <c r="C51" s="2524">
        <v>6</v>
      </c>
      <c r="D51" s="2524">
        <v>18</v>
      </c>
      <c r="E51" s="383">
        <v>10</v>
      </c>
      <c r="F51" s="2281" t="s">
        <v>32</v>
      </c>
      <c r="G51" s="2480">
        <f t="shared" si="0"/>
        <v>70</v>
      </c>
      <c r="K51" s="2271"/>
    </row>
    <row r="52" spans="1:11" ht="18.75" x14ac:dyDescent="0.25">
      <c r="A52" s="2484">
        <v>43</v>
      </c>
      <c r="B52" s="395">
        <v>5191421043</v>
      </c>
      <c r="C52" s="2524">
        <v>23</v>
      </c>
      <c r="D52" s="2524">
        <v>30</v>
      </c>
      <c r="E52" s="383">
        <v>10</v>
      </c>
      <c r="F52" s="2281" t="s">
        <v>32</v>
      </c>
      <c r="G52" s="2480">
        <f t="shared" si="0"/>
        <v>70</v>
      </c>
      <c r="K52" s="2271"/>
    </row>
    <row r="53" spans="1:11" ht="18.75" x14ac:dyDescent="0.25">
      <c r="A53" s="2484">
        <v>44</v>
      </c>
      <c r="B53" s="395">
        <v>5191421044</v>
      </c>
      <c r="C53" s="2524">
        <v>29</v>
      </c>
      <c r="D53" s="2524">
        <v>30</v>
      </c>
      <c r="E53" s="383">
        <v>10</v>
      </c>
      <c r="F53" s="2281" t="s">
        <v>27</v>
      </c>
      <c r="G53" s="2480">
        <f t="shared" si="0"/>
        <v>80</v>
      </c>
      <c r="K53" s="2271"/>
    </row>
    <row r="54" spans="1:11" ht="18.75" x14ac:dyDescent="0.25">
      <c r="A54" s="2484">
        <v>45</v>
      </c>
      <c r="B54" s="395">
        <v>5191421045</v>
      </c>
      <c r="C54" s="2524">
        <v>6</v>
      </c>
      <c r="D54" s="2524">
        <v>22</v>
      </c>
      <c r="E54" s="383">
        <v>10</v>
      </c>
      <c r="F54" s="2281" t="s">
        <v>32</v>
      </c>
      <c r="G54" s="2480">
        <f t="shared" si="0"/>
        <v>70</v>
      </c>
      <c r="K54" s="2271"/>
    </row>
    <row r="55" spans="1:11" ht="18.75" x14ac:dyDescent="0.25">
      <c r="A55" s="2484">
        <v>46</v>
      </c>
      <c r="B55" s="395">
        <v>5191421046</v>
      </c>
      <c r="C55" s="2524">
        <v>20</v>
      </c>
      <c r="D55" s="2524">
        <v>20</v>
      </c>
      <c r="E55" s="383">
        <v>10</v>
      </c>
      <c r="F55" s="2281" t="s">
        <v>32</v>
      </c>
      <c r="G55" s="2480">
        <f t="shared" si="0"/>
        <v>70</v>
      </c>
      <c r="K55" s="2271"/>
    </row>
    <row r="56" spans="1:11" ht="18.75" x14ac:dyDescent="0.25">
      <c r="A56" s="2484">
        <v>47</v>
      </c>
      <c r="B56" s="395">
        <v>5191421047</v>
      </c>
      <c r="C56" s="2524">
        <v>3</v>
      </c>
      <c r="D56" s="2524">
        <v>14</v>
      </c>
      <c r="E56" s="383">
        <v>10</v>
      </c>
      <c r="F56" s="2281" t="s">
        <v>28</v>
      </c>
      <c r="G56" s="2480">
        <f t="shared" si="0"/>
        <v>50</v>
      </c>
      <c r="K56" s="2271"/>
    </row>
    <row r="57" spans="1:11" ht="18.75" x14ac:dyDescent="0.25">
      <c r="A57" s="2484">
        <v>48</v>
      </c>
      <c r="B57" s="395">
        <v>5191421048</v>
      </c>
      <c r="C57" s="2524">
        <v>14</v>
      </c>
      <c r="D57" s="2524">
        <v>18</v>
      </c>
      <c r="E57" s="383">
        <v>10</v>
      </c>
      <c r="F57" s="2281" t="s">
        <v>33</v>
      </c>
      <c r="G57" s="2480">
        <f t="shared" si="0"/>
        <v>60</v>
      </c>
      <c r="K57" s="2271"/>
    </row>
    <row r="58" spans="1:11" ht="18.75" x14ac:dyDescent="0.25">
      <c r="A58" s="2484">
        <v>49</v>
      </c>
      <c r="B58" s="395">
        <v>5191421049</v>
      </c>
      <c r="C58" s="2524">
        <v>17</v>
      </c>
      <c r="D58" s="2524">
        <v>18</v>
      </c>
      <c r="E58" s="383">
        <v>10</v>
      </c>
      <c r="F58" s="2281" t="s">
        <v>32</v>
      </c>
      <c r="G58" s="2480">
        <f t="shared" si="0"/>
        <v>70</v>
      </c>
      <c r="K58" s="2271"/>
    </row>
    <row r="59" spans="1:11" ht="18.75" x14ac:dyDescent="0.25">
      <c r="A59" s="2484">
        <v>50</v>
      </c>
      <c r="B59" s="395">
        <v>5191421050</v>
      </c>
      <c r="C59" s="2524">
        <v>2</v>
      </c>
      <c r="D59" s="2524">
        <v>14</v>
      </c>
      <c r="E59" s="383">
        <v>10</v>
      </c>
      <c r="F59" s="2281" t="s">
        <v>33</v>
      </c>
      <c r="G59" s="2480">
        <f t="shared" si="0"/>
        <v>60</v>
      </c>
      <c r="K59" s="2271"/>
    </row>
    <row r="60" spans="1:11" ht="18.75" x14ac:dyDescent="0.25">
      <c r="A60" s="2484">
        <v>51</v>
      </c>
      <c r="B60" s="395">
        <v>5191421051</v>
      </c>
      <c r="C60" s="2524">
        <v>0</v>
      </c>
      <c r="D60" s="2524">
        <v>12</v>
      </c>
      <c r="E60" s="383">
        <v>10</v>
      </c>
      <c r="F60" s="2281" t="s">
        <v>33</v>
      </c>
      <c r="G60" s="2480">
        <f t="shared" si="0"/>
        <v>60</v>
      </c>
      <c r="K60" s="2271"/>
    </row>
    <row r="61" spans="1:11" ht="18.75" x14ac:dyDescent="0.25">
      <c r="A61" s="2484">
        <v>52</v>
      </c>
      <c r="B61" s="395">
        <v>5191421052</v>
      </c>
      <c r="C61" s="2524">
        <v>6</v>
      </c>
      <c r="D61" s="2524">
        <v>23</v>
      </c>
      <c r="E61" s="383">
        <v>10</v>
      </c>
      <c r="F61" s="2281" t="s">
        <v>32</v>
      </c>
      <c r="G61" s="2480">
        <f t="shared" si="0"/>
        <v>70</v>
      </c>
      <c r="K61" s="2271"/>
    </row>
    <row r="62" spans="1:11" ht="18.75" x14ac:dyDescent="0.25">
      <c r="A62" s="2484">
        <v>53</v>
      </c>
      <c r="B62" s="395">
        <v>5191421053</v>
      </c>
      <c r="C62" s="2524">
        <v>6</v>
      </c>
      <c r="D62" s="2524">
        <v>20</v>
      </c>
      <c r="E62" s="383">
        <v>10</v>
      </c>
      <c r="F62" s="2281" t="s">
        <v>27</v>
      </c>
      <c r="G62" s="2480">
        <f t="shared" si="0"/>
        <v>80</v>
      </c>
      <c r="K62" s="2271"/>
    </row>
    <row r="63" spans="1:11" ht="18.75" x14ac:dyDescent="0.25">
      <c r="A63" s="2484">
        <v>54</v>
      </c>
      <c r="B63" s="395">
        <v>5191421054</v>
      </c>
      <c r="C63" s="2524">
        <v>7</v>
      </c>
      <c r="D63" s="2524">
        <v>12</v>
      </c>
      <c r="E63" s="383">
        <v>10</v>
      </c>
      <c r="F63" s="2281" t="s">
        <v>32</v>
      </c>
      <c r="G63" s="2480">
        <f t="shared" si="0"/>
        <v>70</v>
      </c>
      <c r="K63" s="2271"/>
    </row>
    <row r="64" spans="1:11" ht="18.75" x14ac:dyDescent="0.25">
      <c r="A64" s="2484">
        <v>55</v>
      </c>
      <c r="B64" s="395">
        <v>5191421055</v>
      </c>
      <c r="C64" s="2524">
        <v>5</v>
      </c>
      <c r="D64" s="2524">
        <v>22</v>
      </c>
      <c r="E64" s="383">
        <v>10</v>
      </c>
      <c r="F64" s="2281" t="s">
        <v>32</v>
      </c>
      <c r="G64" s="2480">
        <f t="shared" si="0"/>
        <v>70</v>
      </c>
      <c r="K64" s="2271"/>
    </row>
    <row r="65" spans="1:11" ht="18.75" x14ac:dyDescent="0.25">
      <c r="A65" s="2484">
        <v>56</v>
      </c>
      <c r="B65" s="395">
        <v>5191421056</v>
      </c>
      <c r="C65" s="2524">
        <v>8</v>
      </c>
      <c r="D65" s="2524">
        <v>20</v>
      </c>
      <c r="E65" s="383">
        <v>10</v>
      </c>
      <c r="F65" s="2281" t="s">
        <v>32</v>
      </c>
      <c r="G65" s="2480">
        <f t="shared" si="0"/>
        <v>70</v>
      </c>
      <c r="K65" s="2271"/>
    </row>
    <row r="66" spans="1:11" ht="18.75" x14ac:dyDescent="0.25">
      <c r="A66" s="2484">
        <v>57</v>
      </c>
      <c r="B66" s="395">
        <v>5191421057</v>
      </c>
      <c r="C66" s="2524">
        <v>15</v>
      </c>
      <c r="D66" s="2524">
        <v>20</v>
      </c>
      <c r="E66" s="383">
        <v>10</v>
      </c>
      <c r="F66" s="2282" t="s">
        <v>32</v>
      </c>
      <c r="G66" s="2480">
        <f t="shared" si="0"/>
        <v>70</v>
      </c>
      <c r="K66" s="2271"/>
    </row>
    <row r="67" spans="1:11" ht="18.75" x14ac:dyDescent="0.25">
      <c r="A67" s="2484">
        <v>58</v>
      </c>
      <c r="B67" s="395">
        <v>5191421058</v>
      </c>
      <c r="C67" s="2524">
        <v>20</v>
      </c>
      <c r="D67" s="2524">
        <v>2</v>
      </c>
      <c r="E67" s="383">
        <v>10</v>
      </c>
      <c r="F67" s="2283" t="s">
        <v>29</v>
      </c>
      <c r="G67" s="2480">
        <f t="shared" si="0"/>
        <v>39</v>
      </c>
      <c r="K67" s="2271"/>
    </row>
    <row r="68" spans="1:11" x14ac:dyDescent="0.25">
      <c r="C68" s="2490">
        <f t="shared" ref="C68:D68" si="1">COUNT(C11:C67)</f>
        <v>57</v>
      </c>
      <c r="D68" s="2490">
        <f t="shared" si="1"/>
        <v>57</v>
      </c>
      <c r="E68" s="2490">
        <f t="shared" ref="E68" si="2">COUNT(E10:E67)</f>
        <v>58</v>
      </c>
      <c r="K68" s="2271"/>
    </row>
    <row r="69" spans="1:11" ht="19.5" customHeight="1" x14ac:dyDescent="0.25">
      <c r="A69" s="328" t="s">
        <v>34</v>
      </c>
      <c r="B69" s="2479">
        <v>50</v>
      </c>
      <c r="C69" s="2491">
        <f>C9*(B69/100)</f>
        <v>15</v>
      </c>
      <c r="D69" s="2491">
        <f>D9*(B69/100)</f>
        <v>15</v>
      </c>
      <c r="E69" s="2491">
        <f>E9*(B69/100)</f>
        <v>5</v>
      </c>
      <c r="K69" s="2271"/>
    </row>
    <row r="70" spans="1:11" ht="32.25" customHeight="1" x14ac:dyDescent="0.25">
      <c r="A70" s="3075" t="s">
        <v>35</v>
      </c>
      <c r="B70" s="3075"/>
      <c r="C70" s="2490">
        <f t="shared" ref="C70:E70" si="3">COUNTIF(C11:C67,"&gt;=" &amp;C69)</f>
        <v>33</v>
      </c>
      <c r="D70" s="2490">
        <f t="shared" si="3"/>
        <v>49</v>
      </c>
      <c r="E70" s="2490">
        <f t="shared" si="3"/>
        <v>57</v>
      </c>
      <c r="F70" s="2490"/>
      <c r="G70" s="2490">
        <f>COUNTIF(G10:G67,"&gt;="&amp;B69)</f>
        <v>54</v>
      </c>
      <c r="K70" s="2271"/>
    </row>
    <row r="71" spans="1:11" ht="30" customHeight="1" x14ac:dyDescent="0.25">
      <c r="A71" s="3061" t="s">
        <v>36</v>
      </c>
      <c r="B71" s="3061"/>
      <c r="C71" s="2490">
        <f t="shared" ref="C71:E71" si="4">C70/C68</f>
        <v>0.57894736842105265</v>
      </c>
      <c r="D71" s="2490">
        <f t="shared" si="4"/>
        <v>0.85964912280701755</v>
      </c>
      <c r="E71" s="2490">
        <f t="shared" si="4"/>
        <v>0.98275862068965514</v>
      </c>
      <c r="F71" s="2490"/>
      <c r="G71" s="2490">
        <f>(G70/A67)*100</f>
        <v>93.103448275862064</v>
      </c>
      <c r="K71" s="2271"/>
    </row>
    <row r="72" spans="1:11" x14ac:dyDescent="0.25">
      <c r="C72" s="818" t="s">
        <v>407</v>
      </c>
      <c r="D72" s="2487" t="s">
        <v>408</v>
      </c>
      <c r="E72" s="818" t="s">
        <v>409</v>
      </c>
      <c r="F72" s="2490"/>
      <c r="G72" s="2490"/>
      <c r="K72" s="2271"/>
    </row>
    <row r="74" spans="1:11" x14ac:dyDescent="0.25">
      <c r="D74" s="2479" t="s">
        <v>38</v>
      </c>
      <c r="E74" s="2837" t="s">
        <v>39</v>
      </c>
      <c r="F74" s="2837"/>
      <c r="G74" s="2837" t="s">
        <v>37</v>
      </c>
      <c r="H74" s="2837"/>
      <c r="I74" s="2479"/>
    </row>
    <row r="75" spans="1:11" x14ac:dyDescent="0.25">
      <c r="B75" s="2479" t="s">
        <v>22</v>
      </c>
      <c r="C75" s="2490">
        <f>AVERAGE(C71,E71)*100</f>
        <v>78.085299455535392</v>
      </c>
      <c r="D75" s="2490">
        <f t="shared" ref="D75:D78" si="5">IF(C75&gt;=70,3,IF(AND(C75&gt;=60,C75&lt;70),2,IF(AND(C75&gt;=50,C75&lt;60),1)))</f>
        <v>3</v>
      </c>
      <c r="E75" s="2286">
        <f>IF(G71&gt;=70,3,IF(AND(G71&gt;=60,G71&lt;70),2,IF(AND(G71&gt;=50,G71&lt;60),1)))</f>
        <v>3</v>
      </c>
      <c r="F75" s="2286"/>
      <c r="G75" s="2286">
        <f>(70/100)*E75+(30/100)*D75</f>
        <v>2.9999999999999996</v>
      </c>
      <c r="H75" s="2286"/>
      <c r="I75" s="2286"/>
    </row>
    <row r="76" spans="1:11" x14ac:dyDescent="0.25">
      <c r="B76" s="2479" t="s">
        <v>40</v>
      </c>
      <c r="C76" s="2490">
        <f>AVERAGE(C71,E71)*100</f>
        <v>78.085299455535392</v>
      </c>
      <c r="D76" s="2490">
        <f t="shared" si="5"/>
        <v>3</v>
      </c>
      <c r="E76" s="2286">
        <f>IF(G71&gt;=70,3,IF(AND(G71&gt;=60,G71&lt;70),2,IF(AND(G71&gt;=50,G71&lt;60),1)))</f>
        <v>3</v>
      </c>
      <c r="F76" s="2286"/>
      <c r="G76" s="2286">
        <f t="shared" ref="G76:G78" si="6">(70/100)*E76+(30/100)*D76</f>
        <v>2.9999999999999996</v>
      </c>
      <c r="H76" s="2286"/>
      <c r="I76" s="2286"/>
    </row>
    <row r="77" spans="1:11" x14ac:dyDescent="0.25">
      <c r="B77" s="2479" t="s">
        <v>41</v>
      </c>
      <c r="C77" s="2490">
        <f>AVERAGE(C71,D71,E71)*100</f>
        <v>80.711837063924179</v>
      </c>
      <c r="D77" s="2490">
        <f t="shared" si="5"/>
        <v>3</v>
      </c>
      <c r="E77" s="2286">
        <f>IF(G71&gt;=70,3,IF(AND(G71&gt;=60,G71&lt;70),2,IF(AND(G71&gt;=50,G71&lt;60),1)))</f>
        <v>3</v>
      </c>
      <c r="F77" s="2286"/>
      <c r="G77" s="2286">
        <f t="shared" si="6"/>
        <v>2.9999999999999996</v>
      </c>
      <c r="H77" s="2286"/>
      <c r="I77" s="2286"/>
    </row>
    <row r="78" spans="1:11" x14ac:dyDescent="0.25">
      <c r="B78" s="2479" t="s">
        <v>42</v>
      </c>
      <c r="C78" s="2490">
        <f>AVERAGE(D71,E71)*100</f>
        <v>92.120387174833638</v>
      </c>
      <c r="D78" s="2490">
        <f t="shared" si="5"/>
        <v>3</v>
      </c>
      <c r="E78" s="2286">
        <f>IF(G71&gt;=70,3,IF(AND(G71&gt;=60,G71&lt;70),2,IF(AND(G71&gt;=50,G71&lt;60),1)))</f>
        <v>3</v>
      </c>
      <c r="F78" s="2286"/>
      <c r="G78" s="2286">
        <f t="shared" si="6"/>
        <v>2.9999999999999996</v>
      </c>
      <c r="H78" s="2286"/>
      <c r="I78" s="2286"/>
    </row>
    <row r="79" spans="1:11" x14ac:dyDescent="0.25">
      <c r="B79" s="2872" t="s">
        <v>44</v>
      </c>
      <c r="C79" s="2872"/>
      <c r="D79" s="2872"/>
      <c r="E79" s="2872"/>
      <c r="F79" s="2872"/>
      <c r="G79" s="342">
        <f>AVERAGE(G75:G78)</f>
        <v>2.9999999999999996</v>
      </c>
      <c r="H79" s="342"/>
      <c r="I79" s="342"/>
    </row>
    <row r="81" spans="1:15" x14ac:dyDescent="0.25">
      <c r="A81" s="3041" t="s">
        <v>134</v>
      </c>
      <c r="B81" s="3041"/>
      <c r="C81" s="794"/>
      <c r="D81" s="794"/>
      <c r="E81" s="794"/>
      <c r="F81" s="794"/>
      <c r="G81" s="794"/>
      <c r="H81" s="794"/>
      <c r="I81" s="794"/>
      <c r="J81" s="794"/>
      <c r="K81" s="807"/>
      <c r="L81" s="794"/>
      <c r="M81" s="794"/>
      <c r="N81" s="794"/>
      <c r="O81" s="794"/>
    </row>
    <row r="82" spans="1:15" x14ac:dyDescent="0.25">
      <c r="A82" s="794"/>
      <c r="B82" s="794"/>
      <c r="C82" s="794"/>
      <c r="D82" s="794"/>
      <c r="E82" s="794"/>
      <c r="F82" s="794"/>
      <c r="G82" s="794"/>
      <c r="H82" s="794"/>
      <c r="I82" s="794"/>
      <c r="J82" s="794"/>
      <c r="K82" s="807"/>
      <c r="L82" s="794"/>
      <c r="M82" s="794"/>
      <c r="N82" s="794"/>
      <c r="O82" s="794"/>
    </row>
    <row r="83" spans="1:15" x14ac:dyDescent="0.25">
      <c r="A83" s="794"/>
      <c r="B83" s="317" t="s">
        <v>45</v>
      </c>
      <c r="C83" s="313" t="s">
        <v>68</v>
      </c>
      <c r="D83" s="313" t="s">
        <v>69</v>
      </c>
      <c r="E83" s="313" t="s">
        <v>70</v>
      </c>
      <c r="F83" s="313" t="s">
        <v>71</v>
      </c>
      <c r="G83" s="313" t="s">
        <v>72</v>
      </c>
      <c r="H83" s="313" t="s">
        <v>73</v>
      </c>
      <c r="I83" s="313" t="s">
        <v>74</v>
      </c>
      <c r="J83" s="315" t="s">
        <v>75</v>
      </c>
      <c r="K83" s="313" t="s">
        <v>76</v>
      </c>
      <c r="L83" s="313" t="s">
        <v>77</v>
      </c>
      <c r="M83" s="313" t="s">
        <v>78</v>
      </c>
      <c r="N83" s="313" t="s">
        <v>79</v>
      </c>
    </row>
    <row r="84" spans="1:15" x14ac:dyDescent="0.25">
      <c r="A84" s="794"/>
      <c r="B84" s="314" t="s">
        <v>20</v>
      </c>
      <c r="C84" s="2270">
        <v>3</v>
      </c>
      <c r="D84" s="2270">
        <v>3</v>
      </c>
      <c r="E84" s="2270">
        <v>2</v>
      </c>
      <c r="F84" s="2270">
        <v>2</v>
      </c>
      <c r="G84" s="2270">
        <v>1</v>
      </c>
      <c r="H84" s="2270"/>
      <c r="I84" s="2270"/>
      <c r="J84" s="2270"/>
      <c r="K84" s="2270"/>
      <c r="L84" s="2270"/>
      <c r="M84" s="2270"/>
      <c r="N84" s="2270">
        <v>2</v>
      </c>
    </row>
    <row r="85" spans="1:15" x14ac:dyDescent="0.25">
      <c r="A85" s="794"/>
      <c r="B85" s="314" t="s">
        <v>21</v>
      </c>
      <c r="C85" s="2270">
        <v>3</v>
      </c>
      <c r="D85" s="2270">
        <v>3</v>
      </c>
      <c r="E85" s="2270">
        <v>2</v>
      </c>
      <c r="F85" s="2270">
        <v>3</v>
      </c>
      <c r="G85" s="2270">
        <v>1</v>
      </c>
      <c r="H85" s="2270"/>
      <c r="I85" s="2270"/>
      <c r="J85" s="2270"/>
      <c r="K85" s="2270"/>
      <c r="L85" s="2270"/>
      <c r="M85" s="2270"/>
      <c r="N85" s="2270">
        <v>2</v>
      </c>
    </row>
    <row r="86" spans="1:15" x14ac:dyDescent="0.25">
      <c r="A86" s="794"/>
      <c r="B86" s="314" t="s">
        <v>23</v>
      </c>
      <c r="C86" s="2270">
        <v>3</v>
      </c>
      <c r="D86" s="2270">
        <v>3</v>
      </c>
      <c r="E86" s="2270">
        <v>1</v>
      </c>
      <c r="F86" s="2270">
        <v>2</v>
      </c>
      <c r="G86" s="2270">
        <v>1</v>
      </c>
      <c r="H86" s="2270"/>
      <c r="I86" s="2270"/>
      <c r="J86" s="2270"/>
      <c r="K86" s="2270"/>
      <c r="L86" s="2270"/>
      <c r="M86" s="2270"/>
      <c r="N86" s="2270">
        <v>2</v>
      </c>
    </row>
    <row r="87" spans="1:15" x14ac:dyDescent="0.25">
      <c r="A87" s="794"/>
      <c r="B87" s="314" t="s">
        <v>25</v>
      </c>
      <c r="C87" s="2270">
        <v>3</v>
      </c>
      <c r="D87" s="2270">
        <v>3</v>
      </c>
      <c r="E87" s="2270">
        <v>2</v>
      </c>
      <c r="F87" s="2270">
        <v>2</v>
      </c>
      <c r="G87" s="2270">
        <v>1</v>
      </c>
      <c r="H87" s="2270"/>
      <c r="I87" s="2270"/>
      <c r="J87" s="2270"/>
      <c r="K87" s="2270"/>
      <c r="L87" s="2270"/>
      <c r="M87" s="2270"/>
      <c r="N87" s="2270">
        <v>2</v>
      </c>
    </row>
    <row r="88" spans="1:15" x14ac:dyDescent="0.25">
      <c r="A88" s="794"/>
      <c r="B88" s="2483" t="s">
        <v>10</v>
      </c>
      <c r="C88" s="724">
        <f t="shared" ref="C88:G88" si="7">AVERAGE(C84:C87)</f>
        <v>3</v>
      </c>
      <c r="D88" s="724">
        <f t="shared" si="7"/>
        <v>3</v>
      </c>
      <c r="E88" s="724">
        <f t="shared" si="7"/>
        <v>1.75</v>
      </c>
      <c r="F88" s="724">
        <f t="shared" si="7"/>
        <v>2.25</v>
      </c>
      <c r="G88" s="724">
        <f t="shared" si="7"/>
        <v>1</v>
      </c>
      <c r="H88" s="724"/>
      <c r="I88" s="724"/>
      <c r="J88" s="724"/>
      <c r="K88" s="724"/>
      <c r="L88" s="724"/>
      <c r="M88" s="724"/>
      <c r="N88" s="724">
        <f>AVERAGE(N84:N87)</f>
        <v>2</v>
      </c>
    </row>
    <row r="89" spans="1:15" x14ac:dyDescent="0.25">
      <c r="A89" s="794"/>
      <c r="B89" s="2483" t="s">
        <v>58</v>
      </c>
      <c r="C89" s="3057">
        <f>AVERAGE(C88:N88)</f>
        <v>2.1666666666666665</v>
      </c>
      <c r="D89" s="3058"/>
      <c r="E89" s="3058"/>
      <c r="F89" s="3058"/>
      <c r="G89" s="3058"/>
      <c r="H89" s="3058"/>
      <c r="I89" s="3058"/>
      <c r="J89" s="3058"/>
      <c r="K89" s="3058"/>
      <c r="L89" s="3058"/>
      <c r="M89" s="3058"/>
      <c r="N89" s="3058"/>
      <c r="O89" s="323"/>
    </row>
    <row r="90" spans="1:15" x14ac:dyDescent="0.25">
      <c r="A90" s="794"/>
      <c r="B90" s="794"/>
      <c r="C90" s="336"/>
      <c r="D90" s="794"/>
      <c r="E90" s="794"/>
      <c r="F90" s="794"/>
      <c r="G90" s="794"/>
      <c r="H90" s="794"/>
      <c r="I90" s="794"/>
      <c r="J90" s="794"/>
      <c r="K90" s="807"/>
      <c r="L90" s="794"/>
      <c r="M90" s="794"/>
      <c r="N90" s="794"/>
      <c r="O90" s="794"/>
    </row>
    <row r="91" spans="1:15" x14ac:dyDescent="0.25">
      <c r="A91" s="794"/>
      <c r="B91" s="794"/>
      <c r="C91" s="794"/>
      <c r="D91" s="794"/>
      <c r="E91" s="794"/>
      <c r="F91" s="794"/>
      <c r="G91" s="794"/>
      <c r="H91" s="794"/>
      <c r="I91" s="794"/>
      <c r="J91" s="794"/>
      <c r="K91" s="807"/>
      <c r="L91" s="794"/>
      <c r="M91" s="794"/>
      <c r="N91" s="794"/>
      <c r="O91" s="794"/>
    </row>
    <row r="92" spans="1:15" x14ac:dyDescent="0.25">
      <c r="A92" s="3041" t="s">
        <v>148</v>
      </c>
      <c r="B92" s="3041"/>
      <c r="C92" s="794"/>
      <c r="D92" s="794"/>
      <c r="E92" s="794"/>
      <c r="F92" s="794"/>
      <c r="G92" s="794"/>
      <c r="H92" s="794"/>
      <c r="I92" s="794"/>
      <c r="J92" s="794"/>
      <c r="K92" s="807"/>
      <c r="L92" s="794"/>
      <c r="M92" s="794"/>
      <c r="N92" s="794"/>
      <c r="O92" s="794"/>
    </row>
    <row r="93" spans="1:15" x14ac:dyDescent="0.25">
      <c r="A93" s="794"/>
      <c r="B93" s="794"/>
      <c r="C93" s="794"/>
      <c r="D93" s="794"/>
      <c r="E93" s="794"/>
      <c r="F93" s="794"/>
      <c r="G93" s="794"/>
      <c r="H93" s="794"/>
      <c r="I93" s="794"/>
      <c r="J93" s="794"/>
      <c r="K93" s="807"/>
      <c r="L93" s="794"/>
      <c r="M93" s="794"/>
      <c r="N93" s="794"/>
      <c r="O93" s="794"/>
    </row>
    <row r="94" spans="1:15" x14ac:dyDescent="0.25">
      <c r="A94" s="794"/>
      <c r="B94" s="317" t="s">
        <v>45</v>
      </c>
      <c r="C94" s="313" t="s">
        <v>68</v>
      </c>
      <c r="D94" s="313" t="s">
        <v>69</v>
      </c>
      <c r="E94" s="313" t="s">
        <v>70</v>
      </c>
      <c r="F94" s="313" t="s">
        <v>71</v>
      </c>
      <c r="G94" s="313" t="s">
        <v>72</v>
      </c>
      <c r="H94" s="313" t="s">
        <v>73</v>
      </c>
      <c r="I94" s="313" t="s">
        <v>74</v>
      </c>
      <c r="J94" s="315" t="s">
        <v>75</v>
      </c>
      <c r="K94" s="313" t="s">
        <v>76</v>
      </c>
      <c r="L94" s="313" t="s">
        <v>77</v>
      </c>
      <c r="M94" s="313" t="s">
        <v>78</v>
      </c>
      <c r="N94" s="313" t="s">
        <v>79</v>
      </c>
    </row>
    <row r="95" spans="1:15" x14ac:dyDescent="0.25">
      <c r="A95" s="794"/>
      <c r="B95" s="314" t="s">
        <v>20</v>
      </c>
      <c r="C95" s="318">
        <f>G75*C84/3</f>
        <v>2.9999999999999996</v>
      </c>
      <c r="D95" s="318">
        <f>G75*D84/3</f>
        <v>2.9999999999999996</v>
      </c>
      <c r="E95" s="318">
        <f>G75*E84/3</f>
        <v>1.9999999999999998</v>
      </c>
      <c r="F95" s="318">
        <f>G75*F84/3</f>
        <v>1.9999999999999998</v>
      </c>
      <c r="G95" s="318">
        <f>G75*G84/3</f>
        <v>0.99999999999999989</v>
      </c>
      <c r="H95" s="318"/>
      <c r="I95" s="318"/>
      <c r="J95" s="318"/>
      <c r="K95" s="318"/>
      <c r="L95" s="318"/>
      <c r="M95" s="318"/>
      <c r="N95" s="318">
        <f>G75*N84/3</f>
        <v>1.9999999999999998</v>
      </c>
    </row>
    <row r="96" spans="1:15" x14ac:dyDescent="0.25">
      <c r="A96" s="794"/>
      <c r="B96" s="314" t="s">
        <v>21</v>
      </c>
      <c r="C96" s="318">
        <f>G76*C85/3</f>
        <v>2.9999999999999996</v>
      </c>
      <c r="D96" s="318">
        <f>G76*D85/3</f>
        <v>2.9999999999999996</v>
      </c>
      <c r="E96" s="318">
        <f>G76*E85/3</f>
        <v>1.9999999999999998</v>
      </c>
      <c r="F96" s="318">
        <f>G76*F85/3</f>
        <v>2.9999999999999996</v>
      </c>
      <c r="G96" s="318">
        <f>G76*G85/3</f>
        <v>0.99999999999999989</v>
      </c>
      <c r="H96" s="318"/>
      <c r="I96" s="318"/>
      <c r="J96" s="318"/>
      <c r="K96" s="318"/>
      <c r="L96" s="318"/>
      <c r="M96" s="318"/>
      <c r="N96" s="318">
        <f>G76*N85/3</f>
        <v>1.9999999999999998</v>
      </c>
    </row>
    <row r="97" spans="1:15" x14ac:dyDescent="0.25">
      <c r="A97" s="794"/>
      <c r="B97" s="314" t="s">
        <v>23</v>
      </c>
      <c r="C97" s="318">
        <f>G77*C86/3</f>
        <v>2.9999999999999996</v>
      </c>
      <c r="D97" s="318">
        <f>G77*D86/3</f>
        <v>2.9999999999999996</v>
      </c>
      <c r="E97" s="318">
        <f>G77*E86/3</f>
        <v>0.99999999999999989</v>
      </c>
      <c r="F97" s="318">
        <f>G77*F86/3</f>
        <v>1.9999999999999998</v>
      </c>
      <c r="G97" s="318">
        <f>G77*G86/3</f>
        <v>0.99999999999999989</v>
      </c>
      <c r="H97" s="318"/>
      <c r="I97" s="318"/>
      <c r="J97" s="318"/>
      <c r="K97" s="318"/>
      <c r="L97" s="318"/>
      <c r="M97" s="318"/>
      <c r="N97" s="318">
        <f>G77*N86/3</f>
        <v>1.9999999999999998</v>
      </c>
    </row>
    <row r="98" spans="1:15" x14ac:dyDescent="0.25">
      <c r="A98" s="794"/>
      <c r="B98" s="314" t="s">
        <v>25</v>
      </c>
      <c r="C98" s="318">
        <f>G78*C87/3</f>
        <v>2.9999999999999996</v>
      </c>
      <c r="D98" s="318">
        <f>G78*D87/3</f>
        <v>2.9999999999999996</v>
      </c>
      <c r="E98" s="318">
        <f>G78*E87/3</f>
        <v>1.9999999999999998</v>
      </c>
      <c r="F98" s="318">
        <f>G78*F87/3</f>
        <v>1.9999999999999998</v>
      </c>
      <c r="G98" s="318">
        <f>G78*G87/3</f>
        <v>0.99999999999999989</v>
      </c>
      <c r="H98" s="318"/>
      <c r="I98" s="318"/>
      <c r="J98" s="318"/>
      <c r="K98" s="318"/>
      <c r="L98" s="318"/>
      <c r="M98" s="318"/>
      <c r="N98" s="318">
        <f>G78*N87/3</f>
        <v>1.9999999999999998</v>
      </c>
    </row>
    <row r="99" spans="1:15" x14ac:dyDescent="0.25">
      <c r="A99" s="794"/>
      <c r="B99" s="2483" t="s">
        <v>10</v>
      </c>
      <c r="C99" s="339">
        <f t="shared" ref="C99:G99" si="8">AVERAGE(C95:C98)</f>
        <v>2.9999999999999996</v>
      </c>
      <c r="D99" s="339">
        <f t="shared" si="8"/>
        <v>2.9999999999999996</v>
      </c>
      <c r="E99" s="339">
        <f t="shared" si="8"/>
        <v>1.7499999999999998</v>
      </c>
      <c r="F99" s="339">
        <f t="shared" si="8"/>
        <v>2.2499999999999996</v>
      </c>
      <c r="G99" s="339">
        <f t="shared" si="8"/>
        <v>0.99999999999999989</v>
      </c>
      <c r="H99" s="339"/>
      <c r="I99" s="339"/>
      <c r="J99" s="339"/>
      <c r="K99" s="339"/>
      <c r="L99" s="339"/>
      <c r="M99" s="339"/>
      <c r="N99" s="339">
        <f>AVERAGE(N95:N98)</f>
        <v>1.9999999999999998</v>
      </c>
    </row>
    <row r="100" spans="1:15" x14ac:dyDescent="0.25">
      <c r="A100" s="794"/>
      <c r="B100" s="2483" t="s">
        <v>58</v>
      </c>
      <c r="C100" s="3059">
        <f>AVERAGE(C99:N99)</f>
        <v>2.1666666666666665</v>
      </c>
      <c r="D100" s="3060"/>
      <c r="E100" s="3060"/>
      <c r="F100" s="3060"/>
      <c r="G100" s="3060"/>
      <c r="H100" s="3060"/>
      <c r="I100" s="3060"/>
      <c r="J100" s="3060"/>
      <c r="K100" s="3060"/>
      <c r="L100" s="3060"/>
      <c r="M100" s="3060"/>
      <c r="N100" s="3060"/>
      <c r="O100" s="350"/>
    </row>
    <row r="101" spans="1:15" x14ac:dyDescent="0.25">
      <c r="A101" s="794"/>
      <c r="B101" s="794"/>
      <c r="C101" s="794"/>
      <c r="D101" s="794"/>
      <c r="E101" s="794"/>
      <c r="F101" s="794"/>
      <c r="G101" s="794"/>
      <c r="H101" s="794"/>
      <c r="I101" s="794"/>
      <c r="J101" s="794"/>
      <c r="K101" s="807"/>
      <c r="L101" s="794"/>
      <c r="M101" s="794"/>
      <c r="N101" s="794"/>
      <c r="O101" s="794"/>
    </row>
    <row r="102" spans="1:15" x14ac:dyDescent="0.25">
      <c r="A102" s="3041" t="s">
        <v>137</v>
      </c>
      <c r="B102" s="3041"/>
      <c r="C102" s="732"/>
      <c r="D102" s="732"/>
      <c r="E102" s="794"/>
      <c r="F102" s="794"/>
      <c r="G102" s="794"/>
      <c r="H102" s="794"/>
      <c r="I102" s="794"/>
      <c r="J102" s="3041" t="s">
        <v>149</v>
      </c>
      <c r="K102" s="3041"/>
      <c r="L102" s="732"/>
      <c r="M102" s="732"/>
      <c r="N102" s="794"/>
      <c r="O102" s="794"/>
    </row>
    <row r="103" spans="1:15" x14ac:dyDescent="0.25">
      <c r="A103" s="798"/>
      <c r="B103" s="798"/>
      <c r="C103" s="732"/>
      <c r="D103" s="732"/>
      <c r="E103" s="794"/>
      <c r="F103" s="794"/>
      <c r="G103" s="794"/>
      <c r="H103" s="794"/>
      <c r="I103" s="794"/>
      <c r="J103" s="798"/>
      <c r="K103" s="808"/>
      <c r="L103" s="732"/>
      <c r="M103" s="732"/>
      <c r="N103" s="794"/>
      <c r="O103" s="794"/>
    </row>
    <row r="104" spans="1:15" x14ac:dyDescent="0.25">
      <c r="A104" s="794"/>
      <c r="B104" s="317" t="s">
        <v>59</v>
      </c>
      <c r="C104" s="313" t="s">
        <v>60</v>
      </c>
      <c r="D104" s="313" t="s">
        <v>61</v>
      </c>
      <c r="E104" s="313" t="s">
        <v>62</v>
      </c>
      <c r="F104" s="794"/>
      <c r="G104" s="794"/>
      <c r="H104" s="794"/>
      <c r="I104" s="794"/>
      <c r="J104" s="794"/>
      <c r="K104" s="95" t="s">
        <v>59</v>
      </c>
      <c r="L104" s="313" t="s">
        <v>60</v>
      </c>
      <c r="M104" s="313" t="s">
        <v>61</v>
      </c>
      <c r="N104" s="313" t="s">
        <v>62</v>
      </c>
      <c r="O104" s="794"/>
    </row>
    <row r="105" spans="1:15" x14ac:dyDescent="0.25">
      <c r="A105" s="794"/>
      <c r="B105" s="799" t="s">
        <v>20</v>
      </c>
      <c r="C105" s="2270">
        <v>3</v>
      </c>
      <c r="D105" s="2270">
        <v>2</v>
      </c>
      <c r="E105" s="2270">
        <v>1</v>
      </c>
      <c r="F105" s="794"/>
      <c r="G105" s="794"/>
      <c r="H105" s="794"/>
      <c r="I105" s="794"/>
      <c r="J105" s="794"/>
      <c r="K105" s="810" t="s">
        <v>20</v>
      </c>
      <c r="L105" s="318">
        <f>G75*C105/3</f>
        <v>2.9999999999999996</v>
      </c>
      <c r="M105" s="318">
        <f>G75*D105/3</f>
        <v>1.9999999999999998</v>
      </c>
      <c r="N105" s="318">
        <f>G75*E105/3</f>
        <v>0.99999999999999989</v>
      </c>
      <c r="O105" s="794"/>
    </row>
    <row r="106" spans="1:15" x14ac:dyDescent="0.25">
      <c r="A106" s="794"/>
      <c r="B106" s="314" t="s">
        <v>21</v>
      </c>
      <c r="C106" s="2270">
        <v>3</v>
      </c>
      <c r="D106" s="2270">
        <v>2</v>
      </c>
      <c r="E106" s="2270">
        <v>1</v>
      </c>
      <c r="F106" s="794"/>
      <c r="G106" s="794"/>
      <c r="H106" s="794"/>
      <c r="I106" s="794"/>
      <c r="J106" s="794"/>
      <c r="K106" s="96" t="s">
        <v>21</v>
      </c>
      <c r="L106" s="318">
        <f>G76*C106/3</f>
        <v>2.9999999999999996</v>
      </c>
      <c r="M106" s="318">
        <f>G76*D106/3</f>
        <v>1.9999999999999998</v>
      </c>
      <c r="N106" s="318">
        <f>G76*E106/3</f>
        <v>0.99999999999999989</v>
      </c>
      <c r="O106" s="794"/>
    </row>
    <row r="107" spans="1:15" x14ac:dyDescent="0.25">
      <c r="A107" s="794"/>
      <c r="B107" s="314" t="s">
        <v>23</v>
      </c>
      <c r="C107" s="2270">
        <v>2</v>
      </c>
      <c r="D107" s="2270">
        <v>2</v>
      </c>
      <c r="E107" s="2270">
        <v>1</v>
      </c>
      <c r="F107" s="794"/>
      <c r="G107" s="794"/>
      <c r="H107" s="794"/>
      <c r="I107" s="794"/>
      <c r="J107" s="794"/>
      <c r="K107" s="96" t="s">
        <v>23</v>
      </c>
      <c r="L107" s="318">
        <f>G77*C107/3</f>
        <v>1.9999999999999998</v>
      </c>
      <c r="M107" s="318">
        <f>G77*D107/3</f>
        <v>1.9999999999999998</v>
      </c>
      <c r="N107" s="318">
        <f>G77*E107/3</f>
        <v>0.99999999999999989</v>
      </c>
      <c r="O107" s="794"/>
    </row>
    <row r="108" spans="1:15" x14ac:dyDescent="0.25">
      <c r="A108" s="794"/>
      <c r="B108" s="314" t="s">
        <v>25</v>
      </c>
      <c r="C108" s="2270">
        <v>3</v>
      </c>
      <c r="D108" s="2270">
        <v>2</v>
      </c>
      <c r="E108" s="2270">
        <v>1</v>
      </c>
      <c r="F108" s="794"/>
      <c r="G108" s="794"/>
      <c r="H108" s="794"/>
      <c r="I108" s="794"/>
      <c r="J108" s="794"/>
      <c r="K108" s="96" t="s">
        <v>25</v>
      </c>
      <c r="L108" s="318">
        <f>G78*C108/3</f>
        <v>2.9999999999999996</v>
      </c>
      <c r="M108" s="318">
        <f>G78*D108/3</f>
        <v>1.9999999999999998</v>
      </c>
      <c r="N108" s="318">
        <f>G78*E108/3</f>
        <v>0.99999999999999989</v>
      </c>
      <c r="O108" s="794"/>
    </row>
    <row r="109" spans="1:15" x14ac:dyDescent="0.25">
      <c r="A109" s="794"/>
      <c r="B109" s="2486" t="s">
        <v>10</v>
      </c>
      <c r="C109" s="804">
        <f>AVERAGE(C105:C108)</f>
        <v>2.75</v>
      </c>
      <c r="D109" s="804">
        <f>AVERAGE(D105:D108)</f>
        <v>2</v>
      </c>
      <c r="E109" s="804">
        <f>AVERAGE(E105:E108)</f>
        <v>1</v>
      </c>
      <c r="F109" s="794"/>
      <c r="G109" s="794"/>
      <c r="H109" s="794"/>
      <c r="I109" s="794"/>
      <c r="J109" s="794"/>
      <c r="K109" s="79" t="s">
        <v>10</v>
      </c>
      <c r="L109" s="318">
        <f>AVERAGE(L105:L108)</f>
        <v>2.7499999999999996</v>
      </c>
      <c r="M109" s="318">
        <f>AVERAGE(M105:M108)</f>
        <v>1.9999999999999998</v>
      </c>
      <c r="N109" s="318">
        <f>AVERAGE(N105:N108)</f>
        <v>0.99999999999999989</v>
      </c>
      <c r="O109" s="794"/>
    </row>
    <row r="110" spans="1:15" ht="25.5" x14ac:dyDescent="0.25">
      <c r="A110" s="2489"/>
      <c r="B110" s="2485" t="s">
        <v>58</v>
      </c>
      <c r="C110" s="3056">
        <f>AVERAGE(C109:E109)</f>
        <v>1.9166666666666667</v>
      </c>
      <c r="D110" s="3056"/>
      <c r="E110" s="3056"/>
      <c r="F110" s="2489"/>
      <c r="G110" s="2489"/>
      <c r="H110" s="2489"/>
      <c r="I110" s="2489"/>
      <c r="J110" s="2489"/>
      <c r="K110" s="376" t="s">
        <v>58</v>
      </c>
      <c r="L110" s="3056">
        <f>AVERAGE(L109:N109)</f>
        <v>1.9166666666666663</v>
      </c>
      <c r="M110" s="3056"/>
      <c r="N110" s="3056"/>
      <c r="O110" s="2489"/>
    </row>
    <row r="111" spans="1:15" x14ac:dyDescent="0.25">
      <c r="A111" s="794"/>
      <c r="B111" s="794"/>
      <c r="C111" s="794"/>
      <c r="D111" s="794"/>
      <c r="E111" s="794"/>
      <c r="F111" s="794"/>
      <c r="G111" s="794"/>
      <c r="H111" s="794"/>
      <c r="I111" s="794"/>
      <c r="J111" s="794"/>
      <c r="K111" s="807"/>
      <c r="L111" s="794"/>
      <c r="M111" s="794"/>
      <c r="N111" s="794"/>
      <c r="O111" s="794"/>
    </row>
    <row r="113" spans="1:15" x14ac:dyDescent="0.25">
      <c r="A113" s="3054"/>
      <c r="B113" s="3054"/>
      <c r="C113" s="3054"/>
      <c r="D113" s="3054"/>
      <c r="E113" s="3054"/>
      <c r="F113" s="3054"/>
      <c r="G113" s="3054"/>
      <c r="H113" s="3054"/>
      <c r="I113" s="3054"/>
      <c r="J113" s="3054"/>
      <c r="K113" s="3054"/>
      <c r="L113" s="3054"/>
      <c r="M113" s="3054"/>
      <c r="N113" s="3054"/>
      <c r="O113" s="3054"/>
    </row>
    <row r="114" spans="1:15" x14ac:dyDescent="0.25">
      <c r="A114" s="2488"/>
      <c r="B114" s="2488"/>
      <c r="C114" s="2488"/>
      <c r="D114" s="2488"/>
      <c r="E114" s="2488"/>
      <c r="F114" s="2488"/>
      <c r="G114" s="2488"/>
      <c r="H114" s="2488"/>
      <c r="I114" s="2488"/>
      <c r="J114" s="2488"/>
      <c r="K114" s="2488"/>
      <c r="L114" s="2488"/>
      <c r="M114" s="2488"/>
      <c r="N114" s="2488"/>
      <c r="O114" s="2488"/>
    </row>
    <row r="115" spans="1:15" x14ac:dyDescent="0.25">
      <c r="A115" s="3053"/>
      <c r="B115" s="3053"/>
      <c r="C115" s="3053"/>
      <c r="D115" s="3053"/>
      <c r="E115" s="3053"/>
      <c r="F115" s="3053"/>
      <c r="G115" s="3053"/>
      <c r="H115" s="3053"/>
      <c r="I115" s="3053"/>
      <c r="J115" s="3053"/>
      <c r="K115" s="3053"/>
      <c r="L115" s="3053"/>
      <c r="M115" s="3053"/>
      <c r="N115" s="3053"/>
      <c r="O115" s="3053"/>
    </row>
    <row r="116" spans="1:15" x14ac:dyDescent="0.25">
      <c r="A116" s="3053"/>
      <c r="B116" s="3053"/>
      <c r="C116" s="3053"/>
      <c r="D116" s="3053"/>
      <c r="E116" s="3053"/>
      <c r="F116" s="3053"/>
      <c r="G116" s="3053"/>
      <c r="H116" s="3053"/>
      <c r="I116" s="3053"/>
      <c r="J116" s="3053"/>
      <c r="K116" s="3053"/>
      <c r="L116" s="3053"/>
      <c r="M116" s="3053"/>
      <c r="N116" s="3053"/>
      <c r="O116" s="3053"/>
    </row>
    <row r="117" spans="1:15" x14ac:dyDescent="0.25">
      <c r="A117" s="3053"/>
      <c r="B117" s="3053"/>
      <c r="C117" s="3053"/>
      <c r="D117" s="3053"/>
      <c r="E117" s="3053"/>
      <c r="F117" s="3053"/>
      <c r="G117" s="3053"/>
      <c r="H117" s="3053"/>
      <c r="I117" s="3053"/>
      <c r="J117" s="3053"/>
      <c r="K117" s="3053"/>
      <c r="L117" s="3053"/>
      <c r="M117" s="3053"/>
      <c r="N117" s="3053"/>
      <c r="O117" s="3053"/>
    </row>
    <row r="118" spans="1:15" x14ac:dyDescent="0.25">
      <c r="A118" s="3053"/>
      <c r="B118" s="3053"/>
      <c r="C118" s="3053"/>
      <c r="D118" s="3053"/>
      <c r="E118" s="3053"/>
      <c r="F118" s="3053"/>
      <c r="G118" s="3053"/>
      <c r="H118" s="3053"/>
      <c r="I118" s="3053"/>
      <c r="J118" s="3053"/>
      <c r="K118" s="3053"/>
      <c r="L118" s="3053"/>
      <c r="M118" s="3053"/>
      <c r="N118" s="3053"/>
      <c r="O118" s="3053"/>
    </row>
    <row r="119" spans="1:15" x14ac:dyDescent="0.25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</row>
    <row r="120" spans="1:15" x14ac:dyDescent="0.25">
      <c r="A120" s="3053"/>
      <c r="B120" s="3053"/>
      <c r="C120" s="3053"/>
      <c r="D120" s="3053"/>
      <c r="E120" s="3053"/>
      <c r="F120" s="3053"/>
      <c r="G120" s="3053"/>
      <c r="H120" s="3053"/>
      <c r="I120" s="3053"/>
      <c r="J120" s="3053"/>
      <c r="K120" s="3053"/>
      <c r="L120" s="3053"/>
      <c r="M120" s="3053"/>
      <c r="N120" s="3053"/>
      <c r="O120" s="3053"/>
    </row>
    <row r="121" spans="1:15" x14ac:dyDescent="0.25">
      <c r="A121" s="3054"/>
      <c r="B121" s="3054"/>
      <c r="C121" s="3054"/>
      <c r="D121" s="3054"/>
      <c r="E121" s="3054"/>
      <c r="F121" s="3054"/>
      <c r="G121" s="3054"/>
      <c r="H121" s="3054"/>
      <c r="I121" s="3054"/>
      <c r="J121" s="3054"/>
      <c r="K121" s="3054"/>
      <c r="L121" s="3054"/>
      <c r="M121" s="3054"/>
      <c r="N121" s="3054"/>
      <c r="O121" s="3054"/>
    </row>
    <row r="122" spans="1:15" x14ac:dyDescent="0.25">
      <c r="A122" s="3055"/>
      <c r="B122" s="3055"/>
      <c r="C122" s="3055"/>
      <c r="D122" s="3055"/>
      <c r="E122" s="3055"/>
      <c r="F122" s="3055"/>
      <c r="G122" s="3055"/>
      <c r="H122" s="3055"/>
      <c r="I122" s="3055"/>
      <c r="J122" s="3055"/>
      <c r="K122" s="3055"/>
      <c r="L122" s="3055"/>
      <c r="M122" s="3055"/>
      <c r="N122" s="3055"/>
      <c r="O122" s="3055"/>
    </row>
    <row r="123" spans="1:15" x14ac:dyDescent="0.25">
      <c r="A123" s="2983"/>
      <c r="B123" s="2983"/>
      <c r="C123" s="2983"/>
      <c r="D123" s="2983"/>
      <c r="E123" s="2983"/>
      <c r="F123" s="2983"/>
      <c r="G123" s="2983"/>
      <c r="H123" s="2983"/>
      <c r="I123" s="2983"/>
      <c r="J123" s="2983"/>
      <c r="K123" s="2983"/>
      <c r="L123" s="2983"/>
      <c r="M123" s="2983"/>
      <c r="N123" s="2983"/>
      <c r="O123" s="2983"/>
    </row>
    <row r="124" spans="1:15" x14ac:dyDescent="0.25">
      <c r="A124" s="3045"/>
      <c r="B124" s="3046"/>
      <c r="C124" s="3046"/>
      <c r="D124" s="3046"/>
      <c r="E124" s="3046"/>
      <c r="F124" s="3046"/>
      <c r="G124" s="3046"/>
      <c r="H124" s="3046"/>
      <c r="I124" s="3046"/>
      <c r="J124" s="3046"/>
      <c r="K124" s="3046"/>
      <c r="L124" s="3046"/>
      <c r="M124" s="3046"/>
      <c r="N124" s="3046"/>
      <c r="O124" s="3046"/>
    </row>
    <row r="125" spans="1:15" x14ac:dyDescent="0.25">
      <c r="A125" s="3046"/>
      <c r="B125" s="3046"/>
      <c r="C125" s="3046"/>
      <c r="D125" s="3046"/>
      <c r="E125" s="3046"/>
      <c r="F125" s="3046"/>
      <c r="G125" s="3046"/>
      <c r="H125" s="3046"/>
      <c r="I125" s="3046"/>
      <c r="J125" s="3046"/>
      <c r="K125" s="3046"/>
      <c r="L125" s="3046"/>
      <c r="M125" s="3046"/>
      <c r="N125" s="3046"/>
      <c r="O125" s="3046"/>
    </row>
    <row r="126" spans="1:15" x14ac:dyDescent="0.25">
      <c r="A126" s="3046"/>
      <c r="B126" s="3046"/>
      <c r="C126" s="3046"/>
      <c r="D126" s="3046"/>
      <c r="E126" s="3046"/>
      <c r="F126" s="3046"/>
      <c r="G126" s="3046"/>
      <c r="H126" s="3046"/>
      <c r="I126" s="3046"/>
      <c r="J126" s="3046"/>
      <c r="K126" s="3046"/>
      <c r="L126" s="3046"/>
      <c r="M126" s="3046"/>
      <c r="N126" s="3046"/>
      <c r="O126" s="3046"/>
    </row>
    <row r="127" spans="1:15" x14ac:dyDescent="0.25">
      <c r="A127" s="2983"/>
      <c r="B127" s="2983"/>
      <c r="C127" s="2983"/>
      <c r="D127" s="2983"/>
      <c r="E127" s="2983"/>
      <c r="F127" s="2983"/>
      <c r="G127" s="2983"/>
      <c r="H127" s="2983"/>
      <c r="I127" s="2983"/>
      <c r="J127" s="2983"/>
      <c r="K127" s="2983"/>
      <c r="L127" s="2983"/>
      <c r="M127" s="2983"/>
      <c r="N127" s="2983"/>
      <c r="O127" s="2983"/>
    </row>
  </sheetData>
  <mergeCells count="39">
    <mergeCell ref="A2:B2"/>
    <mergeCell ref="I2:P2"/>
    <mergeCell ref="A3:B3"/>
    <mergeCell ref="I3:P3"/>
    <mergeCell ref="A70:B70"/>
    <mergeCell ref="A71:B71"/>
    <mergeCell ref="E74:F74"/>
    <mergeCell ref="G74:H74"/>
    <mergeCell ref="I4:P4"/>
    <mergeCell ref="A5:B5"/>
    <mergeCell ref="A6:A8"/>
    <mergeCell ref="B6:B7"/>
    <mergeCell ref="C5:H5"/>
    <mergeCell ref="A115:O115"/>
    <mergeCell ref="A116:O116"/>
    <mergeCell ref="A117:O117"/>
    <mergeCell ref="B79:F79"/>
    <mergeCell ref="A81:B81"/>
    <mergeCell ref="C89:N89"/>
    <mergeCell ref="A92:B92"/>
    <mergeCell ref="C100:N100"/>
    <mergeCell ref="A102:B102"/>
    <mergeCell ref="J102:K102"/>
    <mergeCell ref="A124:O124"/>
    <mergeCell ref="A125:O125"/>
    <mergeCell ref="A126:O126"/>
    <mergeCell ref="A127:O127"/>
    <mergeCell ref="E7:E8"/>
    <mergeCell ref="F6:F8"/>
    <mergeCell ref="G6:G8"/>
    <mergeCell ref="A118:O118"/>
    <mergeCell ref="A119:O119"/>
    <mergeCell ref="A120:O120"/>
    <mergeCell ref="A121:O121"/>
    <mergeCell ref="A122:O122"/>
    <mergeCell ref="A123:O123"/>
    <mergeCell ref="C110:E110"/>
    <mergeCell ref="L110:N110"/>
    <mergeCell ref="A113:O113"/>
  </mergeCells>
  <conditionalFormatting sqref="F48">
    <cfRule type="containsText" dxfId="120" priority="1" operator="containsText" text="F">
      <formula>NOT(ISERROR(SEARCH("F",F48)))</formula>
    </cfRule>
  </conditionalFormatting>
  <conditionalFormatting sqref="F50:F53 F10:F45">
    <cfRule type="containsText" dxfId="119" priority="4" operator="containsText" text="F">
      <formula>NOT(ISERROR(SEARCH("F",F10)))</formula>
    </cfRule>
  </conditionalFormatting>
  <conditionalFormatting sqref="F47 F56:F67">
    <cfRule type="containsText" dxfId="118" priority="3" operator="containsText" text="F">
      <formula>NOT(ISERROR(SEARCH("F",F47)))</formula>
    </cfRule>
  </conditionalFormatting>
  <conditionalFormatting sqref="F46 F49 F54:F55">
    <cfRule type="containsText" dxfId="117" priority="2" operator="containsText" text="F">
      <formula>NOT(ISERROR(SEARCH("F",F46)))</formula>
    </cfRule>
  </conditionalFormatting>
  <pageMargins left="0.7" right="0.7" top="0.75" bottom="0.75" header="0.3" footer="0.3"/>
  <pageSetup paperSize="8" scale="50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27"/>
  <sheetViews>
    <sheetView topLeftCell="A91" zoomScale="87" zoomScaleNormal="87" workbookViewId="0">
      <selection activeCell="A92" sqref="A92:N110"/>
    </sheetView>
  </sheetViews>
  <sheetFormatPr defaultRowHeight="15.75" x14ac:dyDescent="0.25"/>
  <cols>
    <col min="1" max="1" width="15.140625" style="354" bestFit="1" customWidth="1"/>
    <col min="2" max="2" width="18.28515625" style="354" bestFit="1" customWidth="1"/>
    <col min="3" max="6" width="9.140625" style="354"/>
    <col min="7" max="7" width="11.140625" style="354" bestFit="1" customWidth="1"/>
    <col min="8" max="8" width="12.5703125" style="354" customWidth="1"/>
    <col min="9" max="9" width="9.85546875" style="354" customWidth="1"/>
    <col min="10" max="10" width="10.5703125" style="354" customWidth="1"/>
    <col min="11" max="11" width="10.5703125" style="332" customWidth="1"/>
    <col min="12" max="12" width="10.5703125" style="354" customWidth="1"/>
    <col min="13" max="15" width="11.140625" style="354" bestFit="1" customWidth="1"/>
    <col min="16" max="17" width="9.140625" style="354"/>
    <col min="18" max="18" width="10.42578125" style="354" customWidth="1"/>
    <col min="19" max="20" width="10.5703125" style="354" customWidth="1"/>
    <col min="21" max="23" width="9.140625" style="354"/>
    <col min="24" max="24" width="8" style="354" customWidth="1"/>
    <col min="25" max="25" width="7.42578125" style="354" customWidth="1"/>
    <col min="26" max="16384" width="9.140625" style="354"/>
  </cols>
  <sheetData>
    <row r="1" spans="1:25" x14ac:dyDescent="0.25">
      <c r="A1" s="333"/>
    </row>
    <row r="2" spans="1:25" x14ac:dyDescent="0.25">
      <c r="A2" s="2875" t="s">
        <v>0</v>
      </c>
      <c r="B2" s="2876"/>
      <c r="C2" s="3078" t="s">
        <v>114</v>
      </c>
      <c r="D2" s="3079"/>
      <c r="E2" s="3079"/>
      <c r="F2" s="3079"/>
      <c r="G2" s="3079"/>
      <c r="H2" s="3079"/>
      <c r="I2" s="3079"/>
      <c r="J2" s="3079"/>
      <c r="K2" s="3080"/>
      <c r="L2" s="380" t="s">
        <v>63</v>
      </c>
      <c r="M2" s="3073" t="s">
        <v>155</v>
      </c>
      <c r="N2" s="3074"/>
      <c r="O2" s="3074"/>
      <c r="P2" s="3074"/>
      <c r="Q2" s="3074"/>
      <c r="R2" s="3074"/>
      <c r="S2" s="3074"/>
      <c r="T2" s="3074"/>
      <c r="U2" s="340"/>
      <c r="V2" s="340"/>
      <c r="W2" s="340"/>
      <c r="X2" s="340"/>
      <c r="Y2" s="340"/>
    </row>
    <row r="3" spans="1:25" x14ac:dyDescent="0.25">
      <c r="A3" s="2875" t="s">
        <v>1</v>
      </c>
      <c r="B3" s="2876"/>
      <c r="C3" s="3078" t="s">
        <v>83</v>
      </c>
      <c r="D3" s="3079"/>
      <c r="E3" s="3079"/>
      <c r="F3" s="3079"/>
      <c r="G3" s="3079"/>
      <c r="H3" s="3079"/>
      <c r="I3" s="3079"/>
      <c r="J3" s="3079"/>
      <c r="K3" s="3080"/>
      <c r="L3" s="344" t="s">
        <v>64</v>
      </c>
      <c r="M3" s="3073" t="s">
        <v>226</v>
      </c>
      <c r="N3" s="3074"/>
      <c r="O3" s="3074"/>
      <c r="P3" s="3074"/>
      <c r="Q3" s="3074"/>
      <c r="R3" s="3074"/>
      <c r="S3" s="3074"/>
      <c r="T3" s="3074"/>
      <c r="U3" s="340"/>
      <c r="V3" s="340"/>
      <c r="W3" s="340"/>
      <c r="X3" s="340"/>
      <c r="Y3" s="340"/>
    </row>
    <row r="4" spans="1:25" ht="16.5" thickBot="1" x14ac:dyDescent="0.3">
      <c r="A4" s="4"/>
      <c r="B4" s="5" t="s">
        <v>2</v>
      </c>
      <c r="C4" s="3081" t="s">
        <v>133</v>
      </c>
      <c r="D4" s="3082"/>
      <c r="E4" s="3082"/>
      <c r="F4" s="3082"/>
      <c r="G4" s="3082"/>
      <c r="H4" s="3082"/>
      <c r="I4" s="3082"/>
      <c r="J4" s="3082"/>
      <c r="K4" s="3083"/>
      <c r="L4" s="5" t="s">
        <v>65</v>
      </c>
      <c r="M4" s="3062" t="s">
        <v>66</v>
      </c>
      <c r="N4" s="3063"/>
      <c r="O4" s="3063"/>
      <c r="P4" s="3063"/>
      <c r="Q4" s="3063"/>
      <c r="R4" s="3063"/>
      <c r="S4" s="3063"/>
      <c r="T4" s="3063"/>
      <c r="U4" s="340"/>
      <c r="V4" s="340"/>
      <c r="W4" s="340"/>
      <c r="X4" s="340"/>
      <c r="Y4" s="340"/>
    </row>
    <row r="5" spans="1:25" ht="16.5" thickBot="1" x14ac:dyDescent="0.3">
      <c r="A5" s="3064"/>
      <c r="B5" s="3065"/>
      <c r="C5" s="3084" t="s">
        <v>3</v>
      </c>
      <c r="D5" s="3085"/>
      <c r="E5" s="3085"/>
      <c r="F5" s="3085"/>
      <c r="G5" s="3085"/>
      <c r="H5" s="3086"/>
      <c r="I5" s="3086"/>
      <c r="J5" s="3086"/>
      <c r="K5" s="3086"/>
      <c r="L5" s="3087"/>
      <c r="M5" s="3088" t="s">
        <v>4</v>
      </c>
      <c r="N5" s="3089"/>
      <c r="O5" s="3089"/>
      <c r="P5" s="3089"/>
      <c r="Q5" s="3089"/>
      <c r="R5" s="3089"/>
      <c r="S5" s="3089"/>
      <c r="T5" s="3089"/>
      <c r="U5" s="3090"/>
      <c r="V5" s="377"/>
      <c r="W5" s="65"/>
      <c r="X5" s="65"/>
      <c r="Y5" s="66"/>
    </row>
    <row r="6" spans="1:25" ht="15" customHeight="1" x14ac:dyDescent="0.25">
      <c r="A6" s="3066"/>
      <c r="B6" s="3069" t="s">
        <v>5</v>
      </c>
      <c r="C6" s="3093" t="s">
        <v>6</v>
      </c>
      <c r="D6" s="3094"/>
      <c r="E6" s="3094"/>
      <c r="F6" s="3094"/>
      <c r="G6" s="3095"/>
      <c r="H6" s="373" t="s">
        <v>227</v>
      </c>
      <c r="I6" s="3098" t="s">
        <v>8</v>
      </c>
      <c r="J6" s="3098"/>
      <c r="K6" s="394" t="s">
        <v>9</v>
      </c>
      <c r="L6" s="3076" t="s">
        <v>146</v>
      </c>
      <c r="M6" s="3093" t="s">
        <v>6</v>
      </c>
      <c r="N6" s="3094"/>
      <c r="O6" s="3094"/>
      <c r="P6" s="3094"/>
      <c r="Q6" s="3095"/>
      <c r="R6" s="3096" t="s">
        <v>7</v>
      </c>
      <c r="S6" s="3098" t="s">
        <v>8</v>
      </c>
      <c r="T6" s="3099" t="s">
        <v>9</v>
      </c>
      <c r="U6" s="2651" t="s">
        <v>147</v>
      </c>
      <c r="V6" s="3101" t="s">
        <v>10</v>
      </c>
      <c r="W6" s="365"/>
      <c r="X6" s="3048" t="s">
        <v>11</v>
      </c>
      <c r="Y6" s="3091" t="s">
        <v>12</v>
      </c>
    </row>
    <row r="7" spans="1:25" ht="15.75" customHeight="1" x14ac:dyDescent="0.25">
      <c r="A7" s="3067"/>
      <c r="B7" s="2632"/>
      <c r="C7" s="80" t="s">
        <v>13</v>
      </c>
      <c r="D7" s="361" t="s">
        <v>14</v>
      </c>
      <c r="E7" s="361" t="s">
        <v>15</v>
      </c>
      <c r="F7" s="361" t="s">
        <v>16</v>
      </c>
      <c r="G7" s="319" t="s">
        <v>17</v>
      </c>
      <c r="H7" s="361"/>
      <c r="I7" s="361" t="s">
        <v>13</v>
      </c>
      <c r="J7" s="361" t="s">
        <v>14</v>
      </c>
      <c r="K7" s="106"/>
      <c r="L7" s="3077"/>
      <c r="M7" s="80" t="s">
        <v>13</v>
      </c>
      <c r="N7" s="361" t="s">
        <v>14</v>
      </c>
      <c r="O7" s="361" t="s">
        <v>15</v>
      </c>
      <c r="P7" s="361" t="s">
        <v>16</v>
      </c>
      <c r="Q7" s="319" t="s">
        <v>17</v>
      </c>
      <c r="R7" s="3097"/>
      <c r="S7" s="2651"/>
      <c r="T7" s="3100"/>
      <c r="U7" s="2651"/>
      <c r="V7" s="3101"/>
      <c r="W7" s="365"/>
      <c r="X7" s="2651"/>
      <c r="Y7" s="3092"/>
    </row>
    <row r="8" spans="1:25" x14ac:dyDescent="0.25">
      <c r="A8" s="3068"/>
      <c r="B8" s="367" t="s">
        <v>19</v>
      </c>
      <c r="C8" s="72">
        <v>1</v>
      </c>
      <c r="D8" s="370">
        <v>1</v>
      </c>
      <c r="E8" s="370">
        <v>2</v>
      </c>
      <c r="F8" s="370">
        <v>3</v>
      </c>
      <c r="G8" s="81">
        <v>3</v>
      </c>
      <c r="H8" s="374">
        <v>1</v>
      </c>
      <c r="I8" s="370">
        <v>1</v>
      </c>
      <c r="J8" s="370">
        <v>2</v>
      </c>
      <c r="K8" s="381">
        <v>3</v>
      </c>
      <c r="L8" s="3077"/>
      <c r="M8" s="72">
        <v>4</v>
      </c>
      <c r="N8" s="370">
        <v>4</v>
      </c>
      <c r="O8" s="370">
        <v>4</v>
      </c>
      <c r="P8" s="370">
        <v>2</v>
      </c>
      <c r="Q8" s="81">
        <v>2</v>
      </c>
      <c r="R8" s="72">
        <v>2</v>
      </c>
      <c r="S8" s="370">
        <v>3</v>
      </c>
      <c r="T8" s="375">
        <v>4</v>
      </c>
      <c r="U8" s="2651"/>
      <c r="V8" s="3101"/>
      <c r="W8" s="365"/>
      <c r="X8" s="2651"/>
      <c r="Y8" s="3092"/>
    </row>
    <row r="9" spans="1:25" x14ac:dyDescent="0.25">
      <c r="A9" s="361" t="s">
        <v>18</v>
      </c>
      <c r="B9" s="362" t="s">
        <v>26</v>
      </c>
      <c r="C9" s="72">
        <v>2</v>
      </c>
      <c r="D9" s="370">
        <v>2</v>
      </c>
      <c r="E9" s="370">
        <v>2</v>
      </c>
      <c r="F9" s="370">
        <v>2</v>
      </c>
      <c r="G9" s="81">
        <v>2</v>
      </c>
      <c r="H9" s="374">
        <v>10</v>
      </c>
      <c r="I9" s="370">
        <v>5</v>
      </c>
      <c r="J9" s="370">
        <v>5</v>
      </c>
      <c r="K9" s="370">
        <v>10</v>
      </c>
      <c r="L9" s="82"/>
      <c r="M9" s="72">
        <v>2</v>
      </c>
      <c r="N9" s="370">
        <v>2</v>
      </c>
      <c r="O9" s="370">
        <v>2</v>
      </c>
      <c r="P9" s="370">
        <v>2</v>
      </c>
      <c r="Q9" s="81">
        <v>2</v>
      </c>
      <c r="R9" s="72">
        <v>10</v>
      </c>
      <c r="S9" s="370">
        <v>10</v>
      </c>
      <c r="T9" s="370">
        <v>10</v>
      </c>
      <c r="U9" s="363"/>
      <c r="V9" s="361"/>
      <c r="W9" s="364"/>
      <c r="X9" s="364"/>
      <c r="Y9" s="330"/>
    </row>
    <row r="10" spans="1:25" ht="18.75" x14ac:dyDescent="0.25">
      <c r="A10" s="361">
        <v>1</v>
      </c>
      <c r="B10" s="395">
        <v>5191421001</v>
      </c>
      <c r="C10" s="396">
        <v>1</v>
      </c>
      <c r="D10" s="369">
        <v>2</v>
      </c>
      <c r="E10" s="369">
        <v>1</v>
      </c>
      <c r="F10" s="369">
        <v>1</v>
      </c>
      <c r="G10" s="99"/>
      <c r="H10" s="397">
        <v>2</v>
      </c>
      <c r="I10" s="387"/>
      <c r="J10" s="387"/>
      <c r="K10" s="383"/>
      <c r="L10" s="84">
        <f t="shared" ref="L10:L67" si="0">SUM(C10:K10)</f>
        <v>7</v>
      </c>
      <c r="M10" s="85"/>
      <c r="N10" s="6">
        <v>1</v>
      </c>
      <c r="O10" s="6">
        <v>1</v>
      </c>
      <c r="P10" s="6">
        <v>2</v>
      </c>
      <c r="Q10" s="86"/>
      <c r="R10" s="87"/>
      <c r="S10" s="383">
        <v>3</v>
      </c>
      <c r="T10" s="383">
        <v>5</v>
      </c>
      <c r="U10" s="39">
        <f t="shared" ref="U10:U41" si="1">SUM(M10:T10)</f>
        <v>12</v>
      </c>
      <c r="V10" s="368">
        <f t="shared" ref="V10:V67" si="2">ROUND(AVERAGE(L10,U10),0)</f>
        <v>10</v>
      </c>
      <c r="W10" s="382"/>
      <c r="X10" s="9" t="s">
        <v>28</v>
      </c>
      <c r="Y10" s="368">
        <f>IF(X10="O",100,IF(X10="A+",90,IF(X10="A",80,IF(X10="B+",70,IF(X10="B",60,IF(X10="C",55,IF(X10="P",50,IF(X10="F",39))))))))</f>
        <v>50</v>
      </c>
    </row>
    <row r="11" spans="1:25" ht="18.75" x14ac:dyDescent="0.25">
      <c r="A11" s="361">
        <v>2</v>
      </c>
      <c r="B11" s="395">
        <v>5191421002</v>
      </c>
      <c r="C11" s="312">
        <v>2</v>
      </c>
      <c r="D11" s="383">
        <v>0</v>
      </c>
      <c r="E11" s="383">
        <v>1</v>
      </c>
      <c r="F11" s="383"/>
      <c r="G11" s="86">
        <v>2</v>
      </c>
      <c r="H11" s="87"/>
      <c r="I11" s="383"/>
      <c r="J11" s="383"/>
      <c r="K11" s="383">
        <v>7</v>
      </c>
      <c r="L11" s="84">
        <f t="shared" si="0"/>
        <v>12</v>
      </c>
      <c r="M11" s="85">
        <v>1</v>
      </c>
      <c r="N11" s="6"/>
      <c r="O11" s="6">
        <v>1</v>
      </c>
      <c r="P11" s="6">
        <v>1</v>
      </c>
      <c r="Q11" s="86"/>
      <c r="R11" s="87">
        <v>6</v>
      </c>
      <c r="S11" s="383">
        <v>5</v>
      </c>
      <c r="T11" s="383"/>
      <c r="U11" s="371">
        <f t="shared" si="1"/>
        <v>14</v>
      </c>
      <c r="V11" s="368">
        <f t="shared" si="2"/>
        <v>13</v>
      </c>
      <c r="W11" s="382"/>
      <c r="X11" s="9" t="s">
        <v>31</v>
      </c>
      <c r="Y11" s="368">
        <f t="shared" ref="Y11:Y67" si="3">IF(X11="O",100,IF(X11="A+",90,IF(X11="A",80,IF(X11="B+",70,IF(X11="B",60,IF(X11="C",55,IF(X11="P",50,IF(X11="F",39))))))))</f>
        <v>55</v>
      </c>
    </row>
    <row r="12" spans="1:25" ht="18.75" x14ac:dyDescent="0.25">
      <c r="A12" s="361">
        <v>3</v>
      </c>
      <c r="B12" s="395">
        <v>5191421003</v>
      </c>
      <c r="C12" s="107">
        <v>2</v>
      </c>
      <c r="D12" s="6">
        <v>1</v>
      </c>
      <c r="E12" s="6">
        <v>1</v>
      </c>
      <c r="F12" s="6">
        <v>1</v>
      </c>
      <c r="G12" s="86">
        <v>1</v>
      </c>
      <c r="H12" s="87"/>
      <c r="I12" s="383">
        <v>4</v>
      </c>
      <c r="J12" s="383">
        <v>0</v>
      </c>
      <c r="K12" s="383">
        <v>6</v>
      </c>
      <c r="L12" s="84">
        <f t="shared" si="0"/>
        <v>16</v>
      </c>
      <c r="M12" s="85">
        <v>2</v>
      </c>
      <c r="N12" s="6">
        <v>2</v>
      </c>
      <c r="O12" s="6">
        <v>2</v>
      </c>
      <c r="P12" s="6">
        <v>1</v>
      </c>
      <c r="Q12" s="86">
        <v>2</v>
      </c>
      <c r="R12" s="87">
        <v>10</v>
      </c>
      <c r="S12" s="383">
        <v>0</v>
      </c>
      <c r="T12" s="383">
        <v>10</v>
      </c>
      <c r="U12" s="371">
        <f t="shared" si="1"/>
        <v>29</v>
      </c>
      <c r="V12" s="368">
        <f t="shared" si="2"/>
        <v>23</v>
      </c>
      <c r="W12" s="382"/>
      <c r="X12" s="9" t="s">
        <v>30</v>
      </c>
      <c r="Y12" s="368">
        <f t="shared" si="3"/>
        <v>90</v>
      </c>
    </row>
    <row r="13" spans="1:25" ht="18.75" x14ac:dyDescent="0.25">
      <c r="A13" s="361">
        <v>4</v>
      </c>
      <c r="B13" s="395">
        <v>5191421004</v>
      </c>
      <c r="C13" s="100">
        <v>2</v>
      </c>
      <c r="D13" s="6">
        <v>0</v>
      </c>
      <c r="E13" s="6">
        <v>1</v>
      </c>
      <c r="F13" s="6">
        <v>1</v>
      </c>
      <c r="G13" s="86">
        <v>0</v>
      </c>
      <c r="H13" s="87"/>
      <c r="I13" s="383"/>
      <c r="J13" s="383"/>
      <c r="K13" s="383">
        <v>0</v>
      </c>
      <c r="L13" s="84">
        <f t="shared" si="0"/>
        <v>4</v>
      </c>
      <c r="M13" s="85">
        <v>1</v>
      </c>
      <c r="N13" s="6">
        <v>1</v>
      </c>
      <c r="O13" s="6">
        <v>0</v>
      </c>
      <c r="P13" s="6">
        <v>1</v>
      </c>
      <c r="Q13" s="86"/>
      <c r="R13" s="87"/>
      <c r="S13" s="383">
        <v>3</v>
      </c>
      <c r="T13" s="383">
        <v>3</v>
      </c>
      <c r="U13" s="371">
        <f t="shared" si="1"/>
        <v>9</v>
      </c>
      <c r="V13" s="368">
        <f t="shared" si="2"/>
        <v>7</v>
      </c>
      <c r="W13" s="382"/>
      <c r="X13" s="9" t="s">
        <v>29</v>
      </c>
      <c r="Y13" s="368">
        <f t="shared" si="3"/>
        <v>39</v>
      </c>
    </row>
    <row r="14" spans="1:25" ht="18.75" x14ac:dyDescent="0.25">
      <c r="A14" s="361">
        <v>5</v>
      </c>
      <c r="B14" s="395">
        <v>5191421005</v>
      </c>
      <c r="C14" s="107">
        <v>1</v>
      </c>
      <c r="D14" s="6">
        <v>1</v>
      </c>
      <c r="E14" s="6">
        <v>1</v>
      </c>
      <c r="F14" s="6">
        <v>0</v>
      </c>
      <c r="G14" s="86">
        <v>0</v>
      </c>
      <c r="H14" s="87">
        <v>3</v>
      </c>
      <c r="I14" s="383">
        <v>2</v>
      </c>
      <c r="J14" s="383"/>
      <c r="K14" s="383"/>
      <c r="L14" s="84">
        <f t="shared" si="0"/>
        <v>8</v>
      </c>
      <c r="M14" s="85">
        <v>2</v>
      </c>
      <c r="N14" s="6">
        <v>1</v>
      </c>
      <c r="O14" s="6">
        <v>1</v>
      </c>
      <c r="P14" s="6">
        <v>2</v>
      </c>
      <c r="Q14" s="86">
        <v>2</v>
      </c>
      <c r="R14" s="87">
        <v>2</v>
      </c>
      <c r="S14" s="383">
        <v>2</v>
      </c>
      <c r="T14" s="383"/>
      <c r="U14" s="371">
        <f t="shared" si="1"/>
        <v>12</v>
      </c>
      <c r="V14" s="368">
        <f t="shared" si="2"/>
        <v>10</v>
      </c>
      <c r="W14" s="382"/>
      <c r="X14" s="9" t="s">
        <v>28</v>
      </c>
      <c r="Y14" s="368">
        <f t="shared" si="3"/>
        <v>50</v>
      </c>
    </row>
    <row r="15" spans="1:25" ht="18.75" x14ac:dyDescent="0.25">
      <c r="A15" s="361">
        <v>6</v>
      </c>
      <c r="B15" s="395">
        <v>5191421006</v>
      </c>
      <c r="C15" s="107">
        <v>2</v>
      </c>
      <c r="D15" s="6">
        <v>1</v>
      </c>
      <c r="E15" s="6">
        <v>1</v>
      </c>
      <c r="F15" s="6">
        <v>1</v>
      </c>
      <c r="G15" s="86">
        <v>1</v>
      </c>
      <c r="H15" s="87">
        <v>5</v>
      </c>
      <c r="I15" s="383"/>
      <c r="J15" s="383"/>
      <c r="K15" s="383">
        <v>4</v>
      </c>
      <c r="L15" s="84">
        <f t="shared" si="0"/>
        <v>15</v>
      </c>
      <c r="M15" s="85">
        <v>2</v>
      </c>
      <c r="N15" s="6">
        <v>2</v>
      </c>
      <c r="O15" s="6">
        <v>1</v>
      </c>
      <c r="P15" s="6">
        <v>2</v>
      </c>
      <c r="Q15" s="86">
        <v>2</v>
      </c>
      <c r="R15" s="87">
        <v>10</v>
      </c>
      <c r="S15" s="383"/>
      <c r="T15" s="383">
        <v>9</v>
      </c>
      <c r="U15" s="371">
        <f t="shared" si="1"/>
        <v>28</v>
      </c>
      <c r="V15" s="368">
        <f t="shared" si="2"/>
        <v>22</v>
      </c>
      <c r="W15" s="382"/>
      <c r="X15" s="9" t="s">
        <v>27</v>
      </c>
      <c r="Y15" s="368">
        <f t="shared" si="3"/>
        <v>80</v>
      </c>
    </row>
    <row r="16" spans="1:25" ht="18.75" x14ac:dyDescent="0.25">
      <c r="A16" s="361">
        <v>7</v>
      </c>
      <c r="B16" s="395">
        <v>5191421007</v>
      </c>
      <c r="C16" s="107">
        <v>1</v>
      </c>
      <c r="D16" s="6">
        <v>1</v>
      </c>
      <c r="E16" s="6">
        <v>1</v>
      </c>
      <c r="F16" s="6">
        <v>1</v>
      </c>
      <c r="G16" s="86">
        <v>0</v>
      </c>
      <c r="H16" s="87">
        <v>2</v>
      </c>
      <c r="I16" s="383">
        <v>1</v>
      </c>
      <c r="J16" s="383">
        <v>1</v>
      </c>
      <c r="K16" s="383"/>
      <c r="L16" s="84">
        <f t="shared" si="0"/>
        <v>8</v>
      </c>
      <c r="M16" s="85">
        <v>1</v>
      </c>
      <c r="N16" s="6">
        <v>2</v>
      </c>
      <c r="O16" s="6">
        <v>1</v>
      </c>
      <c r="P16" s="6">
        <v>2</v>
      </c>
      <c r="Q16" s="86">
        <v>2</v>
      </c>
      <c r="R16" s="87"/>
      <c r="S16" s="383">
        <v>1</v>
      </c>
      <c r="T16" s="383">
        <v>10</v>
      </c>
      <c r="U16" s="371">
        <f t="shared" si="1"/>
        <v>19</v>
      </c>
      <c r="V16" s="368">
        <f t="shared" si="2"/>
        <v>14</v>
      </c>
      <c r="W16" s="382"/>
      <c r="X16" s="9" t="s">
        <v>31</v>
      </c>
      <c r="Y16" s="368">
        <f t="shared" si="3"/>
        <v>55</v>
      </c>
    </row>
    <row r="17" spans="1:25" ht="18.75" x14ac:dyDescent="0.25">
      <c r="A17" s="361">
        <v>8</v>
      </c>
      <c r="B17" s="395">
        <v>5191421008</v>
      </c>
      <c r="C17" s="107">
        <v>1</v>
      </c>
      <c r="D17" s="6">
        <v>1</v>
      </c>
      <c r="E17" s="6">
        <v>1</v>
      </c>
      <c r="F17" s="6">
        <v>0</v>
      </c>
      <c r="G17" s="86">
        <v>1</v>
      </c>
      <c r="H17" s="87">
        <v>2</v>
      </c>
      <c r="I17" s="383"/>
      <c r="J17" s="383"/>
      <c r="K17" s="383">
        <v>1</v>
      </c>
      <c r="L17" s="84">
        <f t="shared" si="0"/>
        <v>7</v>
      </c>
      <c r="M17" s="85"/>
      <c r="N17" s="6">
        <v>2</v>
      </c>
      <c r="O17" s="6">
        <v>1</v>
      </c>
      <c r="P17" s="6">
        <v>2</v>
      </c>
      <c r="Q17" s="86">
        <v>1</v>
      </c>
      <c r="R17" s="87"/>
      <c r="S17" s="383">
        <v>3</v>
      </c>
      <c r="T17" s="383">
        <v>10</v>
      </c>
      <c r="U17" s="371">
        <f t="shared" si="1"/>
        <v>19</v>
      </c>
      <c r="V17" s="368">
        <f t="shared" si="2"/>
        <v>13</v>
      </c>
      <c r="W17" s="382"/>
      <c r="X17" s="9" t="s">
        <v>31</v>
      </c>
      <c r="Y17" s="368">
        <f t="shared" si="3"/>
        <v>55</v>
      </c>
    </row>
    <row r="18" spans="1:25" ht="18.75" x14ac:dyDescent="0.25">
      <c r="A18" s="361">
        <v>9</v>
      </c>
      <c r="B18" s="395">
        <v>5191421009</v>
      </c>
      <c r="C18" s="312">
        <v>2</v>
      </c>
      <c r="D18" s="383">
        <v>1</v>
      </c>
      <c r="E18" s="383">
        <v>1</v>
      </c>
      <c r="F18" s="383">
        <v>0</v>
      </c>
      <c r="G18" s="86">
        <v>1</v>
      </c>
      <c r="H18" s="87">
        <v>2</v>
      </c>
      <c r="I18" s="383">
        <v>1</v>
      </c>
      <c r="J18" s="383">
        <v>0</v>
      </c>
      <c r="K18" s="383"/>
      <c r="L18" s="84">
        <f t="shared" si="0"/>
        <v>8</v>
      </c>
      <c r="M18" s="85">
        <v>1</v>
      </c>
      <c r="N18" s="6">
        <v>2</v>
      </c>
      <c r="O18" s="6">
        <v>1</v>
      </c>
      <c r="P18" s="6">
        <v>2</v>
      </c>
      <c r="Q18" s="86">
        <v>2</v>
      </c>
      <c r="R18" s="87">
        <v>5</v>
      </c>
      <c r="S18" s="383">
        <v>2</v>
      </c>
      <c r="T18" s="383"/>
      <c r="U18" s="371">
        <f t="shared" si="1"/>
        <v>15</v>
      </c>
      <c r="V18" s="368">
        <f t="shared" si="2"/>
        <v>12</v>
      </c>
      <c r="W18" s="382"/>
      <c r="X18" s="9" t="s">
        <v>31</v>
      </c>
      <c r="Y18" s="368">
        <f t="shared" si="3"/>
        <v>55</v>
      </c>
    </row>
    <row r="19" spans="1:25" ht="18.75" x14ac:dyDescent="0.25">
      <c r="A19" s="361">
        <v>10</v>
      </c>
      <c r="B19" s="395">
        <v>5191421010</v>
      </c>
      <c r="C19" s="107">
        <v>2</v>
      </c>
      <c r="D19" s="6">
        <v>1</v>
      </c>
      <c r="E19" s="6">
        <v>0</v>
      </c>
      <c r="F19" s="6">
        <v>1</v>
      </c>
      <c r="G19" s="86">
        <v>0</v>
      </c>
      <c r="H19" s="87">
        <v>2</v>
      </c>
      <c r="I19" s="383">
        <v>2</v>
      </c>
      <c r="J19" s="383"/>
      <c r="K19" s="383"/>
      <c r="L19" s="84">
        <f t="shared" si="0"/>
        <v>8</v>
      </c>
      <c r="M19" s="85">
        <v>2</v>
      </c>
      <c r="N19" s="6">
        <v>2</v>
      </c>
      <c r="O19" s="6">
        <v>1</v>
      </c>
      <c r="P19" s="6">
        <v>2</v>
      </c>
      <c r="Q19" s="86">
        <v>0</v>
      </c>
      <c r="R19" s="87">
        <v>0</v>
      </c>
      <c r="S19" s="383">
        <v>0</v>
      </c>
      <c r="T19" s="383">
        <v>10</v>
      </c>
      <c r="U19" s="371">
        <f t="shared" si="1"/>
        <v>17</v>
      </c>
      <c r="V19" s="368">
        <f t="shared" si="2"/>
        <v>13</v>
      </c>
      <c r="W19" s="382"/>
      <c r="X19" s="9" t="s">
        <v>27</v>
      </c>
      <c r="Y19" s="368">
        <f t="shared" si="3"/>
        <v>80</v>
      </c>
    </row>
    <row r="20" spans="1:25" ht="18.75" x14ac:dyDescent="0.25">
      <c r="A20" s="361">
        <v>11</v>
      </c>
      <c r="B20" s="395">
        <v>5191421011</v>
      </c>
      <c r="C20" s="107">
        <v>2</v>
      </c>
      <c r="D20" s="6">
        <v>2</v>
      </c>
      <c r="E20" s="6">
        <v>1</v>
      </c>
      <c r="F20" s="6">
        <v>1</v>
      </c>
      <c r="G20" s="86"/>
      <c r="H20" s="87">
        <v>3</v>
      </c>
      <c r="I20" s="383">
        <v>3</v>
      </c>
      <c r="J20" s="383"/>
      <c r="K20" s="383"/>
      <c r="L20" s="84">
        <f t="shared" si="0"/>
        <v>12</v>
      </c>
      <c r="M20" s="85">
        <v>2</v>
      </c>
      <c r="N20" s="6">
        <v>2</v>
      </c>
      <c r="O20" s="6">
        <v>2</v>
      </c>
      <c r="P20" s="6">
        <v>2</v>
      </c>
      <c r="Q20" s="86">
        <v>2</v>
      </c>
      <c r="R20" s="87">
        <v>9</v>
      </c>
      <c r="S20" s="383"/>
      <c r="T20" s="383">
        <v>10</v>
      </c>
      <c r="U20" s="371">
        <f t="shared" si="1"/>
        <v>29</v>
      </c>
      <c r="V20" s="368">
        <f t="shared" si="2"/>
        <v>21</v>
      </c>
      <c r="W20" s="382"/>
      <c r="X20" s="9" t="s">
        <v>27</v>
      </c>
      <c r="Y20" s="368">
        <f t="shared" si="3"/>
        <v>80</v>
      </c>
    </row>
    <row r="21" spans="1:25" ht="18.75" x14ac:dyDescent="0.25">
      <c r="A21" s="361">
        <v>12</v>
      </c>
      <c r="B21" s="395">
        <v>5191421012</v>
      </c>
      <c r="C21" s="107">
        <v>1</v>
      </c>
      <c r="D21" s="6">
        <v>2</v>
      </c>
      <c r="E21" s="6">
        <v>1</v>
      </c>
      <c r="F21" s="6">
        <v>1</v>
      </c>
      <c r="G21" s="86"/>
      <c r="H21" s="87">
        <v>2</v>
      </c>
      <c r="I21" s="383"/>
      <c r="J21" s="383"/>
      <c r="K21" s="383"/>
      <c r="L21" s="84">
        <f t="shared" si="0"/>
        <v>7</v>
      </c>
      <c r="M21" s="85"/>
      <c r="N21" s="6">
        <v>1</v>
      </c>
      <c r="O21" s="6">
        <v>0</v>
      </c>
      <c r="P21" s="6">
        <v>1</v>
      </c>
      <c r="Q21" s="86"/>
      <c r="R21" s="87"/>
      <c r="S21" s="383"/>
      <c r="T21" s="383">
        <v>6</v>
      </c>
      <c r="U21" s="371">
        <f t="shared" si="1"/>
        <v>8</v>
      </c>
      <c r="V21" s="368">
        <f t="shared" si="2"/>
        <v>8</v>
      </c>
      <c r="W21" s="382"/>
      <c r="X21" s="9" t="s">
        <v>28</v>
      </c>
      <c r="Y21" s="368">
        <f t="shared" si="3"/>
        <v>50</v>
      </c>
    </row>
    <row r="22" spans="1:25" ht="18.75" x14ac:dyDescent="0.25">
      <c r="A22" s="361">
        <v>13</v>
      </c>
      <c r="B22" s="395">
        <v>5191421013</v>
      </c>
      <c r="C22" s="107">
        <v>2</v>
      </c>
      <c r="D22" s="6">
        <v>2</v>
      </c>
      <c r="E22" s="6">
        <v>1</v>
      </c>
      <c r="F22" s="6">
        <v>1</v>
      </c>
      <c r="G22" s="86">
        <v>1</v>
      </c>
      <c r="H22" s="87">
        <v>6</v>
      </c>
      <c r="I22" s="383"/>
      <c r="J22" s="383"/>
      <c r="K22" s="383">
        <v>9</v>
      </c>
      <c r="L22" s="84">
        <f t="shared" si="0"/>
        <v>22</v>
      </c>
      <c r="M22" s="85">
        <v>2</v>
      </c>
      <c r="N22" s="6">
        <v>2</v>
      </c>
      <c r="O22" s="6">
        <v>2</v>
      </c>
      <c r="P22" s="6">
        <v>2</v>
      </c>
      <c r="Q22" s="86">
        <v>1</v>
      </c>
      <c r="R22" s="87">
        <v>7</v>
      </c>
      <c r="S22" s="383">
        <v>7</v>
      </c>
      <c r="T22" s="383"/>
      <c r="U22" s="371">
        <f t="shared" si="1"/>
        <v>23</v>
      </c>
      <c r="V22" s="368">
        <f t="shared" si="2"/>
        <v>23</v>
      </c>
      <c r="W22" s="382"/>
      <c r="X22" s="9" t="s">
        <v>30</v>
      </c>
      <c r="Y22" s="368">
        <f t="shared" si="3"/>
        <v>90</v>
      </c>
    </row>
    <row r="23" spans="1:25" ht="18.75" x14ac:dyDescent="0.25">
      <c r="A23" s="361">
        <v>14</v>
      </c>
      <c r="B23" s="395">
        <v>5191421014</v>
      </c>
      <c r="C23" s="107">
        <v>1</v>
      </c>
      <c r="D23" s="6"/>
      <c r="E23" s="6"/>
      <c r="F23" s="6">
        <v>0</v>
      </c>
      <c r="G23" s="86"/>
      <c r="H23" s="87">
        <v>2</v>
      </c>
      <c r="I23" s="383"/>
      <c r="J23" s="383"/>
      <c r="K23" s="383"/>
      <c r="L23" s="84">
        <f t="shared" si="0"/>
        <v>3</v>
      </c>
      <c r="M23" s="85"/>
      <c r="N23" s="6">
        <v>1</v>
      </c>
      <c r="O23" s="6">
        <v>1</v>
      </c>
      <c r="P23" s="6"/>
      <c r="Q23" s="86"/>
      <c r="R23" s="87"/>
      <c r="S23" s="383">
        <v>3</v>
      </c>
      <c r="T23" s="383">
        <v>3</v>
      </c>
      <c r="U23" s="371">
        <f t="shared" si="1"/>
        <v>8</v>
      </c>
      <c r="V23" s="368">
        <f t="shared" si="2"/>
        <v>6</v>
      </c>
      <c r="W23" s="382"/>
      <c r="X23" s="9" t="s">
        <v>31</v>
      </c>
      <c r="Y23" s="368">
        <f t="shared" si="3"/>
        <v>55</v>
      </c>
    </row>
    <row r="24" spans="1:25" ht="18.75" x14ac:dyDescent="0.25">
      <c r="A24" s="361">
        <v>15</v>
      </c>
      <c r="B24" s="395">
        <v>5191421015</v>
      </c>
      <c r="C24" s="107">
        <v>2</v>
      </c>
      <c r="D24" s="6">
        <v>1</v>
      </c>
      <c r="E24" s="6">
        <v>1</v>
      </c>
      <c r="F24" s="6">
        <v>1</v>
      </c>
      <c r="G24" s="86">
        <v>0</v>
      </c>
      <c r="H24" s="87">
        <v>2</v>
      </c>
      <c r="I24" s="383">
        <v>1</v>
      </c>
      <c r="J24" s="383"/>
      <c r="K24" s="383"/>
      <c r="L24" s="84">
        <f t="shared" si="0"/>
        <v>8</v>
      </c>
      <c r="M24" s="85">
        <v>1</v>
      </c>
      <c r="N24" s="6">
        <v>2</v>
      </c>
      <c r="O24" s="6">
        <v>2</v>
      </c>
      <c r="P24" s="6">
        <v>2</v>
      </c>
      <c r="Q24" s="86">
        <v>1</v>
      </c>
      <c r="R24" s="87">
        <v>3</v>
      </c>
      <c r="S24" s="383"/>
      <c r="T24" s="383">
        <v>2</v>
      </c>
      <c r="U24" s="371">
        <f t="shared" si="1"/>
        <v>13</v>
      </c>
      <c r="V24" s="368">
        <f t="shared" si="2"/>
        <v>11</v>
      </c>
      <c r="W24" s="382"/>
      <c r="X24" s="9" t="s">
        <v>29</v>
      </c>
      <c r="Y24" s="368">
        <f t="shared" si="3"/>
        <v>39</v>
      </c>
    </row>
    <row r="25" spans="1:25" ht="18.75" x14ac:dyDescent="0.25">
      <c r="A25" s="361">
        <v>16</v>
      </c>
      <c r="B25" s="395">
        <v>5191421016</v>
      </c>
      <c r="C25" s="107">
        <v>2</v>
      </c>
      <c r="D25" s="6">
        <v>2</v>
      </c>
      <c r="E25" s="6">
        <v>1</v>
      </c>
      <c r="F25" s="6">
        <v>1</v>
      </c>
      <c r="G25" s="86">
        <v>0</v>
      </c>
      <c r="H25" s="87">
        <v>2</v>
      </c>
      <c r="I25" s="383">
        <v>1</v>
      </c>
      <c r="J25" s="383">
        <v>1</v>
      </c>
      <c r="K25" s="383"/>
      <c r="L25" s="84">
        <f t="shared" si="0"/>
        <v>10</v>
      </c>
      <c r="M25" s="85">
        <v>1</v>
      </c>
      <c r="N25" s="6">
        <v>0</v>
      </c>
      <c r="O25" s="6">
        <v>1</v>
      </c>
      <c r="P25" s="6">
        <v>1</v>
      </c>
      <c r="Q25" s="86">
        <v>1</v>
      </c>
      <c r="R25" s="87"/>
      <c r="S25" s="383">
        <v>4</v>
      </c>
      <c r="T25" s="383">
        <v>6</v>
      </c>
      <c r="U25" s="371">
        <f t="shared" si="1"/>
        <v>14</v>
      </c>
      <c r="V25" s="368">
        <f t="shared" si="2"/>
        <v>12</v>
      </c>
      <c r="W25" s="382"/>
      <c r="X25" s="9" t="s">
        <v>28</v>
      </c>
      <c r="Y25" s="368">
        <f t="shared" si="3"/>
        <v>50</v>
      </c>
    </row>
    <row r="26" spans="1:25" ht="18.75" x14ac:dyDescent="0.25">
      <c r="A26" s="361">
        <v>17</v>
      </c>
      <c r="B26" s="395">
        <v>5191421017</v>
      </c>
      <c r="C26" s="107">
        <v>2</v>
      </c>
      <c r="D26" s="6">
        <v>1</v>
      </c>
      <c r="E26" s="6"/>
      <c r="F26" s="6"/>
      <c r="G26" s="86">
        <v>0</v>
      </c>
      <c r="H26" s="87">
        <v>2</v>
      </c>
      <c r="I26" s="383"/>
      <c r="J26" s="383"/>
      <c r="K26" s="383"/>
      <c r="L26" s="84">
        <f t="shared" si="0"/>
        <v>5</v>
      </c>
      <c r="M26" s="85">
        <v>0</v>
      </c>
      <c r="N26" s="6">
        <v>2</v>
      </c>
      <c r="O26" s="6">
        <v>2</v>
      </c>
      <c r="P26" s="6">
        <v>2</v>
      </c>
      <c r="Q26" s="86"/>
      <c r="R26" s="87">
        <v>2</v>
      </c>
      <c r="S26" s="383">
        <v>2</v>
      </c>
      <c r="T26" s="383"/>
      <c r="U26" s="371">
        <f t="shared" si="1"/>
        <v>10</v>
      </c>
      <c r="V26" s="368">
        <f t="shared" si="2"/>
        <v>8</v>
      </c>
      <c r="W26" s="382"/>
      <c r="X26" s="9" t="s">
        <v>31</v>
      </c>
      <c r="Y26" s="368">
        <f t="shared" si="3"/>
        <v>55</v>
      </c>
    </row>
    <row r="27" spans="1:25" ht="18.75" x14ac:dyDescent="0.25">
      <c r="A27" s="361">
        <v>18</v>
      </c>
      <c r="B27" s="395">
        <v>5191421018</v>
      </c>
      <c r="C27" s="100">
        <v>2</v>
      </c>
      <c r="D27" s="6">
        <v>0</v>
      </c>
      <c r="E27" s="6"/>
      <c r="F27" s="6"/>
      <c r="G27" s="86">
        <v>0</v>
      </c>
      <c r="H27" s="87">
        <v>0</v>
      </c>
      <c r="I27" s="383">
        <v>0</v>
      </c>
      <c r="J27" s="383"/>
      <c r="K27" s="383"/>
      <c r="L27" s="84">
        <f t="shared" si="0"/>
        <v>2</v>
      </c>
      <c r="M27" s="85">
        <v>1</v>
      </c>
      <c r="N27" s="6">
        <v>0</v>
      </c>
      <c r="O27" s="6">
        <v>1</v>
      </c>
      <c r="P27" s="6">
        <v>2</v>
      </c>
      <c r="Q27" s="86">
        <v>0</v>
      </c>
      <c r="R27" s="87"/>
      <c r="S27" s="383">
        <v>1</v>
      </c>
      <c r="T27" s="383">
        <v>0</v>
      </c>
      <c r="U27" s="371">
        <f t="shared" si="1"/>
        <v>5</v>
      </c>
      <c r="V27" s="368">
        <f t="shared" si="2"/>
        <v>4</v>
      </c>
      <c r="W27" s="382"/>
      <c r="X27" s="9" t="s">
        <v>29</v>
      </c>
      <c r="Y27" s="368">
        <f t="shared" si="3"/>
        <v>39</v>
      </c>
    </row>
    <row r="28" spans="1:25" ht="18.75" x14ac:dyDescent="0.25">
      <c r="A28" s="361">
        <v>19</v>
      </c>
      <c r="B28" s="395">
        <v>5191421019</v>
      </c>
      <c r="C28" s="85">
        <v>2</v>
      </c>
      <c r="D28" s="383">
        <v>1</v>
      </c>
      <c r="E28" s="383">
        <v>1</v>
      </c>
      <c r="F28" s="383"/>
      <c r="G28" s="86">
        <v>1</v>
      </c>
      <c r="H28" s="87">
        <v>3</v>
      </c>
      <c r="I28" s="383"/>
      <c r="J28" s="383"/>
      <c r="K28" s="383">
        <v>4</v>
      </c>
      <c r="L28" s="84">
        <f t="shared" si="0"/>
        <v>12</v>
      </c>
      <c r="M28" s="85">
        <v>2</v>
      </c>
      <c r="N28" s="383">
        <v>2</v>
      </c>
      <c r="O28" s="383">
        <v>1</v>
      </c>
      <c r="P28" s="383">
        <v>2</v>
      </c>
      <c r="Q28" s="86">
        <v>2</v>
      </c>
      <c r="R28" s="87"/>
      <c r="S28" s="383">
        <v>2</v>
      </c>
      <c r="T28" s="383">
        <v>10</v>
      </c>
      <c r="U28" s="371">
        <f t="shared" si="1"/>
        <v>21</v>
      </c>
      <c r="V28" s="368">
        <f t="shared" si="2"/>
        <v>17</v>
      </c>
      <c r="W28" s="382"/>
      <c r="X28" s="9" t="s">
        <v>27</v>
      </c>
      <c r="Y28" s="368">
        <f t="shared" si="3"/>
        <v>80</v>
      </c>
    </row>
    <row r="29" spans="1:25" ht="18.75" x14ac:dyDescent="0.25">
      <c r="A29" s="361">
        <v>20</v>
      </c>
      <c r="B29" s="395">
        <v>5191421020</v>
      </c>
      <c r="C29" s="87">
        <v>2</v>
      </c>
      <c r="D29" s="383">
        <v>1</v>
      </c>
      <c r="E29" s="383">
        <v>1</v>
      </c>
      <c r="F29" s="383">
        <v>1</v>
      </c>
      <c r="G29" s="86">
        <v>1</v>
      </c>
      <c r="H29" s="87"/>
      <c r="I29" s="383">
        <v>3</v>
      </c>
      <c r="J29" s="383"/>
      <c r="K29" s="383">
        <v>3</v>
      </c>
      <c r="L29" s="84">
        <f t="shared" si="0"/>
        <v>12</v>
      </c>
      <c r="M29" s="87">
        <v>2</v>
      </c>
      <c r="N29" s="383">
        <v>2</v>
      </c>
      <c r="O29" s="383">
        <v>1</v>
      </c>
      <c r="P29" s="383">
        <v>2</v>
      </c>
      <c r="Q29" s="86">
        <v>2</v>
      </c>
      <c r="R29" s="87">
        <v>3</v>
      </c>
      <c r="S29" s="383"/>
      <c r="T29" s="383">
        <v>10</v>
      </c>
      <c r="U29" s="371">
        <f t="shared" si="1"/>
        <v>22</v>
      </c>
      <c r="V29" s="368">
        <f t="shared" si="2"/>
        <v>17</v>
      </c>
      <c r="W29" s="382"/>
      <c r="X29" s="9" t="s">
        <v>27</v>
      </c>
      <c r="Y29" s="368">
        <f t="shared" si="3"/>
        <v>80</v>
      </c>
    </row>
    <row r="30" spans="1:25" ht="18.75" x14ac:dyDescent="0.25">
      <c r="A30" s="361">
        <v>21</v>
      </c>
      <c r="B30" s="395">
        <v>5191421021</v>
      </c>
      <c r="C30" s="85">
        <v>2</v>
      </c>
      <c r="D30" s="383">
        <v>1</v>
      </c>
      <c r="E30" s="383">
        <v>1</v>
      </c>
      <c r="F30" s="383"/>
      <c r="G30" s="86">
        <v>0</v>
      </c>
      <c r="H30" s="87"/>
      <c r="I30" s="383">
        <v>3</v>
      </c>
      <c r="J30" s="383"/>
      <c r="K30" s="383">
        <v>2</v>
      </c>
      <c r="L30" s="84">
        <f t="shared" si="0"/>
        <v>9</v>
      </c>
      <c r="M30" s="85">
        <v>2</v>
      </c>
      <c r="N30" s="383">
        <v>2</v>
      </c>
      <c r="O30" s="383">
        <v>1</v>
      </c>
      <c r="P30" s="383">
        <v>2</v>
      </c>
      <c r="Q30" s="86">
        <v>2</v>
      </c>
      <c r="R30" s="87"/>
      <c r="S30" s="383">
        <v>7</v>
      </c>
      <c r="T30" s="383">
        <v>10</v>
      </c>
      <c r="U30" s="371">
        <f t="shared" si="1"/>
        <v>26</v>
      </c>
      <c r="V30" s="368">
        <f t="shared" si="2"/>
        <v>18</v>
      </c>
      <c r="W30" s="382"/>
      <c r="X30" s="9" t="s">
        <v>27</v>
      </c>
      <c r="Y30" s="368">
        <f t="shared" si="3"/>
        <v>80</v>
      </c>
    </row>
    <row r="31" spans="1:25" ht="18.75" x14ac:dyDescent="0.25">
      <c r="A31" s="361">
        <v>22</v>
      </c>
      <c r="B31" s="395">
        <v>5191421022</v>
      </c>
      <c r="C31" s="85">
        <v>2</v>
      </c>
      <c r="D31" s="383">
        <v>0</v>
      </c>
      <c r="E31" s="383">
        <v>1</v>
      </c>
      <c r="F31" s="383">
        <v>0</v>
      </c>
      <c r="G31" s="86">
        <v>0</v>
      </c>
      <c r="H31" s="87">
        <v>1</v>
      </c>
      <c r="I31" s="383"/>
      <c r="J31" s="383">
        <v>1</v>
      </c>
      <c r="K31" s="383"/>
      <c r="L31" s="84">
        <f t="shared" si="0"/>
        <v>5</v>
      </c>
      <c r="M31" s="85"/>
      <c r="N31" s="383">
        <v>2</v>
      </c>
      <c r="O31" s="383">
        <v>1</v>
      </c>
      <c r="P31" s="383">
        <v>1</v>
      </c>
      <c r="Q31" s="86">
        <v>0</v>
      </c>
      <c r="R31" s="87"/>
      <c r="S31" s="383">
        <v>0</v>
      </c>
      <c r="T31" s="383">
        <v>10</v>
      </c>
      <c r="U31" s="371">
        <f t="shared" si="1"/>
        <v>14</v>
      </c>
      <c r="V31" s="368">
        <f t="shared" si="2"/>
        <v>10</v>
      </c>
      <c r="W31" s="382"/>
      <c r="X31" s="9" t="s">
        <v>31</v>
      </c>
      <c r="Y31" s="368">
        <f t="shared" si="3"/>
        <v>55</v>
      </c>
    </row>
    <row r="32" spans="1:25" ht="18.75" x14ac:dyDescent="0.25">
      <c r="A32" s="361">
        <v>23</v>
      </c>
      <c r="B32" s="395">
        <v>5191421023</v>
      </c>
      <c r="C32" s="85">
        <v>1</v>
      </c>
      <c r="D32" s="383">
        <v>2</v>
      </c>
      <c r="E32" s="383">
        <v>1</v>
      </c>
      <c r="F32" s="383">
        <v>1</v>
      </c>
      <c r="G32" s="86">
        <v>1</v>
      </c>
      <c r="H32" s="87">
        <v>0</v>
      </c>
      <c r="I32" s="383"/>
      <c r="J32" s="383"/>
      <c r="K32" s="383"/>
      <c r="L32" s="84">
        <f t="shared" si="0"/>
        <v>6</v>
      </c>
      <c r="M32" s="85"/>
      <c r="N32" s="383">
        <v>2</v>
      </c>
      <c r="O32" s="383">
        <v>1</v>
      </c>
      <c r="P32" s="383">
        <v>2</v>
      </c>
      <c r="Q32" s="86"/>
      <c r="R32" s="87">
        <v>2</v>
      </c>
      <c r="S32" s="383">
        <v>0</v>
      </c>
      <c r="T32" s="383"/>
      <c r="U32" s="371">
        <f t="shared" si="1"/>
        <v>7</v>
      </c>
      <c r="V32" s="368">
        <f t="shared" si="2"/>
        <v>7</v>
      </c>
      <c r="W32" s="382"/>
      <c r="X32" s="9" t="s">
        <v>28</v>
      </c>
      <c r="Y32" s="368">
        <f t="shared" si="3"/>
        <v>50</v>
      </c>
    </row>
    <row r="33" spans="1:25" ht="18.75" x14ac:dyDescent="0.25">
      <c r="A33" s="361">
        <v>24</v>
      </c>
      <c r="B33" s="395">
        <v>5191421024</v>
      </c>
      <c r="C33" s="85">
        <v>2</v>
      </c>
      <c r="D33" s="383">
        <v>1</v>
      </c>
      <c r="E33" s="383">
        <v>1</v>
      </c>
      <c r="F33" s="383">
        <v>0</v>
      </c>
      <c r="G33" s="86">
        <v>1</v>
      </c>
      <c r="H33" s="87"/>
      <c r="I33" s="383"/>
      <c r="J33" s="383"/>
      <c r="K33" s="383">
        <v>1</v>
      </c>
      <c r="L33" s="84">
        <f t="shared" si="0"/>
        <v>6</v>
      </c>
      <c r="M33" s="85"/>
      <c r="N33" s="383">
        <v>0</v>
      </c>
      <c r="O33" s="383">
        <v>1</v>
      </c>
      <c r="P33" s="383"/>
      <c r="Q33" s="86"/>
      <c r="R33" s="87">
        <v>1</v>
      </c>
      <c r="S33" s="383"/>
      <c r="T33" s="383">
        <v>0</v>
      </c>
      <c r="U33" s="371">
        <f t="shared" si="1"/>
        <v>2</v>
      </c>
      <c r="V33" s="368">
        <f t="shared" si="2"/>
        <v>4</v>
      </c>
      <c r="W33" s="382"/>
      <c r="X33" s="9" t="s">
        <v>29</v>
      </c>
      <c r="Y33" s="368">
        <f t="shared" si="3"/>
        <v>39</v>
      </c>
    </row>
    <row r="34" spans="1:25" ht="18.75" x14ac:dyDescent="0.25">
      <c r="A34" s="361">
        <v>25</v>
      </c>
      <c r="B34" s="395">
        <v>5191421025</v>
      </c>
      <c r="C34" s="85">
        <v>1</v>
      </c>
      <c r="D34" s="383">
        <v>1</v>
      </c>
      <c r="E34" s="383">
        <v>1</v>
      </c>
      <c r="F34" s="383">
        <v>1</v>
      </c>
      <c r="G34" s="86">
        <v>1</v>
      </c>
      <c r="H34" s="87">
        <v>3</v>
      </c>
      <c r="I34" s="383">
        <v>2</v>
      </c>
      <c r="J34" s="383">
        <v>2</v>
      </c>
      <c r="K34" s="383"/>
      <c r="L34" s="84">
        <f t="shared" si="0"/>
        <v>12</v>
      </c>
      <c r="M34" s="85">
        <v>2</v>
      </c>
      <c r="N34" s="383">
        <v>2</v>
      </c>
      <c r="O34" s="383">
        <v>2</v>
      </c>
      <c r="P34" s="383">
        <v>2</v>
      </c>
      <c r="Q34" s="86">
        <v>2</v>
      </c>
      <c r="R34" s="87">
        <v>7</v>
      </c>
      <c r="S34" s="383">
        <v>6</v>
      </c>
      <c r="T34" s="383"/>
      <c r="U34" s="371">
        <f t="shared" si="1"/>
        <v>23</v>
      </c>
      <c r="V34" s="368">
        <f t="shared" si="2"/>
        <v>18</v>
      </c>
      <c r="W34" s="382"/>
      <c r="X34" s="9" t="s">
        <v>30</v>
      </c>
      <c r="Y34" s="368">
        <f t="shared" si="3"/>
        <v>90</v>
      </c>
    </row>
    <row r="35" spans="1:25" ht="18.75" x14ac:dyDescent="0.25">
      <c r="A35" s="361">
        <v>26</v>
      </c>
      <c r="B35" s="395">
        <v>5191421026</v>
      </c>
      <c r="C35" s="85">
        <v>2</v>
      </c>
      <c r="D35" s="383">
        <v>1</v>
      </c>
      <c r="E35" s="383">
        <v>1</v>
      </c>
      <c r="F35" s="383"/>
      <c r="G35" s="86">
        <v>1</v>
      </c>
      <c r="H35" s="87">
        <v>3</v>
      </c>
      <c r="I35" s="383"/>
      <c r="J35" s="383"/>
      <c r="K35" s="383">
        <v>2</v>
      </c>
      <c r="L35" s="84">
        <f t="shared" si="0"/>
        <v>10</v>
      </c>
      <c r="M35" s="85">
        <v>2</v>
      </c>
      <c r="N35" s="383">
        <v>2</v>
      </c>
      <c r="O35" s="383">
        <v>1</v>
      </c>
      <c r="P35" s="383">
        <v>2</v>
      </c>
      <c r="Q35" s="86">
        <v>2</v>
      </c>
      <c r="R35" s="87"/>
      <c r="S35" s="383">
        <v>6</v>
      </c>
      <c r="T35" s="383">
        <v>7</v>
      </c>
      <c r="U35" s="371">
        <f t="shared" si="1"/>
        <v>22</v>
      </c>
      <c r="V35" s="368">
        <f t="shared" si="2"/>
        <v>16</v>
      </c>
      <c r="W35" s="382"/>
      <c r="X35" s="9" t="s">
        <v>32</v>
      </c>
      <c r="Y35" s="368">
        <f t="shared" si="3"/>
        <v>70</v>
      </c>
    </row>
    <row r="36" spans="1:25" ht="18.75" x14ac:dyDescent="0.25">
      <c r="A36" s="361">
        <v>27</v>
      </c>
      <c r="B36" s="395">
        <v>5191421027</v>
      </c>
      <c r="C36" s="85">
        <v>2</v>
      </c>
      <c r="D36" s="383">
        <v>1</v>
      </c>
      <c r="E36" s="383">
        <v>1</v>
      </c>
      <c r="F36" s="383">
        <v>0</v>
      </c>
      <c r="G36" s="86">
        <v>1</v>
      </c>
      <c r="H36" s="87">
        <v>3</v>
      </c>
      <c r="I36" s="383"/>
      <c r="J36" s="383"/>
      <c r="K36" s="383"/>
      <c r="L36" s="84">
        <f t="shared" si="0"/>
        <v>8</v>
      </c>
      <c r="M36" s="85">
        <v>2</v>
      </c>
      <c r="N36" s="383">
        <v>2</v>
      </c>
      <c r="O36" s="383">
        <v>0</v>
      </c>
      <c r="P36" s="383">
        <v>1</v>
      </c>
      <c r="Q36" s="86">
        <v>2</v>
      </c>
      <c r="R36" s="87">
        <v>3</v>
      </c>
      <c r="S36" s="383"/>
      <c r="T36" s="383">
        <v>8</v>
      </c>
      <c r="U36" s="371">
        <f t="shared" si="1"/>
        <v>18</v>
      </c>
      <c r="V36" s="368">
        <f t="shared" si="2"/>
        <v>13</v>
      </c>
      <c r="W36" s="382"/>
      <c r="X36" s="9" t="s">
        <v>33</v>
      </c>
      <c r="Y36" s="368">
        <f t="shared" si="3"/>
        <v>60</v>
      </c>
    </row>
    <row r="37" spans="1:25" ht="18.75" x14ac:dyDescent="0.25">
      <c r="A37" s="361">
        <v>28</v>
      </c>
      <c r="B37" s="395">
        <v>5191421028</v>
      </c>
      <c r="C37" s="85">
        <v>2</v>
      </c>
      <c r="D37" s="383">
        <v>1</v>
      </c>
      <c r="E37" s="383">
        <v>1</v>
      </c>
      <c r="F37" s="383">
        <v>1</v>
      </c>
      <c r="G37" s="86"/>
      <c r="H37" s="87">
        <v>6</v>
      </c>
      <c r="I37" s="383">
        <v>5</v>
      </c>
      <c r="J37" s="383">
        <v>1</v>
      </c>
      <c r="K37" s="383"/>
      <c r="L37" s="84">
        <f t="shared" si="0"/>
        <v>17</v>
      </c>
      <c r="M37" s="85">
        <v>0</v>
      </c>
      <c r="N37" s="383">
        <v>1</v>
      </c>
      <c r="O37" s="383">
        <v>1</v>
      </c>
      <c r="P37" s="383">
        <v>2</v>
      </c>
      <c r="Q37" s="86">
        <v>2</v>
      </c>
      <c r="R37" s="87"/>
      <c r="S37" s="383">
        <v>7</v>
      </c>
      <c r="T37" s="383">
        <v>7</v>
      </c>
      <c r="U37" s="371">
        <f t="shared" si="1"/>
        <v>20</v>
      </c>
      <c r="V37" s="368">
        <f t="shared" si="2"/>
        <v>19</v>
      </c>
      <c r="W37" s="382"/>
      <c r="X37" s="102" t="s">
        <v>32</v>
      </c>
      <c r="Y37" s="368">
        <f t="shared" si="3"/>
        <v>70</v>
      </c>
    </row>
    <row r="38" spans="1:25" ht="18.75" x14ac:dyDescent="0.25">
      <c r="A38" s="361">
        <v>29</v>
      </c>
      <c r="B38" s="395">
        <v>5191421029</v>
      </c>
      <c r="C38" s="85">
        <v>1</v>
      </c>
      <c r="D38" s="383">
        <v>1</v>
      </c>
      <c r="E38" s="383">
        <v>1</v>
      </c>
      <c r="F38" s="383"/>
      <c r="G38" s="86"/>
      <c r="H38" s="87">
        <v>4</v>
      </c>
      <c r="I38" s="383">
        <v>1</v>
      </c>
      <c r="J38" s="383">
        <v>1</v>
      </c>
      <c r="K38" s="383"/>
      <c r="L38" s="84">
        <f t="shared" si="0"/>
        <v>9</v>
      </c>
      <c r="M38" s="85"/>
      <c r="N38" s="383">
        <v>2</v>
      </c>
      <c r="O38" s="383"/>
      <c r="P38" s="383">
        <v>2</v>
      </c>
      <c r="Q38" s="86"/>
      <c r="R38" s="87">
        <v>2</v>
      </c>
      <c r="S38" s="383"/>
      <c r="T38" s="383">
        <v>7</v>
      </c>
      <c r="U38" s="371">
        <f t="shared" si="1"/>
        <v>13</v>
      </c>
      <c r="V38" s="368">
        <f t="shared" si="2"/>
        <v>11</v>
      </c>
      <c r="W38" s="382"/>
      <c r="X38" s="9" t="s">
        <v>31</v>
      </c>
      <c r="Y38" s="368">
        <f t="shared" si="3"/>
        <v>55</v>
      </c>
    </row>
    <row r="39" spans="1:25" ht="18.75" x14ac:dyDescent="0.25">
      <c r="A39" s="361">
        <v>30</v>
      </c>
      <c r="B39" s="395">
        <v>5191421030</v>
      </c>
      <c r="C39" s="85">
        <v>2</v>
      </c>
      <c r="D39" s="383">
        <v>0</v>
      </c>
      <c r="E39" s="383"/>
      <c r="F39" s="383"/>
      <c r="G39" s="86"/>
      <c r="H39" s="87">
        <v>1</v>
      </c>
      <c r="I39" s="383"/>
      <c r="J39" s="383"/>
      <c r="K39" s="383"/>
      <c r="L39" s="84">
        <f t="shared" si="0"/>
        <v>3</v>
      </c>
      <c r="M39" s="85">
        <v>1</v>
      </c>
      <c r="N39" s="383"/>
      <c r="O39" s="383">
        <v>1</v>
      </c>
      <c r="P39" s="383">
        <v>1</v>
      </c>
      <c r="Q39" s="86"/>
      <c r="R39" s="87">
        <v>0</v>
      </c>
      <c r="S39" s="383"/>
      <c r="T39" s="383">
        <v>0</v>
      </c>
      <c r="U39" s="371">
        <f t="shared" si="1"/>
        <v>3</v>
      </c>
      <c r="V39" s="368">
        <f t="shared" si="2"/>
        <v>3</v>
      </c>
      <c r="W39" s="382"/>
      <c r="X39" s="9" t="s">
        <v>28</v>
      </c>
      <c r="Y39" s="368">
        <f t="shared" si="3"/>
        <v>50</v>
      </c>
    </row>
    <row r="40" spans="1:25" ht="18.75" x14ac:dyDescent="0.25">
      <c r="A40" s="361">
        <v>31</v>
      </c>
      <c r="B40" s="395">
        <v>5191421031</v>
      </c>
      <c r="C40" s="100">
        <v>2</v>
      </c>
      <c r="D40" s="64">
        <v>0</v>
      </c>
      <c r="E40" s="64"/>
      <c r="F40" s="64"/>
      <c r="G40" s="311"/>
      <c r="H40" s="312">
        <v>4</v>
      </c>
      <c r="I40" s="383"/>
      <c r="J40" s="383"/>
      <c r="K40" s="383"/>
      <c r="L40" s="84">
        <f t="shared" si="0"/>
        <v>6</v>
      </c>
      <c r="M40" s="85"/>
      <c r="N40" s="383">
        <v>2</v>
      </c>
      <c r="O40" s="383">
        <v>1</v>
      </c>
      <c r="P40" s="383">
        <v>2</v>
      </c>
      <c r="Q40" s="86"/>
      <c r="R40" s="87"/>
      <c r="S40" s="383">
        <v>2</v>
      </c>
      <c r="T40" s="383">
        <v>10</v>
      </c>
      <c r="U40" s="371">
        <f t="shared" si="1"/>
        <v>17</v>
      </c>
      <c r="V40" s="368">
        <f t="shared" si="2"/>
        <v>12</v>
      </c>
      <c r="W40" s="382"/>
      <c r="X40" s="9" t="s">
        <v>29</v>
      </c>
      <c r="Y40" s="368">
        <f t="shared" si="3"/>
        <v>39</v>
      </c>
    </row>
    <row r="41" spans="1:25" ht="18.75" x14ac:dyDescent="0.25">
      <c r="A41" s="361">
        <v>32</v>
      </c>
      <c r="B41" s="395">
        <v>5191421032</v>
      </c>
      <c r="C41" s="87">
        <v>2</v>
      </c>
      <c r="D41" s="383">
        <v>1</v>
      </c>
      <c r="E41" s="383">
        <v>1</v>
      </c>
      <c r="F41" s="383">
        <v>0</v>
      </c>
      <c r="G41" s="86">
        <v>0</v>
      </c>
      <c r="H41" s="87">
        <v>4</v>
      </c>
      <c r="I41" s="383">
        <v>0</v>
      </c>
      <c r="J41" s="383">
        <v>0</v>
      </c>
      <c r="K41" s="383"/>
      <c r="L41" s="84">
        <f t="shared" si="0"/>
        <v>8</v>
      </c>
      <c r="M41" s="87">
        <v>0</v>
      </c>
      <c r="N41" s="383">
        <v>0</v>
      </c>
      <c r="O41" s="383">
        <v>0</v>
      </c>
      <c r="P41" s="383"/>
      <c r="Q41" s="86">
        <v>0</v>
      </c>
      <c r="R41" s="87">
        <v>1</v>
      </c>
      <c r="S41" s="383">
        <v>2</v>
      </c>
      <c r="T41" s="383"/>
      <c r="U41" s="371">
        <f t="shared" si="1"/>
        <v>3</v>
      </c>
      <c r="V41" s="368">
        <f t="shared" si="2"/>
        <v>6</v>
      </c>
      <c r="W41" s="382"/>
      <c r="X41" s="9" t="s">
        <v>29</v>
      </c>
      <c r="Y41" s="368">
        <f t="shared" si="3"/>
        <v>39</v>
      </c>
    </row>
    <row r="42" spans="1:25" ht="18.75" x14ac:dyDescent="0.25">
      <c r="A42" s="361">
        <v>33</v>
      </c>
      <c r="B42" s="395">
        <v>5191421033</v>
      </c>
      <c r="C42" s="85">
        <v>2</v>
      </c>
      <c r="D42" s="383">
        <v>1</v>
      </c>
      <c r="E42" s="383"/>
      <c r="F42" s="383">
        <v>1</v>
      </c>
      <c r="G42" s="86"/>
      <c r="H42" s="87">
        <v>5</v>
      </c>
      <c r="I42" s="383"/>
      <c r="J42" s="383"/>
      <c r="K42" s="383"/>
      <c r="L42" s="84">
        <f t="shared" si="0"/>
        <v>9</v>
      </c>
      <c r="M42" s="85">
        <v>1</v>
      </c>
      <c r="N42" s="383">
        <v>2</v>
      </c>
      <c r="O42" s="383">
        <v>1</v>
      </c>
      <c r="P42" s="383">
        <v>2</v>
      </c>
      <c r="Q42" s="86">
        <v>2</v>
      </c>
      <c r="R42" s="87">
        <v>9</v>
      </c>
      <c r="S42" s="383"/>
      <c r="T42" s="383">
        <v>10</v>
      </c>
      <c r="U42" s="371">
        <f t="shared" ref="U42:U67" si="4">SUM(M42:T42)</f>
        <v>27</v>
      </c>
      <c r="V42" s="368">
        <f t="shared" si="2"/>
        <v>18</v>
      </c>
      <c r="W42" s="382"/>
      <c r="X42" s="9" t="s">
        <v>27</v>
      </c>
      <c r="Y42" s="368">
        <f t="shared" si="3"/>
        <v>80</v>
      </c>
    </row>
    <row r="43" spans="1:25" ht="18.75" x14ac:dyDescent="0.25">
      <c r="A43" s="361">
        <v>34</v>
      </c>
      <c r="B43" s="395">
        <v>5191421034</v>
      </c>
      <c r="C43" s="85">
        <v>2</v>
      </c>
      <c r="D43" s="383">
        <v>1</v>
      </c>
      <c r="E43" s="383">
        <v>1</v>
      </c>
      <c r="F43" s="383">
        <v>1</v>
      </c>
      <c r="G43" s="86">
        <v>0</v>
      </c>
      <c r="H43" s="87"/>
      <c r="I43" s="383">
        <v>3</v>
      </c>
      <c r="J43" s="383"/>
      <c r="K43" s="383">
        <v>9</v>
      </c>
      <c r="L43" s="84">
        <f t="shared" si="0"/>
        <v>17</v>
      </c>
      <c r="M43" s="87">
        <v>2</v>
      </c>
      <c r="N43" s="383">
        <v>2</v>
      </c>
      <c r="O43" s="383">
        <v>1</v>
      </c>
      <c r="P43" s="383">
        <v>2</v>
      </c>
      <c r="Q43" s="86">
        <v>2</v>
      </c>
      <c r="R43" s="87">
        <v>10</v>
      </c>
      <c r="S43" s="383"/>
      <c r="T43" s="383">
        <v>10</v>
      </c>
      <c r="U43" s="371">
        <f t="shared" si="4"/>
        <v>29</v>
      </c>
      <c r="V43" s="368">
        <f t="shared" si="2"/>
        <v>23</v>
      </c>
      <c r="W43" s="382"/>
      <c r="X43" s="9" t="s">
        <v>30</v>
      </c>
      <c r="Y43" s="368">
        <f t="shared" si="3"/>
        <v>90</v>
      </c>
    </row>
    <row r="44" spans="1:25" ht="18.75" x14ac:dyDescent="0.25">
      <c r="A44" s="361">
        <v>35</v>
      </c>
      <c r="B44" s="395">
        <v>5191421035</v>
      </c>
      <c r="C44" s="85">
        <v>2</v>
      </c>
      <c r="D44" s="383">
        <v>1</v>
      </c>
      <c r="E44" s="383">
        <v>1</v>
      </c>
      <c r="F44" s="383"/>
      <c r="G44" s="86"/>
      <c r="H44" s="87">
        <v>3</v>
      </c>
      <c r="I44" s="383"/>
      <c r="J44" s="383">
        <v>0</v>
      </c>
      <c r="K44" s="383"/>
      <c r="L44" s="84">
        <f t="shared" si="0"/>
        <v>7</v>
      </c>
      <c r="M44" s="85">
        <v>1</v>
      </c>
      <c r="N44" s="383">
        <v>0</v>
      </c>
      <c r="O44" s="383">
        <v>1</v>
      </c>
      <c r="P44" s="383"/>
      <c r="Q44" s="86"/>
      <c r="R44" s="87"/>
      <c r="S44" s="383">
        <v>0</v>
      </c>
      <c r="T44" s="383">
        <v>1</v>
      </c>
      <c r="U44" s="371">
        <f t="shared" si="4"/>
        <v>3</v>
      </c>
      <c r="V44" s="368">
        <f t="shared" si="2"/>
        <v>5</v>
      </c>
      <c r="W44" s="382"/>
      <c r="X44" s="9" t="s">
        <v>29</v>
      </c>
      <c r="Y44" s="368">
        <f t="shared" si="3"/>
        <v>39</v>
      </c>
    </row>
    <row r="45" spans="1:25" ht="18.75" x14ac:dyDescent="0.25">
      <c r="A45" s="361">
        <v>36</v>
      </c>
      <c r="B45" s="395">
        <v>5191421036</v>
      </c>
      <c r="C45" s="85">
        <v>2</v>
      </c>
      <c r="D45" s="383">
        <v>0</v>
      </c>
      <c r="E45" s="383"/>
      <c r="F45" s="383"/>
      <c r="G45" s="86"/>
      <c r="H45" s="87">
        <v>3</v>
      </c>
      <c r="I45" s="383">
        <v>3</v>
      </c>
      <c r="J45" s="383"/>
      <c r="K45" s="383"/>
      <c r="L45" s="84">
        <f t="shared" si="0"/>
        <v>8</v>
      </c>
      <c r="M45" s="85">
        <v>2</v>
      </c>
      <c r="N45" s="383">
        <v>2</v>
      </c>
      <c r="O45" s="383">
        <v>2</v>
      </c>
      <c r="P45" s="383">
        <v>2</v>
      </c>
      <c r="Q45" s="86">
        <v>2</v>
      </c>
      <c r="R45" s="87"/>
      <c r="S45" s="383">
        <v>6</v>
      </c>
      <c r="T45" s="383">
        <v>6</v>
      </c>
      <c r="U45" s="371">
        <f t="shared" si="4"/>
        <v>22</v>
      </c>
      <c r="V45" s="368">
        <f t="shared" si="2"/>
        <v>15</v>
      </c>
      <c r="W45" s="382"/>
      <c r="X45" s="9" t="s">
        <v>30</v>
      </c>
      <c r="Y45" s="368">
        <f t="shared" si="3"/>
        <v>90</v>
      </c>
    </row>
    <row r="46" spans="1:25" ht="18.75" x14ac:dyDescent="0.25">
      <c r="A46" s="361">
        <v>37</v>
      </c>
      <c r="B46" s="395">
        <v>5191421037</v>
      </c>
      <c r="C46" s="85"/>
      <c r="D46" s="383"/>
      <c r="E46" s="383"/>
      <c r="F46" s="383"/>
      <c r="G46" s="86"/>
      <c r="H46" s="87"/>
      <c r="I46" s="383"/>
      <c r="J46" s="383"/>
      <c r="K46" s="383"/>
      <c r="L46" s="84">
        <f t="shared" si="0"/>
        <v>0</v>
      </c>
      <c r="M46" s="85">
        <v>1</v>
      </c>
      <c r="N46" s="383">
        <v>1</v>
      </c>
      <c r="O46" s="383">
        <v>1</v>
      </c>
      <c r="P46" s="383">
        <v>1</v>
      </c>
      <c r="Q46" s="86">
        <v>0</v>
      </c>
      <c r="R46" s="87">
        <v>1</v>
      </c>
      <c r="S46" s="383"/>
      <c r="T46" s="383"/>
      <c r="U46" s="371">
        <f t="shared" si="4"/>
        <v>5</v>
      </c>
      <c r="V46" s="368">
        <f t="shared" si="2"/>
        <v>3</v>
      </c>
      <c r="W46" s="382"/>
      <c r="X46" s="9" t="s">
        <v>29</v>
      </c>
      <c r="Y46" s="368">
        <f t="shared" si="3"/>
        <v>39</v>
      </c>
    </row>
    <row r="47" spans="1:25" ht="18.75" x14ac:dyDescent="0.25">
      <c r="A47" s="361">
        <v>38</v>
      </c>
      <c r="B47" s="395">
        <v>5191421038</v>
      </c>
      <c r="C47" s="85">
        <v>2</v>
      </c>
      <c r="D47" s="383">
        <v>1</v>
      </c>
      <c r="E47" s="383"/>
      <c r="F47" s="383">
        <v>1</v>
      </c>
      <c r="G47" s="86"/>
      <c r="H47" s="87"/>
      <c r="I47" s="383">
        <v>1</v>
      </c>
      <c r="J47" s="383"/>
      <c r="K47" s="383">
        <v>1</v>
      </c>
      <c r="L47" s="84">
        <f t="shared" si="0"/>
        <v>6</v>
      </c>
      <c r="M47" s="85"/>
      <c r="N47" s="383"/>
      <c r="O47" s="383">
        <v>0</v>
      </c>
      <c r="P47" s="383">
        <v>2</v>
      </c>
      <c r="Q47" s="86">
        <v>2</v>
      </c>
      <c r="R47" s="87"/>
      <c r="S47" s="383"/>
      <c r="T47" s="383">
        <v>1</v>
      </c>
      <c r="U47" s="371">
        <f t="shared" si="4"/>
        <v>5</v>
      </c>
      <c r="V47" s="368">
        <f t="shared" si="2"/>
        <v>6</v>
      </c>
      <c r="W47" s="382"/>
      <c r="X47" s="9" t="s">
        <v>29</v>
      </c>
      <c r="Y47" s="368">
        <f t="shared" si="3"/>
        <v>39</v>
      </c>
    </row>
    <row r="48" spans="1:25" ht="18.75" x14ac:dyDescent="0.25">
      <c r="A48" s="361">
        <v>39</v>
      </c>
      <c r="B48" s="395">
        <v>5191421039</v>
      </c>
      <c r="C48" s="85">
        <v>2</v>
      </c>
      <c r="D48" s="383">
        <v>2</v>
      </c>
      <c r="E48" s="383">
        <v>1</v>
      </c>
      <c r="F48" s="383">
        <v>1</v>
      </c>
      <c r="G48" s="86">
        <v>2</v>
      </c>
      <c r="H48" s="87">
        <v>3</v>
      </c>
      <c r="I48" s="383"/>
      <c r="J48" s="383"/>
      <c r="K48" s="383">
        <v>3</v>
      </c>
      <c r="L48" s="84">
        <f t="shared" si="0"/>
        <v>14</v>
      </c>
      <c r="M48" s="85">
        <v>2</v>
      </c>
      <c r="N48" s="383">
        <v>2</v>
      </c>
      <c r="O48" s="383">
        <v>2</v>
      </c>
      <c r="P48" s="383">
        <v>2</v>
      </c>
      <c r="Q48" s="86">
        <v>2</v>
      </c>
      <c r="R48" s="87">
        <v>7</v>
      </c>
      <c r="S48" s="383"/>
      <c r="T48" s="383">
        <v>10</v>
      </c>
      <c r="U48" s="371">
        <f t="shared" si="4"/>
        <v>27</v>
      </c>
      <c r="V48" s="368">
        <f t="shared" si="2"/>
        <v>21</v>
      </c>
      <c r="W48" s="382"/>
      <c r="X48" s="9" t="s">
        <v>27</v>
      </c>
      <c r="Y48" s="368">
        <f t="shared" si="3"/>
        <v>80</v>
      </c>
    </row>
    <row r="49" spans="1:25" ht="18.75" x14ac:dyDescent="0.25">
      <c r="A49" s="361">
        <v>40</v>
      </c>
      <c r="B49" s="395">
        <v>5191421040</v>
      </c>
      <c r="C49" s="100">
        <v>1</v>
      </c>
      <c r="D49" s="383"/>
      <c r="E49" s="383">
        <v>1</v>
      </c>
      <c r="F49" s="383">
        <v>1</v>
      </c>
      <c r="G49" s="86">
        <v>1</v>
      </c>
      <c r="H49" s="87"/>
      <c r="I49" s="383"/>
      <c r="J49" s="383"/>
      <c r="K49" s="383">
        <v>3</v>
      </c>
      <c r="L49" s="84">
        <f t="shared" si="0"/>
        <v>7</v>
      </c>
      <c r="M49" s="85">
        <v>2</v>
      </c>
      <c r="N49" s="383">
        <v>2</v>
      </c>
      <c r="O49" s="383">
        <v>1</v>
      </c>
      <c r="P49" s="383">
        <v>1</v>
      </c>
      <c r="Q49" s="86">
        <v>2</v>
      </c>
      <c r="R49" s="87">
        <v>1</v>
      </c>
      <c r="S49" s="383"/>
      <c r="T49" s="383"/>
      <c r="U49" s="371">
        <f t="shared" si="4"/>
        <v>9</v>
      </c>
      <c r="V49" s="368">
        <f t="shared" si="2"/>
        <v>8</v>
      </c>
      <c r="W49" s="382"/>
      <c r="X49" s="9" t="s">
        <v>31</v>
      </c>
      <c r="Y49" s="368">
        <f t="shared" si="3"/>
        <v>55</v>
      </c>
    </row>
    <row r="50" spans="1:25" ht="18.75" x14ac:dyDescent="0.25">
      <c r="A50" s="361">
        <v>41</v>
      </c>
      <c r="B50" s="395">
        <v>5191421041</v>
      </c>
      <c r="C50" s="85">
        <v>2</v>
      </c>
      <c r="D50" s="383">
        <v>2</v>
      </c>
      <c r="E50" s="383">
        <v>2</v>
      </c>
      <c r="F50" s="383">
        <v>1</v>
      </c>
      <c r="G50" s="86">
        <v>1</v>
      </c>
      <c r="H50" s="87"/>
      <c r="I50" s="383"/>
      <c r="J50" s="383"/>
      <c r="K50" s="383"/>
      <c r="L50" s="84">
        <f t="shared" si="0"/>
        <v>8</v>
      </c>
      <c r="M50" s="85">
        <v>1</v>
      </c>
      <c r="N50" s="383"/>
      <c r="O50" s="383">
        <v>1</v>
      </c>
      <c r="P50" s="383"/>
      <c r="Q50" s="86"/>
      <c r="R50" s="87">
        <v>4</v>
      </c>
      <c r="S50" s="383"/>
      <c r="T50" s="383"/>
      <c r="U50" s="371">
        <f t="shared" si="4"/>
        <v>6</v>
      </c>
      <c r="V50" s="368">
        <f t="shared" si="2"/>
        <v>7</v>
      </c>
      <c r="W50" s="382"/>
      <c r="X50" s="9" t="s">
        <v>29</v>
      </c>
      <c r="Y50" s="368">
        <f t="shared" si="3"/>
        <v>39</v>
      </c>
    </row>
    <row r="51" spans="1:25" ht="18.75" x14ac:dyDescent="0.25">
      <c r="A51" s="361">
        <v>42</v>
      </c>
      <c r="B51" s="395">
        <v>5191421042</v>
      </c>
      <c r="C51" s="85">
        <v>2</v>
      </c>
      <c r="D51" s="383">
        <v>0</v>
      </c>
      <c r="E51" s="383"/>
      <c r="F51" s="383"/>
      <c r="G51" s="86"/>
      <c r="H51" s="87"/>
      <c r="I51" s="383"/>
      <c r="J51" s="383"/>
      <c r="K51" s="383">
        <v>2</v>
      </c>
      <c r="L51" s="84">
        <f t="shared" si="0"/>
        <v>4</v>
      </c>
      <c r="M51" s="85">
        <v>1</v>
      </c>
      <c r="N51" s="383">
        <v>0</v>
      </c>
      <c r="O51" s="383"/>
      <c r="P51" s="383"/>
      <c r="Q51" s="86"/>
      <c r="R51" s="87"/>
      <c r="S51" s="383">
        <v>1</v>
      </c>
      <c r="T51" s="383">
        <v>2</v>
      </c>
      <c r="U51" s="371">
        <f t="shared" si="4"/>
        <v>4</v>
      </c>
      <c r="V51" s="368">
        <f t="shared" si="2"/>
        <v>4</v>
      </c>
      <c r="W51" s="382"/>
      <c r="X51" s="9" t="s">
        <v>29</v>
      </c>
      <c r="Y51" s="368">
        <f t="shared" si="3"/>
        <v>39</v>
      </c>
    </row>
    <row r="52" spans="1:25" ht="18.75" x14ac:dyDescent="0.25">
      <c r="A52" s="361">
        <v>43</v>
      </c>
      <c r="B52" s="395">
        <v>5191421043</v>
      </c>
      <c r="C52" s="85">
        <v>2</v>
      </c>
      <c r="D52" s="383">
        <v>1</v>
      </c>
      <c r="E52" s="383">
        <v>0</v>
      </c>
      <c r="F52" s="383"/>
      <c r="G52" s="86"/>
      <c r="H52" s="87">
        <v>4</v>
      </c>
      <c r="I52" s="383"/>
      <c r="J52" s="383"/>
      <c r="K52" s="383">
        <v>1</v>
      </c>
      <c r="L52" s="84">
        <f t="shared" si="0"/>
        <v>8</v>
      </c>
      <c r="M52" s="85"/>
      <c r="N52" s="383">
        <v>2</v>
      </c>
      <c r="O52" s="383">
        <v>2</v>
      </c>
      <c r="P52" s="383">
        <v>2</v>
      </c>
      <c r="Q52" s="86">
        <v>2</v>
      </c>
      <c r="R52" s="87">
        <v>5</v>
      </c>
      <c r="S52" s="383">
        <v>2</v>
      </c>
      <c r="T52" s="383"/>
      <c r="U52" s="371">
        <f t="shared" si="4"/>
        <v>15</v>
      </c>
      <c r="V52" s="368">
        <f t="shared" si="2"/>
        <v>12</v>
      </c>
      <c r="W52" s="382"/>
      <c r="X52" s="9" t="s">
        <v>32</v>
      </c>
      <c r="Y52" s="368">
        <f t="shared" si="3"/>
        <v>70</v>
      </c>
    </row>
    <row r="53" spans="1:25" ht="18.75" x14ac:dyDescent="0.25">
      <c r="A53" s="361">
        <v>44</v>
      </c>
      <c r="B53" s="395">
        <v>5191421044</v>
      </c>
      <c r="C53" s="85">
        <v>2</v>
      </c>
      <c r="D53" s="383">
        <v>2</v>
      </c>
      <c r="E53" s="383">
        <v>1</v>
      </c>
      <c r="F53" s="383">
        <v>1</v>
      </c>
      <c r="G53" s="86">
        <v>1</v>
      </c>
      <c r="H53" s="87">
        <v>5</v>
      </c>
      <c r="I53" s="383">
        <v>4</v>
      </c>
      <c r="J53" s="383">
        <v>1</v>
      </c>
      <c r="K53" s="383"/>
      <c r="L53" s="84">
        <f t="shared" si="0"/>
        <v>17</v>
      </c>
      <c r="M53" s="85">
        <v>2</v>
      </c>
      <c r="N53" s="383">
        <v>2</v>
      </c>
      <c r="O53" s="383">
        <v>1</v>
      </c>
      <c r="P53" s="383">
        <v>2</v>
      </c>
      <c r="Q53" s="86">
        <v>2</v>
      </c>
      <c r="R53" s="87">
        <v>10</v>
      </c>
      <c r="S53" s="383"/>
      <c r="T53" s="383">
        <v>10</v>
      </c>
      <c r="U53" s="371">
        <f t="shared" si="4"/>
        <v>29</v>
      </c>
      <c r="V53" s="368">
        <f t="shared" si="2"/>
        <v>23</v>
      </c>
      <c r="W53" s="382"/>
      <c r="X53" s="9" t="s">
        <v>30</v>
      </c>
      <c r="Y53" s="368">
        <f t="shared" si="3"/>
        <v>90</v>
      </c>
    </row>
    <row r="54" spans="1:25" ht="18.75" x14ac:dyDescent="0.25">
      <c r="A54" s="361">
        <v>45</v>
      </c>
      <c r="B54" s="395">
        <v>5191421045</v>
      </c>
      <c r="C54" s="100">
        <v>2</v>
      </c>
      <c r="D54" s="383">
        <v>2</v>
      </c>
      <c r="E54" s="383">
        <v>1</v>
      </c>
      <c r="F54" s="383">
        <v>1</v>
      </c>
      <c r="G54" s="86">
        <v>1</v>
      </c>
      <c r="H54" s="87">
        <v>3</v>
      </c>
      <c r="I54" s="383">
        <v>0</v>
      </c>
      <c r="J54" s="383">
        <v>0</v>
      </c>
      <c r="K54" s="383"/>
      <c r="L54" s="84">
        <f t="shared" si="0"/>
        <v>10</v>
      </c>
      <c r="M54" s="85">
        <v>0</v>
      </c>
      <c r="N54" s="383">
        <v>0</v>
      </c>
      <c r="O54" s="383">
        <v>0</v>
      </c>
      <c r="P54" s="383">
        <v>2</v>
      </c>
      <c r="Q54" s="86"/>
      <c r="R54" s="87">
        <v>4</v>
      </c>
      <c r="S54" s="383"/>
      <c r="T54" s="383">
        <v>1</v>
      </c>
      <c r="U54" s="371">
        <f t="shared" si="4"/>
        <v>7</v>
      </c>
      <c r="V54" s="368">
        <f t="shared" si="2"/>
        <v>9</v>
      </c>
      <c r="W54" s="382"/>
      <c r="X54" s="9" t="s">
        <v>28</v>
      </c>
      <c r="Y54" s="368">
        <f t="shared" si="3"/>
        <v>50</v>
      </c>
    </row>
    <row r="55" spans="1:25" ht="18.75" x14ac:dyDescent="0.25">
      <c r="A55" s="361">
        <v>46</v>
      </c>
      <c r="B55" s="395">
        <v>5191421046</v>
      </c>
      <c r="C55" s="85">
        <v>2</v>
      </c>
      <c r="D55" s="383"/>
      <c r="E55" s="383">
        <v>1</v>
      </c>
      <c r="F55" s="383">
        <v>1</v>
      </c>
      <c r="G55" s="86"/>
      <c r="H55" s="87">
        <v>4</v>
      </c>
      <c r="I55" s="383">
        <v>1</v>
      </c>
      <c r="J55" s="383"/>
      <c r="K55" s="383"/>
      <c r="L55" s="84">
        <f t="shared" si="0"/>
        <v>9</v>
      </c>
      <c r="M55" s="85">
        <v>2</v>
      </c>
      <c r="N55" s="383">
        <v>2</v>
      </c>
      <c r="O55" s="383">
        <v>1</v>
      </c>
      <c r="P55" s="383">
        <v>2</v>
      </c>
      <c r="Q55" s="86">
        <v>2</v>
      </c>
      <c r="R55" s="87">
        <v>9</v>
      </c>
      <c r="S55" s="383"/>
      <c r="T55" s="383">
        <v>9</v>
      </c>
      <c r="U55" s="371">
        <f t="shared" si="4"/>
        <v>27</v>
      </c>
      <c r="V55" s="368">
        <f t="shared" si="2"/>
        <v>18</v>
      </c>
      <c r="W55" s="382"/>
      <c r="X55" s="9" t="s">
        <v>27</v>
      </c>
      <c r="Y55" s="368">
        <f t="shared" si="3"/>
        <v>80</v>
      </c>
    </row>
    <row r="56" spans="1:25" ht="18.75" x14ac:dyDescent="0.25">
      <c r="A56" s="361">
        <v>47</v>
      </c>
      <c r="B56" s="395">
        <v>5191421047</v>
      </c>
      <c r="C56" s="85"/>
      <c r="D56" s="383"/>
      <c r="E56" s="383"/>
      <c r="F56" s="383"/>
      <c r="G56" s="86"/>
      <c r="H56" s="87">
        <v>0</v>
      </c>
      <c r="I56" s="383">
        <v>0</v>
      </c>
      <c r="J56" s="383">
        <v>0</v>
      </c>
      <c r="K56" s="383"/>
      <c r="L56" s="84">
        <f t="shared" si="0"/>
        <v>0</v>
      </c>
      <c r="M56" s="85">
        <v>1</v>
      </c>
      <c r="N56" s="383">
        <v>1</v>
      </c>
      <c r="O56" s="383">
        <v>1</v>
      </c>
      <c r="P56" s="383">
        <v>1</v>
      </c>
      <c r="Q56" s="86"/>
      <c r="R56" s="87"/>
      <c r="S56" s="383">
        <v>1</v>
      </c>
      <c r="T56" s="383"/>
      <c r="U56" s="371">
        <f t="shared" si="4"/>
        <v>5</v>
      </c>
      <c r="V56" s="368">
        <f t="shared" si="2"/>
        <v>3</v>
      </c>
      <c r="W56" s="382"/>
      <c r="X56" s="9" t="s">
        <v>29</v>
      </c>
      <c r="Y56" s="368">
        <f t="shared" si="3"/>
        <v>39</v>
      </c>
    </row>
    <row r="57" spans="1:25" ht="18.75" x14ac:dyDescent="0.25">
      <c r="A57" s="361">
        <v>48</v>
      </c>
      <c r="B57" s="395">
        <v>5191421048</v>
      </c>
      <c r="C57" s="85"/>
      <c r="D57" s="383">
        <v>1</v>
      </c>
      <c r="E57" s="383"/>
      <c r="F57" s="383"/>
      <c r="G57" s="86"/>
      <c r="H57" s="87"/>
      <c r="I57" s="383"/>
      <c r="J57" s="383"/>
      <c r="K57" s="383"/>
      <c r="L57" s="84">
        <f t="shared" si="0"/>
        <v>1</v>
      </c>
      <c r="M57" s="85"/>
      <c r="N57" s="383">
        <v>2</v>
      </c>
      <c r="O57" s="383">
        <v>1</v>
      </c>
      <c r="P57" s="383">
        <v>2</v>
      </c>
      <c r="Q57" s="86"/>
      <c r="R57" s="87"/>
      <c r="S57" s="383">
        <v>6</v>
      </c>
      <c r="T57" s="383">
        <v>6</v>
      </c>
      <c r="U57" s="371">
        <f t="shared" si="4"/>
        <v>17</v>
      </c>
      <c r="V57" s="368">
        <f t="shared" si="2"/>
        <v>9</v>
      </c>
      <c r="W57" s="382"/>
      <c r="X57" s="9" t="s">
        <v>31</v>
      </c>
      <c r="Y57" s="368">
        <f t="shared" si="3"/>
        <v>55</v>
      </c>
    </row>
    <row r="58" spans="1:25" ht="18.75" x14ac:dyDescent="0.25">
      <c r="A58" s="361">
        <v>49</v>
      </c>
      <c r="B58" s="395">
        <v>5191421049</v>
      </c>
      <c r="C58" s="85"/>
      <c r="D58" s="383"/>
      <c r="E58" s="383"/>
      <c r="F58" s="383"/>
      <c r="G58" s="86"/>
      <c r="H58" s="87"/>
      <c r="I58" s="383"/>
      <c r="J58" s="383"/>
      <c r="K58" s="383"/>
      <c r="L58" s="84">
        <f t="shared" si="0"/>
        <v>0</v>
      </c>
      <c r="M58" s="85"/>
      <c r="N58" s="383">
        <v>2</v>
      </c>
      <c r="O58" s="383"/>
      <c r="P58" s="383"/>
      <c r="Q58" s="86">
        <v>2</v>
      </c>
      <c r="R58" s="87">
        <v>1</v>
      </c>
      <c r="S58" s="383">
        <v>0</v>
      </c>
      <c r="T58" s="383"/>
      <c r="U58" s="371">
        <f t="shared" si="4"/>
        <v>5</v>
      </c>
      <c r="V58" s="368">
        <f t="shared" si="2"/>
        <v>3</v>
      </c>
      <c r="W58" s="382"/>
      <c r="X58" s="9" t="s">
        <v>31</v>
      </c>
      <c r="Y58" s="368">
        <f t="shared" si="3"/>
        <v>55</v>
      </c>
    </row>
    <row r="59" spans="1:25" ht="18.75" x14ac:dyDescent="0.25">
      <c r="A59" s="361">
        <v>50</v>
      </c>
      <c r="B59" s="395">
        <v>5191421050</v>
      </c>
      <c r="C59" s="85">
        <v>2</v>
      </c>
      <c r="D59" s="383">
        <v>0</v>
      </c>
      <c r="E59" s="383"/>
      <c r="F59" s="383"/>
      <c r="G59" s="86"/>
      <c r="H59" s="87"/>
      <c r="I59" s="383">
        <v>2</v>
      </c>
      <c r="J59" s="383"/>
      <c r="K59" s="383"/>
      <c r="L59" s="84">
        <f t="shared" si="0"/>
        <v>4</v>
      </c>
      <c r="M59" s="85"/>
      <c r="N59" s="383"/>
      <c r="O59" s="383"/>
      <c r="P59" s="383"/>
      <c r="Q59" s="86"/>
      <c r="R59" s="87">
        <v>2</v>
      </c>
      <c r="S59" s="383">
        <v>3</v>
      </c>
      <c r="T59" s="383"/>
      <c r="U59" s="371">
        <f t="shared" si="4"/>
        <v>5</v>
      </c>
      <c r="V59" s="368">
        <f t="shared" si="2"/>
        <v>5</v>
      </c>
      <c r="W59" s="382"/>
      <c r="X59" s="9" t="s">
        <v>28</v>
      </c>
      <c r="Y59" s="368">
        <f t="shared" si="3"/>
        <v>50</v>
      </c>
    </row>
    <row r="60" spans="1:25" ht="18.75" x14ac:dyDescent="0.25">
      <c r="A60" s="361">
        <v>51</v>
      </c>
      <c r="B60" s="395">
        <v>5191421051</v>
      </c>
      <c r="C60" s="88"/>
      <c r="D60" s="11"/>
      <c r="E60" s="11"/>
      <c r="F60" s="11"/>
      <c r="G60" s="89"/>
      <c r="H60" s="90"/>
      <c r="I60" s="11"/>
      <c r="J60" s="11"/>
      <c r="K60" s="11"/>
      <c r="L60" s="84">
        <f t="shared" si="0"/>
        <v>0</v>
      </c>
      <c r="M60" s="88"/>
      <c r="N60" s="11">
        <v>2</v>
      </c>
      <c r="O60" s="11">
        <v>1</v>
      </c>
      <c r="P60" s="11">
        <v>2</v>
      </c>
      <c r="Q60" s="89">
        <v>2</v>
      </c>
      <c r="R60" s="90">
        <v>3</v>
      </c>
      <c r="S60" s="11"/>
      <c r="T60" s="11">
        <v>2</v>
      </c>
      <c r="U60" s="371">
        <f t="shared" si="4"/>
        <v>12</v>
      </c>
      <c r="V60" s="368">
        <f t="shared" si="2"/>
        <v>6</v>
      </c>
      <c r="W60" s="382"/>
      <c r="X60" s="9" t="s">
        <v>32</v>
      </c>
      <c r="Y60" s="368">
        <f t="shared" si="3"/>
        <v>70</v>
      </c>
    </row>
    <row r="61" spans="1:25" ht="18.75" x14ac:dyDescent="0.25">
      <c r="A61" s="361">
        <v>52</v>
      </c>
      <c r="B61" s="395">
        <v>5191421052</v>
      </c>
      <c r="C61" s="88">
        <v>2</v>
      </c>
      <c r="D61" s="11">
        <v>1</v>
      </c>
      <c r="E61" s="11"/>
      <c r="F61" s="11"/>
      <c r="G61" s="89">
        <v>0</v>
      </c>
      <c r="H61" s="90">
        <v>2</v>
      </c>
      <c r="I61" s="11">
        <v>3</v>
      </c>
      <c r="J61" s="11"/>
      <c r="K61" s="11"/>
      <c r="L61" s="84">
        <f t="shared" si="0"/>
        <v>8</v>
      </c>
      <c r="M61" s="88"/>
      <c r="N61" s="11">
        <v>1</v>
      </c>
      <c r="O61" s="11"/>
      <c r="P61" s="11">
        <v>1</v>
      </c>
      <c r="Q61" s="89">
        <v>1</v>
      </c>
      <c r="R61" s="90"/>
      <c r="S61" s="11">
        <v>3</v>
      </c>
      <c r="T61" s="11">
        <v>2</v>
      </c>
      <c r="U61" s="371">
        <f t="shared" si="4"/>
        <v>8</v>
      </c>
      <c r="V61" s="368">
        <f t="shared" si="2"/>
        <v>8</v>
      </c>
      <c r="W61" s="382"/>
      <c r="X61" s="9" t="s">
        <v>33</v>
      </c>
      <c r="Y61" s="368">
        <f t="shared" si="3"/>
        <v>60</v>
      </c>
    </row>
    <row r="62" spans="1:25" ht="18.75" x14ac:dyDescent="0.25">
      <c r="A62" s="361">
        <v>53</v>
      </c>
      <c r="B62" s="395">
        <v>5191421053</v>
      </c>
      <c r="C62" s="88">
        <v>2</v>
      </c>
      <c r="D62" s="11">
        <v>1</v>
      </c>
      <c r="E62" s="11"/>
      <c r="F62" s="11"/>
      <c r="G62" s="89">
        <v>0</v>
      </c>
      <c r="H62" s="90">
        <v>5</v>
      </c>
      <c r="I62" s="11">
        <v>2</v>
      </c>
      <c r="J62" s="11">
        <v>2</v>
      </c>
      <c r="K62" s="11"/>
      <c r="L62" s="84">
        <f t="shared" si="0"/>
        <v>12</v>
      </c>
      <c r="M62" s="88">
        <v>1</v>
      </c>
      <c r="N62" s="11">
        <v>1</v>
      </c>
      <c r="O62" s="11"/>
      <c r="P62" s="11">
        <v>0</v>
      </c>
      <c r="Q62" s="89">
        <v>0</v>
      </c>
      <c r="R62" s="90"/>
      <c r="S62" s="11">
        <v>4</v>
      </c>
      <c r="T62" s="11">
        <v>2</v>
      </c>
      <c r="U62" s="371">
        <f t="shared" si="4"/>
        <v>8</v>
      </c>
      <c r="V62" s="368">
        <f t="shared" si="2"/>
        <v>10</v>
      </c>
      <c r="W62" s="382"/>
      <c r="X62" s="9" t="s">
        <v>31</v>
      </c>
      <c r="Y62" s="368">
        <f t="shared" si="3"/>
        <v>55</v>
      </c>
    </row>
    <row r="63" spans="1:25" ht="18.75" x14ac:dyDescent="0.25">
      <c r="A63" s="361">
        <v>54</v>
      </c>
      <c r="B63" s="395">
        <v>5191421054</v>
      </c>
      <c r="C63" s="88">
        <v>2</v>
      </c>
      <c r="D63" s="11">
        <v>1</v>
      </c>
      <c r="E63" s="11"/>
      <c r="F63" s="11"/>
      <c r="G63" s="89"/>
      <c r="H63" s="90">
        <v>4</v>
      </c>
      <c r="I63" s="11"/>
      <c r="J63" s="11"/>
      <c r="K63" s="11">
        <v>5</v>
      </c>
      <c r="L63" s="84">
        <f t="shared" si="0"/>
        <v>12</v>
      </c>
      <c r="M63" s="88">
        <v>0</v>
      </c>
      <c r="N63" s="11">
        <v>2</v>
      </c>
      <c r="O63" s="11">
        <v>2</v>
      </c>
      <c r="P63" s="11">
        <v>1</v>
      </c>
      <c r="Q63" s="89"/>
      <c r="R63" s="90">
        <v>1</v>
      </c>
      <c r="S63" s="11">
        <v>0</v>
      </c>
      <c r="T63" s="11"/>
      <c r="U63" s="371">
        <f t="shared" si="4"/>
        <v>6</v>
      </c>
      <c r="V63" s="368">
        <f t="shared" si="2"/>
        <v>9</v>
      </c>
      <c r="W63" s="382"/>
      <c r="X63" s="9" t="s">
        <v>28</v>
      </c>
      <c r="Y63" s="368">
        <f t="shared" si="3"/>
        <v>50</v>
      </c>
    </row>
    <row r="64" spans="1:25" ht="18.75" x14ac:dyDescent="0.25">
      <c r="A64" s="361">
        <v>55</v>
      </c>
      <c r="B64" s="395">
        <v>5191421055</v>
      </c>
      <c r="C64" s="88">
        <v>1</v>
      </c>
      <c r="D64" s="11"/>
      <c r="E64" s="11"/>
      <c r="F64" s="11">
        <v>1</v>
      </c>
      <c r="G64" s="89"/>
      <c r="H64" s="90">
        <v>3</v>
      </c>
      <c r="I64" s="11">
        <v>2</v>
      </c>
      <c r="J64" s="11"/>
      <c r="K64" s="11"/>
      <c r="L64" s="84">
        <f t="shared" si="0"/>
        <v>7</v>
      </c>
      <c r="M64" s="88"/>
      <c r="N64" s="11"/>
      <c r="O64" s="11">
        <v>2</v>
      </c>
      <c r="P64" s="11">
        <v>0</v>
      </c>
      <c r="Q64" s="89"/>
      <c r="R64" s="90"/>
      <c r="S64" s="11">
        <v>2</v>
      </c>
      <c r="T64" s="11"/>
      <c r="U64" s="371">
        <f t="shared" si="4"/>
        <v>4</v>
      </c>
      <c r="V64" s="368">
        <f t="shared" si="2"/>
        <v>6</v>
      </c>
      <c r="W64" s="382"/>
      <c r="X64" s="9" t="s">
        <v>28</v>
      </c>
      <c r="Y64" s="368">
        <f t="shared" si="3"/>
        <v>50</v>
      </c>
    </row>
    <row r="65" spans="1:25" ht="18.75" x14ac:dyDescent="0.25">
      <c r="A65" s="361">
        <v>56</v>
      </c>
      <c r="B65" s="395">
        <v>5191421056</v>
      </c>
      <c r="C65" s="88">
        <v>2</v>
      </c>
      <c r="D65" s="11">
        <v>1</v>
      </c>
      <c r="E65" s="11">
        <v>1</v>
      </c>
      <c r="F65" s="11">
        <v>0</v>
      </c>
      <c r="G65" s="89"/>
      <c r="H65" s="90">
        <v>0</v>
      </c>
      <c r="I65" s="11">
        <v>2</v>
      </c>
      <c r="J65" s="11"/>
      <c r="K65" s="11"/>
      <c r="L65" s="84">
        <f t="shared" si="0"/>
        <v>6</v>
      </c>
      <c r="M65" s="88"/>
      <c r="N65" s="11">
        <v>2</v>
      </c>
      <c r="O65" s="11">
        <v>1</v>
      </c>
      <c r="P65" s="11">
        <v>0</v>
      </c>
      <c r="Q65" s="89"/>
      <c r="R65" s="90">
        <v>1</v>
      </c>
      <c r="S65" s="11">
        <v>3</v>
      </c>
      <c r="T65" s="11"/>
      <c r="U65" s="371">
        <f t="shared" si="4"/>
        <v>7</v>
      </c>
      <c r="V65" s="368">
        <f t="shared" si="2"/>
        <v>7</v>
      </c>
      <c r="W65" s="382"/>
      <c r="X65" s="9" t="s">
        <v>31</v>
      </c>
      <c r="Y65" s="368">
        <f t="shared" si="3"/>
        <v>55</v>
      </c>
    </row>
    <row r="66" spans="1:25" ht="18.75" x14ac:dyDescent="0.25">
      <c r="A66" s="361">
        <v>57</v>
      </c>
      <c r="B66" s="395">
        <v>5191421057</v>
      </c>
      <c r="C66" s="88">
        <v>2</v>
      </c>
      <c r="D66" s="11">
        <v>2</v>
      </c>
      <c r="E66" s="11">
        <v>1</v>
      </c>
      <c r="F66" s="11">
        <v>1</v>
      </c>
      <c r="G66" s="89">
        <v>0</v>
      </c>
      <c r="H66" s="90">
        <v>5</v>
      </c>
      <c r="I66" s="11"/>
      <c r="J66" s="11"/>
      <c r="K66" s="11">
        <v>2</v>
      </c>
      <c r="L66" s="84">
        <f t="shared" si="0"/>
        <v>13</v>
      </c>
      <c r="M66" s="88"/>
      <c r="N66" s="11">
        <v>1</v>
      </c>
      <c r="O66" s="11">
        <v>1</v>
      </c>
      <c r="P66" s="11">
        <v>2</v>
      </c>
      <c r="Q66" s="89">
        <v>2</v>
      </c>
      <c r="R66" s="90">
        <v>2</v>
      </c>
      <c r="S66" s="11">
        <v>6</v>
      </c>
      <c r="T66" s="11"/>
      <c r="U66" s="371">
        <f t="shared" si="4"/>
        <v>14</v>
      </c>
      <c r="V66" s="368">
        <f t="shared" si="2"/>
        <v>14</v>
      </c>
      <c r="W66" s="382"/>
      <c r="X66" s="103" t="s">
        <v>32</v>
      </c>
      <c r="Y66" s="368">
        <f t="shared" si="3"/>
        <v>70</v>
      </c>
    </row>
    <row r="67" spans="1:25" ht="19.5" thickBot="1" x14ac:dyDescent="0.3">
      <c r="A67" s="361">
        <v>58</v>
      </c>
      <c r="B67" s="395">
        <v>5191421058</v>
      </c>
      <c r="C67" s="398">
        <v>1</v>
      </c>
      <c r="D67" s="384">
        <v>0</v>
      </c>
      <c r="E67" s="384">
        <v>1</v>
      </c>
      <c r="F67" s="384">
        <v>1</v>
      </c>
      <c r="G67" s="91">
        <v>1</v>
      </c>
      <c r="H67" s="92">
        <v>4</v>
      </c>
      <c r="I67" s="384"/>
      <c r="J67" s="384"/>
      <c r="K67" s="384"/>
      <c r="L67" s="93">
        <f t="shared" si="0"/>
        <v>8</v>
      </c>
      <c r="M67" s="94">
        <v>1</v>
      </c>
      <c r="N67" s="384">
        <v>0</v>
      </c>
      <c r="O67" s="384">
        <v>0</v>
      </c>
      <c r="P67" s="384">
        <v>1</v>
      </c>
      <c r="Q67" s="91">
        <v>0</v>
      </c>
      <c r="R67" s="92"/>
      <c r="S67" s="384"/>
      <c r="T67" s="384">
        <v>1</v>
      </c>
      <c r="U67" s="371">
        <f t="shared" si="4"/>
        <v>3</v>
      </c>
      <c r="V67" s="368">
        <f t="shared" si="2"/>
        <v>6</v>
      </c>
      <c r="W67" s="385"/>
      <c r="X67" s="77" t="s">
        <v>29</v>
      </c>
      <c r="Y67" s="368">
        <f t="shared" si="3"/>
        <v>39</v>
      </c>
    </row>
    <row r="68" spans="1:25" x14ac:dyDescent="0.25">
      <c r="C68" s="382">
        <f t="shared" ref="C68:J68" si="5">COUNT(C11:C67)</f>
        <v>52</v>
      </c>
      <c r="D68" s="382">
        <f t="shared" si="5"/>
        <v>49</v>
      </c>
      <c r="E68" s="382">
        <f t="shared" si="5"/>
        <v>38</v>
      </c>
      <c r="F68" s="382">
        <f t="shared" si="5"/>
        <v>35</v>
      </c>
      <c r="G68" s="382">
        <f t="shared" si="5"/>
        <v>34</v>
      </c>
      <c r="H68" s="382">
        <f t="shared" si="5"/>
        <v>41</v>
      </c>
      <c r="I68" s="382">
        <f t="shared" si="5"/>
        <v>27</v>
      </c>
      <c r="J68" s="382">
        <f t="shared" si="5"/>
        <v>14</v>
      </c>
      <c r="K68" s="386">
        <f>COUNT(K10:K67)</f>
        <v>19</v>
      </c>
      <c r="L68" s="382"/>
      <c r="M68" s="382">
        <f t="shared" ref="M68:T68" si="6">COUNT(M10:M67)</f>
        <v>39</v>
      </c>
      <c r="N68" s="382">
        <f t="shared" si="6"/>
        <v>52</v>
      </c>
      <c r="O68" s="382">
        <f t="shared" si="6"/>
        <v>52</v>
      </c>
      <c r="P68" s="382">
        <f t="shared" si="6"/>
        <v>50</v>
      </c>
      <c r="Q68" s="382">
        <f t="shared" si="6"/>
        <v>37</v>
      </c>
      <c r="R68" s="382">
        <f t="shared" si="6"/>
        <v>34</v>
      </c>
      <c r="S68" s="382">
        <f t="shared" si="6"/>
        <v>37</v>
      </c>
      <c r="T68" s="382">
        <f t="shared" si="6"/>
        <v>39</v>
      </c>
      <c r="U68" s="382"/>
      <c r="V68" s="382"/>
    </row>
    <row r="69" spans="1:25" ht="19.5" customHeight="1" x14ac:dyDescent="0.25">
      <c r="A69" s="328" t="s">
        <v>34</v>
      </c>
      <c r="B69" s="364">
        <v>50</v>
      </c>
      <c r="C69" s="341">
        <f>C9*(B69/100)</f>
        <v>1</v>
      </c>
      <c r="D69" s="341">
        <f>D9*(B69/100)</f>
        <v>1</v>
      </c>
      <c r="E69" s="341">
        <f>E9*(B69/100)</f>
        <v>1</v>
      </c>
      <c r="F69" s="341">
        <f>F9*(B69/100)</f>
        <v>1</v>
      </c>
      <c r="G69" s="341">
        <f>G9*(B69/100)</f>
        <v>1</v>
      </c>
      <c r="H69" s="341">
        <f>H9*(B69/100)</f>
        <v>5</v>
      </c>
      <c r="I69" s="341">
        <f>I9*(B69/100)</f>
        <v>2.5</v>
      </c>
      <c r="J69" s="341">
        <f>J9*(B69/100)</f>
        <v>2.5</v>
      </c>
      <c r="K69" s="335">
        <f>K9*(B69/100)</f>
        <v>5</v>
      </c>
      <c r="L69" s="382"/>
      <c r="M69" s="341">
        <f>M9*(B69/100)</f>
        <v>1</v>
      </c>
      <c r="N69" s="341">
        <f>N9*(B69/100)</f>
        <v>1</v>
      </c>
      <c r="O69" s="341">
        <f>O9*(B69/100)</f>
        <v>1</v>
      </c>
      <c r="P69" s="341">
        <f>P9*(B69/100)</f>
        <v>1</v>
      </c>
      <c r="Q69" s="341">
        <f>Q9*(B69/100)</f>
        <v>1</v>
      </c>
      <c r="R69" s="341">
        <f>R9*(B69/100)</f>
        <v>5</v>
      </c>
      <c r="S69" s="341">
        <f>S9*(B69/100)</f>
        <v>5</v>
      </c>
      <c r="T69" s="341">
        <f>T9*(B69/100)</f>
        <v>5</v>
      </c>
      <c r="U69" s="341"/>
      <c r="V69" s="341"/>
    </row>
    <row r="70" spans="1:25" ht="32.25" customHeight="1" x14ac:dyDescent="0.25">
      <c r="A70" s="3075" t="s">
        <v>35</v>
      </c>
      <c r="B70" s="3075"/>
      <c r="C70" s="382">
        <f t="shared" ref="C70:H70" si="7">COUNTIF(C11:C67,"&gt;=" &amp;C69)</f>
        <v>52</v>
      </c>
      <c r="D70" s="382">
        <f t="shared" si="7"/>
        <v>39</v>
      </c>
      <c r="E70" s="382">
        <f t="shared" si="7"/>
        <v>36</v>
      </c>
      <c r="F70" s="382">
        <f t="shared" si="7"/>
        <v>26</v>
      </c>
      <c r="G70" s="382">
        <f t="shared" si="7"/>
        <v>19</v>
      </c>
      <c r="H70" s="382">
        <f t="shared" si="7"/>
        <v>7</v>
      </c>
      <c r="I70" s="382">
        <f t="shared" ref="I70:J70" si="8">COUNTIF(I11:I67,"&gt;=" &amp;I69)</f>
        <v>9</v>
      </c>
      <c r="J70" s="382">
        <f t="shared" si="8"/>
        <v>0</v>
      </c>
      <c r="K70" s="386">
        <f>COUNTIF(K10:K67,"&gt;=" &amp;K69)</f>
        <v>5</v>
      </c>
      <c r="L70" s="382"/>
      <c r="M70" s="382">
        <f t="shared" ref="M70:T70" si="9">COUNTIF(M10:M60,"&gt;=" &amp;M69)</f>
        <v>32</v>
      </c>
      <c r="N70" s="382">
        <f t="shared" si="9"/>
        <v>39</v>
      </c>
      <c r="O70" s="382">
        <f t="shared" si="9"/>
        <v>41</v>
      </c>
      <c r="P70" s="382">
        <f t="shared" si="9"/>
        <v>43</v>
      </c>
      <c r="Q70" s="382">
        <f t="shared" si="9"/>
        <v>28</v>
      </c>
      <c r="R70" s="382">
        <f t="shared" si="9"/>
        <v>13</v>
      </c>
      <c r="S70" s="382">
        <f t="shared" si="9"/>
        <v>8</v>
      </c>
      <c r="T70" s="382">
        <f t="shared" si="9"/>
        <v>25</v>
      </c>
      <c r="U70" s="382"/>
      <c r="V70" s="382"/>
      <c r="Y70" s="382">
        <f>COUNTIF(Y10:Y67,"&gt;="&amp;B69)</f>
        <v>45</v>
      </c>
    </row>
    <row r="71" spans="1:25" ht="30" customHeight="1" x14ac:dyDescent="0.25">
      <c r="A71" s="3061" t="s">
        <v>36</v>
      </c>
      <c r="B71" s="3061"/>
      <c r="C71" s="382">
        <f t="shared" ref="C71:T71" si="10">C70/C68</f>
        <v>1</v>
      </c>
      <c r="D71" s="382">
        <f t="shared" si="10"/>
        <v>0.79591836734693877</v>
      </c>
      <c r="E71" s="382">
        <f t="shared" si="10"/>
        <v>0.94736842105263153</v>
      </c>
      <c r="F71" s="382">
        <f t="shared" si="10"/>
        <v>0.74285714285714288</v>
      </c>
      <c r="G71" s="382">
        <f t="shared" si="10"/>
        <v>0.55882352941176472</v>
      </c>
      <c r="H71" s="382">
        <f t="shared" si="10"/>
        <v>0.17073170731707318</v>
      </c>
      <c r="I71" s="382">
        <f t="shared" ref="I71:J71" si="11">I70/I68</f>
        <v>0.33333333333333331</v>
      </c>
      <c r="J71" s="382">
        <f t="shared" si="11"/>
        <v>0</v>
      </c>
      <c r="K71" s="386">
        <f t="shared" si="10"/>
        <v>0.26315789473684209</v>
      </c>
      <c r="L71" s="382"/>
      <c r="M71" s="382">
        <f t="shared" si="10"/>
        <v>0.82051282051282048</v>
      </c>
      <c r="N71" s="382">
        <f t="shared" si="10"/>
        <v>0.75</v>
      </c>
      <c r="O71" s="382">
        <f t="shared" si="10"/>
        <v>0.78846153846153844</v>
      </c>
      <c r="P71" s="382">
        <f t="shared" si="10"/>
        <v>0.86</v>
      </c>
      <c r="Q71" s="382">
        <f t="shared" si="10"/>
        <v>0.7567567567567568</v>
      </c>
      <c r="R71" s="382">
        <f t="shared" si="10"/>
        <v>0.38235294117647056</v>
      </c>
      <c r="S71" s="382">
        <f t="shared" si="10"/>
        <v>0.21621621621621623</v>
      </c>
      <c r="T71" s="382">
        <f t="shared" si="10"/>
        <v>0.64102564102564108</v>
      </c>
      <c r="U71" s="382"/>
      <c r="V71" s="382"/>
      <c r="Y71" s="382">
        <f>(Y70/A67)*100</f>
        <v>77.58620689655173</v>
      </c>
    </row>
    <row r="72" spans="1:25" x14ac:dyDescent="0.25">
      <c r="C72" s="72">
        <v>1</v>
      </c>
      <c r="D72" s="370">
        <v>1</v>
      </c>
      <c r="E72" s="370">
        <v>2</v>
      </c>
      <c r="F72" s="370">
        <v>3</v>
      </c>
      <c r="G72" s="81">
        <v>3</v>
      </c>
      <c r="H72" s="374">
        <v>1</v>
      </c>
      <c r="I72" s="370">
        <v>1</v>
      </c>
      <c r="J72" s="370">
        <v>2</v>
      </c>
      <c r="K72" s="381">
        <v>3</v>
      </c>
      <c r="L72" s="382"/>
      <c r="M72" s="72">
        <v>4</v>
      </c>
      <c r="N72" s="370">
        <v>4</v>
      </c>
      <c r="O72" s="370">
        <v>4</v>
      </c>
      <c r="P72" s="370">
        <v>2</v>
      </c>
      <c r="Q72" s="81">
        <v>2</v>
      </c>
      <c r="R72" s="72">
        <v>2</v>
      </c>
      <c r="S72" s="370">
        <v>3</v>
      </c>
      <c r="T72" s="375">
        <v>4</v>
      </c>
      <c r="U72" s="382"/>
      <c r="V72" s="382"/>
    </row>
    <row r="74" spans="1:25" x14ac:dyDescent="0.25">
      <c r="D74" s="364" t="s">
        <v>38</v>
      </c>
      <c r="E74" s="2837" t="s">
        <v>39</v>
      </c>
      <c r="F74" s="2837"/>
      <c r="G74" s="2837" t="s">
        <v>37</v>
      </c>
      <c r="H74" s="2837"/>
      <c r="I74" s="364"/>
    </row>
    <row r="75" spans="1:25" x14ac:dyDescent="0.25">
      <c r="B75" s="364" t="s">
        <v>22</v>
      </c>
      <c r="C75" s="382">
        <f>AVERAGE(C71,D71,H71,I71)*100</f>
        <v>57.499585199933634</v>
      </c>
      <c r="D75" s="382">
        <f t="shared" ref="D75:D78" si="12">IF(C75&gt;=70,3,IF(AND(C75&gt;=60,C75&lt;70),2,IF(AND(C75&gt;=50,C75&lt;60),1)))</f>
        <v>1</v>
      </c>
      <c r="E75" s="329">
        <f>IF(Y71&gt;=70,3,IF(AND(Y71&gt;=60,Y71&lt;70),2,IF(AND(Y71&gt;=50,Y71&lt;60),1)))</f>
        <v>3</v>
      </c>
      <c r="F75" s="329"/>
      <c r="G75" s="329">
        <f>(70/100)*E75+(30/100)*D75</f>
        <v>2.3999999999999995</v>
      </c>
      <c r="H75" s="329"/>
      <c r="I75" s="329"/>
    </row>
    <row r="76" spans="1:25" x14ac:dyDescent="0.25">
      <c r="B76" s="364" t="s">
        <v>40</v>
      </c>
      <c r="C76" s="382">
        <f>AVERAGE(E71,J71,P71,Q71,R71)*100</f>
        <v>58.929562379717183</v>
      </c>
      <c r="D76" s="382">
        <f t="shared" si="12"/>
        <v>1</v>
      </c>
      <c r="E76" s="329">
        <f>IF(Y71&gt;=70,3,IF(AND(Y71&gt;=60,Y71&lt;70),2,IF(AND(Y71&gt;=50,Y71&lt;60),1)))</f>
        <v>3</v>
      </c>
      <c r="F76" s="329"/>
      <c r="G76" s="329">
        <f t="shared" ref="G76:G78" si="13">(70/100)*E76+(30/100)*D76</f>
        <v>2.3999999999999995</v>
      </c>
      <c r="H76" s="329"/>
      <c r="I76" s="329"/>
    </row>
    <row r="77" spans="1:25" x14ac:dyDescent="0.25">
      <c r="B77" s="364" t="s">
        <v>41</v>
      </c>
      <c r="C77" s="382">
        <f>AVERAGE(F71,G71,K71,S71)*100</f>
        <v>44.526369580549144</v>
      </c>
      <c r="D77" s="382" t="b">
        <f t="shared" si="12"/>
        <v>0</v>
      </c>
      <c r="E77" s="329">
        <f>IF(Y71&gt;=70,3,IF(AND(Y71&gt;=60,Y71&lt;70),2,IF(AND(Y71&gt;=50,Y71&lt;60),1)))</f>
        <v>3</v>
      </c>
      <c r="F77" s="329"/>
      <c r="G77" s="329">
        <f t="shared" si="13"/>
        <v>2.0999999999999996</v>
      </c>
      <c r="H77" s="329"/>
      <c r="I77" s="329"/>
    </row>
    <row r="78" spans="1:25" x14ac:dyDescent="0.25">
      <c r="B78" s="364" t="s">
        <v>42</v>
      </c>
      <c r="C78" s="382">
        <f>AVERAGE(M71,N71,O71,T71)*100</f>
        <v>75</v>
      </c>
      <c r="D78" s="382">
        <f t="shared" si="12"/>
        <v>3</v>
      </c>
      <c r="E78" s="329">
        <f>IF(Y71&gt;=70,3,IF(AND(Y71&gt;=60,Y71&lt;70),2,IF(AND(Y71&gt;=50,Y71&lt;60),1)))</f>
        <v>3</v>
      </c>
      <c r="F78" s="329"/>
      <c r="G78" s="329">
        <f t="shared" si="13"/>
        <v>2.9999999999999996</v>
      </c>
      <c r="H78" s="329"/>
      <c r="I78" s="329"/>
    </row>
    <row r="79" spans="1:25" x14ac:dyDescent="0.25">
      <c r="B79" s="2872" t="s">
        <v>44</v>
      </c>
      <c r="C79" s="2872"/>
      <c r="D79" s="2872"/>
      <c r="E79" s="2872"/>
      <c r="F79" s="2872"/>
      <c r="G79" s="342">
        <f>AVERAGE(G75:G78)</f>
        <v>2.4749999999999996</v>
      </c>
      <c r="H79" s="342"/>
      <c r="I79" s="342"/>
    </row>
    <row r="81" spans="1:15" x14ac:dyDescent="0.25">
      <c r="A81" s="3041" t="s">
        <v>134</v>
      </c>
      <c r="B81" s="3041"/>
      <c r="C81" s="337"/>
      <c r="D81" s="337"/>
      <c r="E81" s="337"/>
      <c r="F81" s="337"/>
      <c r="G81" s="337"/>
      <c r="H81" s="337"/>
      <c r="I81" s="337"/>
      <c r="J81" s="337"/>
      <c r="K81" s="70"/>
      <c r="L81" s="337"/>
      <c r="M81" s="337"/>
      <c r="N81" s="337"/>
      <c r="O81" s="337"/>
    </row>
    <row r="82" spans="1:15" x14ac:dyDescent="0.25">
      <c r="A82" s="337"/>
      <c r="B82" s="337"/>
      <c r="C82" s="337"/>
      <c r="D82" s="337"/>
      <c r="E82" s="337"/>
      <c r="F82" s="337"/>
      <c r="G82" s="337"/>
      <c r="H82" s="337"/>
      <c r="I82" s="337"/>
      <c r="J82" s="337"/>
      <c r="K82" s="70"/>
      <c r="L82" s="337"/>
      <c r="M82" s="337"/>
      <c r="N82" s="337"/>
      <c r="O82" s="337"/>
    </row>
    <row r="83" spans="1:15" x14ac:dyDescent="0.25">
      <c r="A83" s="337"/>
      <c r="B83" s="317" t="s">
        <v>45</v>
      </c>
      <c r="C83" s="313" t="s">
        <v>68</v>
      </c>
      <c r="D83" s="313" t="s">
        <v>69</v>
      </c>
      <c r="E83" s="313" t="s">
        <v>70</v>
      </c>
      <c r="F83" s="313" t="s">
        <v>71</v>
      </c>
      <c r="G83" s="313" t="s">
        <v>72</v>
      </c>
      <c r="H83" s="313" t="s">
        <v>73</v>
      </c>
      <c r="I83" s="313" t="s">
        <v>74</v>
      </c>
      <c r="J83" s="315" t="s">
        <v>75</v>
      </c>
      <c r="K83" s="313" t="s">
        <v>76</v>
      </c>
      <c r="L83" s="313" t="s">
        <v>77</v>
      </c>
      <c r="M83" s="313" t="s">
        <v>78</v>
      </c>
      <c r="N83" s="313" t="s">
        <v>79</v>
      </c>
    </row>
    <row r="84" spans="1:15" x14ac:dyDescent="0.25">
      <c r="A84" s="337"/>
      <c r="B84" s="314" t="s">
        <v>20</v>
      </c>
      <c r="C84" s="71">
        <v>3</v>
      </c>
      <c r="D84" s="71">
        <v>3</v>
      </c>
      <c r="E84" s="71">
        <v>2</v>
      </c>
      <c r="F84" s="71">
        <v>1</v>
      </c>
      <c r="G84" s="71">
        <v>2</v>
      </c>
      <c r="H84" s="71"/>
      <c r="I84" s="71"/>
      <c r="J84" s="71"/>
      <c r="K84" s="71"/>
      <c r="L84" s="71"/>
      <c r="M84" s="71"/>
      <c r="N84" s="71">
        <v>2</v>
      </c>
    </row>
    <row r="85" spans="1:15" x14ac:dyDescent="0.25">
      <c r="A85" s="337"/>
      <c r="B85" s="314" t="s">
        <v>21</v>
      </c>
      <c r="C85" s="71">
        <v>3</v>
      </c>
      <c r="D85" s="71">
        <v>3</v>
      </c>
      <c r="E85" s="71">
        <v>2</v>
      </c>
      <c r="F85" s="71">
        <v>1</v>
      </c>
      <c r="G85" s="71">
        <v>2</v>
      </c>
      <c r="H85" s="71">
        <v>1</v>
      </c>
      <c r="I85" s="71"/>
      <c r="J85" s="71"/>
      <c r="K85" s="71"/>
      <c r="L85" s="71"/>
      <c r="M85" s="71"/>
      <c r="N85" s="71">
        <v>2</v>
      </c>
    </row>
    <row r="86" spans="1:15" x14ac:dyDescent="0.25">
      <c r="A86" s="337"/>
      <c r="B86" s="314" t="s">
        <v>23</v>
      </c>
      <c r="C86" s="71">
        <v>3</v>
      </c>
      <c r="D86" s="71">
        <v>3</v>
      </c>
      <c r="E86" s="71">
        <v>3</v>
      </c>
      <c r="F86" s="71">
        <v>1</v>
      </c>
      <c r="G86" s="71">
        <v>3</v>
      </c>
      <c r="H86" s="71">
        <v>2</v>
      </c>
      <c r="I86" s="71"/>
      <c r="J86" s="71"/>
      <c r="K86" s="71"/>
      <c r="L86" s="71"/>
      <c r="M86" s="71"/>
      <c r="N86" s="71">
        <v>2</v>
      </c>
    </row>
    <row r="87" spans="1:15" x14ac:dyDescent="0.25">
      <c r="A87" s="337"/>
      <c r="B87" s="314" t="s">
        <v>25</v>
      </c>
      <c r="C87" s="71">
        <v>2</v>
      </c>
      <c r="D87" s="71">
        <v>2</v>
      </c>
      <c r="E87" s="71">
        <v>3</v>
      </c>
      <c r="F87" s="71">
        <v>1</v>
      </c>
      <c r="G87" s="71">
        <v>1</v>
      </c>
      <c r="H87" s="71"/>
      <c r="I87" s="71"/>
      <c r="J87" s="71"/>
      <c r="K87" s="71"/>
      <c r="L87" s="71"/>
      <c r="M87" s="71"/>
      <c r="N87" s="71">
        <v>2</v>
      </c>
    </row>
    <row r="88" spans="1:15" x14ac:dyDescent="0.25">
      <c r="A88" s="337"/>
      <c r="B88" s="366" t="s">
        <v>10</v>
      </c>
      <c r="C88" s="327">
        <f t="shared" ref="C88:H88" si="14">AVERAGE(C84:C87)</f>
        <v>2.75</v>
      </c>
      <c r="D88" s="327">
        <f t="shared" si="14"/>
        <v>2.75</v>
      </c>
      <c r="E88" s="327">
        <f t="shared" si="14"/>
        <v>2.5</v>
      </c>
      <c r="F88" s="327">
        <f t="shared" si="14"/>
        <v>1</v>
      </c>
      <c r="G88" s="327">
        <f t="shared" si="14"/>
        <v>2</v>
      </c>
      <c r="H88" s="327">
        <f t="shared" si="14"/>
        <v>1.5</v>
      </c>
      <c r="I88" s="327"/>
      <c r="J88" s="327"/>
      <c r="K88" s="327"/>
      <c r="L88" s="327"/>
      <c r="M88" s="327"/>
      <c r="N88" s="327">
        <f>AVERAGE(N84:N87)</f>
        <v>2</v>
      </c>
    </row>
    <row r="89" spans="1:15" x14ac:dyDescent="0.25">
      <c r="A89" s="337"/>
      <c r="B89" s="366" t="s">
        <v>58</v>
      </c>
      <c r="C89" s="3057">
        <f>AVERAGE(C88:N88)</f>
        <v>2.0714285714285716</v>
      </c>
      <c r="D89" s="3058"/>
      <c r="E89" s="3058"/>
      <c r="F89" s="3058"/>
      <c r="G89" s="3058"/>
      <c r="H89" s="3058"/>
      <c r="I89" s="3058"/>
      <c r="J89" s="3058"/>
      <c r="K89" s="3058"/>
      <c r="L89" s="3058"/>
      <c r="M89" s="3058"/>
      <c r="N89" s="3058"/>
      <c r="O89" s="323"/>
    </row>
    <row r="90" spans="1:15" x14ac:dyDescent="0.25">
      <c r="A90" s="337"/>
      <c r="B90" s="337"/>
      <c r="C90" s="336"/>
      <c r="D90" s="337"/>
      <c r="E90" s="337"/>
      <c r="F90" s="337"/>
      <c r="G90" s="337"/>
      <c r="H90" s="337"/>
      <c r="I90" s="337"/>
      <c r="J90" s="337"/>
      <c r="K90" s="70"/>
      <c r="L90" s="337"/>
      <c r="M90" s="337"/>
      <c r="N90" s="337"/>
      <c r="O90" s="337"/>
    </row>
    <row r="91" spans="1:15" x14ac:dyDescent="0.25">
      <c r="A91" s="337"/>
      <c r="B91" s="337"/>
      <c r="C91" s="337"/>
      <c r="D91" s="337"/>
      <c r="E91" s="337"/>
      <c r="F91" s="337"/>
      <c r="G91" s="337"/>
      <c r="H91" s="337"/>
      <c r="I91" s="337"/>
      <c r="J91" s="337"/>
      <c r="K91" s="70"/>
      <c r="L91" s="337"/>
      <c r="M91" s="337"/>
      <c r="N91" s="337"/>
      <c r="O91" s="337"/>
    </row>
    <row r="92" spans="1:15" x14ac:dyDescent="0.25">
      <c r="A92" s="3041" t="s">
        <v>148</v>
      </c>
      <c r="B92" s="3041"/>
      <c r="C92" s="337"/>
      <c r="D92" s="337"/>
      <c r="E92" s="337"/>
      <c r="F92" s="337"/>
      <c r="G92" s="337"/>
      <c r="H92" s="337"/>
      <c r="I92" s="337"/>
      <c r="J92" s="337"/>
      <c r="K92" s="70"/>
      <c r="L92" s="337"/>
      <c r="M92" s="337"/>
      <c r="N92" s="337"/>
      <c r="O92" s="337"/>
    </row>
    <row r="93" spans="1:15" x14ac:dyDescent="0.25">
      <c r="A93" s="337"/>
      <c r="B93" s="337"/>
      <c r="C93" s="337"/>
      <c r="D93" s="337"/>
      <c r="E93" s="337"/>
      <c r="F93" s="337"/>
      <c r="G93" s="337"/>
      <c r="H93" s="337"/>
      <c r="I93" s="337"/>
      <c r="J93" s="337"/>
      <c r="K93" s="70"/>
      <c r="L93" s="337"/>
      <c r="M93" s="337"/>
      <c r="N93" s="337"/>
      <c r="O93" s="337"/>
    </row>
    <row r="94" spans="1:15" x14ac:dyDescent="0.25">
      <c r="A94" s="337"/>
      <c r="B94" s="317" t="s">
        <v>45</v>
      </c>
      <c r="C94" s="313" t="s">
        <v>68</v>
      </c>
      <c r="D94" s="313" t="s">
        <v>69</v>
      </c>
      <c r="E94" s="313" t="s">
        <v>70</v>
      </c>
      <c r="F94" s="313" t="s">
        <v>71</v>
      </c>
      <c r="G94" s="313" t="s">
        <v>72</v>
      </c>
      <c r="H94" s="313" t="s">
        <v>73</v>
      </c>
      <c r="I94" s="313" t="s">
        <v>74</v>
      </c>
      <c r="J94" s="315" t="s">
        <v>75</v>
      </c>
      <c r="K94" s="313" t="s">
        <v>76</v>
      </c>
      <c r="L94" s="313" t="s">
        <v>77</v>
      </c>
      <c r="M94" s="313" t="s">
        <v>78</v>
      </c>
      <c r="N94" s="313" t="s">
        <v>79</v>
      </c>
    </row>
    <row r="95" spans="1:15" x14ac:dyDescent="0.25">
      <c r="A95" s="337"/>
      <c r="B95" s="314" t="s">
        <v>20</v>
      </c>
      <c r="C95" s="318">
        <f>G75*C84/3</f>
        <v>2.3999999999999995</v>
      </c>
      <c r="D95" s="318">
        <f>G75*D84/3</f>
        <v>2.3999999999999995</v>
      </c>
      <c r="E95" s="318">
        <f>G75*E84/3</f>
        <v>1.5999999999999996</v>
      </c>
      <c r="F95" s="318">
        <f>G75*F84/3</f>
        <v>0.79999999999999982</v>
      </c>
      <c r="G95" s="318">
        <f>G75*G84/3</f>
        <v>1.5999999999999996</v>
      </c>
      <c r="H95" s="318"/>
      <c r="I95" s="318"/>
      <c r="J95" s="318"/>
      <c r="K95" s="318"/>
      <c r="L95" s="318"/>
      <c r="M95" s="318"/>
      <c r="N95" s="318">
        <f>G75*N84/3</f>
        <v>1.5999999999999996</v>
      </c>
    </row>
    <row r="96" spans="1:15" x14ac:dyDescent="0.25">
      <c r="A96" s="337"/>
      <c r="B96" s="314" t="s">
        <v>21</v>
      </c>
      <c r="C96" s="318">
        <f>G76*C85/3</f>
        <v>2.3999999999999995</v>
      </c>
      <c r="D96" s="318">
        <f>G76*D85/3</f>
        <v>2.3999999999999995</v>
      </c>
      <c r="E96" s="318">
        <f>G76*E85/3</f>
        <v>1.5999999999999996</v>
      </c>
      <c r="F96" s="318">
        <f>G76*F85/3</f>
        <v>0.79999999999999982</v>
      </c>
      <c r="G96" s="318">
        <f>G76*G85/3</f>
        <v>1.5999999999999996</v>
      </c>
      <c r="H96" s="318">
        <f>G76*H85/3</f>
        <v>0.79999999999999982</v>
      </c>
      <c r="I96" s="318"/>
      <c r="J96" s="318"/>
      <c r="K96" s="318"/>
      <c r="L96" s="318"/>
      <c r="M96" s="318"/>
      <c r="N96" s="318">
        <f>G76*N85/3</f>
        <v>1.5999999999999996</v>
      </c>
    </row>
    <row r="97" spans="1:15" x14ac:dyDescent="0.25">
      <c r="A97" s="337"/>
      <c r="B97" s="314" t="s">
        <v>23</v>
      </c>
      <c r="C97" s="318">
        <f>G77*C86/3</f>
        <v>2.0999999999999996</v>
      </c>
      <c r="D97" s="318">
        <f>G77*D86/3</f>
        <v>2.0999999999999996</v>
      </c>
      <c r="E97" s="318">
        <f>G77*E86/3</f>
        <v>2.0999999999999996</v>
      </c>
      <c r="F97" s="318">
        <f>G77*F86/3</f>
        <v>0.69999999999999984</v>
      </c>
      <c r="G97" s="318">
        <f>G77*G86/3</f>
        <v>2.0999999999999996</v>
      </c>
      <c r="H97" s="318">
        <f>G77*H86/3</f>
        <v>1.3999999999999997</v>
      </c>
      <c r="I97" s="318"/>
      <c r="J97" s="318"/>
      <c r="K97" s="318"/>
      <c r="L97" s="318"/>
      <c r="M97" s="318"/>
      <c r="N97" s="318">
        <f>G77*N86/3</f>
        <v>1.3999999999999997</v>
      </c>
    </row>
    <row r="98" spans="1:15" x14ac:dyDescent="0.25">
      <c r="A98" s="337"/>
      <c r="B98" s="314" t="s">
        <v>25</v>
      </c>
      <c r="C98" s="318">
        <f>G78*C87/3</f>
        <v>1.9999999999999998</v>
      </c>
      <c r="D98" s="318">
        <f>G78*D87/3</f>
        <v>1.9999999999999998</v>
      </c>
      <c r="E98" s="318">
        <f>G78*E87/3</f>
        <v>2.9999999999999996</v>
      </c>
      <c r="F98" s="318">
        <f>G78*F87/3</f>
        <v>0.99999999999999989</v>
      </c>
      <c r="G98" s="318">
        <f>G78*G87/3</f>
        <v>0.99999999999999989</v>
      </c>
      <c r="H98" s="318"/>
      <c r="I98" s="318"/>
      <c r="J98" s="318"/>
      <c r="K98" s="318"/>
      <c r="L98" s="318"/>
      <c r="M98" s="318"/>
      <c r="N98" s="318">
        <f>G78*N87/3</f>
        <v>1.9999999999999998</v>
      </c>
    </row>
    <row r="99" spans="1:15" x14ac:dyDescent="0.25">
      <c r="A99" s="337"/>
      <c r="B99" s="366" t="s">
        <v>10</v>
      </c>
      <c r="C99" s="339">
        <f t="shared" ref="C99:H99" si="15">AVERAGE(C95:C98)</f>
        <v>2.2249999999999996</v>
      </c>
      <c r="D99" s="339">
        <f t="shared" si="15"/>
        <v>2.2249999999999996</v>
      </c>
      <c r="E99" s="339">
        <f t="shared" si="15"/>
        <v>2.0749999999999997</v>
      </c>
      <c r="F99" s="339">
        <f t="shared" si="15"/>
        <v>0.82499999999999984</v>
      </c>
      <c r="G99" s="339">
        <f t="shared" si="15"/>
        <v>1.5749999999999997</v>
      </c>
      <c r="H99" s="339">
        <f t="shared" si="15"/>
        <v>1.0999999999999996</v>
      </c>
      <c r="I99" s="339"/>
      <c r="J99" s="339"/>
      <c r="K99" s="339"/>
      <c r="L99" s="339"/>
      <c r="M99" s="339"/>
      <c r="N99" s="339">
        <f>AVERAGE(N95:N98)</f>
        <v>1.6499999999999997</v>
      </c>
    </row>
    <row r="100" spans="1:15" x14ac:dyDescent="0.25">
      <c r="A100" s="337"/>
      <c r="B100" s="366" t="s">
        <v>58</v>
      </c>
      <c r="C100" s="3059">
        <f>AVERAGE(C99:N99)</f>
        <v>1.6678571428571427</v>
      </c>
      <c r="D100" s="3060"/>
      <c r="E100" s="3060"/>
      <c r="F100" s="3060"/>
      <c r="G100" s="3060"/>
      <c r="H100" s="3060"/>
      <c r="I100" s="3060"/>
      <c r="J100" s="3060"/>
      <c r="K100" s="3060"/>
      <c r="L100" s="3060"/>
      <c r="M100" s="3060"/>
      <c r="N100" s="3060"/>
      <c r="O100" s="350"/>
    </row>
    <row r="101" spans="1:15" x14ac:dyDescent="0.25">
      <c r="A101" s="337"/>
      <c r="B101" s="337"/>
      <c r="C101" s="337"/>
      <c r="D101" s="337"/>
      <c r="E101" s="337"/>
      <c r="F101" s="337"/>
      <c r="G101" s="337"/>
      <c r="H101" s="337"/>
      <c r="I101" s="337"/>
      <c r="J101" s="337"/>
      <c r="K101" s="70"/>
      <c r="L101" s="337"/>
      <c r="M101" s="337"/>
      <c r="N101" s="337"/>
      <c r="O101" s="337"/>
    </row>
    <row r="102" spans="1:15" x14ac:dyDescent="0.25">
      <c r="A102" s="3041" t="s">
        <v>137</v>
      </c>
      <c r="B102" s="3041"/>
      <c r="C102" s="334"/>
      <c r="D102" s="334"/>
      <c r="E102" s="337"/>
      <c r="F102" s="337"/>
      <c r="G102" s="337"/>
      <c r="H102" s="337"/>
      <c r="I102" s="337"/>
      <c r="J102" s="3041" t="s">
        <v>149</v>
      </c>
      <c r="K102" s="3041"/>
      <c r="L102" s="334"/>
      <c r="M102" s="334"/>
      <c r="N102" s="337"/>
      <c r="O102" s="337"/>
    </row>
    <row r="103" spans="1:15" x14ac:dyDescent="0.25">
      <c r="A103" s="326"/>
      <c r="B103" s="326"/>
      <c r="C103" s="334"/>
      <c r="D103" s="334"/>
      <c r="E103" s="337"/>
      <c r="F103" s="337"/>
      <c r="G103" s="337"/>
      <c r="H103" s="337"/>
      <c r="I103" s="337"/>
      <c r="J103" s="326"/>
      <c r="K103" s="34"/>
      <c r="L103" s="334"/>
      <c r="M103" s="334"/>
      <c r="N103" s="337"/>
      <c r="O103" s="337"/>
    </row>
    <row r="104" spans="1:15" x14ac:dyDescent="0.25">
      <c r="A104" s="337"/>
      <c r="B104" s="317" t="s">
        <v>59</v>
      </c>
      <c r="C104" s="313" t="s">
        <v>60</v>
      </c>
      <c r="D104" s="313" t="s">
        <v>61</v>
      </c>
      <c r="E104" s="313" t="s">
        <v>62</v>
      </c>
      <c r="F104" s="337"/>
      <c r="G104" s="337"/>
      <c r="H104" s="337"/>
      <c r="I104" s="337"/>
      <c r="J104" s="337"/>
      <c r="K104" s="95" t="s">
        <v>59</v>
      </c>
      <c r="L104" s="313" t="s">
        <v>60</v>
      </c>
      <c r="M104" s="313" t="s">
        <v>61</v>
      </c>
      <c r="N104" s="313" t="s">
        <v>62</v>
      </c>
      <c r="O104" s="337"/>
    </row>
    <row r="105" spans="1:15" x14ac:dyDescent="0.25">
      <c r="A105" s="337"/>
      <c r="B105" s="331" t="s">
        <v>20</v>
      </c>
      <c r="C105" s="71">
        <v>3</v>
      </c>
      <c r="D105" s="71">
        <v>2</v>
      </c>
      <c r="E105" s="71"/>
      <c r="F105" s="337"/>
      <c r="G105" s="337"/>
      <c r="H105" s="337"/>
      <c r="I105" s="337"/>
      <c r="J105" s="337"/>
      <c r="K105" s="320" t="s">
        <v>20</v>
      </c>
      <c r="L105" s="318">
        <f>G75*C105/3</f>
        <v>2.3999999999999995</v>
      </c>
      <c r="M105" s="318">
        <f>G75*D105/3</f>
        <v>1.5999999999999996</v>
      </c>
      <c r="N105" s="318"/>
      <c r="O105" s="337"/>
    </row>
    <row r="106" spans="1:15" x14ac:dyDescent="0.25">
      <c r="A106" s="337"/>
      <c r="B106" s="314" t="s">
        <v>21</v>
      </c>
      <c r="C106" s="71">
        <v>3</v>
      </c>
      <c r="D106" s="71">
        <v>2</v>
      </c>
      <c r="E106" s="71">
        <v>1</v>
      </c>
      <c r="F106" s="337"/>
      <c r="G106" s="337"/>
      <c r="H106" s="337"/>
      <c r="I106" s="337"/>
      <c r="J106" s="337"/>
      <c r="K106" s="96" t="s">
        <v>21</v>
      </c>
      <c r="L106" s="318">
        <f>G76*C106/3</f>
        <v>2.3999999999999995</v>
      </c>
      <c r="M106" s="318">
        <f>G76*D106/3</f>
        <v>1.5999999999999996</v>
      </c>
      <c r="N106" s="318">
        <f>G76*E106/3</f>
        <v>0.79999999999999982</v>
      </c>
      <c r="O106" s="337"/>
    </row>
    <row r="107" spans="1:15" x14ac:dyDescent="0.25">
      <c r="A107" s="337"/>
      <c r="B107" s="314" t="s">
        <v>23</v>
      </c>
      <c r="C107" s="71">
        <v>3</v>
      </c>
      <c r="D107" s="71">
        <v>3</v>
      </c>
      <c r="E107" s="71">
        <v>1</v>
      </c>
      <c r="F107" s="337"/>
      <c r="G107" s="337"/>
      <c r="H107" s="337"/>
      <c r="I107" s="337"/>
      <c r="J107" s="337"/>
      <c r="K107" s="96" t="s">
        <v>23</v>
      </c>
      <c r="L107" s="318">
        <f>G77*C107/3</f>
        <v>2.0999999999999996</v>
      </c>
      <c r="M107" s="318">
        <f>G77*D107/3</f>
        <v>2.0999999999999996</v>
      </c>
      <c r="N107" s="318">
        <f>G77*E107/3</f>
        <v>0.69999999999999984</v>
      </c>
      <c r="O107" s="337"/>
    </row>
    <row r="108" spans="1:15" x14ac:dyDescent="0.25">
      <c r="A108" s="337"/>
      <c r="B108" s="314" t="s">
        <v>25</v>
      </c>
      <c r="C108" s="71">
        <v>2</v>
      </c>
      <c r="D108" s="71">
        <v>2</v>
      </c>
      <c r="E108" s="71"/>
      <c r="F108" s="337"/>
      <c r="G108" s="337"/>
      <c r="H108" s="337"/>
      <c r="I108" s="337"/>
      <c r="J108" s="337"/>
      <c r="K108" s="96" t="s">
        <v>25</v>
      </c>
      <c r="L108" s="318">
        <f>G78*C108/3</f>
        <v>1.9999999999999998</v>
      </c>
      <c r="M108" s="318">
        <f>G78*D108/3</f>
        <v>1.9999999999999998</v>
      </c>
      <c r="N108" s="318"/>
      <c r="O108" s="337"/>
    </row>
    <row r="109" spans="1:15" x14ac:dyDescent="0.25">
      <c r="A109" s="337"/>
      <c r="B109" s="378" t="s">
        <v>10</v>
      </c>
      <c r="C109" s="338">
        <f>AVERAGE(C105:C108)</f>
        <v>2.75</v>
      </c>
      <c r="D109" s="338">
        <f>AVERAGE(D105:D108)</f>
        <v>2.25</v>
      </c>
      <c r="E109" s="338">
        <f>AVERAGE(E105:E108)</f>
        <v>1</v>
      </c>
      <c r="F109" s="337"/>
      <c r="G109" s="337"/>
      <c r="H109" s="337"/>
      <c r="I109" s="337"/>
      <c r="J109" s="337"/>
      <c r="K109" s="79" t="s">
        <v>10</v>
      </c>
      <c r="L109" s="318">
        <f>AVERAGE(L105:L108)</f>
        <v>2.2249999999999996</v>
      </c>
      <c r="M109" s="318">
        <f>AVERAGE(M105:M108)</f>
        <v>1.8249999999999997</v>
      </c>
      <c r="N109" s="318">
        <f>AVERAGE(N105:N108)</f>
        <v>0.74999999999999978</v>
      </c>
      <c r="O109" s="337"/>
    </row>
    <row r="110" spans="1:15" ht="25.5" x14ac:dyDescent="0.25">
      <c r="A110" s="379"/>
      <c r="B110" s="375" t="s">
        <v>58</v>
      </c>
      <c r="C110" s="3056">
        <f>AVERAGE(C109:E109)</f>
        <v>2</v>
      </c>
      <c r="D110" s="3056"/>
      <c r="E110" s="3056"/>
      <c r="F110" s="379"/>
      <c r="G110" s="379"/>
      <c r="H110" s="379"/>
      <c r="I110" s="379"/>
      <c r="J110" s="379"/>
      <c r="K110" s="376" t="s">
        <v>58</v>
      </c>
      <c r="L110" s="3056">
        <f>AVERAGE(L109:N109)</f>
        <v>1.5999999999999996</v>
      </c>
      <c r="M110" s="3056"/>
      <c r="N110" s="3056"/>
      <c r="O110" s="379"/>
    </row>
    <row r="111" spans="1:15" x14ac:dyDescent="0.25">
      <c r="A111" s="337"/>
      <c r="B111" s="337"/>
      <c r="C111" s="337"/>
      <c r="D111" s="337"/>
      <c r="E111" s="337"/>
      <c r="F111" s="337"/>
      <c r="G111" s="337"/>
      <c r="H111" s="337"/>
      <c r="I111" s="337"/>
      <c r="J111" s="337"/>
      <c r="K111" s="70"/>
      <c r="L111" s="337"/>
      <c r="M111" s="337"/>
      <c r="N111" s="337"/>
      <c r="O111" s="337"/>
    </row>
    <row r="113" spans="1:15" x14ac:dyDescent="0.25">
      <c r="A113" s="3054"/>
      <c r="B113" s="3054"/>
      <c r="C113" s="3054"/>
      <c r="D113" s="3054"/>
      <c r="E113" s="3054"/>
      <c r="F113" s="3054"/>
      <c r="G113" s="3054"/>
      <c r="H113" s="3054"/>
      <c r="I113" s="3054"/>
      <c r="J113" s="3054"/>
      <c r="K113" s="3054"/>
      <c r="L113" s="3054"/>
      <c r="M113" s="3054"/>
      <c r="N113" s="3054"/>
      <c r="O113" s="3054"/>
    </row>
    <row r="114" spans="1:15" x14ac:dyDescent="0.25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</row>
    <row r="115" spans="1:15" x14ac:dyDescent="0.25">
      <c r="A115" s="3053"/>
      <c r="B115" s="3053"/>
      <c r="C115" s="3053"/>
      <c r="D115" s="3053"/>
      <c r="E115" s="3053"/>
      <c r="F115" s="3053"/>
      <c r="G115" s="3053"/>
      <c r="H115" s="3053"/>
      <c r="I115" s="3053"/>
      <c r="J115" s="3053"/>
      <c r="K115" s="3053"/>
      <c r="L115" s="3053"/>
      <c r="M115" s="3053"/>
      <c r="N115" s="3053"/>
      <c r="O115" s="3053"/>
    </row>
    <row r="116" spans="1:15" x14ac:dyDescent="0.25">
      <c r="A116" s="3053"/>
      <c r="B116" s="3053"/>
      <c r="C116" s="3053"/>
      <c r="D116" s="3053"/>
      <c r="E116" s="3053"/>
      <c r="F116" s="3053"/>
      <c r="G116" s="3053"/>
      <c r="H116" s="3053"/>
      <c r="I116" s="3053"/>
      <c r="J116" s="3053"/>
      <c r="K116" s="3053"/>
      <c r="L116" s="3053"/>
      <c r="M116" s="3053"/>
      <c r="N116" s="3053"/>
      <c r="O116" s="3053"/>
    </row>
    <row r="117" spans="1:15" x14ac:dyDescent="0.25">
      <c r="A117" s="3053"/>
      <c r="B117" s="3053"/>
      <c r="C117" s="3053"/>
      <c r="D117" s="3053"/>
      <c r="E117" s="3053"/>
      <c r="F117" s="3053"/>
      <c r="G117" s="3053"/>
      <c r="H117" s="3053"/>
      <c r="I117" s="3053"/>
      <c r="J117" s="3053"/>
      <c r="K117" s="3053"/>
      <c r="L117" s="3053"/>
      <c r="M117" s="3053"/>
      <c r="N117" s="3053"/>
      <c r="O117" s="3053"/>
    </row>
    <row r="118" spans="1:15" x14ac:dyDescent="0.25">
      <c r="A118" s="3053"/>
      <c r="B118" s="3053"/>
      <c r="C118" s="3053"/>
      <c r="D118" s="3053"/>
      <c r="E118" s="3053"/>
      <c r="F118" s="3053"/>
      <c r="G118" s="3053"/>
      <c r="H118" s="3053"/>
      <c r="I118" s="3053"/>
      <c r="J118" s="3053"/>
      <c r="K118" s="3053"/>
      <c r="L118" s="3053"/>
      <c r="M118" s="3053"/>
      <c r="N118" s="3053"/>
      <c r="O118" s="3053"/>
    </row>
    <row r="119" spans="1:15" x14ac:dyDescent="0.25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</row>
    <row r="120" spans="1:15" x14ac:dyDescent="0.25">
      <c r="A120" s="3053"/>
      <c r="B120" s="3053"/>
      <c r="C120" s="3053"/>
      <c r="D120" s="3053"/>
      <c r="E120" s="3053"/>
      <c r="F120" s="3053"/>
      <c r="G120" s="3053"/>
      <c r="H120" s="3053"/>
      <c r="I120" s="3053"/>
      <c r="J120" s="3053"/>
      <c r="K120" s="3053"/>
      <c r="L120" s="3053"/>
      <c r="M120" s="3053"/>
      <c r="N120" s="3053"/>
      <c r="O120" s="3053"/>
    </row>
    <row r="121" spans="1:15" x14ac:dyDescent="0.25">
      <c r="A121" s="3054"/>
      <c r="B121" s="3054"/>
      <c r="C121" s="3054"/>
      <c r="D121" s="3054"/>
      <c r="E121" s="3054"/>
      <c r="F121" s="3054"/>
      <c r="G121" s="3054"/>
      <c r="H121" s="3054"/>
      <c r="I121" s="3054"/>
      <c r="J121" s="3054"/>
      <c r="K121" s="3054"/>
      <c r="L121" s="3054"/>
      <c r="M121" s="3054"/>
      <c r="N121" s="3054"/>
      <c r="O121" s="3054"/>
    </row>
    <row r="122" spans="1:15" x14ac:dyDescent="0.25">
      <c r="A122" s="3055"/>
      <c r="B122" s="3055"/>
      <c r="C122" s="3055"/>
      <c r="D122" s="3055"/>
      <c r="E122" s="3055"/>
      <c r="F122" s="3055"/>
      <c r="G122" s="3055"/>
      <c r="H122" s="3055"/>
      <c r="I122" s="3055"/>
      <c r="J122" s="3055"/>
      <c r="K122" s="3055"/>
      <c r="L122" s="3055"/>
      <c r="M122" s="3055"/>
      <c r="N122" s="3055"/>
      <c r="O122" s="3055"/>
    </row>
    <row r="123" spans="1:15" x14ac:dyDescent="0.25">
      <c r="A123" s="2983"/>
      <c r="B123" s="2983"/>
      <c r="C123" s="2983"/>
      <c r="D123" s="2983"/>
      <c r="E123" s="2983"/>
      <c r="F123" s="2983"/>
      <c r="G123" s="2983"/>
      <c r="H123" s="2983"/>
      <c r="I123" s="2983"/>
      <c r="J123" s="2983"/>
      <c r="K123" s="2983"/>
      <c r="L123" s="2983"/>
      <c r="M123" s="2983"/>
      <c r="N123" s="2983"/>
      <c r="O123" s="2983"/>
    </row>
    <row r="124" spans="1:15" x14ac:dyDescent="0.25">
      <c r="A124" s="3045"/>
      <c r="B124" s="3046"/>
      <c r="C124" s="3046"/>
      <c r="D124" s="3046"/>
      <c r="E124" s="3046"/>
      <c r="F124" s="3046"/>
      <c r="G124" s="3046"/>
      <c r="H124" s="3046"/>
      <c r="I124" s="3046"/>
      <c r="J124" s="3046"/>
      <c r="K124" s="3046"/>
      <c r="L124" s="3046"/>
      <c r="M124" s="3046"/>
      <c r="N124" s="3046"/>
      <c r="O124" s="3046"/>
    </row>
    <row r="125" spans="1:15" x14ac:dyDescent="0.25">
      <c r="A125" s="3046"/>
      <c r="B125" s="3046"/>
      <c r="C125" s="3046"/>
      <c r="D125" s="3046"/>
      <c r="E125" s="3046"/>
      <c r="F125" s="3046"/>
      <c r="G125" s="3046"/>
      <c r="H125" s="3046"/>
      <c r="I125" s="3046"/>
      <c r="J125" s="3046"/>
      <c r="K125" s="3046"/>
      <c r="L125" s="3046"/>
      <c r="M125" s="3046"/>
      <c r="N125" s="3046"/>
      <c r="O125" s="3046"/>
    </row>
    <row r="126" spans="1:15" x14ac:dyDescent="0.25">
      <c r="A126" s="3046"/>
      <c r="B126" s="3046"/>
      <c r="C126" s="3046"/>
      <c r="D126" s="3046"/>
      <c r="E126" s="3046"/>
      <c r="F126" s="3046"/>
      <c r="G126" s="3046"/>
      <c r="H126" s="3046"/>
      <c r="I126" s="3046"/>
      <c r="J126" s="3046"/>
      <c r="K126" s="3046"/>
      <c r="L126" s="3046"/>
      <c r="M126" s="3046"/>
      <c r="N126" s="3046"/>
      <c r="O126" s="3046"/>
    </row>
    <row r="127" spans="1:15" x14ac:dyDescent="0.25">
      <c r="A127" s="2983"/>
      <c r="B127" s="2983"/>
      <c r="C127" s="2983"/>
      <c r="D127" s="2983"/>
      <c r="E127" s="2983"/>
      <c r="F127" s="2983"/>
      <c r="G127" s="2983"/>
      <c r="H127" s="2983"/>
      <c r="I127" s="2983"/>
      <c r="J127" s="2983"/>
      <c r="K127" s="2983"/>
      <c r="L127" s="2983"/>
      <c r="M127" s="2983"/>
      <c r="N127" s="2983"/>
      <c r="O127" s="2983"/>
    </row>
  </sheetData>
  <mergeCells count="51">
    <mergeCell ref="A124:O124"/>
    <mergeCell ref="A125:O125"/>
    <mergeCell ref="A126:O126"/>
    <mergeCell ref="A127:O127"/>
    <mergeCell ref="A118:O118"/>
    <mergeCell ref="A119:O119"/>
    <mergeCell ref="A120:O120"/>
    <mergeCell ref="A121:O121"/>
    <mergeCell ref="A122:O122"/>
    <mergeCell ref="A123:O123"/>
    <mergeCell ref="A117:O117"/>
    <mergeCell ref="B79:F79"/>
    <mergeCell ref="A81:B81"/>
    <mergeCell ref="C89:N89"/>
    <mergeCell ref="A92:B92"/>
    <mergeCell ref="C100:N100"/>
    <mergeCell ref="A102:B102"/>
    <mergeCell ref="J102:K102"/>
    <mergeCell ref="C110:E110"/>
    <mergeCell ref="L110:N110"/>
    <mergeCell ref="A113:O113"/>
    <mergeCell ref="A115:O115"/>
    <mergeCell ref="A116:O116"/>
    <mergeCell ref="X6:X8"/>
    <mergeCell ref="Y6:Y8"/>
    <mergeCell ref="A70:B70"/>
    <mergeCell ref="A71:B71"/>
    <mergeCell ref="E74:F74"/>
    <mergeCell ref="G74:H74"/>
    <mergeCell ref="M6:Q6"/>
    <mergeCell ref="R6:R7"/>
    <mergeCell ref="S6:S7"/>
    <mergeCell ref="T6:T7"/>
    <mergeCell ref="U6:U8"/>
    <mergeCell ref="V6:V8"/>
    <mergeCell ref="A6:A8"/>
    <mergeCell ref="B6:B7"/>
    <mergeCell ref="C6:G6"/>
    <mergeCell ref="I6:J6"/>
    <mergeCell ref="L6:L8"/>
    <mergeCell ref="A2:B2"/>
    <mergeCell ref="C2:K2"/>
    <mergeCell ref="M2:T2"/>
    <mergeCell ref="A3:B3"/>
    <mergeCell ref="C3:K3"/>
    <mergeCell ref="M3:T3"/>
    <mergeCell ref="C4:K4"/>
    <mergeCell ref="M4:T4"/>
    <mergeCell ref="A5:B5"/>
    <mergeCell ref="C5:L5"/>
    <mergeCell ref="M5:U5"/>
  </mergeCells>
  <conditionalFormatting sqref="X48">
    <cfRule type="containsText" dxfId="116" priority="1" operator="containsText" text="F">
      <formula>NOT(ISERROR(SEARCH("F",X48)))</formula>
    </cfRule>
  </conditionalFormatting>
  <conditionalFormatting sqref="X50:X53 X10:X45">
    <cfRule type="containsText" dxfId="115" priority="4" operator="containsText" text="F">
      <formula>NOT(ISERROR(SEARCH("F",X10)))</formula>
    </cfRule>
  </conditionalFormatting>
  <conditionalFormatting sqref="X47 X56:X67">
    <cfRule type="containsText" dxfId="114" priority="3" operator="containsText" text="F">
      <formula>NOT(ISERROR(SEARCH("F",X47)))</formula>
    </cfRule>
  </conditionalFormatting>
  <conditionalFormatting sqref="X46 X49 X54:X55">
    <cfRule type="containsText" dxfId="113" priority="2" operator="containsText" text="F">
      <formula>NOT(ISERROR(SEARCH("F",X46)))</formula>
    </cfRule>
  </conditionalFormatting>
  <pageMargins left="0.7" right="0.7" top="0.75" bottom="0.75" header="0.3" footer="0.3"/>
  <pageSetup paperSize="8" scale="50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AD125"/>
  <sheetViews>
    <sheetView topLeftCell="A97" zoomScaleNormal="100" workbookViewId="0">
      <selection activeCell="O107" sqref="O107"/>
    </sheetView>
  </sheetViews>
  <sheetFormatPr defaultRowHeight="15.6" customHeight="1" x14ac:dyDescent="0.25"/>
  <cols>
    <col min="1" max="1" width="15.140625" style="354" bestFit="1" customWidth="1"/>
    <col min="2" max="2" width="15.5703125" style="354" customWidth="1"/>
    <col min="3" max="12" width="9" style="354" customWidth="1"/>
    <col min="13" max="13" width="9" style="332" customWidth="1"/>
    <col min="14" max="30" width="9" style="354" customWidth="1"/>
    <col min="31" max="16384" width="9.140625" style="354"/>
  </cols>
  <sheetData>
    <row r="1" spans="1:30" ht="15.75" x14ac:dyDescent="0.25">
      <c r="A1" s="333"/>
    </row>
    <row r="2" spans="1:30" ht="29.25" customHeight="1" x14ac:dyDescent="0.25">
      <c r="A2" s="3124" t="s">
        <v>0</v>
      </c>
      <c r="B2" s="3125"/>
      <c r="C2" s="3126" t="s">
        <v>228</v>
      </c>
      <c r="D2" s="3127"/>
      <c r="E2" s="3127"/>
      <c r="F2" s="3127"/>
      <c r="G2" s="3127"/>
      <c r="H2" s="3127"/>
      <c r="I2" s="3127"/>
      <c r="J2" s="3127"/>
      <c r="K2" s="3127"/>
      <c r="L2" s="3127"/>
      <c r="M2" s="3128"/>
      <c r="N2" s="412" t="s">
        <v>63</v>
      </c>
      <c r="O2" s="3129" t="s">
        <v>155</v>
      </c>
      <c r="P2" s="3130"/>
      <c r="Q2" s="3130"/>
      <c r="R2" s="3130"/>
      <c r="S2" s="3130"/>
      <c r="T2" s="3130"/>
      <c r="U2" s="3130"/>
      <c r="V2" s="3130"/>
      <c r="W2" s="3130"/>
      <c r="X2" s="3130"/>
      <c r="Y2" s="3130"/>
      <c r="Z2" s="340"/>
      <c r="AA2" s="340"/>
      <c r="AB2" s="340"/>
      <c r="AC2" s="340"/>
      <c r="AD2" s="340"/>
    </row>
    <row r="3" spans="1:30" ht="29.25" customHeight="1" x14ac:dyDescent="0.25">
      <c r="A3" s="3124" t="s">
        <v>1</v>
      </c>
      <c r="B3" s="3125"/>
      <c r="C3" s="3126" t="s">
        <v>229</v>
      </c>
      <c r="D3" s="3127"/>
      <c r="E3" s="3127"/>
      <c r="F3" s="3127"/>
      <c r="G3" s="3127"/>
      <c r="H3" s="3127"/>
      <c r="I3" s="3127"/>
      <c r="J3" s="3127"/>
      <c r="K3" s="3127"/>
      <c r="L3" s="3127"/>
      <c r="M3" s="3128"/>
      <c r="N3" s="413" t="s">
        <v>64</v>
      </c>
      <c r="O3" s="3129" t="s">
        <v>226</v>
      </c>
      <c r="P3" s="3130"/>
      <c r="Q3" s="3130"/>
      <c r="R3" s="3130"/>
      <c r="S3" s="3130"/>
      <c r="T3" s="3130"/>
      <c r="U3" s="3130"/>
      <c r="V3" s="3130"/>
      <c r="W3" s="3130"/>
      <c r="X3" s="3130"/>
      <c r="Y3" s="3130"/>
      <c r="Z3" s="340"/>
      <c r="AA3" s="340"/>
      <c r="AB3" s="340"/>
      <c r="AC3" s="340"/>
      <c r="AD3" s="340"/>
    </row>
    <row r="4" spans="1:30" ht="29.25" customHeight="1" thickBot="1" x14ac:dyDescent="0.3">
      <c r="A4" s="414"/>
      <c r="B4" s="415" t="s">
        <v>2</v>
      </c>
      <c r="C4" s="3131" t="s">
        <v>133</v>
      </c>
      <c r="D4" s="3132"/>
      <c r="E4" s="3132"/>
      <c r="F4" s="3132"/>
      <c r="G4" s="3132"/>
      <c r="H4" s="3132"/>
      <c r="I4" s="3132"/>
      <c r="J4" s="3132"/>
      <c r="K4" s="3132"/>
      <c r="L4" s="3132"/>
      <c r="M4" s="3133"/>
      <c r="N4" s="415" t="s">
        <v>65</v>
      </c>
      <c r="O4" s="3134" t="s">
        <v>66</v>
      </c>
      <c r="P4" s="3135"/>
      <c r="Q4" s="3135"/>
      <c r="R4" s="3135"/>
      <c r="S4" s="3135"/>
      <c r="T4" s="3135"/>
      <c r="U4" s="3135"/>
      <c r="V4" s="3135"/>
      <c r="W4" s="3135"/>
      <c r="X4" s="3135"/>
      <c r="Y4" s="3135"/>
      <c r="Z4" s="340"/>
      <c r="AA4" s="340"/>
      <c r="AB4" s="340"/>
      <c r="AC4" s="340"/>
      <c r="AD4" s="340"/>
    </row>
    <row r="5" spans="1:30" ht="29.25" customHeight="1" thickBot="1" x14ac:dyDescent="0.3">
      <c r="A5" s="3064"/>
      <c r="B5" s="3065"/>
      <c r="C5" s="3084" t="s">
        <v>3</v>
      </c>
      <c r="D5" s="3085"/>
      <c r="E5" s="3085"/>
      <c r="F5" s="3085"/>
      <c r="G5" s="3085"/>
      <c r="H5" s="3086"/>
      <c r="I5" s="3086"/>
      <c r="J5" s="3086"/>
      <c r="K5" s="3086"/>
      <c r="L5" s="3086"/>
      <c r="M5" s="3086"/>
      <c r="N5" s="3087"/>
      <c r="O5" s="3088" t="s">
        <v>4</v>
      </c>
      <c r="P5" s="3089"/>
      <c r="Q5" s="3089"/>
      <c r="R5" s="3089"/>
      <c r="S5" s="3089"/>
      <c r="T5" s="3089"/>
      <c r="U5" s="3089"/>
      <c r="V5" s="3089"/>
      <c r="W5" s="3089"/>
      <c r="X5" s="3089"/>
      <c r="Y5" s="3089"/>
      <c r="Z5" s="3090"/>
      <c r="AA5" s="391"/>
      <c r="AB5" s="65"/>
      <c r="AC5" s="65"/>
      <c r="AD5" s="66"/>
    </row>
    <row r="6" spans="1:30" ht="29.25" customHeight="1" x14ac:dyDescent="0.25">
      <c r="A6" s="3066"/>
      <c r="B6" s="3069" t="s">
        <v>5</v>
      </c>
      <c r="C6" s="3093" t="s">
        <v>6</v>
      </c>
      <c r="D6" s="3094"/>
      <c r="E6" s="3094"/>
      <c r="F6" s="3094"/>
      <c r="G6" s="3095"/>
      <c r="H6" s="3096" t="s">
        <v>7</v>
      </c>
      <c r="I6" s="3098"/>
      <c r="J6" s="3098" t="s">
        <v>8</v>
      </c>
      <c r="K6" s="3098"/>
      <c r="L6" s="3098" t="s">
        <v>9</v>
      </c>
      <c r="M6" s="3119"/>
      <c r="N6" s="3076" t="s">
        <v>146</v>
      </c>
      <c r="O6" s="3093" t="s">
        <v>6</v>
      </c>
      <c r="P6" s="3094"/>
      <c r="Q6" s="3094"/>
      <c r="R6" s="3094"/>
      <c r="S6" s="3095"/>
      <c r="T6" s="3120" t="s">
        <v>7</v>
      </c>
      <c r="U6" s="3121"/>
      <c r="V6" s="3099" t="s">
        <v>8</v>
      </c>
      <c r="W6" s="3121"/>
      <c r="X6" s="3099" t="s">
        <v>9</v>
      </c>
      <c r="Y6" s="3121"/>
      <c r="Z6" s="2679" t="s">
        <v>147</v>
      </c>
      <c r="AA6" s="3107" t="s">
        <v>10</v>
      </c>
      <c r="AB6" s="389"/>
      <c r="AC6" s="3048" t="s">
        <v>11</v>
      </c>
      <c r="AD6" s="3048" t="s">
        <v>12</v>
      </c>
    </row>
    <row r="7" spans="1:30" ht="29.25" customHeight="1" x14ac:dyDescent="0.25">
      <c r="A7" s="3067"/>
      <c r="B7" s="2629"/>
      <c r="C7" s="80" t="s">
        <v>13</v>
      </c>
      <c r="D7" s="417" t="s">
        <v>14</v>
      </c>
      <c r="E7" s="417" t="s">
        <v>15</v>
      </c>
      <c r="F7" s="417" t="s">
        <v>16</v>
      </c>
      <c r="G7" s="319" t="s">
        <v>17</v>
      </c>
      <c r="H7" s="101" t="s">
        <v>13</v>
      </c>
      <c r="I7" s="417" t="s">
        <v>14</v>
      </c>
      <c r="J7" s="417" t="s">
        <v>13</v>
      </c>
      <c r="K7" s="417" t="s">
        <v>14</v>
      </c>
      <c r="L7" s="417" t="s">
        <v>13</v>
      </c>
      <c r="M7" s="106" t="s">
        <v>14</v>
      </c>
      <c r="N7" s="3077"/>
      <c r="O7" s="80" t="s">
        <v>13</v>
      </c>
      <c r="P7" s="417" t="s">
        <v>14</v>
      </c>
      <c r="Q7" s="417" t="s">
        <v>15</v>
      </c>
      <c r="R7" s="417" t="s">
        <v>16</v>
      </c>
      <c r="S7" s="319" t="s">
        <v>17</v>
      </c>
      <c r="T7" s="3122"/>
      <c r="U7" s="3123"/>
      <c r="V7" s="3100"/>
      <c r="W7" s="3123"/>
      <c r="X7" s="3100"/>
      <c r="Y7" s="3123"/>
      <c r="Z7" s="2679"/>
      <c r="AA7" s="3107"/>
      <c r="AB7" s="389"/>
      <c r="AC7" s="2679"/>
      <c r="AD7" s="2679"/>
    </row>
    <row r="8" spans="1:30" ht="29.25" customHeight="1" x14ac:dyDescent="0.25">
      <c r="A8" s="3068"/>
      <c r="B8" s="418" t="s">
        <v>19</v>
      </c>
      <c r="C8" s="72">
        <v>1</v>
      </c>
      <c r="D8" s="419">
        <v>2</v>
      </c>
      <c r="E8" s="419">
        <v>1</v>
      </c>
      <c r="F8" s="419">
        <v>3</v>
      </c>
      <c r="G8" s="81">
        <v>2</v>
      </c>
      <c r="H8" s="374">
        <v>1</v>
      </c>
      <c r="I8" s="419">
        <v>1</v>
      </c>
      <c r="J8" s="419">
        <v>2</v>
      </c>
      <c r="K8" s="419">
        <v>2</v>
      </c>
      <c r="L8" s="420">
        <v>3</v>
      </c>
      <c r="M8" s="421">
        <v>3</v>
      </c>
      <c r="N8" s="3077"/>
      <c r="O8" s="72">
        <v>4</v>
      </c>
      <c r="P8" s="419">
        <v>4</v>
      </c>
      <c r="Q8" s="419">
        <v>3</v>
      </c>
      <c r="R8" s="419">
        <v>4</v>
      </c>
      <c r="S8" s="81">
        <v>3</v>
      </c>
      <c r="T8" s="422">
        <v>4</v>
      </c>
      <c r="U8" s="72">
        <v>4</v>
      </c>
      <c r="V8" s="423">
        <v>4</v>
      </c>
      <c r="W8" s="419">
        <v>3</v>
      </c>
      <c r="X8" s="424">
        <v>3</v>
      </c>
      <c r="Y8" s="424">
        <v>3</v>
      </c>
      <c r="Z8" s="2679"/>
      <c r="AA8" s="3107"/>
      <c r="AB8" s="389"/>
      <c r="AC8" s="2679"/>
      <c r="AD8" s="2679"/>
    </row>
    <row r="9" spans="1:30" ht="29.25" customHeight="1" x14ac:dyDescent="0.25">
      <c r="A9" s="417" t="s">
        <v>18</v>
      </c>
      <c r="B9" s="425" t="s">
        <v>26</v>
      </c>
      <c r="C9" s="72">
        <v>2</v>
      </c>
      <c r="D9" s="419">
        <v>2</v>
      </c>
      <c r="E9" s="419">
        <v>2</v>
      </c>
      <c r="F9" s="419">
        <v>2</v>
      </c>
      <c r="G9" s="81">
        <v>2</v>
      </c>
      <c r="H9" s="374">
        <v>5</v>
      </c>
      <c r="I9" s="419">
        <v>5</v>
      </c>
      <c r="J9" s="419">
        <v>5</v>
      </c>
      <c r="K9" s="419">
        <v>5</v>
      </c>
      <c r="L9" s="419">
        <v>5</v>
      </c>
      <c r="M9" s="421">
        <v>5</v>
      </c>
      <c r="N9" s="82"/>
      <c r="O9" s="72">
        <v>2</v>
      </c>
      <c r="P9" s="419">
        <v>2</v>
      </c>
      <c r="Q9" s="419">
        <v>2</v>
      </c>
      <c r="R9" s="419">
        <v>2</v>
      </c>
      <c r="S9" s="81">
        <v>2</v>
      </c>
      <c r="T9" s="422">
        <v>5</v>
      </c>
      <c r="U9" s="72">
        <v>5</v>
      </c>
      <c r="V9" s="423">
        <v>5</v>
      </c>
      <c r="W9" s="419">
        <v>5</v>
      </c>
      <c r="X9" s="419">
        <v>5</v>
      </c>
      <c r="Y9" s="419">
        <v>5</v>
      </c>
      <c r="Z9" s="426"/>
      <c r="AA9" s="417"/>
      <c r="AB9" s="388"/>
      <c r="AC9" s="388"/>
      <c r="AD9" s="330"/>
    </row>
    <row r="10" spans="1:30" ht="29.25" customHeight="1" x14ac:dyDescent="0.25">
      <c r="A10" s="417">
        <v>1</v>
      </c>
      <c r="B10" s="427">
        <v>5191421001</v>
      </c>
      <c r="C10" s="396">
        <v>2</v>
      </c>
      <c r="D10" s="428">
        <v>2</v>
      </c>
      <c r="E10" s="428">
        <v>1</v>
      </c>
      <c r="F10" s="428"/>
      <c r="G10" s="99">
        <v>2</v>
      </c>
      <c r="H10" s="397">
        <v>5</v>
      </c>
      <c r="I10" s="428">
        <v>5</v>
      </c>
      <c r="J10" s="428">
        <v>4</v>
      </c>
      <c r="K10" s="428">
        <v>5</v>
      </c>
      <c r="L10" s="429"/>
      <c r="M10" s="430"/>
      <c r="N10" s="84">
        <f t="shared" ref="N10:N41" si="0">SUM(C10:M10)</f>
        <v>26</v>
      </c>
      <c r="O10" s="85">
        <v>1</v>
      </c>
      <c r="P10" s="431">
        <v>0</v>
      </c>
      <c r="Q10" s="431">
        <v>0</v>
      </c>
      <c r="R10" s="431">
        <v>2</v>
      </c>
      <c r="S10" s="86"/>
      <c r="T10" s="432"/>
      <c r="U10" s="87"/>
      <c r="V10" s="433">
        <v>1</v>
      </c>
      <c r="W10" s="429">
        <v>2</v>
      </c>
      <c r="X10" s="429">
        <v>3</v>
      </c>
      <c r="Y10" s="429"/>
      <c r="Z10" s="434">
        <f t="shared" ref="Z10:Z41" si="1">SUM(O10:Y10)</f>
        <v>9</v>
      </c>
      <c r="AA10" s="435">
        <f t="shared" ref="AA10:AA67" si="2">ROUND(AVERAGE(N10,Z10),0)</f>
        <v>18</v>
      </c>
      <c r="AB10" s="392"/>
      <c r="AC10" s="9" t="s">
        <v>32</v>
      </c>
      <c r="AD10" s="435">
        <f>IF(AC10="O",100,IF(AC10="A+",90,IF(AC10="A",80,IF(AC10="B+",70,IF(AC10="B",60,IF(AC10="C",55,IF(AC10="P",50,IF(AC10="F",39))))))))</f>
        <v>70</v>
      </c>
    </row>
    <row r="11" spans="1:30" ht="29.25" customHeight="1" x14ac:dyDescent="0.25">
      <c r="A11" s="417">
        <v>2</v>
      </c>
      <c r="B11" s="427">
        <v>5191421002</v>
      </c>
      <c r="C11" s="312">
        <v>2</v>
      </c>
      <c r="D11" s="429">
        <v>2</v>
      </c>
      <c r="E11" s="429">
        <v>1</v>
      </c>
      <c r="F11" s="429">
        <v>1</v>
      </c>
      <c r="G11" s="86">
        <v>2</v>
      </c>
      <c r="H11" s="87">
        <v>2</v>
      </c>
      <c r="I11" s="429">
        <v>2</v>
      </c>
      <c r="J11" s="429">
        <v>3</v>
      </c>
      <c r="K11" s="429"/>
      <c r="L11" s="429"/>
      <c r="M11" s="436"/>
      <c r="N11" s="84">
        <f>SUM(C11:M11)</f>
        <v>15</v>
      </c>
      <c r="O11" s="85">
        <v>2</v>
      </c>
      <c r="P11" s="431">
        <v>1</v>
      </c>
      <c r="Q11" s="431">
        <v>0</v>
      </c>
      <c r="R11" s="431">
        <v>2</v>
      </c>
      <c r="S11" s="86"/>
      <c r="T11" s="432">
        <v>4</v>
      </c>
      <c r="U11" s="87">
        <v>3</v>
      </c>
      <c r="V11" s="433"/>
      <c r="W11" s="429"/>
      <c r="X11" s="429"/>
      <c r="Y11" s="429">
        <v>3</v>
      </c>
      <c r="Z11" s="437">
        <f t="shared" si="1"/>
        <v>15</v>
      </c>
      <c r="AA11" s="435">
        <f t="shared" si="2"/>
        <v>15</v>
      </c>
      <c r="AB11" s="392"/>
      <c r="AC11" s="9" t="s">
        <v>31</v>
      </c>
      <c r="AD11" s="435">
        <f t="shared" ref="AD11:AD67" si="3">IF(AC11="O",100,IF(AC11="A+",90,IF(AC11="A",80,IF(AC11="B+",70,IF(AC11="B",60,IF(AC11="C",55,IF(AC11="P",50,IF(AC11="F",39))))))))</f>
        <v>55</v>
      </c>
    </row>
    <row r="12" spans="1:30" ht="29.25" customHeight="1" x14ac:dyDescent="0.25">
      <c r="A12" s="417">
        <v>3</v>
      </c>
      <c r="B12" s="427">
        <v>5191421003</v>
      </c>
      <c r="C12" s="107">
        <v>2</v>
      </c>
      <c r="D12" s="431">
        <v>1</v>
      </c>
      <c r="E12" s="431">
        <v>1</v>
      </c>
      <c r="F12" s="431">
        <v>2</v>
      </c>
      <c r="G12" s="86">
        <v>2</v>
      </c>
      <c r="H12" s="87">
        <v>5</v>
      </c>
      <c r="I12" s="429">
        <v>3</v>
      </c>
      <c r="J12" s="429"/>
      <c r="K12" s="429">
        <v>3</v>
      </c>
      <c r="L12" s="429"/>
      <c r="M12" s="436"/>
      <c r="N12" s="84">
        <f t="shared" si="0"/>
        <v>19</v>
      </c>
      <c r="O12" s="85">
        <v>2</v>
      </c>
      <c r="P12" s="431">
        <v>1</v>
      </c>
      <c r="Q12" s="431">
        <v>2</v>
      </c>
      <c r="R12" s="431">
        <v>2</v>
      </c>
      <c r="S12" s="86">
        <v>1</v>
      </c>
      <c r="T12" s="432">
        <v>4</v>
      </c>
      <c r="U12" s="87">
        <v>3</v>
      </c>
      <c r="V12" s="433">
        <v>4</v>
      </c>
      <c r="W12" s="429">
        <v>5</v>
      </c>
      <c r="X12" s="429"/>
      <c r="Y12" s="429"/>
      <c r="Z12" s="437">
        <f t="shared" si="1"/>
        <v>24</v>
      </c>
      <c r="AA12" s="435">
        <f t="shared" si="2"/>
        <v>22</v>
      </c>
      <c r="AB12" s="392"/>
      <c r="AC12" s="9" t="s">
        <v>27</v>
      </c>
      <c r="AD12" s="435">
        <f t="shared" si="3"/>
        <v>80</v>
      </c>
    </row>
    <row r="13" spans="1:30" ht="29.25" customHeight="1" x14ac:dyDescent="0.25">
      <c r="A13" s="417">
        <v>4</v>
      </c>
      <c r="B13" s="427">
        <v>5191421004</v>
      </c>
      <c r="C13" s="100">
        <v>1</v>
      </c>
      <c r="D13" s="431">
        <v>1</v>
      </c>
      <c r="E13" s="431"/>
      <c r="F13" s="431"/>
      <c r="G13" s="86"/>
      <c r="H13" s="87">
        <v>1</v>
      </c>
      <c r="I13" s="429"/>
      <c r="J13" s="429"/>
      <c r="K13" s="429"/>
      <c r="L13" s="429"/>
      <c r="M13" s="436"/>
      <c r="N13" s="84">
        <f t="shared" si="0"/>
        <v>3</v>
      </c>
      <c r="O13" s="85"/>
      <c r="P13" s="431"/>
      <c r="Q13" s="431"/>
      <c r="R13" s="431">
        <v>2</v>
      </c>
      <c r="S13" s="86"/>
      <c r="T13" s="432"/>
      <c r="U13" s="87"/>
      <c r="V13" s="433"/>
      <c r="W13" s="429">
        <v>1</v>
      </c>
      <c r="X13" s="429">
        <v>1</v>
      </c>
      <c r="Y13" s="429"/>
      <c r="Z13" s="437">
        <f t="shared" si="1"/>
        <v>4</v>
      </c>
      <c r="AA13" s="435">
        <f t="shared" si="2"/>
        <v>4</v>
      </c>
      <c r="AB13" s="392"/>
      <c r="AC13" s="9" t="s">
        <v>28</v>
      </c>
      <c r="AD13" s="435">
        <f t="shared" si="3"/>
        <v>50</v>
      </c>
    </row>
    <row r="14" spans="1:30" ht="29.25" customHeight="1" x14ac:dyDescent="0.25">
      <c r="A14" s="417">
        <v>5</v>
      </c>
      <c r="B14" s="427">
        <v>5191421005</v>
      </c>
      <c r="C14" s="107">
        <v>1</v>
      </c>
      <c r="D14" s="431">
        <v>1</v>
      </c>
      <c r="E14" s="431"/>
      <c r="F14" s="431"/>
      <c r="G14" s="86"/>
      <c r="H14" s="87">
        <v>5</v>
      </c>
      <c r="I14" s="429">
        <v>2</v>
      </c>
      <c r="J14" s="429"/>
      <c r="K14" s="429">
        <v>3</v>
      </c>
      <c r="L14" s="429"/>
      <c r="M14" s="436"/>
      <c r="N14" s="84">
        <f t="shared" si="0"/>
        <v>12</v>
      </c>
      <c r="O14" s="85"/>
      <c r="P14" s="431"/>
      <c r="Q14" s="431"/>
      <c r="R14" s="431">
        <v>2</v>
      </c>
      <c r="S14" s="86"/>
      <c r="T14" s="432"/>
      <c r="U14" s="87"/>
      <c r="V14" s="433"/>
      <c r="W14" s="429"/>
      <c r="X14" s="429">
        <v>2</v>
      </c>
      <c r="Y14" s="429"/>
      <c r="Z14" s="437">
        <f t="shared" si="1"/>
        <v>4</v>
      </c>
      <c r="AA14" s="435">
        <f t="shared" si="2"/>
        <v>8</v>
      </c>
      <c r="AB14" s="392"/>
      <c r="AC14" s="9" t="s">
        <v>33</v>
      </c>
      <c r="AD14" s="435">
        <f t="shared" si="3"/>
        <v>60</v>
      </c>
    </row>
    <row r="15" spans="1:30" ht="29.25" customHeight="1" x14ac:dyDescent="0.25">
      <c r="A15" s="417">
        <v>6</v>
      </c>
      <c r="B15" s="427">
        <v>5191421006</v>
      </c>
      <c r="C15" s="107">
        <v>2</v>
      </c>
      <c r="D15" s="431">
        <v>2</v>
      </c>
      <c r="E15" s="431">
        <v>2</v>
      </c>
      <c r="F15" s="431">
        <v>2</v>
      </c>
      <c r="G15" s="86">
        <v>0</v>
      </c>
      <c r="H15" s="87">
        <v>2</v>
      </c>
      <c r="I15" s="429">
        <v>1</v>
      </c>
      <c r="J15" s="429">
        <v>1</v>
      </c>
      <c r="K15" s="429">
        <v>2</v>
      </c>
      <c r="L15" s="429"/>
      <c r="M15" s="436"/>
      <c r="N15" s="84">
        <f t="shared" si="0"/>
        <v>14</v>
      </c>
      <c r="O15" s="85">
        <v>2</v>
      </c>
      <c r="P15" s="431">
        <v>1</v>
      </c>
      <c r="Q15" s="431">
        <v>2</v>
      </c>
      <c r="R15" s="431">
        <v>2</v>
      </c>
      <c r="S15" s="86">
        <v>1</v>
      </c>
      <c r="T15" s="432">
        <v>4</v>
      </c>
      <c r="U15" s="87">
        <v>3</v>
      </c>
      <c r="V15" s="433">
        <v>4</v>
      </c>
      <c r="W15" s="429">
        <v>4</v>
      </c>
      <c r="X15" s="429"/>
      <c r="Y15" s="429"/>
      <c r="Z15" s="437">
        <f t="shared" si="1"/>
        <v>23</v>
      </c>
      <c r="AA15" s="435">
        <f t="shared" si="2"/>
        <v>19</v>
      </c>
      <c r="AB15" s="392"/>
      <c r="AC15" s="9" t="s">
        <v>27</v>
      </c>
      <c r="AD15" s="435">
        <f t="shared" si="3"/>
        <v>80</v>
      </c>
    </row>
    <row r="16" spans="1:30" ht="29.25" customHeight="1" x14ac:dyDescent="0.25">
      <c r="A16" s="417">
        <v>7</v>
      </c>
      <c r="B16" s="427">
        <v>5191421007</v>
      </c>
      <c r="C16" s="107"/>
      <c r="D16" s="431"/>
      <c r="E16" s="431"/>
      <c r="F16" s="431"/>
      <c r="G16" s="86"/>
      <c r="H16" s="87">
        <v>1</v>
      </c>
      <c r="I16" s="429">
        <v>2</v>
      </c>
      <c r="J16" s="429"/>
      <c r="K16" s="429"/>
      <c r="L16" s="429"/>
      <c r="M16" s="436">
        <v>2</v>
      </c>
      <c r="N16" s="84">
        <f t="shared" si="0"/>
        <v>5</v>
      </c>
      <c r="O16" s="85">
        <v>1</v>
      </c>
      <c r="P16" s="431">
        <v>1</v>
      </c>
      <c r="Q16" s="431"/>
      <c r="R16" s="431">
        <v>2</v>
      </c>
      <c r="S16" s="86"/>
      <c r="T16" s="432">
        <v>3</v>
      </c>
      <c r="U16" s="87">
        <v>3</v>
      </c>
      <c r="V16" s="433"/>
      <c r="W16" s="429">
        <v>2</v>
      </c>
      <c r="X16" s="429"/>
      <c r="Y16" s="429"/>
      <c r="Z16" s="437">
        <f t="shared" si="1"/>
        <v>12</v>
      </c>
      <c r="AA16" s="435">
        <f t="shared" si="2"/>
        <v>9</v>
      </c>
      <c r="AB16" s="392"/>
      <c r="AC16" s="9" t="s">
        <v>28</v>
      </c>
      <c r="AD16" s="435">
        <f t="shared" si="3"/>
        <v>50</v>
      </c>
    </row>
    <row r="17" spans="1:30" ht="29.25" customHeight="1" x14ac:dyDescent="0.25">
      <c r="A17" s="417">
        <v>8</v>
      </c>
      <c r="B17" s="427">
        <v>5191421008</v>
      </c>
      <c r="C17" s="107">
        <v>2</v>
      </c>
      <c r="D17" s="431">
        <v>2</v>
      </c>
      <c r="E17" s="431"/>
      <c r="F17" s="431">
        <v>1</v>
      </c>
      <c r="G17" s="86"/>
      <c r="H17" s="87">
        <v>2</v>
      </c>
      <c r="I17" s="429"/>
      <c r="J17" s="429"/>
      <c r="K17" s="429">
        <v>1</v>
      </c>
      <c r="L17" s="429"/>
      <c r="M17" s="436"/>
      <c r="N17" s="84">
        <f t="shared" si="0"/>
        <v>8</v>
      </c>
      <c r="O17" s="85">
        <v>0</v>
      </c>
      <c r="P17" s="431">
        <v>1</v>
      </c>
      <c r="Q17" s="431">
        <v>1</v>
      </c>
      <c r="R17" s="431">
        <v>2</v>
      </c>
      <c r="S17" s="86"/>
      <c r="T17" s="432"/>
      <c r="U17" s="87"/>
      <c r="V17" s="433">
        <v>1</v>
      </c>
      <c r="W17" s="429">
        <v>2</v>
      </c>
      <c r="X17" s="429">
        <v>2</v>
      </c>
      <c r="Y17" s="429"/>
      <c r="Z17" s="437">
        <f t="shared" si="1"/>
        <v>9</v>
      </c>
      <c r="AA17" s="435">
        <f t="shared" si="2"/>
        <v>9</v>
      </c>
      <c r="AB17" s="392"/>
      <c r="AC17" s="9" t="s">
        <v>28</v>
      </c>
      <c r="AD17" s="435">
        <f t="shared" si="3"/>
        <v>50</v>
      </c>
    </row>
    <row r="18" spans="1:30" ht="29.25" customHeight="1" x14ac:dyDescent="0.25">
      <c r="A18" s="417">
        <v>9</v>
      </c>
      <c r="B18" s="427">
        <v>5191421009</v>
      </c>
      <c r="C18" s="312">
        <v>2</v>
      </c>
      <c r="D18" s="429">
        <v>2</v>
      </c>
      <c r="E18" s="429">
        <v>2</v>
      </c>
      <c r="F18" s="429"/>
      <c r="G18" s="86"/>
      <c r="H18" s="87">
        <v>3</v>
      </c>
      <c r="I18" s="429"/>
      <c r="J18" s="429"/>
      <c r="K18" s="429">
        <v>4</v>
      </c>
      <c r="L18" s="429"/>
      <c r="M18" s="436"/>
      <c r="N18" s="84">
        <f t="shared" si="0"/>
        <v>13</v>
      </c>
      <c r="O18" s="85">
        <v>1</v>
      </c>
      <c r="P18" s="431">
        <v>1</v>
      </c>
      <c r="Q18" s="431"/>
      <c r="R18" s="431">
        <v>2</v>
      </c>
      <c r="S18" s="86"/>
      <c r="T18" s="432">
        <v>2</v>
      </c>
      <c r="U18" s="87">
        <v>3</v>
      </c>
      <c r="V18" s="433"/>
      <c r="W18" s="429"/>
      <c r="X18" s="429">
        <v>2</v>
      </c>
      <c r="Y18" s="429">
        <v>1</v>
      </c>
      <c r="Z18" s="437">
        <f t="shared" si="1"/>
        <v>12</v>
      </c>
      <c r="AA18" s="435">
        <f t="shared" si="2"/>
        <v>13</v>
      </c>
      <c r="AB18" s="392"/>
      <c r="AC18" s="9" t="s">
        <v>33</v>
      </c>
      <c r="AD18" s="435">
        <f t="shared" si="3"/>
        <v>60</v>
      </c>
    </row>
    <row r="19" spans="1:30" ht="29.25" customHeight="1" x14ac:dyDescent="0.25">
      <c r="A19" s="417">
        <v>10</v>
      </c>
      <c r="B19" s="427">
        <v>5191421010</v>
      </c>
      <c r="C19" s="107">
        <v>2</v>
      </c>
      <c r="D19" s="431">
        <v>1</v>
      </c>
      <c r="E19" s="431">
        <v>1</v>
      </c>
      <c r="F19" s="431">
        <v>1</v>
      </c>
      <c r="G19" s="86">
        <v>1</v>
      </c>
      <c r="H19" s="87">
        <v>5</v>
      </c>
      <c r="I19" s="429">
        <v>5</v>
      </c>
      <c r="J19" s="429"/>
      <c r="K19" s="429">
        <v>1</v>
      </c>
      <c r="L19" s="429"/>
      <c r="M19" s="436"/>
      <c r="N19" s="84">
        <f t="shared" si="0"/>
        <v>17</v>
      </c>
      <c r="O19" s="85"/>
      <c r="P19" s="431"/>
      <c r="Q19" s="431"/>
      <c r="R19" s="431">
        <v>2</v>
      </c>
      <c r="S19" s="86"/>
      <c r="T19" s="432">
        <v>1</v>
      </c>
      <c r="U19" s="87">
        <v>3</v>
      </c>
      <c r="V19" s="433">
        <v>5</v>
      </c>
      <c r="W19" s="429">
        <v>2</v>
      </c>
      <c r="X19" s="429">
        <v>3</v>
      </c>
      <c r="Y19" s="429">
        <v>2</v>
      </c>
      <c r="Z19" s="437">
        <f t="shared" si="1"/>
        <v>18</v>
      </c>
      <c r="AA19" s="435">
        <f t="shared" si="2"/>
        <v>18</v>
      </c>
      <c r="AB19" s="392"/>
      <c r="AC19" s="9" t="s">
        <v>33</v>
      </c>
      <c r="AD19" s="435">
        <f t="shared" si="3"/>
        <v>60</v>
      </c>
    </row>
    <row r="20" spans="1:30" ht="29.25" customHeight="1" x14ac:dyDescent="0.25">
      <c r="A20" s="417">
        <v>11</v>
      </c>
      <c r="B20" s="427">
        <v>5191421011</v>
      </c>
      <c r="C20" s="107">
        <v>2</v>
      </c>
      <c r="D20" s="431">
        <v>2</v>
      </c>
      <c r="E20" s="431">
        <v>2</v>
      </c>
      <c r="F20" s="431">
        <v>1</v>
      </c>
      <c r="G20" s="86"/>
      <c r="H20" s="87">
        <v>5</v>
      </c>
      <c r="I20" s="429">
        <v>5</v>
      </c>
      <c r="J20" s="429">
        <v>5</v>
      </c>
      <c r="K20" s="429">
        <v>2</v>
      </c>
      <c r="L20" s="429"/>
      <c r="M20" s="436"/>
      <c r="N20" s="84">
        <f t="shared" si="0"/>
        <v>24</v>
      </c>
      <c r="O20" s="85">
        <v>2</v>
      </c>
      <c r="P20" s="431">
        <v>1</v>
      </c>
      <c r="Q20" s="431">
        <v>1</v>
      </c>
      <c r="R20" s="431">
        <v>2</v>
      </c>
      <c r="S20" s="86"/>
      <c r="T20" s="432">
        <v>4</v>
      </c>
      <c r="U20" s="87">
        <v>3</v>
      </c>
      <c r="V20" s="433">
        <v>5</v>
      </c>
      <c r="W20" s="429">
        <v>5</v>
      </c>
      <c r="X20" s="429"/>
      <c r="Y20" s="429"/>
      <c r="Z20" s="437">
        <f t="shared" si="1"/>
        <v>23</v>
      </c>
      <c r="AA20" s="435">
        <f t="shared" si="2"/>
        <v>24</v>
      </c>
      <c r="AB20" s="392"/>
      <c r="AC20" s="9" t="s">
        <v>27</v>
      </c>
      <c r="AD20" s="435">
        <f t="shared" si="3"/>
        <v>80</v>
      </c>
    </row>
    <row r="21" spans="1:30" ht="29.25" customHeight="1" x14ac:dyDescent="0.25">
      <c r="A21" s="417">
        <v>12</v>
      </c>
      <c r="B21" s="427">
        <v>5191421012</v>
      </c>
      <c r="C21" s="107">
        <v>2</v>
      </c>
      <c r="D21" s="431">
        <v>2</v>
      </c>
      <c r="E21" s="431">
        <v>1</v>
      </c>
      <c r="F21" s="431">
        <v>1</v>
      </c>
      <c r="G21" s="86">
        <v>2</v>
      </c>
      <c r="H21" s="87">
        <v>5</v>
      </c>
      <c r="I21" s="429">
        <v>3</v>
      </c>
      <c r="J21" s="429">
        <v>5</v>
      </c>
      <c r="K21" s="429">
        <v>4</v>
      </c>
      <c r="L21" s="429"/>
      <c r="M21" s="436"/>
      <c r="N21" s="84">
        <f t="shared" si="0"/>
        <v>25</v>
      </c>
      <c r="O21" s="85"/>
      <c r="P21" s="431"/>
      <c r="Q21" s="431"/>
      <c r="R21" s="431">
        <v>2</v>
      </c>
      <c r="S21" s="86"/>
      <c r="T21" s="432"/>
      <c r="U21" s="87">
        <v>2</v>
      </c>
      <c r="V21" s="433"/>
      <c r="W21" s="429"/>
      <c r="X21" s="429">
        <v>3</v>
      </c>
      <c r="Y21" s="429"/>
      <c r="Z21" s="437">
        <f t="shared" si="1"/>
        <v>7</v>
      </c>
      <c r="AA21" s="435">
        <f t="shared" si="2"/>
        <v>16</v>
      </c>
      <c r="AB21" s="392"/>
      <c r="AC21" s="9" t="s">
        <v>32</v>
      </c>
      <c r="AD21" s="435">
        <f t="shared" si="3"/>
        <v>70</v>
      </c>
    </row>
    <row r="22" spans="1:30" ht="29.25" customHeight="1" x14ac:dyDescent="0.25">
      <c r="A22" s="417">
        <v>13</v>
      </c>
      <c r="B22" s="427">
        <v>5191421013</v>
      </c>
      <c r="C22" s="107">
        <v>2</v>
      </c>
      <c r="D22" s="431">
        <v>2</v>
      </c>
      <c r="E22" s="431">
        <v>1</v>
      </c>
      <c r="F22" s="431">
        <v>2</v>
      </c>
      <c r="G22" s="86">
        <v>2</v>
      </c>
      <c r="H22" s="87"/>
      <c r="I22" s="429"/>
      <c r="J22" s="429">
        <v>3</v>
      </c>
      <c r="K22" s="429">
        <v>5</v>
      </c>
      <c r="L22" s="429">
        <v>1</v>
      </c>
      <c r="M22" s="436">
        <v>1</v>
      </c>
      <c r="N22" s="84">
        <f t="shared" si="0"/>
        <v>19</v>
      </c>
      <c r="O22" s="85">
        <v>1</v>
      </c>
      <c r="P22" s="431">
        <v>2</v>
      </c>
      <c r="Q22" s="431">
        <v>2</v>
      </c>
      <c r="R22" s="431">
        <v>2</v>
      </c>
      <c r="S22" s="86">
        <v>1</v>
      </c>
      <c r="T22" s="432">
        <v>3</v>
      </c>
      <c r="U22" s="87">
        <v>3</v>
      </c>
      <c r="V22" s="433"/>
      <c r="W22" s="429"/>
      <c r="X22" s="429">
        <v>3</v>
      </c>
      <c r="Y22" s="429">
        <v>4</v>
      </c>
      <c r="Z22" s="437">
        <f t="shared" si="1"/>
        <v>21</v>
      </c>
      <c r="AA22" s="435">
        <f t="shared" si="2"/>
        <v>20</v>
      </c>
      <c r="AB22" s="392"/>
      <c r="AC22" s="9" t="s">
        <v>32</v>
      </c>
      <c r="AD22" s="435">
        <f t="shared" si="3"/>
        <v>70</v>
      </c>
    </row>
    <row r="23" spans="1:30" ht="29.25" customHeight="1" x14ac:dyDescent="0.25">
      <c r="A23" s="417">
        <v>14</v>
      </c>
      <c r="B23" s="427">
        <v>5191421014</v>
      </c>
      <c r="C23" s="107">
        <v>2</v>
      </c>
      <c r="D23" s="431">
        <v>1</v>
      </c>
      <c r="E23" s="431">
        <v>1</v>
      </c>
      <c r="F23" s="431">
        <v>1</v>
      </c>
      <c r="G23" s="86"/>
      <c r="H23" s="87">
        <v>2</v>
      </c>
      <c r="I23" s="429">
        <v>2</v>
      </c>
      <c r="J23" s="429"/>
      <c r="K23" s="429">
        <v>2</v>
      </c>
      <c r="L23" s="429"/>
      <c r="M23" s="436"/>
      <c r="N23" s="84">
        <f t="shared" si="0"/>
        <v>11</v>
      </c>
      <c r="O23" s="85">
        <v>1</v>
      </c>
      <c r="P23" s="431">
        <v>1</v>
      </c>
      <c r="Q23" s="431">
        <v>1</v>
      </c>
      <c r="R23" s="431">
        <v>2</v>
      </c>
      <c r="S23" s="86"/>
      <c r="T23" s="432"/>
      <c r="U23" s="87"/>
      <c r="V23" s="433">
        <v>1</v>
      </c>
      <c r="W23" s="429">
        <v>3</v>
      </c>
      <c r="X23" s="429">
        <v>2</v>
      </c>
      <c r="Y23" s="429">
        <v>3</v>
      </c>
      <c r="Z23" s="437">
        <f t="shared" si="1"/>
        <v>14</v>
      </c>
      <c r="AA23" s="435">
        <f t="shared" si="2"/>
        <v>13</v>
      </c>
      <c r="AB23" s="392"/>
      <c r="AC23" s="9" t="s">
        <v>31</v>
      </c>
      <c r="AD23" s="435">
        <f t="shared" si="3"/>
        <v>55</v>
      </c>
    </row>
    <row r="24" spans="1:30" ht="29.25" customHeight="1" x14ac:dyDescent="0.25">
      <c r="A24" s="417">
        <v>15</v>
      </c>
      <c r="B24" s="427">
        <v>5191421015</v>
      </c>
      <c r="C24" s="107">
        <v>1</v>
      </c>
      <c r="D24" s="431"/>
      <c r="E24" s="431"/>
      <c r="F24" s="431"/>
      <c r="G24" s="86">
        <v>2</v>
      </c>
      <c r="H24" s="87">
        <v>5</v>
      </c>
      <c r="I24" s="429">
        <v>0</v>
      </c>
      <c r="J24" s="429"/>
      <c r="K24" s="429">
        <v>2</v>
      </c>
      <c r="L24" s="429"/>
      <c r="M24" s="436"/>
      <c r="N24" s="84">
        <f t="shared" si="0"/>
        <v>10</v>
      </c>
      <c r="O24" s="85"/>
      <c r="P24" s="431">
        <v>1</v>
      </c>
      <c r="Q24" s="431"/>
      <c r="R24" s="431"/>
      <c r="S24" s="86"/>
      <c r="T24" s="432"/>
      <c r="U24" s="87">
        <v>3</v>
      </c>
      <c r="V24" s="433">
        <v>3</v>
      </c>
      <c r="W24" s="429">
        <v>2</v>
      </c>
      <c r="X24" s="429"/>
      <c r="Y24" s="429"/>
      <c r="Z24" s="437">
        <f t="shared" si="1"/>
        <v>9</v>
      </c>
      <c r="AA24" s="435">
        <f t="shared" si="2"/>
        <v>10</v>
      </c>
      <c r="AB24" s="392"/>
      <c r="AC24" s="9" t="s">
        <v>28</v>
      </c>
      <c r="AD24" s="435">
        <f t="shared" si="3"/>
        <v>50</v>
      </c>
    </row>
    <row r="25" spans="1:30" ht="29.25" customHeight="1" x14ac:dyDescent="0.25">
      <c r="A25" s="417">
        <v>16</v>
      </c>
      <c r="B25" s="427">
        <v>5191421016</v>
      </c>
      <c r="C25" s="107">
        <v>1</v>
      </c>
      <c r="D25" s="431"/>
      <c r="E25" s="431"/>
      <c r="F25" s="431"/>
      <c r="G25" s="86">
        <v>1</v>
      </c>
      <c r="H25" s="87">
        <v>5</v>
      </c>
      <c r="I25" s="429">
        <v>3</v>
      </c>
      <c r="J25" s="429"/>
      <c r="K25" s="429">
        <v>4</v>
      </c>
      <c r="L25" s="429"/>
      <c r="M25" s="436"/>
      <c r="N25" s="84">
        <f t="shared" si="0"/>
        <v>14</v>
      </c>
      <c r="O25" s="85">
        <v>1</v>
      </c>
      <c r="P25" s="431"/>
      <c r="Q25" s="431">
        <v>1</v>
      </c>
      <c r="R25" s="431"/>
      <c r="S25" s="86"/>
      <c r="T25" s="432">
        <v>5</v>
      </c>
      <c r="U25" s="87">
        <v>3</v>
      </c>
      <c r="V25" s="433"/>
      <c r="W25" s="429">
        <v>2</v>
      </c>
      <c r="X25" s="429"/>
      <c r="Y25" s="429"/>
      <c r="Z25" s="437">
        <f t="shared" si="1"/>
        <v>12</v>
      </c>
      <c r="AA25" s="435">
        <f t="shared" si="2"/>
        <v>13</v>
      </c>
      <c r="AB25" s="392"/>
      <c r="AC25" s="9" t="s">
        <v>31</v>
      </c>
      <c r="AD25" s="435">
        <f t="shared" si="3"/>
        <v>55</v>
      </c>
    </row>
    <row r="26" spans="1:30" ht="29.25" customHeight="1" x14ac:dyDescent="0.25">
      <c r="A26" s="417">
        <v>17</v>
      </c>
      <c r="B26" s="427">
        <v>5191421017</v>
      </c>
      <c r="C26" s="107">
        <v>2</v>
      </c>
      <c r="D26" s="431">
        <v>2</v>
      </c>
      <c r="E26" s="431">
        <v>2</v>
      </c>
      <c r="F26" s="431">
        <v>0</v>
      </c>
      <c r="G26" s="86"/>
      <c r="H26" s="87"/>
      <c r="I26" s="429"/>
      <c r="J26" s="429">
        <v>0</v>
      </c>
      <c r="K26" s="429"/>
      <c r="L26" s="429">
        <v>0</v>
      </c>
      <c r="M26" s="436">
        <v>0</v>
      </c>
      <c r="N26" s="84">
        <f t="shared" si="0"/>
        <v>6</v>
      </c>
      <c r="O26" s="85"/>
      <c r="P26" s="431"/>
      <c r="Q26" s="431"/>
      <c r="R26" s="431">
        <v>2</v>
      </c>
      <c r="S26" s="86"/>
      <c r="T26" s="432">
        <v>3</v>
      </c>
      <c r="U26" s="87">
        <v>3</v>
      </c>
      <c r="V26" s="433"/>
      <c r="W26" s="429"/>
      <c r="X26" s="429">
        <v>4</v>
      </c>
      <c r="Y26" s="429"/>
      <c r="Z26" s="437">
        <f t="shared" si="1"/>
        <v>12</v>
      </c>
      <c r="AA26" s="435">
        <f t="shared" si="2"/>
        <v>9</v>
      </c>
      <c r="AB26" s="392"/>
      <c r="AC26" s="9" t="s">
        <v>33</v>
      </c>
      <c r="AD26" s="435">
        <f t="shared" si="3"/>
        <v>60</v>
      </c>
    </row>
    <row r="27" spans="1:30" ht="29.25" customHeight="1" x14ac:dyDescent="0.25">
      <c r="A27" s="417">
        <v>18</v>
      </c>
      <c r="B27" s="427">
        <v>5191421018</v>
      </c>
      <c r="C27" s="100">
        <v>0</v>
      </c>
      <c r="D27" s="431">
        <v>0</v>
      </c>
      <c r="E27" s="431">
        <v>0</v>
      </c>
      <c r="F27" s="431"/>
      <c r="G27" s="86"/>
      <c r="H27" s="87"/>
      <c r="I27" s="429"/>
      <c r="J27" s="429"/>
      <c r="K27" s="429"/>
      <c r="L27" s="429"/>
      <c r="M27" s="436"/>
      <c r="N27" s="84">
        <f t="shared" si="0"/>
        <v>0</v>
      </c>
      <c r="O27" s="85">
        <v>1</v>
      </c>
      <c r="P27" s="431">
        <v>1</v>
      </c>
      <c r="Q27" s="431">
        <v>1</v>
      </c>
      <c r="R27" s="431"/>
      <c r="S27" s="86">
        <v>1</v>
      </c>
      <c r="T27" s="432"/>
      <c r="U27" s="87"/>
      <c r="V27" s="433"/>
      <c r="W27" s="429">
        <v>2</v>
      </c>
      <c r="X27" s="429">
        <v>2</v>
      </c>
      <c r="Y27" s="429"/>
      <c r="Z27" s="437">
        <f t="shared" si="1"/>
        <v>8</v>
      </c>
      <c r="AA27" s="435">
        <f t="shared" si="2"/>
        <v>4</v>
      </c>
      <c r="AB27" s="392"/>
      <c r="AC27" s="9" t="s">
        <v>28</v>
      </c>
      <c r="AD27" s="435">
        <f t="shared" si="3"/>
        <v>50</v>
      </c>
    </row>
    <row r="28" spans="1:30" ht="29.25" customHeight="1" x14ac:dyDescent="0.25">
      <c r="A28" s="417">
        <v>19</v>
      </c>
      <c r="B28" s="427">
        <v>5191421019</v>
      </c>
      <c r="C28" s="85">
        <v>2</v>
      </c>
      <c r="D28" s="429">
        <v>2</v>
      </c>
      <c r="E28" s="429">
        <v>2</v>
      </c>
      <c r="F28" s="429">
        <v>1</v>
      </c>
      <c r="G28" s="86"/>
      <c r="H28" s="87">
        <v>5</v>
      </c>
      <c r="I28" s="429"/>
      <c r="J28" s="429"/>
      <c r="K28" s="429">
        <v>4</v>
      </c>
      <c r="L28" s="429"/>
      <c r="M28" s="436"/>
      <c r="N28" s="84">
        <f t="shared" si="0"/>
        <v>16</v>
      </c>
      <c r="O28" s="85">
        <v>2</v>
      </c>
      <c r="P28" s="429">
        <v>1</v>
      </c>
      <c r="Q28" s="429">
        <v>1</v>
      </c>
      <c r="R28" s="429">
        <v>2</v>
      </c>
      <c r="S28" s="86"/>
      <c r="T28" s="432">
        <v>4</v>
      </c>
      <c r="U28" s="87">
        <v>3</v>
      </c>
      <c r="V28" s="433">
        <v>1</v>
      </c>
      <c r="W28" s="429">
        <v>2</v>
      </c>
      <c r="X28" s="429"/>
      <c r="Y28" s="429"/>
      <c r="Z28" s="437">
        <f t="shared" si="1"/>
        <v>16</v>
      </c>
      <c r="AA28" s="435">
        <f t="shared" si="2"/>
        <v>16</v>
      </c>
      <c r="AB28" s="392"/>
      <c r="AC28" s="9" t="s">
        <v>33</v>
      </c>
      <c r="AD28" s="435">
        <f t="shared" si="3"/>
        <v>60</v>
      </c>
    </row>
    <row r="29" spans="1:30" ht="29.25" customHeight="1" x14ac:dyDescent="0.25">
      <c r="A29" s="417">
        <v>20</v>
      </c>
      <c r="B29" s="427">
        <v>5191421020</v>
      </c>
      <c r="C29" s="87">
        <v>2</v>
      </c>
      <c r="D29" s="429"/>
      <c r="E29" s="429">
        <v>1</v>
      </c>
      <c r="F29" s="429">
        <v>1</v>
      </c>
      <c r="G29" s="86">
        <v>2</v>
      </c>
      <c r="H29" s="87">
        <v>5</v>
      </c>
      <c r="I29" s="429">
        <v>3</v>
      </c>
      <c r="J29" s="429">
        <v>3</v>
      </c>
      <c r="K29" s="429">
        <v>3</v>
      </c>
      <c r="L29" s="429"/>
      <c r="M29" s="436"/>
      <c r="N29" s="84">
        <f t="shared" si="0"/>
        <v>20</v>
      </c>
      <c r="O29" s="87">
        <v>1</v>
      </c>
      <c r="P29" s="429">
        <v>1</v>
      </c>
      <c r="Q29" s="429">
        <v>1</v>
      </c>
      <c r="R29" s="429">
        <v>2</v>
      </c>
      <c r="S29" s="86">
        <v>1</v>
      </c>
      <c r="T29" s="432">
        <v>3</v>
      </c>
      <c r="U29" s="87">
        <v>1</v>
      </c>
      <c r="V29" s="433"/>
      <c r="W29" s="429"/>
      <c r="X29" s="429">
        <v>2</v>
      </c>
      <c r="Y29" s="429">
        <v>4</v>
      </c>
      <c r="Z29" s="437">
        <f t="shared" si="1"/>
        <v>16</v>
      </c>
      <c r="AA29" s="435">
        <f t="shared" si="2"/>
        <v>18</v>
      </c>
      <c r="AB29" s="392"/>
      <c r="AC29" s="9" t="s">
        <v>27</v>
      </c>
      <c r="AD29" s="435">
        <f t="shared" si="3"/>
        <v>80</v>
      </c>
    </row>
    <row r="30" spans="1:30" ht="29.25" customHeight="1" x14ac:dyDescent="0.25">
      <c r="A30" s="417">
        <v>21</v>
      </c>
      <c r="B30" s="427">
        <v>5191421021</v>
      </c>
      <c r="C30" s="85">
        <v>2</v>
      </c>
      <c r="D30" s="429">
        <v>1</v>
      </c>
      <c r="E30" s="429"/>
      <c r="F30" s="429"/>
      <c r="G30" s="86"/>
      <c r="H30" s="87">
        <v>3</v>
      </c>
      <c r="I30" s="429">
        <v>2</v>
      </c>
      <c r="J30" s="429">
        <v>3</v>
      </c>
      <c r="K30" s="429">
        <v>2</v>
      </c>
      <c r="L30" s="429"/>
      <c r="M30" s="436"/>
      <c r="N30" s="84">
        <f t="shared" si="0"/>
        <v>13</v>
      </c>
      <c r="O30" s="85">
        <v>1</v>
      </c>
      <c r="P30" s="429"/>
      <c r="Q30" s="429">
        <v>1</v>
      </c>
      <c r="R30" s="429">
        <v>2</v>
      </c>
      <c r="S30" s="86"/>
      <c r="T30" s="432"/>
      <c r="U30" s="87"/>
      <c r="V30" s="433">
        <v>4</v>
      </c>
      <c r="W30" s="429">
        <v>2</v>
      </c>
      <c r="X30" s="429">
        <v>3</v>
      </c>
      <c r="Y30" s="429">
        <v>4</v>
      </c>
      <c r="Z30" s="437">
        <f t="shared" si="1"/>
        <v>17</v>
      </c>
      <c r="AA30" s="435">
        <f t="shared" si="2"/>
        <v>15</v>
      </c>
      <c r="AB30" s="392"/>
      <c r="AC30" s="9" t="s">
        <v>27</v>
      </c>
      <c r="AD30" s="435">
        <f t="shared" si="3"/>
        <v>80</v>
      </c>
    </row>
    <row r="31" spans="1:30" ht="29.25" customHeight="1" x14ac:dyDescent="0.25">
      <c r="A31" s="417">
        <v>22</v>
      </c>
      <c r="B31" s="427">
        <v>5191421022</v>
      </c>
      <c r="C31" s="85">
        <v>2</v>
      </c>
      <c r="D31" s="429"/>
      <c r="E31" s="429"/>
      <c r="F31" s="429">
        <v>1</v>
      </c>
      <c r="G31" s="86"/>
      <c r="H31" s="87">
        <v>5</v>
      </c>
      <c r="I31" s="429"/>
      <c r="J31" s="429"/>
      <c r="K31" s="429"/>
      <c r="L31" s="429"/>
      <c r="M31" s="436"/>
      <c r="N31" s="84">
        <f t="shared" si="0"/>
        <v>8</v>
      </c>
      <c r="O31" s="85">
        <v>1</v>
      </c>
      <c r="P31" s="429">
        <v>1</v>
      </c>
      <c r="Q31" s="429">
        <v>1</v>
      </c>
      <c r="R31" s="429">
        <v>2</v>
      </c>
      <c r="S31" s="86">
        <v>1</v>
      </c>
      <c r="T31" s="432"/>
      <c r="U31" s="87">
        <v>3</v>
      </c>
      <c r="V31" s="433"/>
      <c r="W31" s="429">
        <v>3</v>
      </c>
      <c r="X31" s="429">
        <v>3</v>
      </c>
      <c r="Y31" s="429"/>
      <c r="Z31" s="437">
        <f t="shared" si="1"/>
        <v>15</v>
      </c>
      <c r="AA31" s="435">
        <f t="shared" si="2"/>
        <v>12</v>
      </c>
      <c r="AB31" s="392"/>
      <c r="AC31" s="9" t="s">
        <v>33</v>
      </c>
      <c r="AD31" s="435">
        <f t="shared" si="3"/>
        <v>60</v>
      </c>
    </row>
    <row r="32" spans="1:30" ht="29.25" customHeight="1" x14ac:dyDescent="0.25">
      <c r="A32" s="417">
        <v>23</v>
      </c>
      <c r="B32" s="427">
        <v>5191421023</v>
      </c>
      <c r="C32" s="85">
        <v>0</v>
      </c>
      <c r="D32" s="429">
        <v>2</v>
      </c>
      <c r="E32" s="429">
        <v>2</v>
      </c>
      <c r="F32" s="429">
        <v>2</v>
      </c>
      <c r="G32" s="86">
        <v>2</v>
      </c>
      <c r="H32" s="87">
        <v>5</v>
      </c>
      <c r="I32" s="429">
        <v>3</v>
      </c>
      <c r="J32" s="429">
        <v>4</v>
      </c>
      <c r="K32" s="429">
        <v>4</v>
      </c>
      <c r="L32" s="429"/>
      <c r="M32" s="436"/>
      <c r="N32" s="84">
        <f t="shared" si="0"/>
        <v>24</v>
      </c>
      <c r="O32" s="85">
        <v>1</v>
      </c>
      <c r="P32" s="429">
        <v>1</v>
      </c>
      <c r="Q32" s="429">
        <v>1</v>
      </c>
      <c r="R32" s="429">
        <v>2</v>
      </c>
      <c r="S32" s="86"/>
      <c r="T32" s="432"/>
      <c r="U32" s="87"/>
      <c r="V32" s="433"/>
      <c r="W32" s="429">
        <v>3</v>
      </c>
      <c r="X32" s="429">
        <v>4</v>
      </c>
      <c r="Y32" s="429">
        <v>3</v>
      </c>
      <c r="Z32" s="437">
        <f t="shared" si="1"/>
        <v>15</v>
      </c>
      <c r="AA32" s="435">
        <f t="shared" si="2"/>
        <v>20</v>
      </c>
      <c r="AB32" s="392"/>
      <c r="AC32" s="9" t="s">
        <v>31</v>
      </c>
      <c r="AD32" s="435">
        <f t="shared" si="3"/>
        <v>55</v>
      </c>
    </row>
    <row r="33" spans="1:30" ht="29.25" customHeight="1" x14ac:dyDescent="0.25">
      <c r="A33" s="417">
        <v>24</v>
      </c>
      <c r="B33" s="427">
        <v>5191421024</v>
      </c>
      <c r="C33" s="85">
        <v>0</v>
      </c>
      <c r="D33" s="429">
        <v>0</v>
      </c>
      <c r="E33" s="429">
        <v>0</v>
      </c>
      <c r="F33" s="429"/>
      <c r="G33" s="86"/>
      <c r="H33" s="87"/>
      <c r="I33" s="429"/>
      <c r="J33" s="429"/>
      <c r="K33" s="429"/>
      <c r="L33" s="429"/>
      <c r="M33" s="436"/>
      <c r="N33" s="84">
        <f t="shared" si="0"/>
        <v>0</v>
      </c>
      <c r="O33" s="85"/>
      <c r="P33" s="429"/>
      <c r="Q33" s="429">
        <v>1</v>
      </c>
      <c r="R33" s="429"/>
      <c r="S33" s="86"/>
      <c r="T33" s="432"/>
      <c r="U33" s="87"/>
      <c r="V33" s="433"/>
      <c r="W33" s="429">
        <v>2</v>
      </c>
      <c r="X33" s="429">
        <v>2</v>
      </c>
      <c r="Y33" s="429"/>
      <c r="Z33" s="437">
        <f t="shared" si="1"/>
        <v>5</v>
      </c>
      <c r="AA33" s="435">
        <f t="shared" si="2"/>
        <v>3</v>
      </c>
      <c r="AB33" s="392"/>
      <c r="AC33" s="9" t="s">
        <v>28</v>
      </c>
      <c r="AD33" s="435">
        <f t="shared" si="3"/>
        <v>50</v>
      </c>
    </row>
    <row r="34" spans="1:30" ht="29.25" customHeight="1" x14ac:dyDescent="0.25">
      <c r="A34" s="417">
        <v>25</v>
      </c>
      <c r="B34" s="427">
        <v>5191421025</v>
      </c>
      <c r="C34" s="85">
        <v>2</v>
      </c>
      <c r="D34" s="429">
        <v>2</v>
      </c>
      <c r="E34" s="429">
        <v>1</v>
      </c>
      <c r="F34" s="429">
        <v>1</v>
      </c>
      <c r="G34" s="86">
        <v>1</v>
      </c>
      <c r="H34" s="87">
        <v>5</v>
      </c>
      <c r="I34" s="429">
        <v>4</v>
      </c>
      <c r="J34" s="429"/>
      <c r="K34" s="429">
        <v>4</v>
      </c>
      <c r="L34" s="429"/>
      <c r="M34" s="436"/>
      <c r="N34" s="84">
        <f t="shared" si="0"/>
        <v>20</v>
      </c>
      <c r="O34" s="85">
        <v>2</v>
      </c>
      <c r="P34" s="429">
        <v>2</v>
      </c>
      <c r="Q34" s="429">
        <v>1</v>
      </c>
      <c r="R34" s="429">
        <v>2</v>
      </c>
      <c r="S34" s="86">
        <v>1</v>
      </c>
      <c r="T34" s="432">
        <v>5</v>
      </c>
      <c r="U34" s="87">
        <v>3</v>
      </c>
      <c r="V34" s="433">
        <v>5</v>
      </c>
      <c r="W34" s="429">
        <v>5</v>
      </c>
      <c r="X34" s="429"/>
      <c r="Y34" s="429"/>
      <c r="Z34" s="437">
        <f t="shared" si="1"/>
        <v>26</v>
      </c>
      <c r="AA34" s="435">
        <f t="shared" si="2"/>
        <v>23</v>
      </c>
      <c r="AB34" s="392"/>
      <c r="AC34" s="9" t="s">
        <v>30</v>
      </c>
      <c r="AD34" s="435">
        <f t="shared" si="3"/>
        <v>90</v>
      </c>
    </row>
    <row r="35" spans="1:30" ht="29.25" customHeight="1" x14ac:dyDescent="0.25">
      <c r="A35" s="417">
        <v>26</v>
      </c>
      <c r="B35" s="427">
        <v>5191421026</v>
      </c>
      <c r="C35" s="85">
        <v>2</v>
      </c>
      <c r="D35" s="429">
        <v>2</v>
      </c>
      <c r="E35" s="429">
        <v>1</v>
      </c>
      <c r="F35" s="429">
        <v>2</v>
      </c>
      <c r="G35" s="86">
        <v>2</v>
      </c>
      <c r="H35" s="87">
        <v>1</v>
      </c>
      <c r="I35" s="429"/>
      <c r="J35" s="429"/>
      <c r="K35" s="429">
        <v>0</v>
      </c>
      <c r="L35" s="429">
        <v>0</v>
      </c>
      <c r="M35" s="436"/>
      <c r="N35" s="84">
        <f t="shared" si="0"/>
        <v>10</v>
      </c>
      <c r="O35" s="85">
        <v>1</v>
      </c>
      <c r="P35" s="429">
        <v>1</v>
      </c>
      <c r="Q35" s="429"/>
      <c r="R35" s="429">
        <v>2</v>
      </c>
      <c r="S35" s="86">
        <v>1</v>
      </c>
      <c r="T35" s="432">
        <v>5</v>
      </c>
      <c r="U35" s="87">
        <v>3</v>
      </c>
      <c r="V35" s="433"/>
      <c r="W35" s="429"/>
      <c r="X35" s="429">
        <v>2</v>
      </c>
      <c r="Y35" s="429">
        <v>3</v>
      </c>
      <c r="Z35" s="437">
        <f t="shared" si="1"/>
        <v>18</v>
      </c>
      <c r="AA35" s="435">
        <f t="shared" si="2"/>
        <v>14</v>
      </c>
      <c r="AB35" s="392"/>
      <c r="AC35" s="9" t="s">
        <v>33</v>
      </c>
      <c r="AD35" s="435">
        <f t="shared" si="3"/>
        <v>60</v>
      </c>
    </row>
    <row r="36" spans="1:30" ht="29.25" customHeight="1" x14ac:dyDescent="0.25">
      <c r="A36" s="417">
        <v>27</v>
      </c>
      <c r="B36" s="427">
        <v>5191421027</v>
      </c>
      <c r="C36" s="85">
        <v>2</v>
      </c>
      <c r="D36" s="429"/>
      <c r="E36" s="429">
        <v>1</v>
      </c>
      <c r="F36" s="429"/>
      <c r="G36" s="86"/>
      <c r="H36" s="87">
        <v>5</v>
      </c>
      <c r="I36" s="429"/>
      <c r="J36" s="429"/>
      <c r="K36" s="429">
        <v>3</v>
      </c>
      <c r="L36" s="429"/>
      <c r="M36" s="436"/>
      <c r="N36" s="84">
        <f t="shared" si="0"/>
        <v>11</v>
      </c>
      <c r="O36" s="85"/>
      <c r="P36" s="429">
        <v>1</v>
      </c>
      <c r="Q36" s="429">
        <v>1</v>
      </c>
      <c r="R36" s="429">
        <v>2</v>
      </c>
      <c r="S36" s="86"/>
      <c r="T36" s="432">
        <v>3</v>
      </c>
      <c r="U36" s="87">
        <v>3</v>
      </c>
      <c r="V36" s="433"/>
      <c r="W36" s="429"/>
      <c r="X36" s="429">
        <v>4</v>
      </c>
      <c r="Y36" s="429"/>
      <c r="Z36" s="437">
        <f t="shared" si="1"/>
        <v>14</v>
      </c>
      <c r="AA36" s="435">
        <f t="shared" si="2"/>
        <v>13</v>
      </c>
      <c r="AB36" s="392"/>
      <c r="AC36" s="9" t="s">
        <v>31</v>
      </c>
      <c r="AD36" s="435">
        <f t="shared" si="3"/>
        <v>55</v>
      </c>
    </row>
    <row r="37" spans="1:30" ht="29.25" customHeight="1" x14ac:dyDescent="0.25">
      <c r="A37" s="417">
        <v>28</v>
      </c>
      <c r="B37" s="427">
        <v>5191421028</v>
      </c>
      <c r="C37" s="85">
        <v>1</v>
      </c>
      <c r="D37" s="429">
        <v>1</v>
      </c>
      <c r="E37" s="429">
        <v>1</v>
      </c>
      <c r="F37" s="429">
        <v>1</v>
      </c>
      <c r="G37" s="86"/>
      <c r="H37" s="87">
        <v>2</v>
      </c>
      <c r="I37" s="429">
        <v>3</v>
      </c>
      <c r="J37" s="429">
        <v>4</v>
      </c>
      <c r="K37" s="429">
        <v>1</v>
      </c>
      <c r="L37" s="429"/>
      <c r="M37" s="436"/>
      <c r="N37" s="84">
        <f t="shared" si="0"/>
        <v>14</v>
      </c>
      <c r="O37" s="85">
        <v>2</v>
      </c>
      <c r="P37" s="429">
        <v>2</v>
      </c>
      <c r="Q37" s="429">
        <v>1</v>
      </c>
      <c r="R37" s="429">
        <v>2</v>
      </c>
      <c r="S37" s="86">
        <v>1</v>
      </c>
      <c r="T37" s="432"/>
      <c r="U37" s="87"/>
      <c r="V37" s="433">
        <v>2</v>
      </c>
      <c r="W37" s="429">
        <v>4</v>
      </c>
      <c r="X37" s="429">
        <v>5</v>
      </c>
      <c r="Y37" s="429">
        <v>5</v>
      </c>
      <c r="Z37" s="437">
        <f t="shared" si="1"/>
        <v>24</v>
      </c>
      <c r="AA37" s="435">
        <f t="shared" si="2"/>
        <v>19</v>
      </c>
      <c r="AB37" s="392"/>
      <c r="AC37" s="102" t="s">
        <v>27</v>
      </c>
      <c r="AD37" s="435">
        <f t="shared" si="3"/>
        <v>80</v>
      </c>
    </row>
    <row r="38" spans="1:30" ht="29.25" customHeight="1" x14ac:dyDescent="0.25">
      <c r="A38" s="417">
        <v>29</v>
      </c>
      <c r="B38" s="427">
        <v>5191421029</v>
      </c>
      <c r="C38" s="85">
        <v>2</v>
      </c>
      <c r="D38" s="429"/>
      <c r="E38" s="429"/>
      <c r="F38" s="429">
        <v>1</v>
      </c>
      <c r="G38" s="86"/>
      <c r="H38" s="87"/>
      <c r="I38" s="429"/>
      <c r="J38" s="429"/>
      <c r="K38" s="429">
        <v>2</v>
      </c>
      <c r="L38" s="429"/>
      <c r="M38" s="436"/>
      <c r="N38" s="84">
        <f t="shared" si="0"/>
        <v>5</v>
      </c>
      <c r="O38" s="85"/>
      <c r="P38" s="429">
        <v>1</v>
      </c>
      <c r="Q38" s="429"/>
      <c r="R38" s="429"/>
      <c r="S38" s="86"/>
      <c r="T38" s="432">
        <v>4</v>
      </c>
      <c r="U38" s="87">
        <v>3</v>
      </c>
      <c r="V38" s="433"/>
      <c r="W38" s="429"/>
      <c r="X38" s="429"/>
      <c r="Y38" s="429"/>
      <c r="Z38" s="437">
        <f t="shared" si="1"/>
        <v>8</v>
      </c>
      <c r="AA38" s="435">
        <f t="shared" si="2"/>
        <v>7</v>
      </c>
      <c r="AB38" s="392"/>
      <c r="AC38" s="9" t="s">
        <v>28</v>
      </c>
      <c r="AD38" s="435">
        <f t="shared" si="3"/>
        <v>50</v>
      </c>
    </row>
    <row r="39" spans="1:30" ht="29.25" customHeight="1" x14ac:dyDescent="0.25">
      <c r="A39" s="417">
        <v>30</v>
      </c>
      <c r="B39" s="427">
        <v>5191421030</v>
      </c>
      <c r="C39" s="85">
        <v>2</v>
      </c>
      <c r="D39" s="429">
        <v>2</v>
      </c>
      <c r="E39" s="429"/>
      <c r="F39" s="429"/>
      <c r="G39" s="86"/>
      <c r="H39" s="87"/>
      <c r="I39" s="429"/>
      <c r="J39" s="429"/>
      <c r="K39" s="429"/>
      <c r="L39" s="429"/>
      <c r="M39" s="436"/>
      <c r="N39" s="84">
        <f t="shared" si="0"/>
        <v>4</v>
      </c>
      <c r="O39" s="85">
        <v>1</v>
      </c>
      <c r="P39" s="429">
        <v>1</v>
      </c>
      <c r="Q39" s="429"/>
      <c r="R39" s="429"/>
      <c r="S39" s="86">
        <v>1</v>
      </c>
      <c r="T39" s="432"/>
      <c r="U39" s="87"/>
      <c r="V39" s="433">
        <v>1</v>
      </c>
      <c r="W39" s="429"/>
      <c r="X39" s="429">
        <v>3</v>
      </c>
      <c r="Y39" s="429"/>
      <c r="Z39" s="437">
        <f t="shared" si="1"/>
        <v>7</v>
      </c>
      <c r="AA39" s="435">
        <f t="shared" si="2"/>
        <v>6</v>
      </c>
      <c r="AB39" s="392"/>
      <c r="AC39" s="9" t="s">
        <v>28</v>
      </c>
      <c r="AD39" s="435">
        <f t="shared" si="3"/>
        <v>50</v>
      </c>
    </row>
    <row r="40" spans="1:30" ht="29.25" customHeight="1" x14ac:dyDescent="0.25">
      <c r="A40" s="417">
        <v>31</v>
      </c>
      <c r="B40" s="427">
        <v>5191421031</v>
      </c>
      <c r="C40" s="100">
        <v>2</v>
      </c>
      <c r="D40" s="438">
        <v>1</v>
      </c>
      <c r="E40" s="438">
        <v>1</v>
      </c>
      <c r="F40" s="438">
        <v>1</v>
      </c>
      <c r="G40" s="311"/>
      <c r="H40" s="312">
        <v>4</v>
      </c>
      <c r="I40" s="429">
        <v>2</v>
      </c>
      <c r="J40" s="429"/>
      <c r="K40" s="429">
        <v>2</v>
      </c>
      <c r="L40" s="429"/>
      <c r="M40" s="436"/>
      <c r="N40" s="84">
        <f t="shared" si="0"/>
        <v>13</v>
      </c>
      <c r="O40" s="85">
        <v>2</v>
      </c>
      <c r="P40" s="429">
        <v>1</v>
      </c>
      <c r="Q40" s="429">
        <v>1</v>
      </c>
      <c r="R40" s="429">
        <v>2</v>
      </c>
      <c r="S40" s="86">
        <v>1</v>
      </c>
      <c r="T40" s="432">
        <v>3</v>
      </c>
      <c r="U40" s="87"/>
      <c r="V40" s="433"/>
      <c r="W40" s="429"/>
      <c r="X40" s="429">
        <v>3</v>
      </c>
      <c r="Y40" s="429"/>
      <c r="Z40" s="437">
        <f t="shared" si="1"/>
        <v>13</v>
      </c>
      <c r="AA40" s="435">
        <f t="shared" si="2"/>
        <v>13</v>
      </c>
      <c r="AB40" s="392"/>
      <c r="AC40" s="9" t="s">
        <v>28</v>
      </c>
      <c r="AD40" s="435">
        <f t="shared" si="3"/>
        <v>50</v>
      </c>
    </row>
    <row r="41" spans="1:30" ht="29.25" customHeight="1" x14ac:dyDescent="0.25">
      <c r="A41" s="417">
        <v>32</v>
      </c>
      <c r="B41" s="427">
        <v>5191421032</v>
      </c>
      <c r="C41" s="87">
        <v>0</v>
      </c>
      <c r="D41" s="429">
        <v>0</v>
      </c>
      <c r="E41" s="429">
        <v>0</v>
      </c>
      <c r="F41" s="429">
        <v>0</v>
      </c>
      <c r="G41" s="86"/>
      <c r="H41" s="87"/>
      <c r="I41" s="429"/>
      <c r="J41" s="429"/>
      <c r="K41" s="429"/>
      <c r="L41" s="429"/>
      <c r="M41" s="436"/>
      <c r="N41" s="84">
        <f t="shared" si="0"/>
        <v>0</v>
      </c>
      <c r="O41" s="87">
        <v>1</v>
      </c>
      <c r="P41" s="429">
        <v>1</v>
      </c>
      <c r="Q41" s="429"/>
      <c r="R41" s="429">
        <v>2</v>
      </c>
      <c r="S41" s="86"/>
      <c r="T41" s="432"/>
      <c r="U41" s="87">
        <v>2</v>
      </c>
      <c r="V41" s="433"/>
      <c r="W41" s="429"/>
      <c r="X41" s="429">
        <v>2</v>
      </c>
      <c r="Y41" s="429">
        <v>2</v>
      </c>
      <c r="Z41" s="437">
        <f t="shared" si="1"/>
        <v>10</v>
      </c>
      <c r="AA41" s="435">
        <f t="shared" si="2"/>
        <v>5</v>
      </c>
      <c r="AB41" s="392"/>
      <c r="AC41" s="9" t="s">
        <v>31</v>
      </c>
      <c r="AD41" s="435">
        <f t="shared" si="3"/>
        <v>55</v>
      </c>
    </row>
    <row r="42" spans="1:30" ht="29.25" customHeight="1" x14ac:dyDescent="0.25">
      <c r="A42" s="417">
        <v>33</v>
      </c>
      <c r="B42" s="427">
        <v>5191421033</v>
      </c>
      <c r="C42" s="85">
        <v>2</v>
      </c>
      <c r="D42" s="429">
        <v>2</v>
      </c>
      <c r="E42" s="429">
        <v>1</v>
      </c>
      <c r="F42" s="429">
        <v>2</v>
      </c>
      <c r="G42" s="86">
        <v>2</v>
      </c>
      <c r="H42" s="87">
        <v>5</v>
      </c>
      <c r="I42" s="429">
        <v>5</v>
      </c>
      <c r="J42" s="429"/>
      <c r="K42" s="429">
        <v>2</v>
      </c>
      <c r="L42" s="429"/>
      <c r="M42" s="436"/>
      <c r="N42" s="84">
        <f t="shared" ref="N42:N67" si="4">SUM(C42:M42)</f>
        <v>21</v>
      </c>
      <c r="O42" s="85">
        <v>2</v>
      </c>
      <c r="P42" s="429">
        <v>1</v>
      </c>
      <c r="Q42" s="429">
        <v>1</v>
      </c>
      <c r="R42" s="429">
        <v>2</v>
      </c>
      <c r="S42" s="86"/>
      <c r="T42" s="432">
        <v>5</v>
      </c>
      <c r="U42" s="87">
        <v>3</v>
      </c>
      <c r="V42" s="433">
        <v>3</v>
      </c>
      <c r="W42" s="429">
        <v>5</v>
      </c>
      <c r="X42" s="429"/>
      <c r="Y42" s="429"/>
      <c r="Z42" s="437">
        <f t="shared" ref="Z42:Z67" si="5">SUM(O42:Y42)</f>
        <v>22</v>
      </c>
      <c r="AA42" s="435">
        <f t="shared" si="2"/>
        <v>22</v>
      </c>
      <c r="AB42" s="392"/>
      <c r="AC42" s="9" t="s">
        <v>27</v>
      </c>
      <c r="AD42" s="435">
        <f t="shared" si="3"/>
        <v>80</v>
      </c>
    </row>
    <row r="43" spans="1:30" ht="29.25" customHeight="1" x14ac:dyDescent="0.25">
      <c r="A43" s="417">
        <v>34</v>
      </c>
      <c r="B43" s="427">
        <v>5191421034</v>
      </c>
      <c r="C43" s="85">
        <v>2</v>
      </c>
      <c r="D43" s="429">
        <v>2</v>
      </c>
      <c r="E43" s="429">
        <v>2</v>
      </c>
      <c r="F43" s="429">
        <v>2</v>
      </c>
      <c r="G43" s="86">
        <v>2</v>
      </c>
      <c r="H43" s="87">
        <v>4</v>
      </c>
      <c r="I43" s="429">
        <v>5</v>
      </c>
      <c r="J43" s="429">
        <v>5</v>
      </c>
      <c r="K43" s="429">
        <v>3</v>
      </c>
      <c r="L43" s="429"/>
      <c r="M43" s="436"/>
      <c r="N43" s="84">
        <f t="shared" si="4"/>
        <v>27</v>
      </c>
      <c r="O43" s="87">
        <v>2</v>
      </c>
      <c r="P43" s="429">
        <v>2</v>
      </c>
      <c r="Q43" s="429">
        <v>2</v>
      </c>
      <c r="R43" s="429">
        <v>2</v>
      </c>
      <c r="S43" s="86">
        <v>1</v>
      </c>
      <c r="T43" s="432">
        <v>5</v>
      </c>
      <c r="U43" s="87">
        <v>3</v>
      </c>
      <c r="V43" s="433">
        <v>2</v>
      </c>
      <c r="W43" s="429">
        <v>5</v>
      </c>
      <c r="X43" s="429"/>
      <c r="Y43" s="429"/>
      <c r="Z43" s="437">
        <f t="shared" si="5"/>
        <v>24</v>
      </c>
      <c r="AA43" s="435">
        <f t="shared" si="2"/>
        <v>26</v>
      </c>
      <c r="AB43" s="392"/>
      <c r="AC43" s="9" t="s">
        <v>30</v>
      </c>
      <c r="AD43" s="435">
        <f t="shared" si="3"/>
        <v>90</v>
      </c>
    </row>
    <row r="44" spans="1:30" ht="29.25" customHeight="1" x14ac:dyDescent="0.25">
      <c r="A44" s="417">
        <v>35</v>
      </c>
      <c r="B44" s="427">
        <v>5191421035</v>
      </c>
      <c r="C44" s="85"/>
      <c r="D44" s="429"/>
      <c r="E44" s="429"/>
      <c r="F44" s="429"/>
      <c r="G44" s="86"/>
      <c r="H44" s="87">
        <v>4</v>
      </c>
      <c r="I44" s="429"/>
      <c r="J44" s="429"/>
      <c r="K44" s="429">
        <v>1</v>
      </c>
      <c r="L44" s="429"/>
      <c r="M44" s="436"/>
      <c r="N44" s="84">
        <f t="shared" si="4"/>
        <v>5</v>
      </c>
      <c r="O44" s="85">
        <v>1</v>
      </c>
      <c r="P44" s="429"/>
      <c r="Q44" s="429"/>
      <c r="R44" s="429">
        <v>1</v>
      </c>
      <c r="S44" s="86"/>
      <c r="T44" s="432"/>
      <c r="U44" s="87"/>
      <c r="V44" s="433"/>
      <c r="W44" s="429"/>
      <c r="X44" s="429">
        <v>2</v>
      </c>
      <c r="Y44" s="429"/>
      <c r="Z44" s="437">
        <f t="shared" si="5"/>
        <v>4</v>
      </c>
      <c r="AA44" s="435">
        <f t="shared" si="2"/>
        <v>5</v>
      </c>
      <c r="AB44" s="392"/>
      <c r="AC44" s="9" t="s">
        <v>28</v>
      </c>
      <c r="AD44" s="435">
        <f t="shared" si="3"/>
        <v>50</v>
      </c>
    </row>
    <row r="45" spans="1:30" ht="29.25" customHeight="1" x14ac:dyDescent="0.25">
      <c r="A45" s="417">
        <v>36</v>
      </c>
      <c r="B45" s="427">
        <v>5191421036</v>
      </c>
      <c r="C45" s="85">
        <v>2</v>
      </c>
      <c r="D45" s="429">
        <v>1</v>
      </c>
      <c r="E45" s="429">
        <v>1</v>
      </c>
      <c r="F45" s="429">
        <v>1</v>
      </c>
      <c r="G45" s="86">
        <v>1</v>
      </c>
      <c r="H45" s="87">
        <v>2</v>
      </c>
      <c r="I45" s="429">
        <v>5</v>
      </c>
      <c r="J45" s="429">
        <v>4</v>
      </c>
      <c r="K45" s="429">
        <v>2</v>
      </c>
      <c r="L45" s="429"/>
      <c r="M45" s="436"/>
      <c r="N45" s="84">
        <f t="shared" si="4"/>
        <v>19</v>
      </c>
      <c r="O45" s="85">
        <v>1</v>
      </c>
      <c r="P45" s="429">
        <v>1</v>
      </c>
      <c r="Q45" s="429"/>
      <c r="R45" s="429">
        <v>2</v>
      </c>
      <c r="S45" s="86"/>
      <c r="T45" s="432"/>
      <c r="U45" s="87"/>
      <c r="V45" s="433">
        <v>5</v>
      </c>
      <c r="W45" s="429">
        <v>5</v>
      </c>
      <c r="X45" s="429">
        <v>3</v>
      </c>
      <c r="Y45" s="429"/>
      <c r="Z45" s="437">
        <f t="shared" si="5"/>
        <v>17</v>
      </c>
      <c r="AA45" s="435">
        <f t="shared" si="2"/>
        <v>18</v>
      </c>
      <c r="AB45" s="392"/>
      <c r="AC45" s="9" t="s">
        <v>31</v>
      </c>
      <c r="AD45" s="435">
        <f t="shared" si="3"/>
        <v>55</v>
      </c>
    </row>
    <row r="46" spans="1:30" ht="29.25" customHeight="1" x14ac:dyDescent="0.25">
      <c r="A46" s="417">
        <v>37</v>
      </c>
      <c r="B46" s="427">
        <v>5191421037</v>
      </c>
      <c r="C46" s="85"/>
      <c r="D46" s="429"/>
      <c r="E46" s="429"/>
      <c r="F46" s="429"/>
      <c r="G46" s="86"/>
      <c r="H46" s="87"/>
      <c r="I46" s="429"/>
      <c r="J46" s="429"/>
      <c r="K46" s="429"/>
      <c r="L46" s="429"/>
      <c r="M46" s="436"/>
      <c r="N46" s="84">
        <f t="shared" si="4"/>
        <v>0</v>
      </c>
      <c r="O46" s="85">
        <v>2</v>
      </c>
      <c r="P46" s="429">
        <v>1</v>
      </c>
      <c r="Q46" s="429">
        <v>1</v>
      </c>
      <c r="R46" s="429">
        <v>2</v>
      </c>
      <c r="S46" s="86">
        <v>1</v>
      </c>
      <c r="T46" s="432"/>
      <c r="U46" s="87"/>
      <c r="V46" s="433">
        <v>2</v>
      </c>
      <c r="W46" s="429"/>
      <c r="X46" s="429">
        <v>4</v>
      </c>
      <c r="Y46" s="429">
        <v>2</v>
      </c>
      <c r="Z46" s="437">
        <f t="shared" si="5"/>
        <v>15</v>
      </c>
      <c r="AA46" s="435">
        <f t="shared" si="2"/>
        <v>8</v>
      </c>
      <c r="AB46" s="392"/>
      <c r="AC46" s="9" t="s">
        <v>28</v>
      </c>
      <c r="AD46" s="435">
        <f t="shared" si="3"/>
        <v>50</v>
      </c>
    </row>
    <row r="47" spans="1:30" ht="29.25" customHeight="1" x14ac:dyDescent="0.25">
      <c r="A47" s="417">
        <v>38</v>
      </c>
      <c r="B47" s="427">
        <v>5191421038</v>
      </c>
      <c r="C47" s="85">
        <v>2</v>
      </c>
      <c r="D47" s="429">
        <v>2</v>
      </c>
      <c r="E47" s="429">
        <v>2</v>
      </c>
      <c r="F47" s="429">
        <v>0</v>
      </c>
      <c r="G47" s="86">
        <v>0</v>
      </c>
      <c r="H47" s="87"/>
      <c r="I47" s="429">
        <v>0</v>
      </c>
      <c r="J47" s="429"/>
      <c r="K47" s="429">
        <v>2</v>
      </c>
      <c r="L47" s="429"/>
      <c r="M47" s="436"/>
      <c r="N47" s="84">
        <f t="shared" si="4"/>
        <v>8</v>
      </c>
      <c r="O47" s="85">
        <v>1</v>
      </c>
      <c r="P47" s="429">
        <v>1</v>
      </c>
      <c r="Q47" s="429">
        <v>1</v>
      </c>
      <c r="R47" s="429">
        <v>2</v>
      </c>
      <c r="S47" s="86">
        <v>1</v>
      </c>
      <c r="T47" s="432">
        <v>3</v>
      </c>
      <c r="U47" s="87"/>
      <c r="V47" s="433"/>
      <c r="W47" s="429"/>
      <c r="X47" s="429">
        <v>3</v>
      </c>
      <c r="Y47" s="429">
        <v>4</v>
      </c>
      <c r="Z47" s="437">
        <f t="shared" si="5"/>
        <v>16</v>
      </c>
      <c r="AA47" s="435">
        <f t="shared" si="2"/>
        <v>12</v>
      </c>
      <c r="AB47" s="392"/>
      <c r="AC47" s="9" t="s">
        <v>33</v>
      </c>
      <c r="AD47" s="435">
        <f t="shared" si="3"/>
        <v>60</v>
      </c>
    </row>
    <row r="48" spans="1:30" ht="29.25" customHeight="1" x14ac:dyDescent="0.25">
      <c r="A48" s="417">
        <v>39</v>
      </c>
      <c r="B48" s="427">
        <v>5191421039</v>
      </c>
      <c r="C48" s="85">
        <v>2</v>
      </c>
      <c r="D48" s="429">
        <v>1</v>
      </c>
      <c r="E48" s="429">
        <v>1</v>
      </c>
      <c r="F48" s="429">
        <v>2</v>
      </c>
      <c r="G48" s="86">
        <v>2</v>
      </c>
      <c r="H48" s="87">
        <v>5</v>
      </c>
      <c r="I48" s="429">
        <v>5</v>
      </c>
      <c r="J48" s="429">
        <v>4</v>
      </c>
      <c r="K48" s="429">
        <v>3</v>
      </c>
      <c r="L48" s="429"/>
      <c r="M48" s="436"/>
      <c r="N48" s="84">
        <f t="shared" si="4"/>
        <v>25</v>
      </c>
      <c r="O48" s="85">
        <v>2</v>
      </c>
      <c r="P48" s="429">
        <v>1</v>
      </c>
      <c r="Q48" s="429">
        <v>2</v>
      </c>
      <c r="R48" s="429">
        <v>2</v>
      </c>
      <c r="S48" s="86"/>
      <c r="T48" s="432">
        <v>3</v>
      </c>
      <c r="U48" s="87"/>
      <c r="V48" s="433"/>
      <c r="W48" s="429"/>
      <c r="X48" s="429">
        <v>4</v>
      </c>
      <c r="Y48" s="429">
        <v>5</v>
      </c>
      <c r="Z48" s="437">
        <f t="shared" si="5"/>
        <v>19</v>
      </c>
      <c r="AA48" s="435">
        <f t="shared" si="2"/>
        <v>22</v>
      </c>
      <c r="AB48" s="392"/>
      <c r="AC48" s="9" t="s">
        <v>27</v>
      </c>
      <c r="AD48" s="435">
        <f t="shared" si="3"/>
        <v>80</v>
      </c>
    </row>
    <row r="49" spans="1:30" ht="29.25" customHeight="1" x14ac:dyDescent="0.25">
      <c r="A49" s="417">
        <v>40</v>
      </c>
      <c r="B49" s="427">
        <v>5191421040</v>
      </c>
      <c r="C49" s="100"/>
      <c r="D49" s="429">
        <v>1</v>
      </c>
      <c r="E49" s="429">
        <v>2</v>
      </c>
      <c r="F49" s="429">
        <v>2</v>
      </c>
      <c r="G49" s="86">
        <v>2</v>
      </c>
      <c r="H49" s="87"/>
      <c r="I49" s="429"/>
      <c r="J49" s="429">
        <v>5</v>
      </c>
      <c r="K49" s="429"/>
      <c r="L49" s="429">
        <v>3</v>
      </c>
      <c r="M49" s="436"/>
      <c r="N49" s="84">
        <f t="shared" si="4"/>
        <v>15</v>
      </c>
      <c r="O49" s="85">
        <v>2</v>
      </c>
      <c r="P49" s="429">
        <v>1</v>
      </c>
      <c r="Q49" s="429">
        <v>2</v>
      </c>
      <c r="R49" s="429">
        <v>2</v>
      </c>
      <c r="S49" s="86">
        <v>1</v>
      </c>
      <c r="T49" s="432">
        <v>3</v>
      </c>
      <c r="U49" s="87"/>
      <c r="V49" s="433">
        <v>2</v>
      </c>
      <c r="W49" s="429"/>
      <c r="X49" s="429"/>
      <c r="Y49" s="429"/>
      <c r="Z49" s="437">
        <f t="shared" si="5"/>
        <v>13</v>
      </c>
      <c r="AA49" s="435">
        <f t="shared" si="2"/>
        <v>14</v>
      </c>
      <c r="AB49" s="392"/>
      <c r="AC49" s="9" t="s">
        <v>32</v>
      </c>
      <c r="AD49" s="435">
        <f t="shared" si="3"/>
        <v>70</v>
      </c>
    </row>
    <row r="50" spans="1:30" ht="29.25" customHeight="1" x14ac:dyDescent="0.25">
      <c r="A50" s="417">
        <v>41</v>
      </c>
      <c r="B50" s="427">
        <v>5191421041</v>
      </c>
      <c r="C50" s="85">
        <v>2</v>
      </c>
      <c r="D50" s="429">
        <v>2</v>
      </c>
      <c r="E50" s="429">
        <v>1</v>
      </c>
      <c r="F50" s="429">
        <v>2</v>
      </c>
      <c r="G50" s="86"/>
      <c r="H50" s="87"/>
      <c r="I50" s="429">
        <v>5</v>
      </c>
      <c r="J50" s="429">
        <v>5</v>
      </c>
      <c r="K50" s="429"/>
      <c r="L50" s="429"/>
      <c r="M50" s="436"/>
      <c r="N50" s="84">
        <f t="shared" si="4"/>
        <v>17</v>
      </c>
      <c r="O50" s="85">
        <v>2</v>
      </c>
      <c r="P50" s="429">
        <v>1</v>
      </c>
      <c r="Q50" s="429">
        <v>1</v>
      </c>
      <c r="R50" s="429">
        <v>2</v>
      </c>
      <c r="S50" s="86">
        <v>1</v>
      </c>
      <c r="T50" s="432"/>
      <c r="U50" s="87"/>
      <c r="V50" s="433"/>
      <c r="W50" s="429"/>
      <c r="X50" s="429">
        <v>3</v>
      </c>
      <c r="Y50" s="429"/>
      <c r="Z50" s="437">
        <f t="shared" si="5"/>
        <v>10</v>
      </c>
      <c r="AA50" s="435">
        <f t="shared" si="2"/>
        <v>14</v>
      </c>
      <c r="AB50" s="392"/>
      <c r="AC50" s="9" t="s">
        <v>28</v>
      </c>
      <c r="AD50" s="435">
        <f t="shared" si="3"/>
        <v>50</v>
      </c>
    </row>
    <row r="51" spans="1:30" ht="29.25" customHeight="1" x14ac:dyDescent="0.25">
      <c r="A51" s="417">
        <v>42</v>
      </c>
      <c r="B51" s="427">
        <v>5191421042</v>
      </c>
      <c r="C51" s="85"/>
      <c r="D51" s="429"/>
      <c r="E51" s="429"/>
      <c r="F51" s="429"/>
      <c r="G51" s="86"/>
      <c r="H51" s="87">
        <v>0</v>
      </c>
      <c r="I51" s="429"/>
      <c r="J51" s="429"/>
      <c r="K51" s="429">
        <v>0</v>
      </c>
      <c r="L51" s="429"/>
      <c r="M51" s="436"/>
      <c r="N51" s="84">
        <f t="shared" si="4"/>
        <v>0</v>
      </c>
      <c r="O51" s="85"/>
      <c r="P51" s="429">
        <v>1</v>
      </c>
      <c r="Q51" s="429"/>
      <c r="R51" s="429">
        <v>1</v>
      </c>
      <c r="S51" s="86">
        <v>1</v>
      </c>
      <c r="T51" s="432"/>
      <c r="U51" s="87"/>
      <c r="V51" s="433">
        <v>2</v>
      </c>
      <c r="W51" s="429">
        <v>3</v>
      </c>
      <c r="X51" s="429">
        <v>2</v>
      </c>
      <c r="Y51" s="429">
        <v>1</v>
      </c>
      <c r="Z51" s="437">
        <f t="shared" si="5"/>
        <v>11</v>
      </c>
      <c r="AA51" s="435">
        <f t="shared" si="2"/>
        <v>6</v>
      </c>
      <c r="AB51" s="392"/>
      <c r="AC51" s="9" t="s">
        <v>28</v>
      </c>
      <c r="AD51" s="435">
        <f t="shared" si="3"/>
        <v>50</v>
      </c>
    </row>
    <row r="52" spans="1:30" ht="29.25" customHeight="1" x14ac:dyDescent="0.25">
      <c r="A52" s="417">
        <v>43</v>
      </c>
      <c r="B52" s="427">
        <v>5191421043</v>
      </c>
      <c r="C52" s="85">
        <v>2</v>
      </c>
      <c r="D52" s="429">
        <v>2</v>
      </c>
      <c r="E52" s="429">
        <v>2</v>
      </c>
      <c r="F52" s="429">
        <v>2</v>
      </c>
      <c r="G52" s="86"/>
      <c r="H52" s="87">
        <v>4</v>
      </c>
      <c r="I52" s="429"/>
      <c r="J52" s="429"/>
      <c r="K52" s="429">
        <v>3</v>
      </c>
      <c r="L52" s="429"/>
      <c r="M52" s="436"/>
      <c r="N52" s="84">
        <f t="shared" si="4"/>
        <v>15</v>
      </c>
      <c r="O52" s="85">
        <v>2</v>
      </c>
      <c r="P52" s="429"/>
      <c r="Q52" s="429">
        <v>1</v>
      </c>
      <c r="R52" s="429">
        <v>2</v>
      </c>
      <c r="S52" s="86">
        <v>1</v>
      </c>
      <c r="T52" s="432">
        <v>5</v>
      </c>
      <c r="U52" s="87">
        <v>3</v>
      </c>
      <c r="V52" s="433">
        <v>3</v>
      </c>
      <c r="W52" s="429">
        <v>2</v>
      </c>
      <c r="X52" s="429"/>
      <c r="Y52" s="429"/>
      <c r="Z52" s="437">
        <f t="shared" si="5"/>
        <v>19</v>
      </c>
      <c r="AA52" s="435">
        <f t="shared" si="2"/>
        <v>17</v>
      </c>
      <c r="AB52" s="392"/>
      <c r="AC52" s="9" t="s">
        <v>27</v>
      </c>
      <c r="AD52" s="435">
        <f t="shared" si="3"/>
        <v>80</v>
      </c>
    </row>
    <row r="53" spans="1:30" ht="29.25" customHeight="1" x14ac:dyDescent="0.25">
      <c r="A53" s="417">
        <v>44</v>
      </c>
      <c r="B53" s="427">
        <v>5191421044</v>
      </c>
      <c r="C53" s="85">
        <v>2</v>
      </c>
      <c r="D53" s="429">
        <v>1</v>
      </c>
      <c r="E53" s="429">
        <v>1</v>
      </c>
      <c r="F53" s="429">
        <v>2</v>
      </c>
      <c r="G53" s="86">
        <v>1</v>
      </c>
      <c r="H53" s="87">
        <v>5</v>
      </c>
      <c r="I53" s="429">
        <v>5</v>
      </c>
      <c r="J53" s="429">
        <v>3</v>
      </c>
      <c r="K53" s="429">
        <v>2</v>
      </c>
      <c r="L53" s="429"/>
      <c r="M53" s="436"/>
      <c r="N53" s="84">
        <f t="shared" si="4"/>
        <v>22</v>
      </c>
      <c r="O53" s="85">
        <v>1</v>
      </c>
      <c r="P53" s="429">
        <v>1</v>
      </c>
      <c r="Q53" s="429">
        <v>1</v>
      </c>
      <c r="R53" s="429">
        <v>2</v>
      </c>
      <c r="S53" s="86">
        <v>1</v>
      </c>
      <c r="T53" s="432"/>
      <c r="U53" s="87"/>
      <c r="V53" s="433">
        <v>5</v>
      </c>
      <c r="W53" s="429">
        <v>5</v>
      </c>
      <c r="X53" s="429">
        <v>5</v>
      </c>
      <c r="Y53" s="429">
        <v>5</v>
      </c>
      <c r="Z53" s="437">
        <f t="shared" si="5"/>
        <v>26</v>
      </c>
      <c r="AA53" s="435">
        <f t="shared" si="2"/>
        <v>24</v>
      </c>
      <c r="AB53" s="392"/>
      <c r="AC53" s="9" t="s">
        <v>27</v>
      </c>
      <c r="AD53" s="435">
        <f t="shared" si="3"/>
        <v>80</v>
      </c>
    </row>
    <row r="54" spans="1:30" ht="29.25" customHeight="1" x14ac:dyDescent="0.25">
      <c r="A54" s="417">
        <v>45</v>
      </c>
      <c r="B54" s="427">
        <v>5191421045</v>
      </c>
      <c r="C54" s="100">
        <v>2</v>
      </c>
      <c r="D54" s="429">
        <v>1</v>
      </c>
      <c r="E54" s="429">
        <v>1</v>
      </c>
      <c r="F54" s="429">
        <v>1</v>
      </c>
      <c r="G54" s="86"/>
      <c r="H54" s="87">
        <v>0</v>
      </c>
      <c r="I54" s="429"/>
      <c r="J54" s="429">
        <v>2</v>
      </c>
      <c r="K54" s="429">
        <v>0</v>
      </c>
      <c r="L54" s="429"/>
      <c r="M54" s="436"/>
      <c r="N54" s="84">
        <f t="shared" si="4"/>
        <v>7</v>
      </c>
      <c r="O54" s="85"/>
      <c r="P54" s="429">
        <v>1</v>
      </c>
      <c r="Q54" s="429"/>
      <c r="R54" s="429">
        <v>2</v>
      </c>
      <c r="S54" s="86"/>
      <c r="T54" s="432"/>
      <c r="U54" s="87"/>
      <c r="V54" s="433">
        <v>3</v>
      </c>
      <c r="W54" s="429">
        <v>3</v>
      </c>
      <c r="X54" s="429">
        <v>3</v>
      </c>
      <c r="Y54" s="429">
        <v>3</v>
      </c>
      <c r="Z54" s="437">
        <f t="shared" si="5"/>
        <v>15</v>
      </c>
      <c r="AA54" s="435">
        <f t="shared" si="2"/>
        <v>11</v>
      </c>
      <c r="AB54" s="392"/>
      <c r="AC54" s="9" t="s">
        <v>31</v>
      </c>
      <c r="AD54" s="435">
        <f t="shared" si="3"/>
        <v>55</v>
      </c>
    </row>
    <row r="55" spans="1:30" ht="29.25" customHeight="1" x14ac:dyDescent="0.25">
      <c r="A55" s="417">
        <v>46</v>
      </c>
      <c r="B55" s="427">
        <v>5191421046</v>
      </c>
      <c r="C55" s="85">
        <v>2</v>
      </c>
      <c r="D55" s="429">
        <v>1</v>
      </c>
      <c r="E55" s="429">
        <v>1</v>
      </c>
      <c r="F55" s="429">
        <v>2</v>
      </c>
      <c r="G55" s="86">
        <v>2</v>
      </c>
      <c r="H55" s="87">
        <v>3</v>
      </c>
      <c r="I55" s="429">
        <v>3</v>
      </c>
      <c r="J55" s="429">
        <v>4</v>
      </c>
      <c r="K55" s="429">
        <v>4</v>
      </c>
      <c r="L55" s="429"/>
      <c r="M55" s="436"/>
      <c r="N55" s="84">
        <f t="shared" si="4"/>
        <v>22</v>
      </c>
      <c r="O55" s="85">
        <v>1</v>
      </c>
      <c r="P55" s="429">
        <v>1</v>
      </c>
      <c r="Q55" s="429">
        <v>1</v>
      </c>
      <c r="R55" s="429">
        <v>1</v>
      </c>
      <c r="S55" s="86">
        <v>1</v>
      </c>
      <c r="T55" s="432">
        <v>5</v>
      </c>
      <c r="U55" s="87">
        <v>3</v>
      </c>
      <c r="V55" s="433"/>
      <c r="W55" s="429"/>
      <c r="X55" s="429">
        <v>5</v>
      </c>
      <c r="Y55" s="429"/>
      <c r="Z55" s="437">
        <f t="shared" si="5"/>
        <v>18</v>
      </c>
      <c r="AA55" s="435">
        <f t="shared" si="2"/>
        <v>20</v>
      </c>
      <c r="AB55" s="392"/>
      <c r="AC55" s="9" t="s">
        <v>27</v>
      </c>
      <c r="AD55" s="435">
        <f t="shared" si="3"/>
        <v>80</v>
      </c>
    </row>
    <row r="56" spans="1:30" ht="29.25" customHeight="1" x14ac:dyDescent="0.25">
      <c r="A56" s="417">
        <v>47</v>
      </c>
      <c r="B56" s="427">
        <v>5191421047</v>
      </c>
      <c r="C56" s="85"/>
      <c r="D56" s="429"/>
      <c r="E56" s="429"/>
      <c r="F56" s="429"/>
      <c r="G56" s="86"/>
      <c r="H56" s="87">
        <v>0</v>
      </c>
      <c r="I56" s="429"/>
      <c r="J56" s="429"/>
      <c r="K56" s="429">
        <v>1</v>
      </c>
      <c r="L56" s="429"/>
      <c r="M56" s="436"/>
      <c r="N56" s="84">
        <f t="shared" si="4"/>
        <v>1</v>
      </c>
      <c r="O56" s="85"/>
      <c r="P56" s="429">
        <v>1</v>
      </c>
      <c r="Q56" s="429"/>
      <c r="R56" s="429">
        <v>2</v>
      </c>
      <c r="S56" s="86">
        <v>1</v>
      </c>
      <c r="T56" s="432"/>
      <c r="U56" s="87"/>
      <c r="V56" s="433">
        <v>1</v>
      </c>
      <c r="W56" s="429">
        <v>3</v>
      </c>
      <c r="X56" s="429">
        <v>4</v>
      </c>
      <c r="Y56" s="429"/>
      <c r="Z56" s="437">
        <f t="shared" si="5"/>
        <v>12</v>
      </c>
      <c r="AA56" s="435">
        <f t="shared" si="2"/>
        <v>7</v>
      </c>
      <c r="AB56" s="392"/>
      <c r="AC56" s="9" t="s">
        <v>28</v>
      </c>
      <c r="AD56" s="435">
        <f t="shared" si="3"/>
        <v>50</v>
      </c>
    </row>
    <row r="57" spans="1:30" ht="29.25" customHeight="1" x14ac:dyDescent="0.25">
      <c r="A57" s="417">
        <v>48</v>
      </c>
      <c r="B57" s="427">
        <v>5191421048</v>
      </c>
      <c r="C57" s="85">
        <v>1</v>
      </c>
      <c r="D57" s="429">
        <v>1</v>
      </c>
      <c r="E57" s="429">
        <v>2</v>
      </c>
      <c r="F57" s="429">
        <v>1</v>
      </c>
      <c r="G57" s="86">
        <v>1</v>
      </c>
      <c r="H57" s="87">
        <v>2</v>
      </c>
      <c r="I57" s="429"/>
      <c r="J57" s="429"/>
      <c r="K57" s="429"/>
      <c r="L57" s="429"/>
      <c r="M57" s="436"/>
      <c r="N57" s="84">
        <f t="shared" si="4"/>
        <v>8</v>
      </c>
      <c r="O57" s="85">
        <v>1</v>
      </c>
      <c r="P57" s="429">
        <v>1</v>
      </c>
      <c r="Q57" s="429"/>
      <c r="R57" s="429">
        <v>1</v>
      </c>
      <c r="S57" s="86">
        <v>1</v>
      </c>
      <c r="T57" s="432"/>
      <c r="U57" s="87">
        <v>3</v>
      </c>
      <c r="V57" s="433"/>
      <c r="W57" s="429">
        <v>3</v>
      </c>
      <c r="X57" s="429">
        <v>2</v>
      </c>
      <c r="Y57" s="429">
        <v>1</v>
      </c>
      <c r="Z57" s="437">
        <f t="shared" si="5"/>
        <v>13</v>
      </c>
      <c r="AA57" s="435">
        <f t="shared" si="2"/>
        <v>11</v>
      </c>
      <c r="AB57" s="392"/>
      <c r="AC57" s="9" t="s">
        <v>31</v>
      </c>
      <c r="AD57" s="435">
        <f t="shared" si="3"/>
        <v>55</v>
      </c>
    </row>
    <row r="58" spans="1:30" ht="29.25" customHeight="1" x14ac:dyDescent="0.25">
      <c r="A58" s="417">
        <v>49</v>
      </c>
      <c r="B58" s="427">
        <v>5191421049</v>
      </c>
      <c r="C58" s="85"/>
      <c r="D58" s="429"/>
      <c r="E58" s="429"/>
      <c r="F58" s="429"/>
      <c r="G58" s="86"/>
      <c r="H58" s="87"/>
      <c r="I58" s="429"/>
      <c r="J58" s="429"/>
      <c r="K58" s="429"/>
      <c r="L58" s="429"/>
      <c r="M58" s="436"/>
      <c r="N58" s="84">
        <f t="shared" si="4"/>
        <v>0</v>
      </c>
      <c r="O58" s="85">
        <v>2</v>
      </c>
      <c r="P58" s="429">
        <v>1</v>
      </c>
      <c r="Q58" s="429">
        <v>1</v>
      </c>
      <c r="R58" s="429">
        <v>2</v>
      </c>
      <c r="S58" s="86">
        <v>1</v>
      </c>
      <c r="T58" s="432"/>
      <c r="U58" s="87"/>
      <c r="V58" s="433">
        <v>5</v>
      </c>
      <c r="W58" s="429">
        <v>2</v>
      </c>
      <c r="X58" s="429">
        <v>5</v>
      </c>
      <c r="Y58" s="429">
        <v>1</v>
      </c>
      <c r="Z58" s="437">
        <f t="shared" si="5"/>
        <v>20</v>
      </c>
      <c r="AA58" s="435">
        <f t="shared" si="2"/>
        <v>10</v>
      </c>
      <c r="AB58" s="392"/>
      <c r="AC58" s="9" t="s">
        <v>32</v>
      </c>
      <c r="AD58" s="435">
        <f t="shared" si="3"/>
        <v>70</v>
      </c>
    </row>
    <row r="59" spans="1:30" ht="29.25" customHeight="1" x14ac:dyDescent="0.25">
      <c r="A59" s="417">
        <v>50</v>
      </c>
      <c r="B59" s="427">
        <v>5191421050</v>
      </c>
      <c r="C59" s="85"/>
      <c r="D59" s="429"/>
      <c r="E59" s="429"/>
      <c r="F59" s="429"/>
      <c r="G59" s="86"/>
      <c r="H59" s="87">
        <v>1</v>
      </c>
      <c r="I59" s="429"/>
      <c r="J59" s="429">
        <v>1</v>
      </c>
      <c r="K59" s="429"/>
      <c r="L59" s="429"/>
      <c r="M59" s="436"/>
      <c r="N59" s="84">
        <f>SUM(C59:M59)</f>
        <v>2</v>
      </c>
      <c r="O59" s="85">
        <v>1</v>
      </c>
      <c r="P59" s="429"/>
      <c r="Q59" s="429">
        <v>1</v>
      </c>
      <c r="R59" s="429">
        <v>2</v>
      </c>
      <c r="S59" s="86">
        <v>1</v>
      </c>
      <c r="T59" s="432"/>
      <c r="U59" s="87"/>
      <c r="V59" s="433"/>
      <c r="W59" s="429">
        <v>5</v>
      </c>
      <c r="X59" s="429">
        <v>5</v>
      </c>
      <c r="Y59" s="429"/>
      <c r="Z59" s="437">
        <f t="shared" si="5"/>
        <v>15</v>
      </c>
      <c r="AA59" s="435">
        <f t="shared" si="2"/>
        <v>9</v>
      </c>
      <c r="AB59" s="392"/>
      <c r="AC59" s="9" t="s">
        <v>32</v>
      </c>
      <c r="AD59" s="435">
        <f t="shared" si="3"/>
        <v>70</v>
      </c>
    </row>
    <row r="60" spans="1:30" ht="29.25" customHeight="1" x14ac:dyDescent="0.25">
      <c r="A60" s="417">
        <v>51</v>
      </c>
      <c r="B60" s="427">
        <v>5191421051</v>
      </c>
      <c r="C60" s="88"/>
      <c r="D60" s="439"/>
      <c r="E60" s="439"/>
      <c r="F60" s="439"/>
      <c r="G60" s="89"/>
      <c r="H60" s="90"/>
      <c r="I60" s="439"/>
      <c r="J60" s="439"/>
      <c r="K60" s="439"/>
      <c r="L60" s="439"/>
      <c r="M60" s="440"/>
      <c r="N60" s="84">
        <f t="shared" si="4"/>
        <v>0</v>
      </c>
      <c r="O60" s="88">
        <v>2</v>
      </c>
      <c r="P60" s="439">
        <v>1</v>
      </c>
      <c r="Q60" s="439">
        <v>1</v>
      </c>
      <c r="R60" s="439">
        <v>2</v>
      </c>
      <c r="S60" s="89">
        <v>1</v>
      </c>
      <c r="T60" s="441">
        <v>4</v>
      </c>
      <c r="U60" s="90">
        <v>3</v>
      </c>
      <c r="V60" s="442"/>
      <c r="W60" s="439"/>
      <c r="X60" s="439"/>
      <c r="Y60" s="439"/>
      <c r="Z60" s="437">
        <f t="shared" si="5"/>
        <v>14</v>
      </c>
      <c r="AA60" s="435">
        <f t="shared" si="2"/>
        <v>7</v>
      </c>
      <c r="AB60" s="392"/>
      <c r="AC60" s="9" t="s">
        <v>33</v>
      </c>
      <c r="AD60" s="435">
        <f t="shared" si="3"/>
        <v>60</v>
      </c>
    </row>
    <row r="61" spans="1:30" ht="29.25" customHeight="1" x14ac:dyDescent="0.25">
      <c r="A61" s="417">
        <v>52</v>
      </c>
      <c r="B61" s="427">
        <v>5191421052</v>
      </c>
      <c r="C61" s="88">
        <v>2</v>
      </c>
      <c r="D61" s="439">
        <v>2</v>
      </c>
      <c r="E61" s="439">
        <v>1</v>
      </c>
      <c r="F61" s="439"/>
      <c r="G61" s="89">
        <v>2</v>
      </c>
      <c r="H61" s="90">
        <v>4</v>
      </c>
      <c r="I61" s="439">
        <v>2</v>
      </c>
      <c r="J61" s="439"/>
      <c r="K61" s="439">
        <v>3</v>
      </c>
      <c r="L61" s="439"/>
      <c r="M61" s="440"/>
      <c r="N61" s="84">
        <f t="shared" si="4"/>
        <v>16</v>
      </c>
      <c r="O61" s="88">
        <v>2</v>
      </c>
      <c r="P61" s="439">
        <v>2</v>
      </c>
      <c r="Q61" s="439">
        <v>1</v>
      </c>
      <c r="R61" s="439">
        <v>2</v>
      </c>
      <c r="S61" s="89"/>
      <c r="T61" s="441"/>
      <c r="U61" s="90"/>
      <c r="V61" s="442">
        <v>4</v>
      </c>
      <c r="W61" s="439">
        <v>4</v>
      </c>
      <c r="X61" s="439"/>
      <c r="Y61" s="439"/>
      <c r="Z61" s="437">
        <f t="shared" si="5"/>
        <v>15</v>
      </c>
      <c r="AA61" s="435">
        <f t="shared" si="2"/>
        <v>16</v>
      </c>
      <c r="AB61" s="392"/>
      <c r="AC61" s="9" t="s">
        <v>32</v>
      </c>
      <c r="AD61" s="435">
        <f t="shared" si="3"/>
        <v>70</v>
      </c>
    </row>
    <row r="62" spans="1:30" ht="29.25" customHeight="1" x14ac:dyDescent="0.25">
      <c r="A62" s="417">
        <v>53</v>
      </c>
      <c r="B62" s="427">
        <v>5191421053</v>
      </c>
      <c r="C62" s="88">
        <v>1</v>
      </c>
      <c r="D62" s="439">
        <v>2</v>
      </c>
      <c r="E62" s="439">
        <v>2</v>
      </c>
      <c r="F62" s="439">
        <v>1</v>
      </c>
      <c r="G62" s="89">
        <v>2</v>
      </c>
      <c r="H62" s="90">
        <v>5</v>
      </c>
      <c r="I62" s="439">
        <v>2</v>
      </c>
      <c r="J62" s="439">
        <v>5</v>
      </c>
      <c r="K62" s="439">
        <v>4</v>
      </c>
      <c r="L62" s="439"/>
      <c r="M62" s="440"/>
      <c r="N62" s="84">
        <f t="shared" si="4"/>
        <v>24</v>
      </c>
      <c r="O62" s="88">
        <v>2</v>
      </c>
      <c r="P62" s="439">
        <v>2</v>
      </c>
      <c r="Q62" s="439">
        <v>1</v>
      </c>
      <c r="R62" s="439">
        <v>2</v>
      </c>
      <c r="S62" s="89">
        <v>2</v>
      </c>
      <c r="T62" s="441">
        <v>2</v>
      </c>
      <c r="U62" s="90">
        <v>3</v>
      </c>
      <c r="V62" s="442"/>
      <c r="W62" s="439"/>
      <c r="X62" s="439">
        <v>3</v>
      </c>
      <c r="Y62" s="439"/>
      <c r="Z62" s="437">
        <f t="shared" si="5"/>
        <v>17</v>
      </c>
      <c r="AA62" s="435">
        <f t="shared" si="2"/>
        <v>21</v>
      </c>
      <c r="AB62" s="392"/>
      <c r="AC62" s="9" t="s">
        <v>32</v>
      </c>
      <c r="AD62" s="435">
        <f t="shared" si="3"/>
        <v>70</v>
      </c>
    </row>
    <row r="63" spans="1:30" ht="29.25" customHeight="1" x14ac:dyDescent="0.25">
      <c r="A63" s="417">
        <v>54</v>
      </c>
      <c r="B63" s="427">
        <v>5191421054</v>
      </c>
      <c r="C63" s="88">
        <v>1</v>
      </c>
      <c r="D63" s="439">
        <v>2</v>
      </c>
      <c r="E63" s="439">
        <v>1</v>
      </c>
      <c r="F63" s="439">
        <v>1</v>
      </c>
      <c r="G63" s="89">
        <v>2</v>
      </c>
      <c r="H63" s="90"/>
      <c r="I63" s="439"/>
      <c r="J63" s="439"/>
      <c r="K63" s="439">
        <v>4</v>
      </c>
      <c r="L63" s="439">
        <v>3</v>
      </c>
      <c r="M63" s="440">
        <v>0</v>
      </c>
      <c r="N63" s="84">
        <f t="shared" si="4"/>
        <v>14</v>
      </c>
      <c r="O63" s="88">
        <v>2</v>
      </c>
      <c r="P63" s="439">
        <v>1</v>
      </c>
      <c r="Q63" s="439"/>
      <c r="R63" s="439">
        <v>1</v>
      </c>
      <c r="S63" s="89"/>
      <c r="T63" s="441">
        <v>5</v>
      </c>
      <c r="U63" s="90">
        <v>3</v>
      </c>
      <c r="V63" s="442"/>
      <c r="W63" s="439">
        <v>3</v>
      </c>
      <c r="X63" s="439"/>
      <c r="Y63" s="439"/>
      <c r="Z63" s="437">
        <f t="shared" si="5"/>
        <v>15</v>
      </c>
      <c r="AA63" s="435">
        <f t="shared" si="2"/>
        <v>15</v>
      </c>
      <c r="AB63" s="392"/>
      <c r="AC63" s="9" t="s">
        <v>32</v>
      </c>
      <c r="AD63" s="435">
        <f t="shared" si="3"/>
        <v>70</v>
      </c>
    </row>
    <row r="64" spans="1:30" ht="29.25" customHeight="1" x14ac:dyDescent="0.25">
      <c r="A64" s="417">
        <v>55</v>
      </c>
      <c r="B64" s="427">
        <v>5191421055</v>
      </c>
      <c r="C64" s="88">
        <v>2</v>
      </c>
      <c r="D64" s="439">
        <v>2</v>
      </c>
      <c r="E64" s="439">
        <v>2</v>
      </c>
      <c r="F64" s="439"/>
      <c r="G64" s="89"/>
      <c r="H64" s="90">
        <v>4</v>
      </c>
      <c r="I64" s="439">
        <v>2</v>
      </c>
      <c r="J64" s="439"/>
      <c r="K64" s="439">
        <v>4</v>
      </c>
      <c r="L64" s="439"/>
      <c r="M64" s="440"/>
      <c r="N64" s="84">
        <f t="shared" si="4"/>
        <v>16</v>
      </c>
      <c r="O64" s="88">
        <v>2</v>
      </c>
      <c r="P64" s="439">
        <v>1</v>
      </c>
      <c r="Q64" s="439">
        <v>1</v>
      </c>
      <c r="R64" s="439">
        <v>2</v>
      </c>
      <c r="S64" s="89">
        <v>1</v>
      </c>
      <c r="T64" s="441"/>
      <c r="U64" s="90"/>
      <c r="V64" s="442">
        <v>3</v>
      </c>
      <c r="W64" s="439"/>
      <c r="X64" s="439"/>
      <c r="Y64" s="439"/>
      <c r="Z64" s="437">
        <f t="shared" si="5"/>
        <v>10</v>
      </c>
      <c r="AA64" s="435">
        <f t="shared" si="2"/>
        <v>13</v>
      </c>
      <c r="AB64" s="392"/>
      <c r="AC64" s="9" t="s">
        <v>33</v>
      </c>
      <c r="AD64" s="435">
        <f t="shared" si="3"/>
        <v>60</v>
      </c>
    </row>
    <row r="65" spans="1:30" ht="29.25" customHeight="1" x14ac:dyDescent="0.25">
      <c r="A65" s="417">
        <v>56</v>
      </c>
      <c r="B65" s="427">
        <v>5191421056</v>
      </c>
      <c r="C65" s="88">
        <v>2</v>
      </c>
      <c r="D65" s="439">
        <v>2</v>
      </c>
      <c r="E65" s="439">
        <v>2</v>
      </c>
      <c r="F65" s="439">
        <v>2</v>
      </c>
      <c r="G65" s="89">
        <v>2</v>
      </c>
      <c r="H65" s="90">
        <v>3</v>
      </c>
      <c r="I65" s="439">
        <v>3</v>
      </c>
      <c r="J65" s="439">
        <v>3</v>
      </c>
      <c r="K65" s="439"/>
      <c r="L65" s="439"/>
      <c r="M65" s="440"/>
      <c r="N65" s="84">
        <f t="shared" si="4"/>
        <v>19</v>
      </c>
      <c r="O65" s="88"/>
      <c r="P65" s="439">
        <v>1</v>
      </c>
      <c r="Q65" s="439"/>
      <c r="R65" s="439">
        <v>2</v>
      </c>
      <c r="S65" s="89"/>
      <c r="T65" s="441"/>
      <c r="U65" s="90">
        <v>3</v>
      </c>
      <c r="V65" s="442">
        <v>5</v>
      </c>
      <c r="W65" s="439">
        <v>3</v>
      </c>
      <c r="X65" s="439"/>
      <c r="Y65" s="439"/>
      <c r="Z65" s="437">
        <f t="shared" si="5"/>
        <v>14</v>
      </c>
      <c r="AA65" s="435">
        <f t="shared" si="2"/>
        <v>17</v>
      </c>
      <c r="AB65" s="392"/>
      <c r="AC65" s="9" t="s">
        <v>27</v>
      </c>
      <c r="AD65" s="435">
        <f t="shared" si="3"/>
        <v>80</v>
      </c>
    </row>
    <row r="66" spans="1:30" ht="29.25" customHeight="1" x14ac:dyDescent="0.25">
      <c r="A66" s="417">
        <v>57</v>
      </c>
      <c r="B66" s="427">
        <v>5191421057</v>
      </c>
      <c r="C66" s="88">
        <v>2</v>
      </c>
      <c r="D66" s="439"/>
      <c r="E66" s="439">
        <v>2</v>
      </c>
      <c r="F66" s="439">
        <v>2</v>
      </c>
      <c r="G66" s="89"/>
      <c r="H66" s="90">
        <v>2</v>
      </c>
      <c r="I66" s="439">
        <v>2</v>
      </c>
      <c r="J66" s="439"/>
      <c r="K66" s="439"/>
      <c r="L66" s="439"/>
      <c r="M66" s="440"/>
      <c r="N66" s="84">
        <f t="shared" si="4"/>
        <v>10</v>
      </c>
      <c r="O66" s="88">
        <v>2</v>
      </c>
      <c r="P66" s="439">
        <v>1</v>
      </c>
      <c r="Q66" s="439"/>
      <c r="R66" s="439">
        <v>2</v>
      </c>
      <c r="S66" s="89">
        <v>1</v>
      </c>
      <c r="T66" s="441">
        <v>5</v>
      </c>
      <c r="U66" s="90">
        <v>3</v>
      </c>
      <c r="V66" s="442">
        <v>5</v>
      </c>
      <c r="W66" s="439">
        <v>5</v>
      </c>
      <c r="X66" s="439"/>
      <c r="Y66" s="439"/>
      <c r="Z66" s="437">
        <f t="shared" si="5"/>
        <v>24</v>
      </c>
      <c r="AA66" s="435">
        <f t="shared" si="2"/>
        <v>17</v>
      </c>
      <c r="AB66" s="392"/>
      <c r="AC66" s="103" t="s">
        <v>27</v>
      </c>
      <c r="AD66" s="435">
        <f t="shared" si="3"/>
        <v>80</v>
      </c>
    </row>
    <row r="67" spans="1:30" ht="29.25" customHeight="1" thickBot="1" x14ac:dyDescent="0.3">
      <c r="A67" s="417">
        <v>58</v>
      </c>
      <c r="B67" s="427">
        <v>5191421058</v>
      </c>
      <c r="C67" s="443">
        <v>2</v>
      </c>
      <c r="D67" s="439"/>
      <c r="E67" s="439">
        <v>1</v>
      </c>
      <c r="F67" s="439"/>
      <c r="G67" s="89">
        <v>2</v>
      </c>
      <c r="H67" s="90">
        <v>5</v>
      </c>
      <c r="I67" s="439">
        <v>5</v>
      </c>
      <c r="J67" s="439">
        <v>5</v>
      </c>
      <c r="K67" s="439">
        <v>4</v>
      </c>
      <c r="L67" s="439"/>
      <c r="M67" s="440"/>
      <c r="N67" s="93">
        <f t="shared" si="4"/>
        <v>24</v>
      </c>
      <c r="O67" s="88">
        <v>1</v>
      </c>
      <c r="P67" s="439">
        <v>1</v>
      </c>
      <c r="Q67" s="439"/>
      <c r="R67" s="439">
        <v>2</v>
      </c>
      <c r="S67" s="89">
        <v>1</v>
      </c>
      <c r="T67" s="441"/>
      <c r="U67" s="90"/>
      <c r="V67" s="442"/>
      <c r="W67" s="439"/>
      <c r="X67" s="439">
        <v>4</v>
      </c>
      <c r="Y67" s="439">
        <v>3</v>
      </c>
      <c r="Z67" s="437">
        <f t="shared" si="5"/>
        <v>12</v>
      </c>
      <c r="AA67" s="435">
        <f t="shared" si="2"/>
        <v>18</v>
      </c>
      <c r="AB67" s="393"/>
      <c r="AC67" s="444" t="s">
        <v>31</v>
      </c>
      <c r="AD67" s="435">
        <f t="shared" si="3"/>
        <v>55</v>
      </c>
    </row>
    <row r="68" spans="1:30" ht="29.25" customHeight="1" x14ac:dyDescent="0.25">
      <c r="A68" s="3116" t="s">
        <v>34</v>
      </c>
      <c r="B68" s="3117">
        <v>55</v>
      </c>
      <c r="C68" s="435">
        <f t="shared" ref="C68:M68" si="6">COUNT(C10:C67)</f>
        <v>49</v>
      </c>
      <c r="D68" s="435">
        <f t="shared" si="6"/>
        <v>42</v>
      </c>
      <c r="E68" s="435">
        <f t="shared" si="6"/>
        <v>41</v>
      </c>
      <c r="F68" s="435">
        <f t="shared" si="6"/>
        <v>36</v>
      </c>
      <c r="G68" s="435">
        <f t="shared" si="6"/>
        <v>27</v>
      </c>
      <c r="H68" s="435">
        <f t="shared" si="6"/>
        <v>44</v>
      </c>
      <c r="I68" s="435">
        <f t="shared" si="6"/>
        <v>32</v>
      </c>
      <c r="J68" s="435">
        <f t="shared" si="6"/>
        <v>23</v>
      </c>
      <c r="K68" s="435">
        <f t="shared" si="6"/>
        <v>40</v>
      </c>
      <c r="L68" s="435">
        <f t="shared" si="6"/>
        <v>5</v>
      </c>
      <c r="M68" s="435">
        <f t="shared" si="6"/>
        <v>4</v>
      </c>
      <c r="N68" s="392"/>
      <c r="O68" s="435">
        <f t="shared" ref="O68:Y68" si="7">COUNT(O10:O67)</f>
        <v>45</v>
      </c>
      <c r="P68" s="435">
        <f t="shared" si="7"/>
        <v>47</v>
      </c>
      <c r="Q68" s="435">
        <f t="shared" si="7"/>
        <v>36</v>
      </c>
      <c r="R68" s="435">
        <f t="shared" si="7"/>
        <v>52</v>
      </c>
      <c r="S68" s="435">
        <f t="shared" si="7"/>
        <v>29</v>
      </c>
      <c r="T68" s="435">
        <f t="shared" si="7"/>
        <v>28</v>
      </c>
      <c r="U68" s="435">
        <f t="shared" si="7"/>
        <v>30</v>
      </c>
      <c r="V68" s="435">
        <f t="shared" si="7"/>
        <v>28</v>
      </c>
      <c r="W68" s="435">
        <f t="shared" si="7"/>
        <v>34</v>
      </c>
      <c r="X68" s="435">
        <f t="shared" si="7"/>
        <v>38</v>
      </c>
      <c r="Y68" s="435">
        <f t="shared" si="7"/>
        <v>20</v>
      </c>
      <c r="Z68" s="392"/>
      <c r="AA68" s="392"/>
    </row>
    <row r="69" spans="1:30" ht="29.25" customHeight="1" x14ac:dyDescent="0.25">
      <c r="A69" s="3048"/>
      <c r="B69" s="3118"/>
      <c r="C69" s="446">
        <f>C9*(B68/100)</f>
        <v>1.1000000000000001</v>
      </c>
      <c r="D69" s="446">
        <f>D9*(B68/100)</f>
        <v>1.1000000000000001</v>
      </c>
      <c r="E69" s="446">
        <f>E9*(B68/100)</f>
        <v>1.1000000000000001</v>
      </c>
      <c r="F69" s="446">
        <f>F9*(B68/100)</f>
        <v>1.1000000000000001</v>
      </c>
      <c r="G69" s="446">
        <f>G9*(B68/100)</f>
        <v>1.1000000000000001</v>
      </c>
      <c r="H69" s="446">
        <f>H9*(B68/100)</f>
        <v>2.75</v>
      </c>
      <c r="I69" s="446">
        <f>I9*(B68/100)</f>
        <v>2.75</v>
      </c>
      <c r="J69" s="446">
        <f>J9*(B68/100)</f>
        <v>2.75</v>
      </c>
      <c r="K69" s="446">
        <f>K9*(B68/100)</f>
        <v>2.75</v>
      </c>
      <c r="L69" s="446">
        <f>L9*(B68/100)</f>
        <v>2.75</v>
      </c>
      <c r="M69" s="447">
        <f>M9*(B68/100)</f>
        <v>2.75</v>
      </c>
      <c r="N69" s="392"/>
      <c r="O69" s="446">
        <f>O9*(B68/100)</f>
        <v>1.1000000000000001</v>
      </c>
      <c r="P69" s="446">
        <f>P9*(B68/100)</f>
        <v>1.1000000000000001</v>
      </c>
      <c r="Q69" s="446">
        <f>Q9*(B68/100)</f>
        <v>1.1000000000000001</v>
      </c>
      <c r="R69" s="446">
        <f>R9*(B68/100)</f>
        <v>1.1000000000000001</v>
      </c>
      <c r="S69" s="446">
        <f>S9*(B68/100)</f>
        <v>1.1000000000000001</v>
      </c>
      <c r="T69" s="446">
        <f>T9*(B68/100)</f>
        <v>2.75</v>
      </c>
      <c r="U69" s="446">
        <f>U9*(B68/100)</f>
        <v>2.75</v>
      </c>
      <c r="V69" s="446">
        <f>V9*(B68/100)</f>
        <v>2.75</v>
      </c>
      <c r="W69" s="446">
        <f>W9*(B68/100)</f>
        <v>2.75</v>
      </c>
      <c r="X69" s="446">
        <f>X9*(B68/100)</f>
        <v>2.75</v>
      </c>
      <c r="Y69" s="446">
        <f>Y9*(B68/100)</f>
        <v>2.75</v>
      </c>
      <c r="Z69" s="341"/>
      <c r="AA69" s="341"/>
    </row>
    <row r="70" spans="1:30" ht="34.5" customHeight="1" x14ac:dyDescent="0.25">
      <c r="A70" s="3106" t="s">
        <v>35</v>
      </c>
      <c r="B70" s="3106"/>
      <c r="C70" s="435">
        <f t="shared" ref="C70:M70" si="8">COUNTIF(C11:C67,"&gt;=" &amp;C69)</f>
        <v>36</v>
      </c>
      <c r="D70" s="435">
        <f t="shared" si="8"/>
        <v>23</v>
      </c>
      <c r="E70" s="435">
        <f t="shared" si="8"/>
        <v>15</v>
      </c>
      <c r="F70" s="435">
        <f t="shared" si="8"/>
        <v>15</v>
      </c>
      <c r="G70" s="435">
        <f t="shared" si="8"/>
        <v>18</v>
      </c>
      <c r="H70" s="435">
        <f t="shared" si="8"/>
        <v>28</v>
      </c>
      <c r="I70" s="435">
        <f t="shared" si="8"/>
        <v>18</v>
      </c>
      <c r="J70" s="435">
        <f t="shared" si="8"/>
        <v>18</v>
      </c>
      <c r="K70" s="435">
        <f t="shared" si="8"/>
        <v>20</v>
      </c>
      <c r="L70" s="435">
        <f t="shared" si="8"/>
        <v>2</v>
      </c>
      <c r="M70" s="435">
        <f t="shared" si="8"/>
        <v>0</v>
      </c>
      <c r="N70" s="392"/>
      <c r="O70" s="435">
        <f t="shared" ref="O70:Y70" si="9">COUNTIF(O10:O60,"&gt;=" &amp;O69)</f>
        <v>17</v>
      </c>
      <c r="P70" s="435">
        <f t="shared" si="9"/>
        <v>4</v>
      </c>
      <c r="Q70" s="435">
        <f t="shared" si="9"/>
        <v>6</v>
      </c>
      <c r="R70" s="435">
        <f t="shared" si="9"/>
        <v>41</v>
      </c>
      <c r="S70" s="435">
        <f t="shared" si="9"/>
        <v>0</v>
      </c>
      <c r="T70" s="435">
        <f t="shared" si="9"/>
        <v>23</v>
      </c>
      <c r="U70" s="435">
        <f t="shared" si="9"/>
        <v>23</v>
      </c>
      <c r="V70" s="435">
        <f t="shared" si="9"/>
        <v>13</v>
      </c>
      <c r="W70" s="435">
        <f t="shared" si="9"/>
        <v>17</v>
      </c>
      <c r="X70" s="435">
        <f t="shared" si="9"/>
        <v>23</v>
      </c>
      <c r="Y70" s="435">
        <f t="shared" si="9"/>
        <v>12</v>
      </c>
      <c r="Z70" s="392"/>
      <c r="AA70" s="392"/>
      <c r="AD70" s="392">
        <f>COUNTIF(AD10:AD67,"&gt;="&amp;B68)</f>
        <v>44</v>
      </c>
    </row>
    <row r="71" spans="1:30" ht="29.25" customHeight="1" x14ac:dyDescent="0.25">
      <c r="A71" s="3052" t="s">
        <v>36</v>
      </c>
      <c r="B71" s="3052"/>
      <c r="C71" s="435">
        <f t="shared" ref="C71:Y71" si="10">C70/C68</f>
        <v>0.73469387755102045</v>
      </c>
      <c r="D71" s="435">
        <f t="shared" si="10"/>
        <v>0.54761904761904767</v>
      </c>
      <c r="E71" s="435">
        <f t="shared" si="10"/>
        <v>0.36585365853658536</v>
      </c>
      <c r="F71" s="435">
        <f t="shared" si="10"/>
        <v>0.41666666666666669</v>
      </c>
      <c r="G71" s="435">
        <f t="shared" si="10"/>
        <v>0.66666666666666663</v>
      </c>
      <c r="H71" s="435">
        <f t="shared" si="10"/>
        <v>0.63636363636363635</v>
      </c>
      <c r="I71" s="435">
        <f t="shared" si="10"/>
        <v>0.5625</v>
      </c>
      <c r="J71" s="435">
        <f t="shared" si="10"/>
        <v>0.78260869565217395</v>
      </c>
      <c r="K71" s="435">
        <f t="shared" si="10"/>
        <v>0.5</v>
      </c>
      <c r="L71" s="435">
        <f t="shared" si="10"/>
        <v>0.4</v>
      </c>
      <c r="M71" s="448">
        <f t="shared" si="10"/>
        <v>0</v>
      </c>
      <c r="N71" s="392"/>
      <c r="O71" s="435">
        <f t="shared" si="10"/>
        <v>0.37777777777777777</v>
      </c>
      <c r="P71" s="435">
        <f t="shared" si="10"/>
        <v>8.5106382978723402E-2</v>
      </c>
      <c r="Q71" s="435">
        <f t="shared" si="10"/>
        <v>0.16666666666666666</v>
      </c>
      <c r="R71" s="435">
        <f t="shared" si="10"/>
        <v>0.78846153846153844</v>
      </c>
      <c r="S71" s="435">
        <f t="shared" si="10"/>
        <v>0</v>
      </c>
      <c r="T71" s="435">
        <f t="shared" si="10"/>
        <v>0.8214285714285714</v>
      </c>
      <c r="U71" s="435">
        <f>V70/U68</f>
        <v>0.43333333333333335</v>
      </c>
      <c r="V71" s="435">
        <f>W70/V68</f>
        <v>0.6071428571428571</v>
      </c>
      <c r="W71" s="435">
        <f t="shared" si="10"/>
        <v>0.5</v>
      </c>
      <c r="X71" s="435">
        <f t="shared" si="10"/>
        <v>0.60526315789473684</v>
      </c>
      <c r="Y71" s="435">
        <f t="shared" si="10"/>
        <v>0.6</v>
      </c>
      <c r="Z71" s="392"/>
      <c r="AA71" s="392"/>
      <c r="AD71" s="392">
        <f>(AD70/A67)*100</f>
        <v>75.862068965517238</v>
      </c>
    </row>
    <row r="72" spans="1:30" ht="29.25" customHeight="1" x14ac:dyDescent="0.25">
      <c r="C72" s="419">
        <v>1</v>
      </c>
      <c r="D72" s="419">
        <v>2</v>
      </c>
      <c r="E72" s="419">
        <v>1</v>
      </c>
      <c r="F72" s="419">
        <v>3</v>
      </c>
      <c r="G72" s="419">
        <v>2</v>
      </c>
      <c r="H72" s="419">
        <v>1</v>
      </c>
      <c r="I72" s="419">
        <v>1</v>
      </c>
      <c r="J72" s="419">
        <v>2</v>
      </c>
      <c r="K72" s="419">
        <v>2</v>
      </c>
      <c r="L72" s="420">
        <v>3</v>
      </c>
      <c r="M72" s="420">
        <v>3</v>
      </c>
      <c r="N72" s="392"/>
      <c r="O72" s="419">
        <v>4</v>
      </c>
      <c r="P72" s="419">
        <v>4</v>
      </c>
      <c r="Q72" s="419">
        <v>3</v>
      </c>
      <c r="R72" s="419">
        <v>4</v>
      </c>
      <c r="S72" s="419">
        <v>3</v>
      </c>
      <c r="T72" s="419">
        <v>4</v>
      </c>
      <c r="U72" s="419">
        <v>4</v>
      </c>
      <c r="V72" s="419">
        <v>4</v>
      </c>
      <c r="W72" s="419">
        <v>3</v>
      </c>
      <c r="X72" s="419">
        <v>3</v>
      </c>
      <c r="Y72" s="419">
        <v>3</v>
      </c>
      <c r="Z72" s="392"/>
      <c r="AA72" s="392"/>
    </row>
    <row r="73" spans="1:30" ht="29.25" customHeight="1" x14ac:dyDescent="0.25"/>
    <row r="74" spans="1:30" ht="18.75" customHeight="1" x14ac:dyDescent="0.25">
      <c r="B74" s="449"/>
      <c r="C74" s="3107" t="s">
        <v>38</v>
      </c>
      <c r="D74" s="3107"/>
      <c r="E74" s="3107" t="s">
        <v>39</v>
      </c>
      <c r="F74" s="3107"/>
      <c r="G74" s="450" t="s">
        <v>37</v>
      </c>
      <c r="H74" s="13"/>
      <c r="I74" s="13"/>
      <c r="J74" s="388"/>
    </row>
    <row r="75" spans="1:30" ht="18.75" customHeight="1" x14ac:dyDescent="0.25">
      <c r="B75" s="417" t="s">
        <v>22</v>
      </c>
      <c r="C75" s="435">
        <f>AVERAGE(C71,E71,H71,I71)*100</f>
        <v>57.485279311281055</v>
      </c>
      <c r="D75" s="435">
        <f t="shared" ref="D75:D78" si="11">IF(C75&gt;=70,3,IF(AND(C75&gt;=60,C75&lt;70),2,IF(AND(C75&gt;=50,C75&lt;60),1)))</f>
        <v>1</v>
      </c>
      <c r="E75" s="3108">
        <f>IF(AD71&gt;=70,3,IF(AND(AD71&gt;=60,AD71&lt;70),2,IF(AND(AD71&gt;=50,AD71&lt;60),1)))</f>
        <v>3</v>
      </c>
      <c r="F75" s="3109"/>
      <c r="G75" s="451">
        <f>(70/100)*E75+(30/100)*D75</f>
        <v>2.3999999999999995</v>
      </c>
      <c r="H75" s="329"/>
      <c r="I75" s="329"/>
      <c r="J75" s="329"/>
    </row>
    <row r="76" spans="1:30" ht="18.75" customHeight="1" x14ac:dyDescent="0.25">
      <c r="B76" s="417" t="s">
        <v>40</v>
      </c>
      <c r="C76" s="435">
        <f>AVERAGE(D71,G71,J71,K71)*100</f>
        <v>62.422360248447205</v>
      </c>
      <c r="D76" s="435">
        <f t="shared" si="11"/>
        <v>2</v>
      </c>
      <c r="E76" s="3108">
        <f>IF(AD71&gt;=70,3,IF(AND(AD71&gt;=60,AD71&lt;70),2,IF(AND(AD71&gt;=50,AD71&lt;60),1)))</f>
        <v>3</v>
      </c>
      <c r="F76" s="3109"/>
      <c r="G76" s="451">
        <f t="shared" ref="G76:G78" si="12">(70/100)*E76+(30/100)*D76</f>
        <v>2.6999999999999997</v>
      </c>
      <c r="H76" s="329"/>
      <c r="I76" s="329"/>
      <c r="J76" s="329"/>
    </row>
    <row r="77" spans="1:30" ht="18.75" customHeight="1" x14ac:dyDescent="0.25">
      <c r="B77" s="417" t="s">
        <v>41</v>
      </c>
      <c r="C77" s="435">
        <f>AVERAGE(F71,L71,M71,Q71,S71,W71,X71,Y71)*100</f>
        <v>33.607456140350877</v>
      </c>
      <c r="D77" s="435" t="b">
        <f t="shared" si="11"/>
        <v>0</v>
      </c>
      <c r="E77" s="3108">
        <f>IF(AD71&gt;=70,3,IF(AND(AD71&gt;=60,AD71&lt;70),2,IF(AND(AD71&gt;=50,AD71&lt;60),1)))</f>
        <v>3</v>
      </c>
      <c r="F77" s="3109"/>
      <c r="G77" s="451">
        <f t="shared" si="12"/>
        <v>2.0999999999999996</v>
      </c>
      <c r="H77" s="329"/>
      <c r="I77" s="329"/>
      <c r="J77" s="329"/>
    </row>
    <row r="78" spans="1:30" ht="18.75" customHeight="1" x14ac:dyDescent="0.25">
      <c r="B78" s="417" t="s">
        <v>42</v>
      </c>
      <c r="C78" s="435">
        <f>AVERAGE(O71,P71,R71,T71,U71,V71)*100</f>
        <v>51.887507685380029</v>
      </c>
      <c r="D78" s="435">
        <f t="shared" si="11"/>
        <v>1</v>
      </c>
      <c r="E78" s="3108">
        <f>IF(AD71&gt;=70,3,IF(AND(AD71&gt;=60,AD71&lt;70),2,IF(AND(AD71&gt;=50,AD71&lt;60),1)))</f>
        <v>3</v>
      </c>
      <c r="F78" s="3109"/>
      <c r="G78" s="451">
        <f t="shared" si="12"/>
        <v>2.3999999999999995</v>
      </c>
      <c r="H78" s="329"/>
      <c r="I78" s="329"/>
      <c r="J78" s="329"/>
    </row>
    <row r="79" spans="1:30" ht="18.75" customHeight="1" x14ac:dyDescent="0.25">
      <c r="B79" s="3110" t="s">
        <v>44</v>
      </c>
      <c r="C79" s="3111"/>
      <c r="D79" s="3111"/>
      <c r="E79" s="3111"/>
      <c r="F79" s="3112"/>
      <c r="G79" s="452">
        <f>AVERAGE(G75:G78)</f>
        <v>2.3999999999999995</v>
      </c>
      <c r="H79" s="342"/>
      <c r="I79" s="342"/>
      <c r="J79" s="342"/>
    </row>
    <row r="80" spans="1:30" ht="18.75" customHeight="1" x14ac:dyDescent="0.25"/>
    <row r="81" spans="1:17" ht="18.75" customHeight="1" x14ac:dyDescent="0.25">
      <c r="A81" s="3041" t="s">
        <v>134</v>
      </c>
      <c r="B81" s="3041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70"/>
      <c r="N81" s="337"/>
      <c r="O81" s="337"/>
      <c r="P81" s="337"/>
      <c r="Q81" s="337"/>
    </row>
    <row r="82" spans="1:17" ht="18.75" customHeight="1" x14ac:dyDescent="0.25">
      <c r="A82" s="337"/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70"/>
      <c r="N82" s="337"/>
      <c r="O82" s="337"/>
      <c r="P82" s="337"/>
      <c r="Q82" s="337"/>
    </row>
    <row r="83" spans="1:17" ht="18.75" customHeight="1" x14ac:dyDescent="0.25">
      <c r="A83" s="337"/>
      <c r="B83" s="453" t="s">
        <v>45</v>
      </c>
      <c r="C83" s="454" t="s">
        <v>68</v>
      </c>
      <c r="D83" s="454" t="s">
        <v>69</v>
      </c>
      <c r="E83" s="454" t="s">
        <v>70</v>
      </c>
      <c r="F83" s="454" t="s">
        <v>71</v>
      </c>
      <c r="G83" s="454" t="s">
        <v>72</v>
      </c>
      <c r="H83" s="454" t="s">
        <v>73</v>
      </c>
      <c r="I83" s="454" t="s">
        <v>74</v>
      </c>
      <c r="J83" s="455" t="s">
        <v>75</v>
      </c>
      <c r="K83" s="454" t="s">
        <v>76</v>
      </c>
      <c r="L83" s="454" t="s">
        <v>77</v>
      </c>
      <c r="M83" s="454" t="s">
        <v>78</v>
      </c>
      <c r="N83" s="454" t="s">
        <v>79</v>
      </c>
    </row>
    <row r="84" spans="1:17" ht="18.75" customHeight="1" x14ac:dyDescent="0.25">
      <c r="A84" s="337"/>
      <c r="B84" s="456" t="s">
        <v>20</v>
      </c>
      <c r="C84" s="457">
        <v>3</v>
      </c>
      <c r="D84" s="457">
        <v>3</v>
      </c>
      <c r="E84" s="457">
        <v>2</v>
      </c>
      <c r="F84" s="457">
        <v>1</v>
      </c>
      <c r="G84" s="457">
        <v>2</v>
      </c>
      <c r="H84" s="457"/>
      <c r="I84" s="457"/>
      <c r="J84" s="457"/>
      <c r="K84" s="457"/>
      <c r="L84" s="457"/>
      <c r="M84" s="457"/>
      <c r="N84" s="457">
        <v>2</v>
      </c>
    </row>
    <row r="85" spans="1:17" ht="18.75" customHeight="1" x14ac:dyDescent="0.25">
      <c r="A85" s="337"/>
      <c r="B85" s="456" t="s">
        <v>21</v>
      </c>
      <c r="C85" s="457">
        <v>3</v>
      </c>
      <c r="D85" s="457">
        <v>3</v>
      </c>
      <c r="E85" s="457">
        <v>2</v>
      </c>
      <c r="F85" s="457">
        <v>1</v>
      </c>
      <c r="G85" s="457">
        <v>2</v>
      </c>
      <c r="H85" s="457">
        <v>1</v>
      </c>
      <c r="I85" s="457"/>
      <c r="J85" s="457"/>
      <c r="K85" s="457"/>
      <c r="L85" s="457"/>
      <c r="M85" s="457"/>
      <c r="N85" s="457">
        <v>2</v>
      </c>
    </row>
    <row r="86" spans="1:17" ht="18.75" customHeight="1" x14ac:dyDescent="0.25">
      <c r="A86" s="337"/>
      <c r="B86" s="456" t="s">
        <v>23</v>
      </c>
      <c r="C86" s="457">
        <v>3</v>
      </c>
      <c r="D86" s="457">
        <v>3</v>
      </c>
      <c r="E86" s="457">
        <v>3</v>
      </c>
      <c r="F86" s="457">
        <v>1</v>
      </c>
      <c r="G86" s="457">
        <v>3</v>
      </c>
      <c r="H86" s="457">
        <v>2</v>
      </c>
      <c r="I86" s="457"/>
      <c r="J86" s="457"/>
      <c r="K86" s="457"/>
      <c r="L86" s="457"/>
      <c r="M86" s="457"/>
      <c r="N86" s="457">
        <v>2</v>
      </c>
    </row>
    <row r="87" spans="1:17" ht="18.75" customHeight="1" x14ac:dyDescent="0.25">
      <c r="A87" s="337"/>
      <c r="B87" s="456" t="s">
        <v>25</v>
      </c>
      <c r="C87" s="457">
        <v>2</v>
      </c>
      <c r="D87" s="457">
        <v>2</v>
      </c>
      <c r="E87" s="457">
        <v>3</v>
      </c>
      <c r="F87" s="457">
        <v>1</v>
      </c>
      <c r="G87" s="457">
        <v>1</v>
      </c>
      <c r="H87" s="457"/>
      <c r="I87" s="457"/>
      <c r="J87" s="457"/>
      <c r="K87" s="457"/>
      <c r="L87" s="457"/>
      <c r="M87" s="457"/>
      <c r="N87" s="457">
        <v>2</v>
      </c>
    </row>
    <row r="88" spans="1:17" ht="18.75" customHeight="1" x14ac:dyDescent="0.25">
      <c r="A88" s="337"/>
      <c r="B88" s="458" t="s">
        <v>10</v>
      </c>
      <c r="C88" s="327">
        <f t="shared" ref="C88:H88" si="13">AVERAGE(C84:C87)</f>
        <v>2.75</v>
      </c>
      <c r="D88" s="327">
        <f t="shared" si="13"/>
        <v>2.75</v>
      </c>
      <c r="E88" s="327">
        <f t="shared" si="13"/>
        <v>2.5</v>
      </c>
      <c r="F88" s="327">
        <f t="shared" si="13"/>
        <v>1</v>
      </c>
      <c r="G88" s="327">
        <f t="shared" si="13"/>
        <v>2</v>
      </c>
      <c r="H88" s="327">
        <f t="shared" si="13"/>
        <v>1.5</v>
      </c>
      <c r="I88" s="327"/>
      <c r="J88" s="327"/>
      <c r="K88" s="327"/>
      <c r="L88" s="327"/>
      <c r="M88" s="327"/>
      <c r="N88" s="327">
        <f>AVERAGE(N84:N87)</f>
        <v>2</v>
      </c>
    </row>
    <row r="89" spans="1:17" ht="18.75" customHeight="1" x14ac:dyDescent="0.25">
      <c r="A89" s="337"/>
      <c r="B89" s="458" t="s">
        <v>58</v>
      </c>
      <c r="C89" s="3113">
        <f>AVERAGE(C88:N88)</f>
        <v>2.0714285714285716</v>
      </c>
      <c r="D89" s="3114"/>
      <c r="E89" s="3114"/>
      <c r="F89" s="3114"/>
      <c r="G89" s="3114"/>
      <c r="H89" s="3114"/>
      <c r="I89" s="3114"/>
      <c r="J89" s="3114"/>
      <c r="K89" s="3114"/>
      <c r="L89" s="3114"/>
      <c r="M89" s="3114"/>
      <c r="N89" s="3114"/>
      <c r="O89" s="3114"/>
      <c r="P89" s="3114"/>
      <c r="Q89" s="3115"/>
    </row>
    <row r="90" spans="1:17" ht="18.75" customHeight="1" x14ac:dyDescent="0.25">
      <c r="A90" s="3041" t="s">
        <v>148</v>
      </c>
      <c r="B90" s="3041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70"/>
      <c r="N90" s="337"/>
      <c r="O90" s="337"/>
      <c r="P90" s="337"/>
      <c r="Q90" s="337"/>
    </row>
    <row r="91" spans="1:17" ht="18.75" customHeight="1" x14ac:dyDescent="0.25">
      <c r="A91" s="337"/>
      <c r="B91" s="337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70"/>
      <c r="N91" s="337"/>
      <c r="O91" s="337"/>
      <c r="P91" s="337"/>
      <c r="Q91" s="337"/>
    </row>
    <row r="92" spans="1:17" ht="18.75" customHeight="1" x14ac:dyDescent="0.25">
      <c r="A92" s="337"/>
      <c r="B92" s="453" t="s">
        <v>45</v>
      </c>
      <c r="C92" s="454" t="s">
        <v>68</v>
      </c>
      <c r="D92" s="454" t="s">
        <v>69</v>
      </c>
      <c r="E92" s="454" t="s">
        <v>70</v>
      </c>
      <c r="F92" s="454" t="s">
        <v>71</v>
      </c>
      <c r="G92" s="454" t="s">
        <v>72</v>
      </c>
      <c r="H92" s="454" t="s">
        <v>73</v>
      </c>
      <c r="I92" s="454" t="s">
        <v>74</v>
      </c>
      <c r="J92" s="455" t="s">
        <v>75</v>
      </c>
      <c r="K92" s="454" t="s">
        <v>76</v>
      </c>
      <c r="L92" s="454" t="s">
        <v>77</v>
      </c>
      <c r="M92" s="454" t="s">
        <v>78</v>
      </c>
      <c r="N92" s="454" t="s">
        <v>79</v>
      </c>
    </row>
    <row r="93" spans="1:17" ht="18.75" customHeight="1" x14ac:dyDescent="0.25">
      <c r="A93" s="337"/>
      <c r="B93" s="456" t="s">
        <v>20</v>
      </c>
      <c r="C93" s="459">
        <f>G75*C84/3</f>
        <v>2.3999999999999995</v>
      </c>
      <c r="D93" s="459">
        <f>G75*D84/3</f>
        <v>2.3999999999999995</v>
      </c>
      <c r="E93" s="459">
        <f>G75*E84/3</f>
        <v>1.5999999999999996</v>
      </c>
      <c r="F93" s="459">
        <f>G75*F84/3</f>
        <v>0.79999999999999982</v>
      </c>
      <c r="G93" s="459">
        <f>G75*G84/3</f>
        <v>1.5999999999999996</v>
      </c>
      <c r="H93" s="459"/>
      <c r="I93" s="459"/>
      <c r="J93" s="459"/>
      <c r="K93" s="459"/>
      <c r="L93" s="459"/>
      <c r="M93" s="459"/>
      <c r="N93" s="459">
        <f>G75*N84/3</f>
        <v>1.5999999999999996</v>
      </c>
    </row>
    <row r="94" spans="1:17" ht="18.75" customHeight="1" x14ac:dyDescent="0.25">
      <c r="A94" s="337"/>
      <c r="B94" s="456" t="s">
        <v>21</v>
      </c>
      <c r="C94" s="459">
        <f>G76*C85/3</f>
        <v>2.6999999999999997</v>
      </c>
      <c r="D94" s="459">
        <f>G76*D85/3</f>
        <v>2.6999999999999997</v>
      </c>
      <c r="E94" s="459">
        <f>G76*E85/3</f>
        <v>1.7999999999999998</v>
      </c>
      <c r="F94" s="459">
        <f>G76*F85/3</f>
        <v>0.89999999999999991</v>
      </c>
      <c r="G94" s="459">
        <f>G76*G85/3</f>
        <v>1.7999999999999998</v>
      </c>
      <c r="H94" s="459">
        <f>G76*H85/3</f>
        <v>0.89999999999999991</v>
      </c>
      <c r="I94" s="459"/>
      <c r="J94" s="459"/>
      <c r="K94" s="459"/>
      <c r="L94" s="459"/>
      <c r="M94" s="459"/>
      <c r="N94" s="459">
        <f>G76*N85/3</f>
        <v>1.7999999999999998</v>
      </c>
    </row>
    <row r="95" spans="1:17" ht="18.75" customHeight="1" x14ac:dyDescent="0.25">
      <c r="A95" s="337"/>
      <c r="B95" s="456" t="s">
        <v>23</v>
      </c>
      <c r="C95" s="459">
        <f>G77*C86/3</f>
        <v>2.0999999999999996</v>
      </c>
      <c r="D95" s="459">
        <f>G77*D86/3</f>
        <v>2.0999999999999996</v>
      </c>
      <c r="E95" s="459">
        <f>G77*E86/3</f>
        <v>2.0999999999999996</v>
      </c>
      <c r="F95" s="459">
        <f>G77*F86/3</f>
        <v>0.69999999999999984</v>
      </c>
      <c r="G95" s="459">
        <f>G77*G86/3</f>
        <v>2.0999999999999996</v>
      </c>
      <c r="H95" s="459">
        <f>G77*H86/3</f>
        <v>1.3999999999999997</v>
      </c>
      <c r="I95" s="459"/>
      <c r="J95" s="459"/>
      <c r="K95" s="459"/>
      <c r="L95" s="459"/>
      <c r="M95" s="459"/>
      <c r="N95" s="459">
        <f>G77*N86/3</f>
        <v>1.3999999999999997</v>
      </c>
    </row>
    <row r="96" spans="1:17" ht="18.75" customHeight="1" x14ac:dyDescent="0.25">
      <c r="A96" s="337"/>
      <c r="B96" s="456" t="s">
        <v>25</v>
      </c>
      <c r="C96" s="459">
        <f>G78*C87/3</f>
        <v>1.5999999999999996</v>
      </c>
      <c r="D96" s="459">
        <f>G78*D87/3</f>
        <v>1.5999999999999996</v>
      </c>
      <c r="E96" s="459">
        <f>G78*E87/3</f>
        <v>2.3999999999999995</v>
      </c>
      <c r="F96" s="459">
        <f>G78*F87/3</f>
        <v>0.79999999999999982</v>
      </c>
      <c r="G96" s="459">
        <f>G78*G87/3</f>
        <v>0.79999999999999982</v>
      </c>
      <c r="H96" s="459"/>
      <c r="I96" s="459"/>
      <c r="J96" s="459"/>
      <c r="K96" s="459"/>
      <c r="L96" s="459"/>
      <c r="M96" s="459"/>
      <c r="N96" s="459">
        <f>G78*N87/3</f>
        <v>1.5999999999999996</v>
      </c>
    </row>
    <row r="97" spans="1:17" ht="18.75" customHeight="1" x14ac:dyDescent="0.25">
      <c r="A97" s="337"/>
      <c r="B97" s="458" t="s">
        <v>10</v>
      </c>
      <c r="C97" s="339">
        <f t="shared" ref="C97:N97" si="14">AVERAGE(C93:C96)</f>
        <v>2.1999999999999997</v>
      </c>
      <c r="D97" s="339">
        <f t="shared" si="14"/>
        <v>2.1999999999999997</v>
      </c>
      <c r="E97" s="339">
        <f t="shared" si="14"/>
        <v>1.9749999999999996</v>
      </c>
      <c r="F97" s="339">
        <f t="shared" si="14"/>
        <v>0.79999999999999982</v>
      </c>
      <c r="G97" s="339">
        <f t="shared" si="14"/>
        <v>1.5749999999999997</v>
      </c>
      <c r="H97" s="339">
        <f t="shared" si="14"/>
        <v>1.1499999999999999</v>
      </c>
      <c r="I97" s="339"/>
      <c r="J97" s="339"/>
      <c r="K97" s="339"/>
      <c r="L97" s="339"/>
      <c r="M97" s="339"/>
      <c r="N97" s="339">
        <f t="shared" si="14"/>
        <v>1.5999999999999996</v>
      </c>
    </row>
    <row r="98" spans="1:17" ht="18.75" customHeight="1" x14ac:dyDescent="0.25">
      <c r="A98" s="337"/>
      <c r="B98" s="458" t="s">
        <v>58</v>
      </c>
      <c r="C98" s="3102">
        <f>AVERAGE(C97:N97)</f>
        <v>1.6428571428571426</v>
      </c>
      <c r="D98" s="3103"/>
      <c r="E98" s="3103"/>
      <c r="F98" s="3103"/>
      <c r="G98" s="3103"/>
      <c r="H98" s="3103"/>
      <c r="I98" s="3103"/>
      <c r="J98" s="3103"/>
      <c r="K98" s="3103"/>
      <c r="L98" s="3103"/>
      <c r="M98" s="3103"/>
      <c r="N98" s="3103"/>
      <c r="O98" s="3103"/>
      <c r="P98" s="3103"/>
      <c r="Q98" s="3104"/>
    </row>
    <row r="99" spans="1:17" ht="18.75" customHeight="1" x14ac:dyDescent="0.25">
      <c r="A99" s="337"/>
      <c r="B99" s="337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70"/>
      <c r="N99" s="337"/>
      <c r="O99" s="337"/>
      <c r="P99" s="337"/>
      <c r="Q99" s="337"/>
    </row>
    <row r="100" spans="1:17" ht="18.75" customHeight="1" x14ac:dyDescent="0.25">
      <c r="A100" s="3041" t="s">
        <v>137</v>
      </c>
      <c r="B100" s="3041"/>
      <c r="C100" s="334"/>
      <c r="D100" s="334"/>
      <c r="E100" s="337"/>
      <c r="F100" s="337"/>
      <c r="G100" s="337"/>
      <c r="H100" s="337"/>
      <c r="I100" s="337"/>
      <c r="J100" s="337"/>
      <c r="K100" s="3041" t="s">
        <v>149</v>
      </c>
      <c r="L100" s="3041"/>
      <c r="M100" s="3041"/>
      <c r="N100" s="334"/>
      <c r="O100" s="334"/>
      <c r="P100" s="337"/>
      <c r="Q100" s="337"/>
    </row>
    <row r="101" spans="1:17" ht="18.75" customHeight="1" x14ac:dyDescent="0.25">
      <c r="A101" s="326"/>
      <c r="B101" s="326"/>
      <c r="C101" s="334"/>
      <c r="D101" s="334"/>
      <c r="E101" s="337"/>
      <c r="F101" s="337"/>
      <c r="G101" s="337"/>
      <c r="H101" s="337"/>
      <c r="I101" s="337"/>
      <c r="J101" s="337"/>
      <c r="K101" s="326"/>
      <c r="L101" s="326"/>
      <c r="M101" s="34"/>
      <c r="N101" s="334"/>
      <c r="O101" s="334"/>
      <c r="P101" s="337"/>
      <c r="Q101" s="337"/>
    </row>
    <row r="102" spans="1:17" ht="18.75" customHeight="1" x14ac:dyDescent="0.25">
      <c r="A102" s="337"/>
      <c r="B102" s="453" t="s">
        <v>59</v>
      </c>
      <c r="C102" s="454" t="s">
        <v>60</v>
      </c>
      <c r="D102" s="454" t="s">
        <v>61</v>
      </c>
      <c r="E102" s="454" t="s">
        <v>62</v>
      </c>
      <c r="F102" s="337"/>
      <c r="G102" s="337"/>
      <c r="H102" s="337"/>
      <c r="I102" s="337"/>
      <c r="J102" s="337"/>
      <c r="K102" s="337"/>
      <c r="L102" s="337"/>
      <c r="M102" s="460" t="s">
        <v>59</v>
      </c>
      <c r="N102" s="454" t="s">
        <v>60</v>
      </c>
      <c r="O102" s="454" t="s">
        <v>61</v>
      </c>
      <c r="P102" s="454" t="s">
        <v>62</v>
      </c>
      <c r="Q102" s="337"/>
    </row>
    <row r="103" spans="1:17" ht="18.75" customHeight="1" x14ac:dyDescent="0.25">
      <c r="A103" s="337"/>
      <c r="B103" s="331" t="s">
        <v>20</v>
      </c>
      <c r="C103" s="457">
        <v>3</v>
      </c>
      <c r="D103" s="457">
        <v>2</v>
      </c>
      <c r="E103" s="457"/>
      <c r="F103" s="337"/>
      <c r="G103" s="337"/>
      <c r="H103" s="337"/>
      <c r="I103" s="337"/>
      <c r="J103" s="337"/>
      <c r="K103" s="337"/>
      <c r="L103" s="337"/>
      <c r="M103" s="320" t="s">
        <v>20</v>
      </c>
      <c r="N103" s="459">
        <f>G75*C103/3</f>
        <v>2.3999999999999995</v>
      </c>
      <c r="O103" s="459">
        <f>G75*D103/3</f>
        <v>1.5999999999999996</v>
      </c>
      <c r="P103" s="459"/>
      <c r="Q103" s="337"/>
    </row>
    <row r="104" spans="1:17" ht="18.75" customHeight="1" x14ac:dyDescent="0.25">
      <c r="A104" s="337"/>
      <c r="B104" s="456" t="s">
        <v>21</v>
      </c>
      <c r="C104" s="457">
        <v>3</v>
      </c>
      <c r="D104" s="457">
        <v>2</v>
      </c>
      <c r="E104" s="457">
        <v>1</v>
      </c>
      <c r="F104" s="337"/>
      <c r="G104" s="337"/>
      <c r="H104" s="337"/>
      <c r="I104" s="337"/>
      <c r="J104" s="337"/>
      <c r="K104" s="337"/>
      <c r="L104" s="337"/>
      <c r="M104" s="461" t="s">
        <v>21</v>
      </c>
      <c r="N104" s="459">
        <f>G76*C104/3</f>
        <v>2.6999999999999997</v>
      </c>
      <c r="O104" s="459">
        <f>G76*D104/3</f>
        <v>1.7999999999999998</v>
      </c>
      <c r="P104" s="459">
        <f>G76*E104/3</f>
        <v>0.89999999999999991</v>
      </c>
      <c r="Q104" s="337"/>
    </row>
    <row r="105" spans="1:17" ht="18.75" customHeight="1" x14ac:dyDescent="0.25">
      <c r="A105" s="337"/>
      <c r="B105" s="456" t="s">
        <v>23</v>
      </c>
      <c r="C105" s="457">
        <v>3</v>
      </c>
      <c r="D105" s="457">
        <v>3</v>
      </c>
      <c r="E105" s="457">
        <v>1</v>
      </c>
      <c r="F105" s="337"/>
      <c r="G105" s="337"/>
      <c r="H105" s="337"/>
      <c r="I105" s="337"/>
      <c r="J105" s="337"/>
      <c r="K105" s="337"/>
      <c r="L105" s="337"/>
      <c r="M105" s="461" t="s">
        <v>23</v>
      </c>
      <c r="N105" s="459">
        <f>G77*C105/3</f>
        <v>2.0999999999999996</v>
      </c>
      <c r="O105" s="459">
        <f>G77*D105/3</f>
        <v>2.0999999999999996</v>
      </c>
      <c r="P105" s="459">
        <f>G77*E105/3</f>
        <v>0.69999999999999984</v>
      </c>
      <c r="Q105" s="337"/>
    </row>
    <row r="106" spans="1:17" ht="18.75" customHeight="1" x14ac:dyDescent="0.25">
      <c r="A106" s="337"/>
      <c r="B106" s="456" t="s">
        <v>25</v>
      </c>
      <c r="C106" s="457">
        <v>2</v>
      </c>
      <c r="D106" s="457">
        <v>2</v>
      </c>
      <c r="E106" s="457"/>
      <c r="F106" s="337"/>
      <c r="G106" s="337"/>
      <c r="H106" s="337"/>
      <c r="I106" s="337"/>
      <c r="J106" s="337"/>
      <c r="K106" s="337"/>
      <c r="L106" s="337"/>
      <c r="M106" s="461" t="s">
        <v>25</v>
      </c>
      <c r="N106" s="459">
        <f>G78*C106/3</f>
        <v>1.5999999999999996</v>
      </c>
      <c r="O106" s="459">
        <f>G78*D106/3</f>
        <v>1.5999999999999996</v>
      </c>
      <c r="P106" s="459"/>
      <c r="Q106" s="337"/>
    </row>
    <row r="107" spans="1:17" ht="18.75" customHeight="1" x14ac:dyDescent="0.25">
      <c r="A107" s="337"/>
      <c r="B107" s="462" t="s">
        <v>10</v>
      </c>
      <c r="C107" s="338">
        <f>AVERAGE(C103:C106)</f>
        <v>2.75</v>
      </c>
      <c r="D107" s="338">
        <f>AVERAGE(D103:D106)</f>
        <v>2.25</v>
      </c>
      <c r="E107" s="338">
        <f>AVERAGE(E103:E106)</f>
        <v>1</v>
      </c>
      <c r="F107" s="337"/>
      <c r="G107" s="337"/>
      <c r="H107" s="337"/>
      <c r="I107" s="337"/>
      <c r="J107" s="337"/>
      <c r="K107" s="337"/>
      <c r="L107" s="337"/>
      <c r="M107" s="463" t="s">
        <v>10</v>
      </c>
      <c r="N107" s="459">
        <f>AVERAGE(N103:N106)</f>
        <v>2.1999999999999997</v>
      </c>
      <c r="O107" s="459">
        <f t="shared" ref="O107:P107" si="15">AVERAGE(O103:O106)</f>
        <v>1.7749999999999997</v>
      </c>
      <c r="P107" s="459">
        <f t="shared" si="15"/>
        <v>0.79999999999999982</v>
      </c>
      <c r="Q107" s="337"/>
    </row>
    <row r="108" spans="1:17" ht="18.75" customHeight="1" x14ac:dyDescent="0.25">
      <c r="A108" s="379"/>
      <c r="B108" s="424" t="s">
        <v>58</v>
      </c>
      <c r="C108" s="3105">
        <f>AVERAGE(C107:E107)</f>
        <v>2</v>
      </c>
      <c r="D108" s="3105"/>
      <c r="E108" s="3105"/>
      <c r="F108" s="379"/>
      <c r="G108" s="379"/>
      <c r="H108" s="379"/>
      <c r="I108" s="379"/>
      <c r="J108" s="379"/>
      <c r="K108" s="379"/>
      <c r="L108" s="379"/>
      <c r="M108" s="465" t="s">
        <v>58</v>
      </c>
      <c r="N108" s="3105">
        <f>AVERAGE(N107:P107)</f>
        <v>1.5916666666666666</v>
      </c>
      <c r="O108" s="3105"/>
      <c r="P108" s="3105"/>
      <c r="Q108" s="379"/>
    </row>
    <row r="109" spans="1:17" ht="35.25" customHeight="1" x14ac:dyDescent="0.25">
      <c r="A109" s="337"/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70"/>
      <c r="N109" s="337"/>
      <c r="O109" s="337"/>
      <c r="P109" s="337"/>
      <c r="Q109" s="337"/>
    </row>
    <row r="111" spans="1:17" ht="15.75" x14ac:dyDescent="0.25">
      <c r="A111" s="3054"/>
      <c r="B111" s="3054"/>
      <c r="C111" s="3054"/>
      <c r="D111" s="3054"/>
      <c r="E111" s="3054"/>
      <c r="F111" s="3054"/>
      <c r="G111" s="3054"/>
      <c r="H111" s="3054"/>
      <c r="I111" s="3054"/>
      <c r="J111" s="3054"/>
      <c r="K111" s="3054"/>
      <c r="L111" s="3054"/>
      <c r="M111" s="3054"/>
      <c r="N111" s="3054"/>
      <c r="O111" s="3054"/>
      <c r="P111" s="3054"/>
      <c r="Q111" s="3054"/>
    </row>
    <row r="112" spans="1:17" ht="15.75" x14ac:dyDescent="0.25">
      <c r="A112" s="390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</row>
    <row r="113" spans="1:17" ht="15.75" x14ac:dyDescent="0.25">
      <c r="A113" s="3053"/>
      <c r="B113" s="3053"/>
      <c r="C113" s="3053"/>
      <c r="D113" s="3053"/>
      <c r="E113" s="3053"/>
      <c r="F113" s="3053"/>
      <c r="G113" s="3053"/>
      <c r="H113" s="3053"/>
      <c r="I113" s="3053"/>
      <c r="J113" s="3053"/>
      <c r="K113" s="3053"/>
      <c r="L113" s="3053"/>
      <c r="M113" s="3053"/>
      <c r="N113" s="3053"/>
      <c r="O113" s="3053"/>
      <c r="P113" s="3053"/>
      <c r="Q113" s="3053"/>
    </row>
    <row r="114" spans="1:17" ht="15.75" x14ac:dyDescent="0.25">
      <c r="A114" s="3053"/>
      <c r="B114" s="3053"/>
      <c r="C114" s="3053"/>
      <c r="D114" s="3053"/>
      <c r="E114" s="3053"/>
      <c r="F114" s="3053"/>
      <c r="G114" s="3053"/>
      <c r="H114" s="3053"/>
      <c r="I114" s="3053"/>
      <c r="J114" s="3053"/>
      <c r="K114" s="3053"/>
      <c r="L114" s="3053"/>
      <c r="M114" s="3053"/>
      <c r="N114" s="3053"/>
      <c r="O114" s="3053"/>
      <c r="P114" s="3053"/>
      <c r="Q114" s="3053"/>
    </row>
    <row r="115" spans="1:17" ht="15.75" x14ac:dyDescent="0.25">
      <c r="A115" s="3053"/>
      <c r="B115" s="3053"/>
      <c r="C115" s="3053"/>
      <c r="D115" s="3053"/>
      <c r="E115" s="3053"/>
      <c r="F115" s="3053"/>
      <c r="G115" s="3053"/>
      <c r="H115" s="3053"/>
      <c r="I115" s="3053"/>
      <c r="J115" s="3053"/>
      <c r="K115" s="3053"/>
      <c r="L115" s="3053"/>
      <c r="M115" s="3053"/>
      <c r="N115" s="3053"/>
      <c r="O115" s="3053"/>
      <c r="P115" s="3053"/>
      <c r="Q115" s="3053"/>
    </row>
    <row r="116" spans="1:17" ht="15.75" x14ac:dyDescent="0.25">
      <c r="A116" s="3053"/>
      <c r="B116" s="3053"/>
      <c r="C116" s="3053"/>
      <c r="D116" s="3053"/>
      <c r="E116" s="3053"/>
      <c r="F116" s="3053"/>
      <c r="G116" s="3053"/>
      <c r="H116" s="3053"/>
      <c r="I116" s="3053"/>
      <c r="J116" s="3053"/>
      <c r="K116" s="3053"/>
      <c r="L116" s="3053"/>
      <c r="M116" s="3053"/>
      <c r="N116" s="3053"/>
      <c r="O116" s="3053"/>
      <c r="P116" s="3053"/>
      <c r="Q116" s="3053"/>
    </row>
    <row r="117" spans="1:17" ht="15.75" x14ac:dyDescent="0.25">
      <c r="A117" s="3053"/>
      <c r="B117" s="3053"/>
      <c r="C117" s="3053"/>
      <c r="D117" s="3053"/>
      <c r="E117" s="3053"/>
      <c r="F117" s="3053"/>
      <c r="G117" s="3053"/>
      <c r="H117" s="3053"/>
      <c r="I117" s="3053"/>
      <c r="J117" s="3053"/>
      <c r="K117" s="3053"/>
      <c r="L117" s="3053"/>
      <c r="M117" s="3053"/>
      <c r="N117" s="3053"/>
      <c r="O117" s="3053"/>
      <c r="P117" s="3053"/>
      <c r="Q117" s="3053"/>
    </row>
    <row r="118" spans="1:17" ht="15.75" x14ac:dyDescent="0.25">
      <c r="A118" s="3053"/>
      <c r="B118" s="3053"/>
      <c r="C118" s="3053"/>
      <c r="D118" s="3053"/>
      <c r="E118" s="3053"/>
      <c r="F118" s="3053"/>
      <c r="G118" s="3053"/>
      <c r="H118" s="3053"/>
      <c r="I118" s="3053"/>
      <c r="J118" s="3053"/>
      <c r="K118" s="3053"/>
      <c r="L118" s="3053"/>
      <c r="M118" s="3053"/>
      <c r="N118" s="3053"/>
      <c r="O118" s="3053"/>
      <c r="P118" s="3053"/>
      <c r="Q118" s="3053"/>
    </row>
    <row r="119" spans="1:17" ht="15.75" x14ac:dyDescent="0.25">
      <c r="A119" s="3054"/>
      <c r="B119" s="3054"/>
      <c r="C119" s="3054"/>
      <c r="D119" s="3054"/>
      <c r="E119" s="3054"/>
      <c r="F119" s="3054"/>
      <c r="G119" s="3054"/>
      <c r="H119" s="3054"/>
      <c r="I119" s="3054"/>
      <c r="J119" s="3054"/>
      <c r="K119" s="3054"/>
      <c r="L119" s="3054"/>
      <c r="M119" s="3054"/>
      <c r="N119" s="3054"/>
      <c r="O119" s="3054"/>
      <c r="P119" s="3054"/>
      <c r="Q119" s="3054"/>
    </row>
    <row r="120" spans="1:17" ht="15.75" x14ac:dyDescent="0.25">
      <c r="A120" s="3055"/>
      <c r="B120" s="3055"/>
      <c r="C120" s="3055"/>
      <c r="D120" s="3055"/>
      <c r="E120" s="3055"/>
      <c r="F120" s="3055"/>
      <c r="G120" s="3055"/>
      <c r="H120" s="3055"/>
      <c r="I120" s="3055"/>
      <c r="J120" s="3055"/>
      <c r="K120" s="3055"/>
      <c r="L120" s="3055"/>
      <c r="M120" s="3055"/>
      <c r="N120" s="3055"/>
      <c r="O120" s="3055"/>
      <c r="P120" s="3055"/>
      <c r="Q120" s="3055"/>
    </row>
    <row r="121" spans="1:17" ht="15.75" x14ac:dyDescent="0.25">
      <c r="A121" s="2983"/>
      <c r="B121" s="2983"/>
      <c r="C121" s="2983"/>
      <c r="D121" s="2983"/>
      <c r="E121" s="2983"/>
      <c r="F121" s="2983"/>
      <c r="G121" s="2983"/>
      <c r="H121" s="2983"/>
      <c r="I121" s="2983"/>
      <c r="J121" s="2983"/>
      <c r="K121" s="2983"/>
      <c r="L121" s="2983"/>
      <c r="M121" s="2983"/>
      <c r="N121" s="2983"/>
      <c r="O121" s="2983"/>
      <c r="P121" s="2983"/>
      <c r="Q121" s="2983"/>
    </row>
    <row r="122" spans="1:17" ht="15.75" x14ac:dyDescent="0.25">
      <c r="A122" s="3045"/>
      <c r="B122" s="3046"/>
      <c r="C122" s="3046"/>
      <c r="D122" s="3046"/>
      <c r="E122" s="3046"/>
      <c r="F122" s="3046"/>
      <c r="G122" s="3046"/>
      <c r="H122" s="3046"/>
      <c r="I122" s="3046"/>
      <c r="J122" s="3046"/>
      <c r="K122" s="3046"/>
      <c r="L122" s="3046"/>
      <c r="M122" s="3046"/>
      <c r="N122" s="3046"/>
      <c r="O122" s="3046"/>
      <c r="P122" s="3046"/>
      <c r="Q122" s="3046"/>
    </row>
    <row r="123" spans="1:17" ht="15.75" x14ac:dyDescent="0.25">
      <c r="A123" s="3046"/>
      <c r="B123" s="3046"/>
      <c r="C123" s="3046"/>
      <c r="D123" s="3046"/>
      <c r="E123" s="3046"/>
      <c r="F123" s="3046"/>
      <c r="G123" s="3046"/>
      <c r="H123" s="3046"/>
      <c r="I123" s="3046"/>
      <c r="J123" s="3046"/>
      <c r="K123" s="3046"/>
      <c r="L123" s="3046"/>
      <c r="M123" s="3046"/>
      <c r="N123" s="3046"/>
      <c r="O123" s="3046"/>
      <c r="P123" s="3046"/>
      <c r="Q123" s="3046"/>
    </row>
    <row r="124" spans="1:17" ht="15.75" x14ac:dyDescent="0.25">
      <c r="A124" s="3046"/>
      <c r="B124" s="3046"/>
      <c r="C124" s="3046"/>
      <c r="D124" s="3046"/>
      <c r="E124" s="3046"/>
      <c r="F124" s="3046"/>
      <c r="G124" s="3046"/>
      <c r="H124" s="3046"/>
      <c r="I124" s="3046"/>
      <c r="J124" s="3046"/>
      <c r="K124" s="3046"/>
      <c r="L124" s="3046"/>
      <c r="M124" s="3046"/>
      <c r="N124" s="3046"/>
      <c r="O124" s="3046"/>
      <c r="P124" s="3046"/>
      <c r="Q124" s="3046"/>
    </row>
    <row r="125" spans="1:17" ht="15.75" x14ac:dyDescent="0.25">
      <c r="A125" s="2983"/>
      <c r="B125" s="2983"/>
      <c r="C125" s="2983"/>
      <c r="D125" s="2983"/>
      <c r="E125" s="2983"/>
      <c r="F125" s="2983"/>
      <c r="G125" s="2983"/>
      <c r="H125" s="2983"/>
      <c r="I125" s="2983"/>
      <c r="J125" s="2983"/>
      <c r="K125" s="2983"/>
      <c r="L125" s="2983"/>
      <c r="M125" s="2983"/>
      <c r="N125" s="2983"/>
      <c r="O125" s="2983"/>
      <c r="P125" s="2983"/>
      <c r="Q125" s="2983"/>
    </row>
  </sheetData>
  <mergeCells count="59">
    <mergeCell ref="Z6:Z8"/>
    <mergeCell ref="C4:M4"/>
    <mergeCell ref="O4:Y4"/>
    <mergeCell ref="A5:B5"/>
    <mergeCell ref="C5:N5"/>
    <mergeCell ref="O5:Z5"/>
    <mergeCell ref="A2:B2"/>
    <mergeCell ref="C2:M2"/>
    <mergeCell ref="O2:Y2"/>
    <mergeCell ref="A3:B3"/>
    <mergeCell ref="C3:M3"/>
    <mergeCell ref="O3:Y3"/>
    <mergeCell ref="AA6:AA8"/>
    <mergeCell ref="AC6:AC8"/>
    <mergeCell ref="AD6:AD8"/>
    <mergeCell ref="A68:A69"/>
    <mergeCell ref="B68:B69"/>
    <mergeCell ref="L6:M6"/>
    <mergeCell ref="N6:N8"/>
    <mergeCell ref="O6:S6"/>
    <mergeCell ref="T6:U7"/>
    <mergeCell ref="V6:W7"/>
    <mergeCell ref="X6:Y7"/>
    <mergeCell ref="A6:A8"/>
    <mergeCell ref="B6:B7"/>
    <mergeCell ref="C6:G6"/>
    <mergeCell ref="H6:I6"/>
    <mergeCell ref="J6:K6"/>
    <mergeCell ref="A90:B90"/>
    <mergeCell ref="A70:B70"/>
    <mergeCell ref="A71:B71"/>
    <mergeCell ref="C74:D74"/>
    <mergeCell ref="E74:F74"/>
    <mergeCell ref="E75:F75"/>
    <mergeCell ref="E76:F76"/>
    <mergeCell ref="E77:F77"/>
    <mergeCell ref="E78:F78"/>
    <mergeCell ref="B79:F79"/>
    <mergeCell ref="A81:B81"/>
    <mergeCell ref="C89:Q89"/>
    <mergeCell ref="A118:Q118"/>
    <mergeCell ref="C98:Q98"/>
    <mergeCell ref="A100:B100"/>
    <mergeCell ref="K100:M100"/>
    <mergeCell ref="C108:E108"/>
    <mergeCell ref="N108:P108"/>
    <mergeCell ref="A111:Q111"/>
    <mergeCell ref="A113:Q113"/>
    <mergeCell ref="A114:Q114"/>
    <mergeCell ref="A115:Q115"/>
    <mergeCell ref="A116:Q116"/>
    <mergeCell ref="A117:Q117"/>
    <mergeCell ref="A125:Q125"/>
    <mergeCell ref="A119:Q119"/>
    <mergeCell ref="A120:Q120"/>
    <mergeCell ref="A121:Q121"/>
    <mergeCell ref="A122:Q122"/>
    <mergeCell ref="A123:Q123"/>
    <mergeCell ref="A124:Q124"/>
  </mergeCells>
  <conditionalFormatting sqref="AC50:AC53 AC10:AC45">
    <cfRule type="containsText" dxfId="112" priority="4" operator="containsText" text="F">
      <formula>NOT(ISERROR(SEARCH("F",AC10)))</formula>
    </cfRule>
  </conditionalFormatting>
  <conditionalFormatting sqref="AC48">
    <cfRule type="containsText" dxfId="111" priority="1" operator="containsText" text="F">
      <formula>NOT(ISERROR(SEARCH("F",AC48)))</formula>
    </cfRule>
  </conditionalFormatting>
  <conditionalFormatting sqref="AC47 AC56:AC67">
    <cfRule type="containsText" dxfId="110" priority="3" operator="containsText" text="F">
      <formula>NOT(ISERROR(SEARCH("F",AC47)))</formula>
    </cfRule>
  </conditionalFormatting>
  <conditionalFormatting sqref="AC49 AC54:AC55 AC46">
    <cfRule type="containsText" dxfId="109" priority="2" operator="containsText" text="F">
      <formula>NOT(ISERROR(SEARCH("F",AC46)))</formula>
    </cfRule>
  </conditionalFormatting>
  <pageMargins left="0.7" right="0.7" top="0.75" bottom="0.75" header="0.3" footer="0.3"/>
  <pageSetup paperSize="8" scale="3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AD124"/>
  <sheetViews>
    <sheetView view="pageBreakPreview" topLeftCell="A73" zoomScale="60" zoomScaleNormal="90" workbookViewId="0">
      <selection activeCell="C67" sqref="C67:M70"/>
    </sheetView>
  </sheetViews>
  <sheetFormatPr defaultColWidth="17.28515625" defaultRowHeight="40.5" customHeight="1" x14ac:dyDescent="0.4"/>
  <cols>
    <col min="1" max="1" width="17.28515625" style="1041"/>
    <col min="2" max="2" width="24.7109375" style="1041" customWidth="1"/>
    <col min="3" max="10" width="13.28515625" style="1041" customWidth="1"/>
    <col min="11" max="11" width="29.5703125" style="1041" bestFit="1" customWidth="1"/>
    <col min="12" max="12" width="13.28515625" style="1041" customWidth="1"/>
    <col min="13" max="13" width="24" style="1041" bestFit="1" customWidth="1"/>
    <col min="14" max="14" width="17.28515625" style="1041"/>
    <col min="15" max="27" width="12" style="1041" customWidth="1"/>
    <col min="28" max="16384" width="17.28515625" style="1041"/>
  </cols>
  <sheetData>
    <row r="1" spans="1:30" ht="40.5" customHeight="1" x14ac:dyDescent="0.4">
      <c r="A1" s="3198" t="s">
        <v>0</v>
      </c>
      <c r="B1" s="3199"/>
      <c r="C1" s="3200" t="s">
        <v>116</v>
      </c>
      <c r="D1" s="3201"/>
      <c r="E1" s="3201"/>
      <c r="F1" s="3201"/>
      <c r="G1" s="3201"/>
      <c r="H1" s="3201"/>
      <c r="I1" s="3201"/>
      <c r="J1" s="3201"/>
      <c r="K1" s="3201"/>
      <c r="L1" s="3201"/>
      <c r="M1" s="3202"/>
      <c r="N1" s="1163" t="s">
        <v>63</v>
      </c>
      <c r="O1" s="3203" t="s">
        <v>230</v>
      </c>
      <c r="P1" s="3204"/>
      <c r="Q1" s="3204"/>
      <c r="R1" s="3204"/>
      <c r="S1" s="3204"/>
      <c r="T1" s="3204"/>
      <c r="U1" s="3204"/>
      <c r="V1" s="3204"/>
      <c r="W1" s="3204"/>
      <c r="X1" s="3204"/>
      <c r="Y1" s="3204"/>
    </row>
    <row r="2" spans="1:30" ht="40.5" customHeight="1" x14ac:dyDescent="0.4">
      <c r="A2" s="3198" t="s">
        <v>1</v>
      </c>
      <c r="B2" s="3199"/>
      <c r="C2" s="3200" t="s">
        <v>231</v>
      </c>
      <c r="D2" s="3201"/>
      <c r="E2" s="3201"/>
      <c r="F2" s="3201"/>
      <c r="G2" s="3201"/>
      <c r="H2" s="3201"/>
      <c r="I2" s="3201"/>
      <c r="J2" s="3201"/>
      <c r="K2" s="3201"/>
      <c r="L2" s="3201"/>
      <c r="M2" s="3202"/>
      <c r="N2" s="1164" t="s">
        <v>64</v>
      </c>
      <c r="O2" s="3203" t="s">
        <v>232</v>
      </c>
      <c r="P2" s="3204"/>
      <c r="Q2" s="3204"/>
      <c r="R2" s="3204"/>
      <c r="S2" s="3204"/>
      <c r="T2" s="3204"/>
      <c r="U2" s="3204"/>
      <c r="V2" s="3204"/>
      <c r="W2" s="3204"/>
      <c r="X2" s="3204"/>
      <c r="Y2" s="3204"/>
    </row>
    <row r="3" spans="1:30" ht="40.5" customHeight="1" thickBot="1" x14ac:dyDescent="0.45">
      <c r="A3" s="2128"/>
      <c r="B3" s="2129" t="s">
        <v>2</v>
      </c>
      <c r="C3" s="3179" t="s">
        <v>133</v>
      </c>
      <c r="D3" s="3180"/>
      <c r="E3" s="3180"/>
      <c r="F3" s="3180"/>
      <c r="G3" s="3180"/>
      <c r="H3" s="3180"/>
      <c r="I3" s="3180"/>
      <c r="J3" s="3180"/>
      <c r="K3" s="3180"/>
      <c r="L3" s="3180"/>
      <c r="M3" s="3181"/>
      <c r="N3" s="2129" t="s">
        <v>65</v>
      </c>
      <c r="O3" s="3182" t="s">
        <v>66</v>
      </c>
      <c r="P3" s="3183"/>
      <c r="Q3" s="3183"/>
      <c r="R3" s="3183"/>
      <c r="S3" s="3183"/>
      <c r="T3" s="3183"/>
      <c r="U3" s="3183"/>
      <c r="V3" s="3183"/>
      <c r="W3" s="3183"/>
      <c r="X3" s="3183"/>
      <c r="Y3" s="3183"/>
    </row>
    <row r="4" spans="1:30" ht="40.5" customHeight="1" thickBot="1" x14ac:dyDescent="0.45">
      <c r="A4" s="3184"/>
      <c r="B4" s="3185"/>
      <c r="C4" s="3186" t="s">
        <v>3</v>
      </c>
      <c r="D4" s="3187"/>
      <c r="E4" s="3187"/>
      <c r="F4" s="3187"/>
      <c r="G4" s="3187"/>
      <c r="H4" s="3187"/>
      <c r="I4" s="3187"/>
      <c r="J4" s="3187"/>
      <c r="K4" s="3187"/>
      <c r="L4" s="3187"/>
      <c r="M4" s="3187"/>
      <c r="N4" s="3188"/>
      <c r="O4" s="3189" t="s">
        <v>4</v>
      </c>
      <c r="P4" s="3190"/>
      <c r="Q4" s="3190"/>
      <c r="R4" s="3190"/>
      <c r="S4" s="3190"/>
      <c r="T4" s="3190"/>
      <c r="U4" s="3190"/>
      <c r="V4" s="3190"/>
      <c r="W4" s="3190"/>
      <c r="X4" s="3190"/>
      <c r="Y4" s="3190"/>
      <c r="Z4" s="3190"/>
      <c r="AA4" s="2059"/>
      <c r="AB4" s="1165"/>
      <c r="AC4" s="1165"/>
      <c r="AD4" s="1166"/>
    </row>
    <row r="5" spans="1:30" ht="40.5" customHeight="1" x14ac:dyDescent="0.4">
      <c r="A5" s="3191"/>
      <c r="B5" s="3194" t="s">
        <v>5</v>
      </c>
      <c r="C5" s="3175" t="s">
        <v>6</v>
      </c>
      <c r="D5" s="3176"/>
      <c r="E5" s="3176"/>
      <c r="F5" s="3176"/>
      <c r="G5" s="3196"/>
      <c r="H5" s="3197" t="s">
        <v>7</v>
      </c>
      <c r="I5" s="3178"/>
      <c r="J5" s="3170" t="s">
        <v>8</v>
      </c>
      <c r="K5" s="3178"/>
      <c r="L5" s="3170" t="s">
        <v>9</v>
      </c>
      <c r="M5" s="3171"/>
      <c r="N5" s="3172" t="s">
        <v>146</v>
      </c>
      <c r="O5" s="3175" t="s">
        <v>6</v>
      </c>
      <c r="P5" s="3176"/>
      <c r="Q5" s="3176"/>
      <c r="R5" s="3176"/>
      <c r="S5" s="3177"/>
      <c r="T5" s="3170" t="s">
        <v>7</v>
      </c>
      <c r="U5" s="3178"/>
      <c r="V5" s="3170" t="s">
        <v>8</v>
      </c>
      <c r="W5" s="3178"/>
      <c r="X5" s="3170" t="s">
        <v>9</v>
      </c>
      <c r="Y5" s="3178"/>
      <c r="Z5" s="3153" t="s">
        <v>147</v>
      </c>
      <c r="AA5" s="3162" t="s">
        <v>10</v>
      </c>
      <c r="AB5" s="2058" t="s">
        <v>305</v>
      </c>
      <c r="AC5" s="3153" t="s">
        <v>11</v>
      </c>
      <c r="AD5" s="3156" t="s">
        <v>12</v>
      </c>
    </row>
    <row r="6" spans="1:30" ht="40.5" customHeight="1" x14ac:dyDescent="0.4">
      <c r="A6" s="3192"/>
      <c r="B6" s="3195"/>
      <c r="C6" s="1168" t="s">
        <v>13</v>
      </c>
      <c r="D6" s="1169" t="s">
        <v>14</v>
      </c>
      <c r="E6" s="1169" t="s">
        <v>15</v>
      </c>
      <c r="F6" s="1169" t="s">
        <v>16</v>
      </c>
      <c r="G6" s="1169" t="s">
        <v>17</v>
      </c>
      <c r="H6" s="2130" t="s">
        <v>13</v>
      </c>
      <c r="I6" s="2131" t="s">
        <v>14</v>
      </c>
      <c r="J6" s="2132" t="s">
        <v>13</v>
      </c>
      <c r="K6" s="2131" t="s">
        <v>14</v>
      </c>
      <c r="L6" s="2133" t="s">
        <v>13</v>
      </c>
      <c r="M6" s="2134" t="s">
        <v>14</v>
      </c>
      <c r="N6" s="3173"/>
      <c r="O6" s="1168" t="s">
        <v>13</v>
      </c>
      <c r="P6" s="1169" t="s">
        <v>14</v>
      </c>
      <c r="Q6" s="1169" t="s">
        <v>15</v>
      </c>
      <c r="R6" s="1169" t="s">
        <v>16</v>
      </c>
      <c r="S6" s="1169" t="s">
        <v>17</v>
      </c>
      <c r="T6" s="2135" t="s">
        <v>13</v>
      </c>
      <c r="U6" s="2135" t="s">
        <v>14</v>
      </c>
      <c r="V6" s="2135" t="s">
        <v>13</v>
      </c>
      <c r="W6" s="2135" t="s">
        <v>14</v>
      </c>
      <c r="X6" s="2135" t="s">
        <v>13</v>
      </c>
      <c r="Y6" s="2135" t="s">
        <v>14</v>
      </c>
      <c r="Z6" s="3154"/>
      <c r="AA6" s="3163"/>
      <c r="AB6" s="2058"/>
      <c r="AC6" s="3154"/>
      <c r="AD6" s="3157"/>
    </row>
    <row r="7" spans="1:30" ht="40.5" customHeight="1" x14ac:dyDescent="0.4">
      <c r="A7" s="3193"/>
      <c r="B7" s="2136" t="s">
        <v>19</v>
      </c>
      <c r="C7" s="1168" t="s">
        <v>20</v>
      </c>
      <c r="D7" s="1169" t="s">
        <v>20</v>
      </c>
      <c r="E7" s="1169" t="s">
        <v>40</v>
      </c>
      <c r="F7" s="1169" t="s">
        <v>40</v>
      </c>
      <c r="G7" s="1169" t="s">
        <v>23</v>
      </c>
      <c r="H7" s="1169" t="s">
        <v>20</v>
      </c>
      <c r="I7" s="1169" t="s">
        <v>20</v>
      </c>
      <c r="J7" s="1169" t="s">
        <v>21</v>
      </c>
      <c r="K7" s="1169" t="s">
        <v>21</v>
      </c>
      <c r="L7" s="1169" t="s">
        <v>41</v>
      </c>
      <c r="M7" s="1169" t="s">
        <v>23</v>
      </c>
      <c r="N7" s="3174"/>
      <c r="O7" s="1168" t="s">
        <v>41</v>
      </c>
      <c r="P7" s="1169" t="s">
        <v>41</v>
      </c>
      <c r="Q7" s="1169" t="s">
        <v>42</v>
      </c>
      <c r="R7" s="1169" t="s">
        <v>42</v>
      </c>
      <c r="S7" s="1169" t="s">
        <v>42</v>
      </c>
      <c r="T7" s="1168" t="s">
        <v>41</v>
      </c>
      <c r="U7" s="1168" t="s">
        <v>41</v>
      </c>
      <c r="V7" s="1168" t="s">
        <v>42</v>
      </c>
      <c r="W7" s="1168" t="s">
        <v>42</v>
      </c>
      <c r="X7" s="1169" t="s">
        <v>41</v>
      </c>
      <c r="Y7" s="1169" t="s">
        <v>42</v>
      </c>
      <c r="Z7" s="3155"/>
      <c r="AA7" s="3164"/>
      <c r="AB7" s="2058"/>
      <c r="AC7" s="3155"/>
      <c r="AD7" s="3158"/>
    </row>
    <row r="8" spans="1:30" ht="40.5" customHeight="1" x14ac:dyDescent="0.4">
      <c r="A8" s="1169" t="s">
        <v>18</v>
      </c>
      <c r="B8" s="2137" t="s">
        <v>26</v>
      </c>
      <c r="C8" s="1168">
        <v>2</v>
      </c>
      <c r="D8" s="1169">
        <v>2</v>
      </c>
      <c r="E8" s="2137">
        <v>2</v>
      </c>
      <c r="F8" s="2137">
        <v>2</v>
      </c>
      <c r="G8" s="2137">
        <v>2</v>
      </c>
      <c r="H8" s="1169">
        <v>5</v>
      </c>
      <c r="I8" s="1169">
        <v>5</v>
      </c>
      <c r="J8" s="1169">
        <v>5</v>
      </c>
      <c r="K8" s="1169">
        <v>5</v>
      </c>
      <c r="L8" s="2138">
        <v>5</v>
      </c>
      <c r="M8" s="2138">
        <v>5</v>
      </c>
      <c r="N8" s="1170">
        <f>SUM(C8:K8)</f>
        <v>30</v>
      </c>
      <c r="O8" s="1168">
        <v>2</v>
      </c>
      <c r="P8" s="1169">
        <v>2</v>
      </c>
      <c r="Q8" s="1169">
        <v>2</v>
      </c>
      <c r="R8" s="1169">
        <v>2</v>
      </c>
      <c r="S8" s="1169">
        <v>2</v>
      </c>
      <c r="T8" s="1169">
        <v>5</v>
      </c>
      <c r="U8" s="1169">
        <v>5</v>
      </c>
      <c r="V8" s="1169">
        <v>5</v>
      </c>
      <c r="W8" s="1169">
        <v>5</v>
      </c>
      <c r="X8" s="1169">
        <v>5</v>
      </c>
      <c r="Y8" s="1169">
        <v>5</v>
      </c>
      <c r="Z8" s="2139"/>
      <c r="AA8" s="1169"/>
      <c r="AB8" s="2058"/>
      <c r="AC8" s="2058"/>
      <c r="AD8" s="1171"/>
    </row>
    <row r="9" spans="1:30" ht="40.5" customHeight="1" x14ac:dyDescent="0.4">
      <c r="A9" s="1169">
        <v>1</v>
      </c>
      <c r="B9" s="2140">
        <v>5191421001</v>
      </c>
      <c r="C9" s="1172">
        <v>2</v>
      </c>
      <c r="D9" s="1044">
        <v>2</v>
      </c>
      <c r="E9" s="2141">
        <v>1</v>
      </c>
      <c r="F9" s="2141">
        <v>2</v>
      </c>
      <c r="G9" s="2141">
        <v>2</v>
      </c>
      <c r="H9" s="1169">
        <v>4</v>
      </c>
      <c r="I9" s="1169">
        <v>3</v>
      </c>
      <c r="J9" s="1169">
        <v>4</v>
      </c>
      <c r="K9" s="1169"/>
      <c r="L9" s="1169"/>
      <c r="M9" s="1044"/>
      <c r="N9" s="2142">
        <f t="shared" ref="N9:N40" si="0">SUM(C9:M9)</f>
        <v>20</v>
      </c>
      <c r="O9" s="1173">
        <v>1</v>
      </c>
      <c r="P9" s="1045"/>
      <c r="Q9" s="1045">
        <v>2</v>
      </c>
      <c r="R9" s="1045"/>
      <c r="S9" s="1045">
        <v>1</v>
      </c>
      <c r="T9" s="1174">
        <v>5</v>
      </c>
      <c r="U9" s="2143">
        <v>3</v>
      </c>
      <c r="V9" s="2143"/>
      <c r="W9" s="1044"/>
      <c r="X9" s="1044"/>
      <c r="Y9" s="1044"/>
      <c r="Z9" s="2144">
        <f t="shared" ref="Z9:Z40" si="1">SUM(O9:Y9)</f>
        <v>12</v>
      </c>
      <c r="AA9" s="1044">
        <f t="shared" ref="AA9:AA66" si="2">ROUND(AVERAGE(N9,Z9),0)</f>
        <v>16</v>
      </c>
      <c r="AB9" s="2057"/>
      <c r="AC9" s="1175" t="s">
        <v>32</v>
      </c>
      <c r="AD9" s="1044">
        <f>IF(AC9="O",100,IF(AC9="A+",90,IF(AC9="A",80,IF(AC9="B+",70,IF(AC9="B",60,IF(AC9="C",55,IF(AC9="P",50,IF(AC9="F",39))))))))</f>
        <v>70</v>
      </c>
    </row>
    <row r="10" spans="1:30" ht="40.5" customHeight="1" x14ac:dyDescent="0.4">
      <c r="A10" s="1169">
        <v>2</v>
      </c>
      <c r="B10" s="2140">
        <v>5191421002</v>
      </c>
      <c r="C10" s="1174">
        <v>2</v>
      </c>
      <c r="D10" s="1044">
        <v>2</v>
      </c>
      <c r="E10" s="2141">
        <v>1</v>
      </c>
      <c r="F10" s="2141">
        <v>2</v>
      </c>
      <c r="G10" s="2141">
        <v>2</v>
      </c>
      <c r="H10" s="1169">
        <v>5</v>
      </c>
      <c r="I10" s="1169">
        <v>5</v>
      </c>
      <c r="J10" s="1169"/>
      <c r="K10" s="1169"/>
      <c r="L10" s="2058">
        <v>5</v>
      </c>
      <c r="M10" s="2055">
        <v>3</v>
      </c>
      <c r="N10" s="2142">
        <f t="shared" si="0"/>
        <v>27</v>
      </c>
      <c r="O10" s="1173">
        <v>2</v>
      </c>
      <c r="P10" s="1045">
        <v>1</v>
      </c>
      <c r="Q10" s="1045">
        <v>2</v>
      </c>
      <c r="R10" s="1045">
        <v>1</v>
      </c>
      <c r="S10" s="1045"/>
      <c r="T10" s="1174">
        <v>4</v>
      </c>
      <c r="U10" s="2143">
        <v>5</v>
      </c>
      <c r="V10" s="2143"/>
      <c r="W10" s="1044">
        <v>3</v>
      </c>
      <c r="X10" s="1044"/>
      <c r="Y10" s="1044"/>
      <c r="Z10" s="2144">
        <f t="shared" si="1"/>
        <v>18</v>
      </c>
      <c r="AA10" s="1044">
        <f t="shared" si="2"/>
        <v>23</v>
      </c>
      <c r="AB10" s="2057"/>
      <c r="AC10" s="1175" t="s">
        <v>33</v>
      </c>
      <c r="AD10" s="1044">
        <f t="shared" ref="AD10:AD59" si="3">IF(AC10="O",100,IF(AC10="A+",90,IF(AC10="A",80,IF(AC10="B+",70,IF(AC10="B",60,IF(AC10="C",55,IF(AC10="P",50,IF(AC10="F",39))))))))</f>
        <v>60</v>
      </c>
    </row>
    <row r="11" spans="1:30" ht="40.5" customHeight="1" x14ac:dyDescent="0.4">
      <c r="A11" s="1169">
        <v>3</v>
      </c>
      <c r="B11" s="2140">
        <v>5191421003</v>
      </c>
      <c r="C11" s="1173">
        <v>2</v>
      </c>
      <c r="D11" s="1173">
        <v>2</v>
      </c>
      <c r="E11" s="2145">
        <v>2</v>
      </c>
      <c r="F11" s="2145">
        <v>2</v>
      </c>
      <c r="G11" s="2145">
        <v>2</v>
      </c>
      <c r="H11" s="1169">
        <v>5</v>
      </c>
      <c r="I11" s="1169">
        <v>5</v>
      </c>
      <c r="J11" s="1169"/>
      <c r="K11" s="1169"/>
      <c r="L11" s="1169">
        <v>5</v>
      </c>
      <c r="M11" s="1044">
        <v>5</v>
      </c>
      <c r="N11" s="2142">
        <f t="shared" si="0"/>
        <v>30</v>
      </c>
      <c r="O11" s="1173">
        <v>2</v>
      </c>
      <c r="P11" s="1045">
        <v>2</v>
      </c>
      <c r="Q11" s="1045">
        <v>2</v>
      </c>
      <c r="R11" s="1045">
        <v>2</v>
      </c>
      <c r="S11" s="1045"/>
      <c r="T11" s="1174">
        <v>5</v>
      </c>
      <c r="U11" s="2143">
        <v>5</v>
      </c>
      <c r="V11" s="2143">
        <v>4</v>
      </c>
      <c r="W11" s="1044">
        <v>4</v>
      </c>
      <c r="X11" s="1044"/>
      <c r="Y11" s="1044"/>
      <c r="Z11" s="2144">
        <f t="shared" si="1"/>
        <v>26</v>
      </c>
      <c r="AA11" s="1044">
        <f t="shared" si="2"/>
        <v>28</v>
      </c>
      <c r="AB11" s="2057"/>
      <c r="AC11" s="1175" t="s">
        <v>82</v>
      </c>
      <c r="AD11" s="1044">
        <f t="shared" si="3"/>
        <v>100</v>
      </c>
    </row>
    <row r="12" spans="1:30" ht="40.5" customHeight="1" x14ac:dyDescent="0.4">
      <c r="A12" s="1169">
        <v>4</v>
      </c>
      <c r="B12" s="2140">
        <v>5191421004</v>
      </c>
      <c r="C12" s="1172">
        <v>2</v>
      </c>
      <c r="D12" s="1045">
        <v>1</v>
      </c>
      <c r="E12" s="2146">
        <v>1</v>
      </c>
      <c r="F12" s="2146"/>
      <c r="G12" s="2146"/>
      <c r="H12" s="1169">
        <v>1</v>
      </c>
      <c r="I12" s="1169">
        <v>2</v>
      </c>
      <c r="J12" s="1169"/>
      <c r="K12" s="1169">
        <v>1</v>
      </c>
      <c r="L12" s="1169"/>
      <c r="M12" s="1044"/>
      <c r="N12" s="2142">
        <f t="shared" si="0"/>
        <v>8</v>
      </c>
      <c r="O12" s="1173"/>
      <c r="P12" s="1045">
        <v>1</v>
      </c>
      <c r="Q12" s="1045">
        <v>2</v>
      </c>
      <c r="R12" s="1045">
        <v>1</v>
      </c>
      <c r="S12" s="1045">
        <v>1</v>
      </c>
      <c r="T12" s="1174">
        <v>2</v>
      </c>
      <c r="U12" s="2143">
        <v>1</v>
      </c>
      <c r="V12" s="2143">
        <v>2</v>
      </c>
      <c r="W12" s="1044"/>
      <c r="X12" s="1044"/>
      <c r="Y12" s="1044"/>
      <c r="Z12" s="2144">
        <f t="shared" si="1"/>
        <v>10</v>
      </c>
      <c r="AA12" s="1044">
        <f t="shared" si="2"/>
        <v>9</v>
      </c>
      <c r="AB12" s="2057"/>
      <c r="AC12" s="1175" t="s">
        <v>29</v>
      </c>
      <c r="AD12" s="1044">
        <f t="shared" si="3"/>
        <v>39</v>
      </c>
    </row>
    <row r="13" spans="1:30" ht="40.5" customHeight="1" x14ac:dyDescent="0.4">
      <c r="A13" s="1169">
        <v>5</v>
      </c>
      <c r="B13" s="2140">
        <v>5191421005</v>
      </c>
      <c r="C13" s="1173">
        <v>1</v>
      </c>
      <c r="D13" s="1045">
        <v>1</v>
      </c>
      <c r="E13" s="2146"/>
      <c r="F13" s="2146">
        <v>1</v>
      </c>
      <c r="G13" s="2146"/>
      <c r="H13" s="1169">
        <v>2</v>
      </c>
      <c r="I13" s="1169">
        <v>3</v>
      </c>
      <c r="J13" s="1169"/>
      <c r="K13" s="1169"/>
      <c r="L13" s="1169"/>
      <c r="M13" s="1044"/>
      <c r="N13" s="2142">
        <f t="shared" si="0"/>
        <v>8</v>
      </c>
      <c r="O13" s="1173">
        <v>1</v>
      </c>
      <c r="P13" s="1045"/>
      <c r="Q13" s="1045">
        <v>2</v>
      </c>
      <c r="R13" s="1045"/>
      <c r="S13" s="1045">
        <v>1</v>
      </c>
      <c r="T13" s="1174">
        <v>2</v>
      </c>
      <c r="U13" s="2143"/>
      <c r="V13" s="2143">
        <v>3</v>
      </c>
      <c r="W13" s="1044">
        <v>2</v>
      </c>
      <c r="X13" s="1044"/>
      <c r="Y13" s="1044"/>
      <c r="Z13" s="2144">
        <f t="shared" si="1"/>
        <v>11</v>
      </c>
      <c r="AA13" s="1044">
        <f t="shared" si="2"/>
        <v>10</v>
      </c>
      <c r="AB13" s="2057"/>
      <c r="AC13" s="1175" t="s">
        <v>33</v>
      </c>
      <c r="AD13" s="1044">
        <f t="shared" si="3"/>
        <v>60</v>
      </c>
    </row>
    <row r="14" spans="1:30" ht="40.5" customHeight="1" x14ac:dyDescent="0.4">
      <c r="A14" s="1169">
        <v>6</v>
      </c>
      <c r="B14" s="2140">
        <v>5191421006</v>
      </c>
      <c r="C14" s="1173">
        <v>1</v>
      </c>
      <c r="D14" s="1045">
        <v>2</v>
      </c>
      <c r="E14" s="2146">
        <v>2</v>
      </c>
      <c r="F14" s="2146">
        <v>2</v>
      </c>
      <c r="G14" s="2146">
        <v>1</v>
      </c>
      <c r="H14" s="1169"/>
      <c r="I14" s="1169"/>
      <c r="J14" s="1169">
        <v>4</v>
      </c>
      <c r="K14" s="1169">
        <v>5</v>
      </c>
      <c r="L14" s="1169">
        <v>3</v>
      </c>
      <c r="M14" s="1044">
        <v>3</v>
      </c>
      <c r="N14" s="2142">
        <f t="shared" si="0"/>
        <v>23</v>
      </c>
      <c r="O14" s="1173">
        <v>2</v>
      </c>
      <c r="P14" s="1045">
        <v>1</v>
      </c>
      <c r="Q14" s="1045">
        <v>2</v>
      </c>
      <c r="R14" s="1045">
        <v>2</v>
      </c>
      <c r="S14" s="1045">
        <v>2</v>
      </c>
      <c r="T14" s="1174">
        <v>4</v>
      </c>
      <c r="U14" s="2143">
        <v>4</v>
      </c>
      <c r="V14" s="2143"/>
      <c r="W14" s="1044"/>
      <c r="X14" s="1044">
        <v>5</v>
      </c>
      <c r="Y14" s="1044">
        <v>2</v>
      </c>
      <c r="Z14" s="2144">
        <f t="shared" si="1"/>
        <v>24</v>
      </c>
      <c r="AA14" s="1044">
        <f t="shared" si="2"/>
        <v>24</v>
      </c>
      <c r="AB14" s="2057"/>
      <c r="AC14" s="1176" t="s">
        <v>27</v>
      </c>
      <c r="AD14" s="1044">
        <f t="shared" si="3"/>
        <v>80</v>
      </c>
    </row>
    <row r="15" spans="1:30" ht="40.5" customHeight="1" x14ac:dyDescent="0.4">
      <c r="A15" s="1169">
        <v>7</v>
      </c>
      <c r="B15" s="2140">
        <v>5191421007</v>
      </c>
      <c r="C15" s="1173">
        <v>2</v>
      </c>
      <c r="D15" s="1045"/>
      <c r="E15" s="2146">
        <v>2</v>
      </c>
      <c r="F15" s="2146"/>
      <c r="G15" s="2146">
        <v>2</v>
      </c>
      <c r="H15" s="1169">
        <v>2</v>
      </c>
      <c r="I15" s="1169">
        <v>4</v>
      </c>
      <c r="J15" s="1169"/>
      <c r="K15" s="1169"/>
      <c r="L15" s="1169">
        <v>5</v>
      </c>
      <c r="M15" s="1044">
        <v>2</v>
      </c>
      <c r="N15" s="2142">
        <f t="shared" si="0"/>
        <v>19</v>
      </c>
      <c r="O15" s="1173">
        <v>2</v>
      </c>
      <c r="P15" s="1045">
        <v>1</v>
      </c>
      <c r="Q15" s="1045">
        <v>2</v>
      </c>
      <c r="R15" s="1045"/>
      <c r="S15" s="1045">
        <v>1</v>
      </c>
      <c r="T15" s="1174">
        <v>2</v>
      </c>
      <c r="U15" s="2143"/>
      <c r="V15" s="2143">
        <v>3</v>
      </c>
      <c r="W15" s="1044">
        <v>3</v>
      </c>
      <c r="X15" s="1044"/>
      <c r="Y15" s="1044"/>
      <c r="Z15" s="2144">
        <f t="shared" si="1"/>
        <v>14</v>
      </c>
      <c r="AA15" s="1044">
        <f t="shared" si="2"/>
        <v>17</v>
      </c>
      <c r="AB15" s="2057"/>
      <c r="AC15" s="1175" t="s">
        <v>32</v>
      </c>
      <c r="AD15" s="1044">
        <f t="shared" si="3"/>
        <v>70</v>
      </c>
    </row>
    <row r="16" spans="1:30" ht="40.5" customHeight="1" x14ac:dyDescent="0.4">
      <c r="A16" s="1169">
        <v>8</v>
      </c>
      <c r="B16" s="2140">
        <v>5191421008</v>
      </c>
      <c r="C16" s="1173">
        <v>2</v>
      </c>
      <c r="D16" s="1045">
        <v>1</v>
      </c>
      <c r="E16" s="2146"/>
      <c r="F16" s="2146"/>
      <c r="G16" s="2146">
        <v>1</v>
      </c>
      <c r="H16" s="1169">
        <v>2</v>
      </c>
      <c r="I16" s="1169">
        <v>2</v>
      </c>
      <c r="J16" s="1169"/>
      <c r="K16" s="1169"/>
      <c r="L16" s="1169">
        <v>3</v>
      </c>
      <c r="M16" s="1044">
        <v>3</v>
      </c>
      <c r="N16" s="2142">
        <f t="shared" si="0"/>
        <v>14</v>
      </c>
      <c r="O16" s="1173"/>
      <c r="P16" s="1045">
        <v>1</v>
      </c>
      <c r="Q16" s="1045">
        <v>2</v>
      </c>
      <c r="R16" s="1045"/>
      <c r="S16" s="1045"/>
      <c r="T16" s="1174">
        <v>4</v>
      </c>
      <c r="U16" s="2143"/>
      <c r="V16" s="2143">
        <v>3</v>
      </c>
      <c r="W16" s="1044">
        <v>2</v>
      </c>
      <c r="X16" s="1044"/>
      <c r="Y16" s="1044"/>
      <c r="Z16" s="2144">
        <f t="shared" si="1"/>
        <v>12</v>
      </c>
      <c r="AA16" s="1044">
        <f t="shared" si="2"/>
        <v>13</v>
      </c>
      <c r="AB16" s="2057"/>
      <c r="AC16" s="1175" t="s">
        <v>29</v>
      </c>
      <c r="AD16" s="1044">
        <f t="shared" si="3"/>
        <v>39</v>
      </c>
    </row>
    <row r="17" spans="1:30" ht="40.5" customHeight="1" x14ac:dyDescent="0.4">
      <c r="A17" s="1169">
        <v>9</v>
      </c>
      <c r="B17" s="2140">
        <v>5191421009</v>
      </c>
      <c r="C17" s="1174">
        <v>2</v>
      </c>
      <c r="D17" s="1044"/>
      <c r="E17" s="2141">
        <v>1</v>
      </c>
      <c r="F17" s="2141">
        <v>1</v>
      </c>
      <c r="G17" s="2141">
        <v>1</v>
      </c>
      <c r="H17" s="1169">
        <v>1</v>
      </c>
      <c r="I17" s="1169">
        <v>2</v>
      </c>
      <c r="J17" s="1169">
        <v>2</v>
      </c>
      <c r="K17" s="1169">
        <v>1</v>
      </c>
      <c r="L17" s="1169"/>
      <c r="M17" s="1044"/>
      <c r="N17" s="2142">
        <f t="shared" si="0"/>
        <v>11</v>
      </c>
      <c r="O17" s="1173"/>
      <c r="P17" s="1045"/>
      <c r="Q17" s="1045">
        <v>2</v>
      </c>
      <c r="R17" s="1045">
        <v>1</v>
      </c>
      <c r="S17" s="1045">
        <v>1</v>
      </c>
      <c r="T17" s="1174">
        <v>2</v>
      </c>
      <c r="U17" s="2143">
        <v>1</v>
      </c>
      <c r="V17" s="2143">
        <v>3</v>
      </c>
      <c r="W17" s="1044">
        <v>1</v>
      </c>
      <c r="X17" s="1044"/>
      <c r="Y17" s="1044"/>
      <c r="Z17" s="2144">
        <f t="shared" si="1"/>
        <v>11</v>
      </c>
      <c r="AA17" s="1044">
        <f t="shared" si="2"/>
        <v>11</v>
      </c>
      <c r="AB17" s="2057"/>
      <c r="AC17" s="1175" t="s">
        <v>31</v>
      </c>
      <c r="AD17" s="1044">
        <f t="shared" si="3"/>
        <v>55</v>
      </c>
    </row>
    <row r="18" spans="1:30" ht="40.5" customHeight="1" x14ac:dyDescent="0.4">
      <c r="A18" s="1169">
        <v>10</v>
      </c>
      <c r="B18" s="2140">
        <v>5191421010</v>
      </c>
      <c r="C18" s="1173">
        <v>2</v>
      </c>
      <c r="D18" s="1045">
        <v>2</v>
      </c>
      <c r="E18" s="2146">
        <v>1</v>
      </c>
      <c r="F18" s="2146">
        <v>1</v>
      </c>
      <c r="G18" s="2146">
        <v>2</v>
      </c>
      <c r="H18" s="1169">
        <v>2</v>
      </c>
      <c r="I18" s="1169">
        <v>2</v>
      </c>
      <c r="J18" s="1169"/>
      <c r="K18" s="1169"/>
      <c r="L18" s="1169">
        <v>3</v>
      </c>
      <c r="M18" s="1044">
        <v>2</v>
      </c>
      <c r="N18" s="2142">
        <f t="shared" si="0"/>
        <v>17</v>
      </c>
      <c r="O18" s="1173">
        <v>1</v>
      </c>
      <c r="P18" s="1045">
        <v>1</v>
      </c>
      <c r="Q18" s="1045">
        <v>2</v>
      </c>
      <c r="R18" s="1045">
        <v>1</v>
      </c>
      <c r="S18" s="1045"/>
      <c r="T18" s="1174"/>
      <c r="U18" s="2143"/>
      <c r="V18" s="2143">
        <v>4</v>
      </c>
      <c r="W18" s="1044">
        <v>2</v>
      </c>
      <c r="X18" s="1044">
        <v>5</v>
      </c>
      <c r="Y18" s="1044"/>
      <c r="Z18" s="2144">
        <f t="shared" si="1"/>
        <v>16</v>
      </c>
      <c r="AA18" s="1044">
        <f t="shared" si="2"/>
        <v>17</v>
      </c>
      <c r="AB18" s="2057"/>
      <c r="AC18" s="1175" t="s">
        <v>31</v>
      </c>
      <c r="AD18" s="1044">
        <f t="shared" si="3"/>
        <v>55</v>
      </c>
    </row>
    <row r="19" spans="1:30" ht="40.5" customHeight="1" x14ac:dyDescent="0.4">
      <c r="A19" s="1169">
        <v>11</v>
      </c>
      <c r="B19" s="2140">
        <v>5191421011</v>
      </c>
      <c r="C19" s="1173">
        <v>2</v>
      </c>
      <c r="D19" s="1045">
        <v>2</v>
      </c>
      <c r="E19" s="2146">
        <v>2</v>
      </c>
      <c r="F19" s="2146">
        <v>1</v>
      </c>
      <c r="G19" s="2146">
        <v>2</v>
      </c>
      <c r="H19" s="1169">
        <v>4</v>
      </c>
      <c r="I19" s="1169">
        <v>2</v>
      </c>
      <c r="J19" s="1169"/>
      <c r="K19" s="1169"/>
      <c r="L19" s="1169">
        <v>4</v>
      </c>
      <c r="M19" s="1044">
        <v>4</v>
      </c>
      <c r="N19" s="2142">
        <f t="shared" si="0"/>
        <v>23</v>
      </c>
      <c r="O19" s="1173">
        <v>2</v>
      </c>
      <c r="P19" s="1045">
        <v>2</v>
      </c>
      <c r="Q19" s="1045">
        <v>2</v>
      </c>
      <c r="R19" s="1045">
        <v>2</v>
      </c>
      <c r="S19" s="1045"/>
      <c r="T19" s="1174">
        <v>4</v>
      </c>
      <c r="U19" s="2143">
        <v>5</v>
      </c>
      <c r="V19" s="2143">
        <v>3</v>
      </c>
      <c r="W19" s="1044">
        <v>3</v>
      </c>
      <c r="X19" s="1044"/>
      <c r="Y19" s="1044"/>
      <c r="Z19" s="2144">
        <f t="shared" si="1"/>
        <v>23</v>
      </c>
      <c r="AA19" s="1044">
        <f t="shared" si="2"/>
        <v>23</v>
      </c>
      <c r="AB19" s="2057"/>
      <c r="AC19" s="1175" t="s">
        <v>27</v>
      </c>
      <c r="AD19" s="1044">
        <f t="shared" si="3"/>
        <v>80</v>
      </c>
    </row>
    <row r="20" spans="1:30" ht="40.5" customHeight="1" x14ac:dyDescent="0.4">
      <c r="A20" s="1169">
        <v>12</v>
      </c>
      <c r="B20" s="2140">
        <v>5191421012</v>
      </c>
      <c r="C20" s="1173">
        <v>2</v>
      </c>
      <c r="D20" s="1045">
        <v>1</v>
      </c>
      <c r="E20" s="2146"/>
      <c r="F20" s="2146">
        <v>1</v>
      </c>
      <c r="G20" s="2146">
        <v>1</v>
      </c>
      <c r="H20" s="1169">
        <v>4</v>
      </c>
      <c r="I20" s="1169">
        <v>4</v>
      </c>
      <c r="J20" s="1169">
        <v>4</v>
      </c>
      <c r="K20" s="1169"/>
      <c r="L20" s="1169"/>
      <c r="M20" s="1044"/>
      <c r="N20" s="2142">
        <f t="shared" si="0"/>
        <v>17</v>
      </c>
      <c r="O20" s="1173">
        <v>1</v>
      </c>
      <c r="P20" s="1045"/>
      <c r="Q20" s="1045">
        <v>2</v>
      </c>
      <c r="R20" s="1045"/>
      <c r="S20" s="1045"/>
      <c r="T20" s="1174">
        <v>3</v>
      </c>
      <c r="U20" s="2143"/>
      <c r="V20" s="2143">
        <v>2</v>
      </c>
      <c r="W20" s="1044"/>
      <c r="X20" s="1044"/>
      <c r="Y20" s="1044"/>
      <c r="Z20" s="2144">
        <f t="shared" si="1"/>
        <v>8</v>
      </c>
      <c r="AA20" s="1044">
        <f t="shared" si="2"/>
        <v>13</v>
      </c>
      <c r="AB20" s="2057"/>
      <c r="AC20" s="1175" t="s">
        <v>28</v>
      </c>
      <c r="AD20" s="1044">
        <f t="shared" si="3"/>
        <v>50</v>
      </c>
    </row>
    <row r="21" spans="1:30" ht="40.5" customHeight="1" x14ac:dyDescent="0.4">
      <c r="A21" s="1169">
        <v>13</v>
      </c>
      <c r="B21" s="2140">
        <v>5191421013</v>
      </c>
      <c r="C21" s="1173"/>
      <c r="D21" s="1045"/>
      <c r="E21" s="2146"/>
      <c r="F21" s="2146"/>
      <c r="G21" s="2146"/>
      <c r="H21" s="1169"/>
      <c r="I21" s="1169"/>
      <c r="J21" s="1169"/>
      <c r="K21" s="1169"/>
      <c r="L21" s="1169"/>
      <c r="M21" s="1044"/>
      <c r="N21" s="2142">
        <f t="shared" si="0"/>
        <v>0</v>
      </c>
      <c r="O21" s="1173">
        <v>2</v>
      </c>
      <c r="P21" s="1045">
        <v>1</v>
      </c>
      <c r="Q21" s="1045">
        <v>2</v>
      </c>
      <c r="R21" s="1045">
        <v>2</v>
      </c>
      <c r="S21" s="1045">
        <v>1</v>
      </c>
      <c r="T21" s="1174"/>
      <c r="U21" s="2143"/>
      <c r="V21" s="2143">
        <v>4</v>
      </c>
      <c r="W21" s="1044">
        <v>4</v>
      </c>
      <c r="X21" s="1044">
        <v>5</v>
      </c>
      <c r="Y21" s="1044"/>
      <c r="Z21" s="2144">
        <f t="shared" si="1"/>
        <v>21</v>
      </c>
      <c r="AA21" s="1044">
        <f t="shared" si="2"/>
        <v>11</v>
      </c>
      <c r="AB21" s="2057"/>
      <c r="AC21" s="1175" t="s">
        <v>32</v>
      </c>
      <c r="AD21" s="1044">
        <f t="shared" si="3"/>
        <v>70</v>
      </c>
    </row>
    <row r="22" spans="1:30" ht="40.5" customHeight="1" x14ac:dyDescent="0.4">
      <c r="A22" s="1169">
        <v>14</v>
      </c>
      <c r="B22" s="2140">
        <v>5191421014</v>
      </c>
      <c r="C22" s="1173">
        <v>2</v>
      </c>
      <c r="D22" s="1045"/>
      <c r="E22" s="2146">
        <v>1</v>
      </c>
      <c r="F22" s="2146">
        <v>1</v>
      </c>
      <c r="G22" s="2146">
        <v>1</v>
      </c>
      <c r="H22" s="1169">
        <v>2</v>
      </c>
      <c r="I22" s="1169">
        <v>3</v>
      </c>
      <c r="J22" s="1169">
        <v>2</v>
      </c>
      <c r="K22" s="1169"/>
      <c r="L22" s="1169"/>
      <c r="M22" s="1044"/>
      <c r="N22" s="2142">
        <f t="shared" si="0"/>
        <v>12</v>
      </c>
      <c r="O22" s="1173">
        <v>2</v>
      </c>
      <c r="P22" s="1045"/>
      <c r="Q22" s="1045">
        <v>1</v>
      </c>
      <c r="R22" s="1045"/>
      <c r="S22" s="1045">
        <v>1</v>
      </c>
      <c r="T22" s="1174">
        <v>3</v>
      </c>
      <c r="U22" s="2143"/>
      <c r="V22" s="2143">
        <v>2</v>
      </c>
      <c r="W22" s="1044"/>
      <c r="X22" s="1044"/>
      <c r="Y22" s="1044"/>
      <c r="Z22" s="2144">
        <f t="shared" si="1"/>
        <v>9</v>
      </c>
      <c r="AA22" s="1044">
        <f t="shared" si="2"/>
        <v>11</v>
      </c>
      <c r="AB22" s="2057"/>
      <c r="AC22" s="1175" t="s">
        <v>28</v>
      </c>
      <c r="AD22" s="1044">
        <f t="shared" si="3"/>
        <v>50</v>
      </c>
    </row>
    <row r="23" spans="1:30" ht="40.5" customHeight="1" x14ac:dyDescent="0.4">
      <c r="A23" s="1169">
        <v>15</v>
      </c>
      <c r="B23" s="2140">
        <v>5191421015</v>
      </c>
      <c r="C23" s="1173">
        <v>2</v>
      </c>
      <c r="D23" s="1045">
        <v>2</v>
      </c>
      <c r="E23" s="2146">
        <v>1</v>
      </c>
      <c r="F23" s="2146">
        <v>1</v>
      </c>
      <c r="G23" s="2146"/>
      <c r="H23" s="1169">
        <v>2</v>
      </c>
      <c r="I23" s="1169">
        <v>2</v>
      </c>
      <c r="J23" s="1169"/>
      <c r="K23" s="1169"/>
      <c r="L23" s="1169">
        <v>2</v>
      </c>
      <c r="M23" s="1044"/>
      <c r="N23" s="2142">
        <f t="shared" si="0"/>
        <v>12</v>
      </c>
      <c r="O23" s="1173"/>
      <c r="P23" s="1045"/>
      <c r="Q23" s="1045">
        <v>2</v>
      </c>
      <c r="R23" s="1045"/>
      <c r="S23" s="1045">
        <v>1</v>
      </c>
      <c r="T23" s="1174">
        <v>3</v>
      </c>
      <c r="U23" s="2143"/>
      <c r="V23" s="2143"/>
      <c r="W23" s="1044">
        <v>2</v>
      </c>
      <c r="X23" s="1044"/>
      <c r="Y23" s="1044"/>
      <c r="Z23" s="2144">
        <f t="shared" si="1"/>
        <v>8</v>
      </c>
      <c r="AA23" s="1044">
        <f t="shared" si="2"/>
        <v>10</v>
      </c>
      <c r="AB23" s="2057"/>
      <c r="AC23" s="1175" t="s">
        <v>29</v>
      </c>
      <c r="AD23" s="1044">
        <f t="shared" si="3"/>
        <v>39</v>
      </c>
    </row>
    <row r="24" spans="1:30" ht="40.5" customHeight="1" x14ac:dyDescent="0.4">
      <c r="A24" s="1169">
        <v>16</v>
      </c>
      <c r="B24" s="2140">
        <v>5191421016</v>
      </c>
      <c r="C24" s="1173">
        <v>2</v>
      </c>
      <c r="D24" s="1045">
        <v>2</v>
      </c>
      <c r="E24" s="2146">
        <v>1</v>
      </c>
      <c r="F24" s="2146">
        <v>1</v>
      </c>
      <c r="G24" s="2146"/>
      <c r="H24" s="1169">
        <v>3</v>
      </c>
      <c r="I24" s="1169">
        <v>2</v>
      </c>
      <c r="J24" s="1169"/>
      <c r="K24" s="1169"/>
      <c r="L24" s="2139">
        <v>1</v>
      </c>
      <c r="M24" s="2143"/>
      <c r="N24" s="2142">
        <f t="shared" si="0"/>
        <v>12</v>
      </c>
      <c r="O24" s="1173"/>
      <c r="P24" s="1045"/>
      <c r="Q24" s="1045">
        <v>2</v>
      </c>
      <c r="R24" s="1045"/>
      <c r="S24" s="1045"/>
      <c r="T24" s="1174">
        <v>2</v>
      </c>
      <c r="U24" s="2143"/>
      <c r="V24" s="2143">
        <v>3</v>
      </c>
      <c r="W24" s="1044"/>
      <c r="X24" s="1044"/>
      <c r="Y24" s="1044"/>
      <c r="Z24" s="2144">
        <f t="shared" si="1"/>
        <v>7</v>
      </c>
      <c r="AA24" s="1044">
        <f t="shared" si="2"/>
        <v>10</v>
      </c>
      <c r="AB24" s="2057"/>
      <c r="AC24" s="1175" t="s">
        <v>29</v>
      </c>
      <c r="AD24" s="1044">
        <f t="shared" si="3"/>
        <v>39</v>
      </c>
    </row>
    <row r="25" spans="1:30" ht="40.5" customHeight="1" x14ac:dyDescent="0.4">
      <c r="A25" s="1169">
        <v>17</v>
      </c>
      <c r="B25" s="2140">
        <v>5191421017</v>
      </c>
      <c r="C25" s="1173">
        <v>2</v>
      </c>
      <c r="D25" s="1045">
        <v>2</v>
      </c>
      <c r="E25" s="2146">
        <v>1</v>
      </c>
      <c r="F25" s="2146">
        <v>2</v>
      </c>
      <c r="G25" s="2146">
        <v>2</v>
      </c>
      <c r="H25" s="1169">
        <v>3</v>
      </c>
      <c r="I25" s="1169">
        <v>3</v>
      </c>
      <c r="J25" s="1169"/>
      <c r="K25" s="1169"/>
      <c r="L25" s="2139">
        <v>2</v>
      </c>
      <c r="M25" s="2143">
        <v>3</v>
      </c>
      <c r="N25" s="2142">
        <f t="shared" si="0"/>
        <v>20</v>
      </c>
      <c r="O25" s="1173">
        <v>2</v>
      </c>
      <c r="P25" s="1045"/>
      <c r="Q25" s="1045">
        <v>1</v>
      </c>
      <c r="R25" s="1045">
        <v>1</v>
      </c>
      <c r="S25" s="1045"/>
      <c r="T25" s="1174"/>
      <c r="U25" s="2143"/>
      <c r="V25" s="2143">
        <v>3</v>
      </c>
      <c r="W25" s="1044">
        <v>3</v>
      </c>
      <c r="X25" s="1044">
        <v>3</v>
      </c>
      <c r="Y25" s="1044"/>
      <c r="Z25" s="2144">
        <f t="shared" si="1"/>
        <v>13</v>
      </c>
      <c r="AA25" s="1044">
        <f t="shared" si="2"/>
        <v>17</v>
      </c>
      <c r="AB25" s="2057"/>
      <c r="AC25" s="1175" t="s">
        <v>33</v>
      </c>
      <c r="AD25" s="1044">
        <f t="shared" si="3"/>
        <v>60</v>
      </c>
    </row>
    <row r="26" spans="1:30" ht="40.5" customHeight="1" x14ac:dyDescent="0.4">
      <c r="A26" s="1169">
        <v>18</v>
      </c>
      <c r="B26" s="2140">
        <v>5191421018</v>
      </c>
      <c r="C26" s="1172">
        <v>2</v>
      </c>
      <c r="D26" s="1045"/>
      <c r="E26" s="2146"/>
      <c r="F26" s="2146">
        <v>1</v>
      </c>
      <c r="G26" s="2146">
        <v>1</v>
      </c>
      <c r="H26" s="1169">
        <v>3</v>
      </c>
      <c r="I26" s="1169"/>
      <c r="J26" s="1169"/>
      <c r="K26" s="1169"/>
      <c r="L26" s="1169">
        <v>1</v>
      </c>
      <c r="M26" s="1044"/>
      <c r="N26" s="2142">
        <f t="shared" si="0"/>
        <v>8</v>
      </c>
      <c r="O26" s="1173">
        <v>1</v>
      </c>
      <c r="P26" s="1045"/>
      <c r="Q26" s="1045">
        <v>1</v>
      </c>
      <c r="R26" s="1045"/>
      <c r="S26" s="1045"/>
      <c r="T26" s="1174">
        <v>3</v>
      </c>
      <c r="U26" s="2143"/>
      <c r="V26" s="2143"/>
      <c r="W26" s="1044"/>
      <c r="X26" s="1044"/>
      <c r="Y26" s="1044"/>
      <c r="Z26" s="2144">
        <f t="shared" si="1"/>
        <v>5</v>
      </c>
      <c r="AA26" s="1044">
        <f t="shared" si="2"/>
        <v>7</v>
      </c>
      <c r="AB26" s="2057"/>
      <c r="AC26" s="1175" t="s">
        <v>28</v>
      </c>
      <c r="AD26" s="1044">
        <f t="shared" si="3"/>
        <v>50</v>
      </c>
    </row>
    <row r="27" spans="1:30" ht="40.5" customHeight="1" x14ac:dyDescent="0.4">
      <c r="A27" s="1169">
        <v>19</v>
      </c>
      <c r="B27" s="2140">
        <v>5191421019</v>
      </c>
      <c r="C27" s="1173">
        <v>2</v>
      </c>
      <c r="D27" s="1044"/>
      <c r="E27" s="2141">
        <v>2</v>
      </c>
      <c r="F27" s="2141">
        <v>2</v>
      </c>
      <c r="G27" s="2141">
        <v>2</v>
      </c>
      <c r="H27" s="1169">
        <v>4</v>
      </c>
      <c r="I27" s="1169">
        <v>5</v>
      </c>
      <c r="J27" s="1169"/>
      <c r="K27" s="1169"/>
      <c r="L27" s="1169">
        <v>4</v>
      </c>
      <c r="M27" s="1044">
        <v>5</v>
      </c>
      <c r="N27" s="2142">
        <f t="shared" si="0"/>
        <v>26</v>
      </c>
      <c r="O27" s="1173">
        <v>2</v>
      </c>
      <c r="P27" s="1044">
        <v>1</v>
      </c>
      <c r="Q27" s="1044">
        <v>2</v>
      </c>
      <c r="R27" s="1044">
        <v>1</v>
      </c>
      <c r="S27" s="1044">
        <v>1</v>
      </c>
      <c r="T27" s="1174">
        <v>5</v>
      </c>
      <c r="U27" s="2143">
        <v>2</v>
      </c>
      <c r="V27" s="2143">
        <v>3</v>
      </c>
      <c r="W27" s="1044">
        <v>2</v>
      </c>
      <c r="X27" s="1044"/>
      <c r="Y27" s="1044"/>
      <c r="Z27" s="2144">
        <f t="shared" si="1"/>
        <v>19</v>
      </c>
      <c r="AA27" s="1044">
        <f t="shared" si="2"/>
        <v>23</v>
      </c>
      <c r="AB27" s="2057"/>
      <c r="AC27" s="1175" t="s">
        <v>30</v>
      </c>
      <c r="AD27" s="1044">
        <f t="shared" si="3"/>
        <v>90</v>
      </c>
    </row>
    <row r="28" spans="1:30" ht="40.5" customHeight="1" x14ac:dyDescent="0.4">
      <c r="A28" s="1169">
        <v>20</v>
      </c>
      <c r="B28" s="2140">
        <v>5191421020</v>
      </c>
      <c r="C28" s="1174">
        <v>2</v>
      </c>
      <c r="D28" s="1044"/>
      <c r="E28" s="2141">
        <v>2</v>
      </c>
      <c r="F28" s="2141">
        <v>2</v>
      </c>
      <c r="G28" s="2141">
        <v>2</v>
      </c>
      <c r="H28" s="1169">
        <v>2</v>
      </c>
      <c r="I28" s="1169">
        <v>3</v>
      </c>
      <c r="J28" s="1169"/>
      <c r="K28" s="1169"/>
      <c r="L28" s="1169">
        <v>3</v>
      </c>
      <c r="M28" s="1044">
        <v>3</v>
      </c>
      <c r="N28" s="2142">
        <f t="shared" si="0"/>
        <v>19</v>
      </c>
      <c r="O28" s="1174">
        <v>2</v>
      </c>
      <c r="P28" s="1044">
        <v>1</v>
      </c>
      <c r="Q28" s="1044">
        <v>2</v>
      </c>
      <c r="R28" s="1044">
        <v>2</v>
      </c>
      <c r="S28" s="1044">
        <v>2</v>
      </c>
      <c r="T28" s="1174"/>
      <c r="U28" s="2143"/>
      <c r="V28" s="2143">
        <v>4</v>
      </c>
      <c r="W28" s="1044">
        <v>2</v>
      </c>
      <c r="X28" s="1044"/>
      <c r="Y28" s="1044">
        <v>3</v>
      </c>
      <c r="Z28" s="2144">
        <f t="shared" si="1"/>
        <v>18</v>
      </c>
      <c r="AA28" s="1044">
        <f t="shared" si="2"/>
        <v>19</v>
      </c>
      <c r="AB28" s="2057"/>
      <c r="AC28" s="1175" t="s">
        <v>27</v>
      </c>
      <c r="AD28" s="1044">
        <f t="shared" si="3"/>
        <v>80</v>
      </c>
    </row>
    <row r="29" spans="1:30" ht="40.5" customHeight="1" x14ac:dyDescent="0.4">
      <c r="A29" s="1169">
        <v>21</v>
      </c>
      <c r="B29" s="2140">
        <v>5191421021</v>
      </c>
      <c r="C29" s="1173">
        <v>1</v>
      </c>
      <c r="D29" s="1044"/>
      <c r="E29" s="2141"/>
      <c r="F29" s="2141">
        <v>1</v>
      </c>
      <c r="G29" s="2141">
        <v>1</v>
      </c>
      <c r="H29" s="1169">
        <v>4</v>
      </c>
      <c r="I29" s="1169">
        <v>3</v>
      </c>
      <c r="J29" s="1169"/>
      <c r="K29" s="1169"/>
      <c r="L29" s="1169">
        <v>4</v>
      </c>
      <c r="M29" s="1044">
        <v>5</v>
      </c>
      <c r="N29" s="2142">
        <f t="shared" si="0"/>
        <v>19</v>
      </c>
      <c r="O29" s="1173">
        <v>1</v>
      </c>
      <c r="P29" s="1044"/>
      <c r="Q29" s="1044">
        <v>2</v>
      </c>
      <c r="R29" s="1044"/>
      <c r="S29" s="1044">
        <v>1</v>
      </c>
      <c r="T29" s="1174"/>
      <c r="U29" s="2143"/>
      <c r="V29" s="2143">
        <v>4</v>
      </c>
      <c r="W29" s="1044">
        <v>5</v>
      </c>
      <c r="X29" s="1044">
        <v>4</v>
      </c>
      <c r="Y29" s="1044">
        <v>3</v>
      </c>
      <c r="Z29" s="2144">
        <f t="shared" si="1"/>
        <v>20</v>
      </c>
      <c r="AA29" s="1044">
        <f t="shared" si="2"/>
        <v>20</v>
      </c>
      <c r="AB29" s="2057"/>
      <c r="AC29" s="1175" t="s">
        <v>33</v>
      </c>
      <c r="AD29" s="1044">
        <f t="shared" si="3"/>
        <v>60</v>
      </c>
    </row>
    <row r="30" spans="1:30" ht="40.5" customHeight="1" x14ac:dyDescent="0.4">
      <c r="A30" s="1169">
        <v>22</v>
      </c>
      <c r="B30" s="2140">
        <v>5191421022</v>
      </c>
      <c r="C30" s="1173">
        <v>1</v>
      </c>
      <c r="D30" s="1044">
        <v>1</v>
      </c>
      <c r="E30" s="2141"/>
      <c r="F30" s="2141">
        <v>1</v>
      </c>
      <c r="G30" s="2141"/>
      <c r="H30" s="1169">
        <v>2</v>
      </c>
      <c r="I30" s="1169">
        <v>2</v>
      </c>
      <c r="J30" s="1169">
        <v>2</v>
      </c>
      <c r="K30" s="1169"/>
      <c r="L30" s="1169"/>
      <c r="M30" s="1044"/>
      <c r="N30" s="2142">
        <f t="shared" si="0"/>
        <v>9</v>
      </c>
      <c r="O30" s="1173">
        <v>2</v>
      </c>
      <c r="P30" s="1044">
        <v>1</v>
      </c>
      <c r="Q30" s="1044">
        <v>2</v>
      </c>
      <c r="R30" s="1044"/>
      <c r="S30" s="1044"/>
      <c r="T30" s="1174">
        <v>1</v>
      </c>
      <c r="U30" s="2143"/>
      <c r="V30" s="2143"/>
      <c r="W30" s="1044"/>
      <c r="X30" s="1044">
        <v>2</v>
      </c>
      <c r="Y30" s="1044"/>
      <c r="Z30" s="2144">
        <f t="shared" si="1"/>
        <v>8</v>
      </c>
      <c r="AA30" s="1044">
        <f t="shared" si="2"/>
        <v>9</v>
      </c>
      <c r="AB30" s="2057"/>
      <c r="AC30" s="1175" t="s">
        <v>31</v>
      </c>
      <c r="AD30" s="1044">
        <f t="shared" si="3"/>
        <v>55</v>
      </c>
    </row>
    <row r="31" spans="1:30" ht="40.5" customHeight="1" x14ac:dyDescent="0.4">
      <c r="A31" s="1169">
        <v>23</v>
      </c>
      <c r="B31" s="2140">
        <v>5191421023</v>
      </c>
      <c r="C31" s="1173">
        <v>2</v>
      </c>
      <c r="D31" s="1044">
        <v>1</v>
      </c>
      <c r="E31" s="2141">
        <v>1</v>
      </c>
      <c r="F31" s="2141">
        <v>1</v>
      </c>
      <c r="G31" s="2141">
        <v>1</v>
      </c>
      <c r="H31" s="1169">
        <v>5</v>
      </c>
      <c r="I31" s="1169">
        <v>4</v>
      </c>
      <c r="J31" s="1169">
        <v>2</v>
      </c>
      <c r="K31" s="1169"/>
      <c r="L31" s="1169"/>
      <c r="M31" s="1044"/>
      <c r="N31" s="2142">
        <f t="shared" si="0"/>
        <v>17</v>
      </c>
      <c r="O31" s="1173">
        <v>2</v>
      </c>
      <c r="P31" s="1044"/>
      <c r="Q31" s="1044">
        <v>2</v>
      </c>
      <c r="R31" s="1044"/>
      <c r="S31" s="1044"/>
      <c r="T31" s="1174">
        <v>4</v>
      </c>
      <c r="U31" s="2143"/>
      <c r="V31" s="2143">
        <v>3</v>
      </c>
      <c r="W31" s="1044"/>
      <c r="X31" s="1044"/>
      <c r="Y31" s="1044"/>
      <c r="Z31" s="2144">
        <f t="shared" si="1"/>
        <v>11</v>
      </c>
      <c r="AA31" s="1044">
        <f t="shared" si="2"/>
        <v>14</v>
      </c>
      <c r="AB31" s="2057"/>
      <c r="AC31" s="1175" t="s">
        <v>29</v>
      </c>
      <c r="AD31" s="1044">
        <f t="shared" si="3"/>
        <v>39</v>
      </c>
    </row>
    <row r="32" spans="1:30" ht="40.5" customHeight="1" x14ac:dyDescent="0.4">
      <c r="A32" s="1169">
        <v>24</v>
      </c>
      <c r="B32" s="2140">
        <v>5191421024</v>
      </c>
      <c r="C32" s="1173">
        <v>1</v>
      </c>
      <c r="D32" s="1044">
        <v>1</v>
      </c>
      <c r="E32" s="2141"/>
      <c r="F32" s="2141"/>
      <c r="G32" s="2141"/>
      <c r="H32" s="1169">
        <v>1</v>
      </c>
      <c r="I32" s="1169"/>
      <c r="J32" s="1169">
        <v>1</v>
      </c>
      <c r="K32" s="1169"/>
      <c r="L32" s="1169"/>
      <c r="M32" s="1044"/>
      <c r="N32" s="2142">
        <f t="shared" si="0"/>
        <v>4</v>
      </c>
      <c r="O32" s="1173"/>
      <c r="P32" s="1044"/>
      <c r="Q32" s="1044"/>
      <c r="R32" s="1044"/>
      <c r="S32" s="1044"/>
      <c r="T32" s="1174">
        <v>1</v>
      </c>
      <c r="U32" s="2143"/>
      <c r="V32" s="2143"/>
      <c r="W32" s="1044"/>
      <c r="X32" s="1044"/>
      <c r="Y32" s="1044"/>
      <c r="Z32" s="2144">
        <f t="shared" si="1"/>
        <v>1</v>
      </c>
      <c r="AA32" s="1044">
        <f t="shared" si="2"/>
        <v>3</v>
      </c>
      <c r="AB32" s="2057"/>
      <c r="AC32" s="1175" t="s">
        <v>29</v>
      </c>
      <c r="AD32" s="1044">
        <f t="shared" si="3"/>
        <v>39</v>
      </c>
    </row>
    <row r="33" spans="1:30" ht="40.5" customHeight="1" x14ac:dyDescent="0.4">
      <c r="A33" s="1169">
        <v>25</v>
      </c>
      <c r="B33" s="2140">
        <v>5191421025</v>
      </c>
      <c r="C33" s="1173">
        <v>2</v>
      </c>
      <c r="D33" s="1044">
        <v>2</v>
      </c>
      <c r="E33" s="2141">
        <v>2</v>
      </c>
      <c r="F33" s="2141">
        <v>2</v>
      </c>
      <c r="G33" s="2141">
        <v>2</v>
      </c>
      <c r="H33" s="1169">
        <v>5</v>
      </c>
      <c r="I33" s="1169">
        <v>4</v>
      </c>
      <c r="J33" s="1169"/>
      <c r="K33" s="1169"/>
      <c r="L33" s="1169">
        <v>5</v>
      </c>
      <c r="M33" s="1044">
        <v>4</v>
      </c>
      <c r="N33" s="2142">
        <f t="shared" si="0"/>
        <v>28</v>
      </c>
      <c r="O33" s="1173">
        <v>2</v>
      </c>
      <c r="P33" s="1044">
        <v>2</v>
      </c>
      <c r="Q33" s="1044">
        <v>2</v>
      </c>
      <c r="R33" s="1044">
        <v>2</v>
      </c>
      <c r="S33" s="1044">
        <v>2</v>
      </c>
      <c r="T33" s="1174">
        <v>4</v>
      </c>
      <c r="U33" s="2143">
        <v>5</v>
      </c>
      <c r="V33" s="2143"/>
      <c r="W33" s="1044"/>
      <c r="X33" s="1044">
        <v>3</v>
      </c>
      <c r="Y33" s="1044">
        <v>3</v>
      </c>
      <c r="Z33" s="2144">
        <f t="shared" si="1"/>
        <v>25</v>
      </c>
      <c r="AA33" s="1044">
        <f t="shared" si="2"/>
        <v>27</v>
      </c>
      <c r="AB33" s="2057"/>
      <c r="AC33" s="1175" t="s">
        <v>30</v>
      </c>
      <c r="AD33" s="1044">
        <f t="shared" si="3"/>
        <v>90</v>
      </c>
    </row>
    <row r="34" spans="1:30" ht="40.5" customHeight="1" x14ac:dyDescent="0.4">
      <c r="A34" s="1169">
        <v>26</v>
      </c>
      <c r="B34" s="2140">
        <v>5191421026</v>
      </c>
      <c r="C34" s="1173">
        <v>2</v>
      </c>
      <c r="D34" s="1044">
        <v>1</v>
      </c>
      <c r="E34" s="2141">
        <v>1</v>
      </c>
      <c r="F34" s="2141">
        <v>1</v>
      </c>
      <c r="G34" s="2141">
        <v>2</v>
      </c>
      <c r="H34" s="1169">
        <v>2</v>
      </c>
      <c r="I34" s="1169">
        <v>2</v>
      </c>
      <c r="J34" s="1169"/>
      <c r="K34" s="1169"/>
      <c r="L34" s="1169">
        <v>2</v>
      </c>
      <c r="M34" s="1044"/>
      <c r="N34" s="2142">
        <f t="shared" si="0"/>
        <v>13</v>
      </c>
      <c r="O34" s="1173">
        <v>1</v>
      </c>
      <c r="P34" s="1044"/>
      <c r="Q34" s="1044">
        <v>1</v>
      </c>
      <c r="R34" s="1044"/>
      <c r="S34" s="1044"/>
      <c r="T34" s="1174">
        <v>4</v>
      </c>
      <c r="U34" s="2143"/>
      <c r="V34" s="2143"/>
      <c r="W34" s="1044"/>
      <c r="X34" s="1044">
        <v>5</v>
      </c>
      <c r="Y34" s="1044">
        <v>1</v>
      </c>
      <c r="Z34" s="2144">
        <f t="shared" si="1"/>
        <v>12</v>
      </c>
      <c r="AA34" s="1044">
        <f t="shared" si="2"/>
        <v>13</v>
      </c>
      <c r="AB34" s="2057"/>
      <c r="AC34" s="1175" t="s">
        <v>32</v>
      </c>
      <c r="AD34" s="1044">
        <f t="shared" si="3"/>
        <v>70</v>
      </c>
    </row>
    <row r="35" spans="1:30" ht="40.5" customHeight="1" x14ac:dyDescent="0.4">
      <c r="A35" s="1169">
        <v>27</v>
      </c>
      <c r="B35" s="2140">
        <v>5191421027</v>
      </c>
      <c r="C35" s="1173">
        <v>2</v>
      </c>
      <c r="D35" s="1044"/>
      <c r="E35" s="2141">
        <v>1</v>
      </c>
      <c r="F35" s="2141">
        <v>2</v>
      </c>
      <c r="G35" s="2141">
        <v>2</v>
      </c>
      <c r="H35" s="1169">
        <v>5</v>
      </c>
      <c r="I35" s="1169">
        <v>4</v>
      </c>
      <c r="J35" s="1169">
        <v>5</v>
      </c>
      <c r="K35" s="1169">
        <v>1</v>
      </c>
      <c r="L35" s="1169"/>
      <c r="M35" s="1044"/>
      <c r="N35" s="2142">
        <f t="shared" si="0"/>
        <v>22</v>
      </c>
      <c r="O35" s="1173">
        <v>2</v>
      </c>
      <c r="P35" s="1044">
        <v>1</v>
      </c>
      <c r="Q35" s="1044">
        <v>2</v>
      </c>
      <c r="R35" s="1044">
        <v>2</v>
      </c>
      <c r="S35" s="1044"/>
      <c r="T35" s="1174">
        <v>4</v>
      </c>
      <c r="U35" s="2143">
        <v>1</v>
      </c>
      <c r="V35" s="2143">
        <v>4</v>
      </c>
      <c r="W35" s="1044">
        <v>2</v>
      </c>
      <c r="X35" s="1044"/>
      <c r="Y35" s="1044"/>
      <c r="Z35" s="2144">
        <f t="shared" si="1"/>
        <v>18</v>
      </c>
      <c r="AA35" s="1044">
        <f t="shared" si="2"/>
        <v>20</v>
      </c>
      <c r="AB35" s="2057"/>
      <c r="AC35" s="1175" t="s">
        <v>33</v>
      </c>
      <c r="AD35" s="1044">
        <f t="shared" si="3"/>
        <v>60</v>
      </c>
    </row>
    <row r="36" spans="1:30" ht="40.5" customHeight="1" x14ac:dyDescent="0.4">
      <c r="A36" s="1169">
        <v>28</v>
      </c>
      <c r="B36" s="2140">
        <v>5191421028</v>
      </c>
      <c r="C36" s="1173">
        <v>2</v>
      </c>
      <c r="D36" s="1044">
        <v>2</v>
      </c>
      <c r="E36" s="2141">
        <v>2</v>
      </c>
      <c r="F36" s="2141">
        <v>2</v>
      </c>
      <c r="G36" s="2141"/>
      <c r="H36" s="1169">
        <v>5</v>
      </c>
      <c r="I36" s="1169">
        <v>5</v>
      </c>
      <c r="J36" s="1169"/>
      <c r="K36" s="1169"/>
      <c r="L36" s="1169">
        <v>5</v>
      </c>
      <c r="M36" s="1044">
        <v>3</v>
      </c>
      <c r="N36" s="2142">
        <f t="shared" si="0"/>
        <v>26</v>
      </c>
      <c r="O36" s="1173"/>
      <c r="P36" s="1044">
        <v>1</v>
      </c>
      <c r="Q36" s="1044">
        <v>2</v>
      </c>
      <c r="R36" s="1044">
        <v>2</v>
      </c>
      <c r="S36" s="1044">
        <v>1</v>
      </c>
      <c r="T36" s="1174"/>
      <c r="U36" s="2143"/>
      <c r="V36" s="2143">
        <v>3</v>
      </c>
      <c r="W36" s="1044">
        <v>3</v>
      </c>
      <c r="X36" s="1044">
        <v>5</v>
      </c>
      <c r="Y36" s="1044">
        <v>4</v>
      </c>
      <c r="Z36" s="2144">
        <f t="shared" si="1"/>
        <v>21</v>
      </c>
      <c r="AA36" s="1044">
        <f t="shared" si="2"/>
        <v>24</v>
      </c>
      <c r="AB36" s="2057"/>
      <c r="AC36" s="1177" t="s">
        <v>30</v>
      </c>
      <c r="AD36" s="1044">
        <f t="shared" si="3"/>
        <v>90</v>
      </c>
    </row>
    <row r="37" spans="1:30" ht="40.5" customHeight="1" x14ac:dyDescent="0.4">
      <c r="A37" s="1169">
        <v>29</v>
      </c>
      <c r="B37" s="2140">
        <v>5191421029</v>
      </c>
      <c r="C37" s="1173">
        <v>1</v>
      </c>
      <c r="D37" s="1044">
        <v>2</v>
      </c>
      <c r="E37" s="2141">
        <v>1</v>
      </c>
      <c r="F37" s="2141">
        <v>2</v>
      </c>
      <c r="G37" s="2141"/>
      <c r="H37" s="1169">
        <v>2</v>
      </c>
      <c r="I37" s="1169">
        <v>3</v>
      </c>
      <c r="J37" s="1169"/>
      <c r="K37" s="1169"/>
      <c r="L37" s="1169">
        <v>2</v>
      </c>
      <c r="M37" s="1044"/>
      <c r="N37" s="2142">
        <f t="shared" si="0"/>
        <v>13</v>
      </c>
      <c r="O37" s="1173"/>
      <c r="P37" s="1044"/>
      <c r="Q37" s="1044"/>
      <c r="R37" s="1044"/>
      <c r="S37" s="1044"/>
      <c r="T37" s="1174"/>
      <c r="U37" s="2143"/>
      <c r="V37" s="2143"/>
      <c r="W37" s="1044"/>
      <c r="X37" s="1044"/>
      <c r="Y37" s="1044"/>
      <c r="Z37" s="2144">
        <f t="shared" si="1"/>
        <v>0</v>
      </c>
      <c r="AA37" s="1044">
        <f t="shared" si="2"/>
        <v>7</v>
      </c>
      <c r="AB37" s="2057"/>
      <c r="AC37" s="1175" t="s">
        <v>31</v>
      </c>
      <c r="AD37" s="1044">
        <f t="shared" si="3"/>
        <v>55</v>
      </c>
    </row>
    <row r="38" spans="1:30" ht="40.5" customHeight="1" x14ac:dyDescent="0.4">
      <c r="A38" s="1169">
        <v>30</v>
      </c>
      <c r="B38" s="2140">
        <v>5191421030</v>
      </c>
      <c r="C38" s="1172">
        <v>2</v>
      </c>
      <c r="D38" s="1044"/>
      <c r="E38" s="2141"/>
      <c r="F38" s="2141">
        <v>1</v>
      </c>
      <c r="G38" s="2141"/>
      <c r="H38" s="1169"/>
      <c r="I38" s="1169">
        <v>2</v>
      </c>
      <c r="J38" s="1169"/>
      <c r="K38" s="1169"/>
      <c r="L38" s="2139"/>
      <c r="M38" s="2143"/>
      <c r="N38" s="2142">
        <f t="shared" si="0"/>
        <v>5</v>
      </c>
      <c r="O38" s="1173"/>
      <c r="P38" s="1044"/>
      <c r="Q38" s="1044">
        <v>1</v>
      </c>
      <c r="R38" s="1044"/>
      <c r="S38" s="1044"/>
      <c r="T38" s="1174">
        <v>1</v>
      </c>
      <c r="U38" s="2143"/>
      <c r="V38" s="2143"/>
      <c r="W38" s="1044"/>
      <c r="X38" s="1044"/>
      <c r="Y38" s="1044"/>
      <c r="Z38" s="2144">
        <f t="shared" si="1"/>
        <v>2</v>
      </c>
      <c r="AA38" s="1044">
        <f t="shared" si="2"/>
        <v>4</v>
      </c>
      <c r="AB38" s="2057"/>
      <c r="AC38" s="1175" t="s">
        <v>29</v>
      </c>
      <c r="AD38" s="1044">
        <f t="shared" si="3"/>
        <v>39</v>
      </c>
    </row>
    <row r="39" spans="1:30" ht="40.5" customHeight="1" x14ac:dyDescent="0.4">
      <c r="A39" s="1169">
        <v>31</v>
      </c>
      <c r="B39" s="2140">
        <v>5191421031</v>
      </c>
      <c r="C39" s="1174">
        <v>1</v>
      </c>
      <c r="D39" s="1044">
        <v>2</v>
      </c>
      <c r="E39" s="2141">
        <v>1</v>
      </c>
      <c r="F39" s="2141">
        <v>2</v>
      </c>
      <c r="G39" s="2141"/>
      <c r="H39" s="1169">
        <v>3</v>
      </c>
      <c r="I39" s="1169">
        <v>3</v>
      </c>
      <c r="J39" s="1169"/>
      <c r="K39" s="1169"/>
      <c r="L39" s="2139"/>
      <c r="M39" s="2143">
        <v>3</v>
      </c>
      <c r="N39" s="2142">
        <f t="shared" si="0"/>
        <v>15</v>
      </c>
      <c r="O39" s="1173">
        <v>1</v>
      </c>
      <c r="P39" s="1044"/>
      <c r="Q39" s="1044">
        <v>2</v>
      </c>
      <c r="R39" s="1044"/>
      <c r="S39" s="1044"/>
      <c r="T39" s="1174">
        <v>4</v>
      </c>
      <c r="U39" s="2143"/>
      <c r="V39" s="2143">
        <v>2</v>
      </c>
      <c r="W39" s="1044">
        <v>2</v>
      </c>
      <c r="X39" s="1044"/>
      <c r="Y39" s="1044"/>
      <c r="Z39" s="2144">
        <f t="shared" si="1"/>
        <v>11</v>
      </c>
      <c r="AA39" s="1044">
        <f t="shared" si="2"/>
        <v>13</v>
      </c>
      <c r="AB39" s="2057"/>
      <c r="AC39" s="1175" t="s">
        <v>31</v>
      </c>
      <c r="AD39" s="1044">
        <f t="shared" si="3"/>
        <v>55</v>
      </c>
    </row>
    <row r="40" spans="1:30" ht="40.5" customHeight="1" x14ac:dyDescent="0.4">
      <c r="A40" s="1169">
        <v>32</v>
      </c>
      <c r="B40" s="2140">
        <v>5191421032</v>
      </c>
      <c r="C40" s="1173">
        <v>2</v>
      </c>
      <c r="D40" s="1044">
        <v>1</v>
      </c>
      <c r="E40" s="2141"/>
      <c r="F40" s="2141"/>
      <c r="G40" s="2141">
        <v>2</v>
      </c>
      <c r="H40" s="1169"/>
      <c r="I40" s="1169">
        <v>3</v>
      </c>
      <c r="J40" s="1169">
        <v>2</v>
      </c>
      <c r="K40" s="1169"/>
      <c r="L40" s="2139"/>
      <c r="M40" s="2143"/>
      <c r="N40" s="2142">
        <f t="shared" si="0"/>
        <v>10</v>
      </c>
      <c r="O40" s="1174">
        <v>1</v>
      </c>
      <c r="P40" s="1044"/>
      <c r="Q40" s="1044">
        <v>1</v>
      </c>
      <c r="R40" s="1044"/>
      <c r="S40" s="1044"/>
      <c r="T40" s="1174">
        <v>3</v>
      </c>
      <c r="U40" s="2143">
        <v>1</v>
      </c>
      <c r="V40" s="2143"/>
      <c r="W40" s="1044"/>
      <c r="X40" s="1044"/>
      <c r="Y40" s="1044"/>
      <c r="Z40" s="2144">
        <f t="shared" si="1"/>
        <v>6</v>
      </c>
      <c r="AA40" s="1044">
        <f t="shared" si="2"/>
        <v>8</v>
      </c>
      <c r="AB40" s="2057"/>
      <c r="AC40" s="1175" t="s">
        <v>29</v>
      </c>
      <c r="AD40" s="1044">
        <f t="shared" si="3"/>
        <v>39</v>
      </c>
    </row>
    <row r="41" spans="1:30" ht="40.5" customHeight="1" x14ac:dyDescent="0.4">
      <c r="A41" s="1169">
        <v>33</v>
      </c>
      <c r="B41" s="2140">
        <v>5191421033</v>
      </c>
      <c r="C41" s="1173">
        <v>2</v>
      </c>
      <c r="D41" s="1044">
        <v>2</v>
      </c>
      <c r="E41" s="2141">
        <v>2</v>
      </c>
      <c r="F41" s="2141">
        <v>2</v>
      </c>
      <c r="G41" s="2141">
        <v>2</v>
      </c>
      <c r="H41" s="1169">
        <v>4</v>
      </c>
      <c r="I41" s="1169">
        <v>5</v>
      </c>
      <c r="J41" s="1169">
        <v>5</v>
      </c>
      <c r="K41" s="1169">
        <v>4</v>
      </c>
      <c r="L41" s="2139"/>
      <c r="M41" s="2143"/>
      <c r="N41" s="2142">
        <f t="shared" ref="N41:N66" si="4">SUM(C41:M41)</f>
        <v>28</v>
      </c>
      <c r="O41" s="1173">
        <v>2</v>
      </c>
      <c r="P41" s="1044">
        <v>1</v>
      </c>
      <c r="Q41" s="1044">
        <v>2</v>
      </c>
      <c r="R41" s="1044">
        <v>2</v>
      </c>
      <c r="S41" s="1044">
        <v>2</v>
      </c>
      <c r="T41" s="1174">
        <v>4</v>
      </c>
      <c r="U41" s="2143">
        <v>5</v>
      </c>
      <c r="V41" s="2143">
        <v>4</v>
      </c>
      <c r="W41" s="1044">
        <v>4</v>
      </c>
      <c r="X41" s="1044"/>
      <c r="Y41" s="1044"/>
      <c r="Z41" s="2144">
        <f t="shared" ref="Z41:Z66" si="5">SUM(O41:Y41)</f>
        <v>26</v>
      </c>
      <c r="AA41" s="1044">
        <f t="shared" si="2"/>
        <v>27</v>
      </c>
      <c r="AB41" s="2057"/>
      <c r="AC41" s="1175" t="s">
        <v>32</v>
      </c>
      <c r="AD41" s="1044">
        <f t="shared" si="3"/>
        <v>70</v>
      </c>
    </row>
    <row r="42" spans="1:30" ht="40.5" customHeight="1" x14ac:dyDescent="0.4">
      <c r="A42" s="1169">
        <v>34</v>
      </c>
      <c r="B42" s="2140">
        <v>5191421034</v>
      </c>
      <c r="C42" s="1173">
        <v>2</v>
      </c>
      <c r="D42" s="1044">
        <v>2</v>
      </c>
      <c r="E42" s="2141">
        <v>2</v>
      </c>
      <c r="F42" s="2141">
        <v>2</v>
      </c>
      <c r="G42" s="2141">
        <v>2</v>
      </c>
      <c r="H42" s="1169">
        <v>5</v>
      </c>
      <c r="I42" s="1169">
        <v>4</v>
      </c>
      <c r="J42" s="1169">
        <v>5</v>
      </c>
      <c r="K42" s="1169">
        <v>5</v>
      </c>
      <c r="L42" s="1169"/>
      <c r="M42" s="1044"/>
      <c r="N42" s="2142">
        <f t="shared" si="4"/>
        <v>29</v>
      </c>
      <c r="O42" s="1174">
        <v>2</v>
      </c>
      <c r="P42" s="1044">
        <v>2</v>
      </c>
      <c r="Q42" s="1044">
        <v>2</v>
      </c>
      <c r="R42" s="1044">
        <v>2</v>
      </c>
      <c r="S42" s="1044">
        <v>1</v>
      </c>
      <c r="T42" s="1174">
        <v>3</v>
      </c>
      <c r="U42" s="2143">
        <v>4</v>
      </c>
      <c r="V42" s="2143">
        <v>4</v>
      </c>
      <c r="W42" s="1044">
        <v>3</v>
      </c>
      <c r="X42" s="1044"/>
      <c r="Y42" s="1044"/>
      <c r="Z42" s="2144">
        <f t="shared" si="5"/>
        <v>23</v>
      </c>
      <c r="AA42" s="1044">
        <f t="shared" si="2"/>
        <v>26</v>
      </c>
      <c r="AB42" s="2057"/>
      <c r="AC42" s="1175" t="s">
        <v>30</v>
      </c>
      <c r="AD42" s="1044">
        <f t="shared" si="3"/>
        <v>90</v>
      </c>
    </row>
    <row r="43" spans="1:30" ht="40.5" customHeight="1" x14ac:dyDescent="0.4">
      <c r="A43" s="1169">
        <v>35</v>
      </c>
      <c r="B43" s="2140">
        <v>5191421035</v>
      </c>
      <c r="C43" s="2060">
        <v>2</v>
      </c>
      <c r="D43" s="2060">
        <v>1</v>
      </c>
      <c r="E43" s="2140"/>
      <c r="F43" s="2140"/>
      <c r="G43" s="2140"/>
      <c r="H43" s="1169">
        <v>3</v>
      </c>
      <c r="I43" s="1169">
        <v>2</v>
      </c>
      <c r="J43" s="1169">
        <v>2</v>
      </c>
      <c r="K43" s="1169"/>
      <c r="L43" s="1169"/>
      <c r="M43" s="2060"/>
      <c r="N43" s="2142">
        <f t="shared" si="4"/>
        <v>10</v>
      </c>
      <c r="O43" s="2144">
        <v>1</v>
      </c>
      <c r="P43" s="1044"/>
      <c r="Q43" s="1044"/>
      <c r="R43" s="1044"/>
      <c r="S43" s="1044"/>
      <c r="T43" s="1174"/>
      <c r="U43" s="2143"/>
      <c r="V43" s="2143">
        <v>1</v>
      </c>
      <c r="W43" s="1044">
        <v>1</v>
      </c>
      <c r="X43" s="1044"/>
      <c r="Y43" s="1044"/>
      <c r="Z43" s="2144">
        <f t="shared" si="5"/>
        <v>3</v>
      </c>
      <c r="AA43" s="1044">
        <f t="shared" si="2"/>
        <v>7</v>
      </c>
      <c r="AB43" s="2057"/>
      <c r="AC43" s="1175" t="s">
        <v>29</v>
      </c>
      <c r="AD43" s="1044">
        <f t="shared" si="3"/>
        <v>39</v>
      </c>
    </row>
    <row r="44" spans="1:30" ht="40.5" customHeight="1" x14ac:dyDescent="0.4">
      <c r="A44" s="1169">
        <v>36</v>
      </c>
      <c r="B44" s="2140">
        <v>5191421036</v>
      </c>
      <c r="C44" s="1173">
        <v>2</v>
      </c>
      <c r="D44" s="1044">
        <v>2</v>
      </c>
      <c r="E44" s="2141">
        <v>2</v>
      </c>
      <c r="F44" s="2141">
        <v>1</v>
      </c>
      <c r="G44" s="2141">
        <v>2</v>
      </c>
      <c r="H44" s="1169">
        <v>4</v>
      </c>
      <c r="I44" s="1169">
        <v>5</v>
      </c>
      <c r="J44" s="1169"/>
      <c r="K44" s="1169"/>
      <c r="L44" s="1169">
        <v>5</v>
      </c>
      <c r="M44" s="1044">
        <v>3</v>
      </c>
      <c r="N44" s="2142">
        <f t="shared" si="4"/>
        <v>26</v>
      </c>
      <c r="O44" s="1173">
        <v>2</v>
      </c>
      <c r="P44" s="1044"/>
      <c r="Q44" s="1044">
        <v>2</v>
      </c>
      <c r="R44" s="1044"/>
      <c r="S44" s="1044"/>
      <c r="T44" s="1174">
        <v>5</v>
      </c>
      <c r="U44" s="2143"/>
      <c r="V44" s="2143">
        <v>2</v>
      </c>
      <c r="W44" s="1044">
        <v>3</v>
      </c>
      <c r="X44" s="1044"/>
      <c r="Y44" s="1044"/>
      <c r="Z44" s="2144">
        <f t="shared" si="5"/>
        <v>14</v>
      </c>
      <c r="AA44" s="1044">
        <f t="shared" si="2"/>
        <v>20</v>
      </c>
      <c r="AB44" s="2057"/>
      <c r="AC44" s="1175" t="s">
        <v>27</v>
      </c>
      <c r="AD44" s="1044">
        <f t="shared" si="3"/>
        <v>80</v>
      </c>
    </row>
    <row r="45" spans="1:30" ht="40.5" customHeight="1" x14ac:dyDescent="0.4">
      <c r="A45" s="1169">
        <v>37</v>
      </c>
      <c r="B45" s="2140">
        <v>5191421037</v>
      </c>
      <c r="C45" s="1173"/>
      <c r="D45" s="1044"/>
      <c r="E45" s="2141"/>
      <c r="F45" s="2141"/>
      <c r="G45" s="2141"/>
      <c r="H45" s="1169"/>
      <c r="I45" s="1169"/>
      <c r="J45" s="1169"/>
      <c r="K45" s="1169"/>
      <c r="L45" s="1169"/>
      <c r="M45" s="1044"/>
      <c r="N45" s="2142">
        <f t="shared" si="4"/>
        <v>0</v>
      </c>
      <c r="O45" s="1173">
        <v>1</v>
      </c>
      <c r="P45" s="1044">
        <v>1</v>
      </c>
      <c r="Q45" s="1044">
        <v>2</v>
      </c>
      <c r="R45" s="1044"/>
      <c r="S45" s="1044"/>
      <c r="T45" s="1174"/>
      <c r="U45" s="2143"/>
      <c r="V45" s="2143">
        <v>1</v>
      </c>
      <c r="W45" s="1044">
        <v>1</v>
      </c>
      <c r="X45" s="1044">
        <v>2</v>
      </c>
      <c r="Y45" s="1044">
        <v>1</v>
      </c>
      <c r="Z45" s="2144">
        <f t="shared" si="5"/>
        <v>9</v>
      </c>
      <c r="AA45" s="1044">
        <f t="shared" si="2"/>
        <v>5</v>
      </c>
      <c r="AB45" s="2057"/>
      <c r="AC45" s="1175" t="s">
        <v>29</v>
      </c>
      <c r="AD45" s="1044">
        <f t="shared" si="3"/>
        <v>39</v>
      </c>
    </row>
    <row r="46" spans="1:30" ht="40.5" customHeight="1" x14ac:dyDescent="0.4">
      <c r="A46" s="1169">
        <v>38</v>
      </c>
      <c r="B46" s="2140">
        <v>5191421038</v>
      </c>
      <c r="C46" s="1173">
        <v>1</v>
      </c>
      <c r="D46" s="1044">
        <v>1</v>
      </c>
      <c r="E46" s="2141"/>
      <c r="F46" s="2141">
        <v>1</v>
      </c>
      <c r="G46" s="2141"/>
      <c r="H46" s="1169">
        <v>2</v>
      </c>
      <c r="I46" s="1169"/>
      <c r="J46" s="1169"/>
      <c r="K46" s="1169"/>
      <c r="L46" s="1169"/>
      <c r="M46" s="1044"/>
      <c r="N46" s="2142">
        <f t="shared" si="4"/>
        <v>5</v>
      </c>
      <c r="O46" s="1173">
        <v>1</v>
      </c>
      <c r="P46" s="1044"/>
      <c r="Q46" s="1044">
        <v>2</v>
      </c>
      <c r="R46" s="1044"/>
      <c r="S46" s="1044"/>
      <c r="T46" s="1174"/>
      <c r="U46" s="2143"/>
      <c r="V46" s="2143">
        <v>3</v>
      </c>
      <c r="W46" s="1044">
        <v>1</v>
      </c>
      <c r="X46" s="1044"/>
      <c r="Y46" s="1044"/>
      <c r="Z46" s="2144">
        <f t="shared" si="5"/>
        <v>7</v>
      </c>
      <c r="AA46" s="1044">
        <f t="shared" si="2"/>
        <v>6</v>
      </c>
      <c r="AB46" s="2057"/>
      <c r="AC46" s="1175" t="s">
        <v>28</v>
      </c>
      <c r="AD46" s="1044">
        <f t="shared" si="3"/>
        <v>50</v>
      </c>
    </row>
    <row r="47" spans="1:30" ht="40.5" customHeight="1" x14ac:dyDescent="0.4">
      <c r="A47" s="1169">
        <v>39</v>
      </c>
      <c r="B47" s="2140">
        <v>5191421039</v>
      </c>
      <c r="C47" s="1173">
        <v>2</v>
      </c>
      <c r="D47" s="1044">
        <v>1</v>
      </c>
      <c r="E47" s="2141">
        <v>1</v>
      </c>
      <c r="F47" s="2141">
        <v>1</v>
      </c>
      <c r="G47" s="2141">
        <v>2</v>
      </c>
      <c r="H47" s="1169">
        <v>5</v>
      </c>
      <c r="I47" s="1169">
        <v>4</v>
      </c>
      <c r="J47" s="1169"/>
      <c r="K47" s="1169">
        <v>4</v>
      </c>
      <c r="L47" s="1169"/>
      <c r="M47" s="1044"/>
      <c r="N47" s="2142">
        <f t="shared" si="4"/>
        <v>20</v>
      </c>
      <c r="O47" s="1173">
        <v>2</v>
      </c>
      <c r="P47" s="1044">
        <v>1</v>
      </c>
      <c r="Q47" s="1044">
        <v>2</v>
      </c>
      <c r="R47" s="1044"/>
      <c r="S47" s="1044">
        <v>1</v>
      </c>
      <c r="T47" s="1174">
        <v>4</v>
      </c>
      <c r="U47" s="2143"/>
      <c r="V47" s="2143">
        <v>5</v>
      </c>
      <c r="W47" s="1044">
        <v>5</v>
      </c>
      <c r="X47" s="1044"/>
      <c r="Y47" s="1044"/>
      <c r="Z47" s="2144">
        <f t="shared" si="5"/>
        <v>20</v>
      </c>
      <c r="AA47" s="1044">
        <f t="shared" si="2"/>
        <v>20</v>
      </c>
      <c r="AB47" s="2057"/>
      <c r="AC47" s="1175" t="s">
        <v>32</v>
      </c>
      <c r="AD47" s="1044">
        <f t="shared" si="3"/>
        <v>70</v>
      </c>
    </row>
    <row r="48" spans="1:30" ht="40.5" customHeight="1" x14ac:dyDescent="0.4">
      <c r="A48" s="1169">
        <v>40</v>
      </c>
      <c r="B48" s="2140">
        <v>5191421040</v>
      </c>
      <c r="C48" s="1172">
        <v>2</v>
      </c>
      <c r="D48" s="1044">
        <v>2</v>
      </c>
      <c r="E48" s="2141">
        <v>1</v>
      </c>
      <c r="F48" s="2141">
        <v>1</v>
      </c>
      <c r="G48" s="2141">
        <v>1</v>
      </c>
      <c r="H48" s="1169">
        <v>4</v>
      </c>
      <c r="I48" s="1169">
        <v>3</v>
      </c>
      <c r="J48" s="1169">
        <v>3</v>
      </c>
      <c r="K48" s="1169"/>
      <c r="L48" s="1169"/>
      <c r="M48" s="1044"/>
      <c r="N48" s="2142">
        <f t="shared" si="4"/>
        <v>17</v>
      </c>
      <c r="O48" s="1173">
        <v>1</v>
      </c>
      <c r="P48" s="1044"/>
      <c r="Q48" s="1044">
        <v>2</v>
      </c>
      <c r="R48" s="1044">
        <v>1</v>
      </c>
      <c r="S48" s="1044"/>
      <c r="T48" s="1174"/>
      <c r="U48" s="2143"/>
      <c r="V48" s="2143">
        <v>4</v>
      </c>
      <c r="W48" s="1044">
        <v>2</v>
      </c>
      <c r="X48" s="1044"/>
      <c r="Y48" s="1044"/>
      <c r="Z48" s="2144">
        <f t="shared" si="5"/>
        <v>10</v>
      </c>
      <c r="AA48" s="1044">
        <f t="shared" si="2"/>
        <v>14</v>
      </c>
      <c r="AB48" s="2057"/>
      <c r="AC48" s="1175" t="s">
        <v>33</v>
      </c>
      <c r="AD48" s="1044">
        <f t="shared" si="3"/>
        <v>60</v>
      </c>
    </row>
    <row r="49" spans="1:30" ht="40.5" customHeight="1" x14ac:dyDescent="0.4">
      <c r="A49" s="1169">
        <v>41</v>
      </c>
      <c r="B49" s="2140">
        <v>5191421041</v>
      </c>
      <c r="C49" s="1173">
        <v>2</v>
      </c>
      <c r="D49" s="1044">
        <v>2</v>
      </c>
      <c r="E49" s="2141">
        <v>1</v>
      </c>
      <c r="F49" s="2141">
        <v>2</v>
      </c>
      <c r="G49" s="2141"/>
      <c r="H49" s="1169">
        <v>5</v>
      </c>
      <c r="I49" s="1169">
        <v>3</v>
      </c>
      <c r="J49" s="1169">
        <v>2</v>
      </c>
      <c r="K49" s="1169"/>
      <c r="L49" s="1169"/>
      <c r="M49" s="1044"/>
      <c r="N49" s="2142">
        <f t="shared" si="4"/>
        <v>17</v>
      </c>
      <c r="O49" s="1173">
        <v>1</v>
      </c>
      <c r="P49" s="1044"/>
      <c r="Q49" s="1044">
        <v>2</v>
      </c>
      <c r="R49" s="1044"/>
      <c r="S49" s="1044"/>
      <c r="T49" s="1174"/>
      <c r="U49" s="2143"/>
      <c r="V49" s="2143">
        <v>2</v>
      </c>
      <c r="W49" s="1044">
        <v>2</v>
      </c>
      <c r="X49" s="1044">
        <v>5</v>
      </c>
      <c r="Y49" s="1044">
        <v>1</v>
      </c>
      <c r="Z49" s="2144">
        <f t="shared" si="5"/>
        <v>13</v>
      </c>
      <c r="AA49" s="1044">
        <f t="shared" si="2"/>
        <v>15</v>
      </c>
      <c r="AB49" s="2057"/>
      <c r="AC49" s="1175" t="s">
        <v>29</v>
      </c>
      <c r="AD49" s="1044">
        <f t="shared" si="3"/>
        <v>39</v>
      </c>
    </row>
    <row r="50" spans="1:30" ht="40.5" customHeight="1" x14ac:dyDescent="0.4">
      <c r="A50" s="1169">
        <v>42</v>
      </c>
      <c r="B50" s="2140">
        <v>5191421042</v>
      </c>
      <c r="C50" s="1173"/>
      <c r="D50" s="1044"/>
      <c r="E50" s="2141"/>
      <c r="F50" s="2141"/>
      <c r="G50" s="2141"/>
      <c r="H50" s="1169"/>
      <c r="I50" s="1169"/>
      <c r="J50" s="1169"/>
      <c r="K50" s="1169"/>
      <c r="L50" s="1169"/>
      <c r="M50" s="1044"/>
      <c r="N50" s="2142">
        <f t="shared" si="4"/>
        <v>0</v>
      </c>
      <c r="O50" s="1173"/>
      <c r="P50" s="1044"/>
      <c r="Q50" s="1044">
        <v>1</v>
      </c>
      <c r="R50" s="1044"/>
      <c r="S50" s="1044">
        <v>1</v>
      </c>
      <c r="T50" s="1174"/>
      <c r="U50" s="2143"/>
      <c r="V50" s="2143">
        <v>2</v>
      </c>
      <c r="W50" s="1044">
        <v>1</v>
      </c>
      <c r="X50" s="1044"/>
      <c r="Y50" s="1044"/>
      <c r="Z50" s="2144">
        <f t="shared" si="5"/>
        <v>5</v>
      </c>
      <c r="AA50" s="1044">
        <f t="shared" si="2"/>
        <v>3</v>
      </c>
      <c r="AB50" s="2057"/>
      <c r="AC50" s="1175" t="s">
        <v>29</v>
      </c>
      <c r="AD50" s="1044">
        <f t="shared" si="3"/>
        <v>39</v>
      </c>
    </row>
    <row r="51" spans="1:30" ht="40.5" customHeight="1" x14ac:dyDescent="0.4">
      <c r="A51" s="1169">
        <v>43</v>
      </c>
      <c r="B51" s="2140">
        <v>5191421043</v>
      </c>
      <c r="C51" s="1173">
        <v>2</v>
      </c>
      <c r="D51" s="1044">
        <v>2</v>
      </c>
      <c r="E51" s="2141">
        <v>2</v>
      </c>
      <c r="F51" s="2141">
        <v>2</v>
      </c>
      <c r="G51" s="2141">
        <v>1</v>
      </c>
      <c r="H51" s="1169">
        <v>5</v>
      </c>
      <c r="I51" s="1169">
        <v>5</v>
      </c>
      <c r="J51" s="1169"/>
      <c r="K51" s="1169"/>
      <c r="L51" s="1169">
        <v>2</v>
      </c>
      <c r="M51" s="1044"/>
      <c r="N51" s="2142">
        <f t="shared" si="4"/>
        <v>21</v>
      </c>
      <c r="O51" s="1173">
        <v>1</v>
      </c>
      <c r="P51" s="1044">
        <v>1</v>
      </c>
      <c r="Q51" s="1044">
        <v>2</v>
      </c>
      <c r="R51" s="1044">
        <v>2</v>
      </c>
      <c r="S51" s="1044"/>
      <c r="T51" s="1174">
        <v>2</v>
      </c>
      <c r="U51" s="2143"/>
      <c r="V51" s="2143">
        <v>4</v>
      </c>
      <c r="W51" s="1044"/>
      <c r="X51" s="1044"/>
      <c r="Y51" s="1044"/>
      <c r="Z51" s="2144">
        <f t="shared" si="5"/>
        <v>12</v>
      </c>
      <c r="AA51" s="1044">
        <f t="shared" si="2"/>
        <v>17</v>
      </c>
      <c r="AB51" s="2057"/>
      <c r="AC51" s="1175" t="s">
        <v>32</v>
      </c>
      <c r="AD51" s="1044">
        <f t="shared" si="3"/>
        <v>70</v>
      </c>
    </row>
    <row r="52" spans="1:30" ht="40.5" customHeight="1" x14ac:dyDescent="0.4">
      <c r="A52" s="1169">
        <v>44</v>
      </c>
      <c r="B52" s="2140">
        <v>5191421044</v>
      </c>
      <c r="C52" s="1173">
        <v>2</v>
      </c>
      <c r="D52" s="1044">
        <v>2</v>
      </c>
      <c r="E52" s="2141">
        <v>1</v>
      </c>
      <c r="F52" s="2141">
        <v>1</v>
      </c>
      <c r="G52" s="2141">
        <v>2</v>
      </c>
      <c r="H52" s="1169">
        <v>4</v>
      </c>
      <c r="I52" s="1169">
        <v>4</v>
      </c>
      <c r="J52" s="1169"/>
      <c r="K52" s="1169"/>
      <c r="L52" s="1169">
        <v>4</v>
      </c>
      <c r="M52" s="1044">
        <v>5</v>
      </c>
      <c r="N52" s="2142">
        <f t="shared" si="4"/>
        <v>25</v>
      </c>
      <c r="O52" s="1173">
        <v>2</v>
      </c>
      <c r="P52" s="1044">
        <v>1</v>
      </c>
      <c r="Q52" s="1044">
        <v>2</v>
      </c>
      <c r="R52" s="1044"/>
      <c r="S52" s="1044"/>
      <c r="T52" s="1174">
        <v>4</v>
      </c>
      <c r="U52" s="2143">
        <v>3</v>
      </c>
      <c r="V52" s="2143">
        <v>1</v>
      </c>
      <c r="W52" s="1044"/>
      <c r="X52" s="1044"/>
      <c r="Y52" s="1044"/>
      <c r="Z52" s="2144">
        <f t="shared" si="5"/>
        <v>13</v>
      </c>
      <c r="AA52" s="1044">
        <f t="shared" si="2"/>
        <v>19</v>
      </c>
      <c r="AB52" s="2057"/>
      <c r="AC52" s="1175" t="s">
        <v>27</v>
      </c>
      <c r="AD52" s="1044">
        <f t="shared" si="3"/>
        <v>80</v>
      </c>
    </row>
    <row r="53" spans="1:30" ht="40.5" customHeight="1" x14ac:dyDescent="0.4">
      <c r="A53" s="1169">
        <v>45</v>
      </c>
      <c r="B53" s="2140">
        <v>5191421045</v>
      </c>
      <c r="C53" s="1172">
        <v>2</v>
      </c>
      <c r="D53" s="1044">
        <v>1</v>
      </c>
      <c r="E53" s="2141"/>
      <c r="F53" s="2141"/>
      <c r="G53" s="2141">
        <v>2</v>
      </c>
      <c r="H53" s="1169">
        <v>2</v>
      </c>
      <c r="I53" s="1169">
        <v>2</v>
      </c>
      <c r="J53" s="1169">
        <v>1</v>
      </c>
      <c r="K53" s="1169"/>
      <c r="L53" s="1169"/>
      <c r="M53" s="1044"/>
      <c r="N53" s="2142">
        <f t="shared" si="4"/>
        <v>10</v>
      </c>
      <c r="O53" s="1173">
        <v>1</v>
      </c>
      <c r="P53" s="1044"/>
      <c r="Q53" s="1044">
        <v>1</v>
      </c>
      <c r="R53" s="1044"/>
      <c r="S53" s="1044"/>
      <c r="T53" s="1174">
        <v>3</v>
      </c>
      <c r="U53" s="2143"/>
      <c r="V53" s="2143">
        <v>3</v>
      </c>
      <c r="W53" s="1044">
        <v>1</v>
      </c>
      <c r="X53" s="1044"/>
      <c r="Y53" s="1044"/>
      <c r="Z53" s="2144">
        <f t="shared" si="5"/>
        <v>9</v>
      </c>
      <c r="AA53" s="1044">
        <f t="shared" si="2"/>
        <v>10</v>
      </c>
      <c r="AB53" s="2057"/>
      <c r="AC53" s="1175" t="s">
        <v>28</v>
      </c>
      <c r="AD53" s="1044">
        <f t="shared" si="3"/>
        <v>50</v>
      </c>
    </row>
    <row r="54" spans="1:30" ht="40.5" customHeight="1" x14ac:dyDescent="0.4">
      <c r="A54" s="1169">
        <v>46</v>
      </c>
      <c r="B54" s="2140">
        <v>5191421046</v>
      </c>
      <c r="C54" s="1173">
        <v>2</v>
      </c>
      <c r="D54" s="1044">
        <v>2</v>
      </c>
      <c r="E54" s="2141"/>
      <c r="F54" s="2141"/>
      <c r="G54" s="2141"/>
      <c r="H54" s="1169">
        <v>5</v>
      </c>
      <c r="I54" s="1169">
        <v>3</v>
      </c>
      <c r="J54" s="1169"/>
      <c r="K54" s="1169"/>
      <c r="L54" s="1169">
        <v>4</v>
      </c>
      <c r="M54" s="1044">
        <v>4</v>
      </c>
      <c r="N54" s="2142">
        <f t="shared" si="4"/>
        <v>20</v>
      </c>
      <c r="O54" s="1173">
        <v>2</v>
      </c>
      <c r="P54" s="1044">
        <v>1</v>
      </c>
      <c r="Q54" s="1044">
        <v>2</v>
      </c>
      <c r="R54" s="1044"/>
      <c r="S54" s="1044">
        <v>2</v>
      </c>
      <c r="T54" s="1174">
        <v>3</v>
      </c>
      <c r="U54" s="2143">
        <v>3</v>
      </c>
      <c r="V54" s="2143"/>
      <c r="W54" s="1044"/>
      <c r="X54" s="1044"/>
      <c r="Y54" s="1044"/>
      <c r="Z54" s="2144">
        <f t="shared" si="5"/>
        <v>13</v>
      </c>
      <c r="AA54" s="1044">
        <f t="shared" si="2"/>
        <v>17</v>
      </c>
      <c r="AB54" s="2057"/>
      <c r="AC54" s="1175" t="s">
        <v>32</v>
      </c>
      <c r="AD54" s="1044">
        <f t="shared" si="3"/>
        <v>70</v>
      </c>
    </row>
    <row r="55" spans="1:30" ht="40.5" customHeight="1" x14ac:dyDescent="0.4">
      <c r="A55" s="1169">
        <v>47</v>
      </c>
      <c r="B55" s="2140">
        <v>5191421047</v>
      </c>
      <c r="C55" s="1173">
        <v>1</v>
      </c>
      <c r="D55" s="1044">
        <v>1</v>
      </c>
      <c r="E55" s="2141"/>
      <c r="F55" s="2141"/>
      <c r="G55" s="2141"/>
      <c r="H55" s="1169"/>
      <c r="I55" s="1169">
        <v>2</v>
      </c>
      <c r="J55" s="1169"/>
      <c r="K55" s="1169"/>
      <c r="L55" s="1169"/>
      <c r="M55" s="1044"/>
      <c r="N55" s="2142">
        <f t="shared" si="4"/>
        <v>4</v>
      </c>
      <c r="O55" s="1173">
        <v>1</v>
      </c>
      <c r="P55" s="1044"/>
      <c r="Q55" s="1044">
        <v>1</v>
      </c>
      <c r="R55" s="1044"/>
      <c r="S55" s="1044"/>
      <c r="T55" s="1174"/>
      <c r="U55" s="2143"/>
      <c r="V55" s="2143">
        <v>1</v>
      </c>
      <c r="W55" s="1044">
        <v>1</v>
      </c>
      <c r="X55" s="1044"/>
      <c r="Y55" s="1044"/>
      <c r="Z55" s="2144">
        <f t="shared" si="5"/>
        <v>4</v>
      </c>
      <c r="AA55" s="1044">
        <f t="shared" si="2"/>
        <v>4</v>
      </c>
      <c r="AB55" s="2057"/>
      <c r="AC55" s="1175" t="s">
        <v>29</v>
      </c>
      <c r="AD55" s="1044">
        <f t="shared" si="3"/>
        <v>39</v>
      </c>
    </row>
    <row r="56" spans="1:30" ht="40.5" customHeight="1" x14ac:dyDescent="0.4">
      <c r="A56" s="1169">
        <v>48</v>
      </c>
      <c r="B56" s="2140">
        <v>5191421048</v>
      </c>
      <c r="C56" s="1173">
        <v>2</v>
      </c>
      <c r="D56" s="1044"/>
      <c r="E56" s="2141"/>
      <c r="F56" s="2141"/>
      <c r="G56" s="2141"/>
      <c r="H56" s="1169">
        <v>3</v>
      </c>
      <c r="I56" s="1169">
        <v>2</v>
      </c>
      <c r="J56" s="1169"/>
      <c r="K56" s="1169"/>
      <c r="L56" s="1169">
        <v>2</v>
      </c>
      <c r="M56" s="1044">
        <v>2</v>
      </c>
      <c r="N56" s="2142">
        <f t="shared" si="4"/>
        <v>11</v>
      </c>
      <c r="O56" s="1173">
        <v>2</v>
      </c>
      <c r="P56" s="1044">
        <v>1</v>
      </c>
      <c r="Q56" s="1044"/>
      <c r="R56" s="1044"/>
      <c r="S56" s="1044"/>
      <c r="T56" s="1174"/>
      <c r="U56" s="2143">
        <v>3</v>
      </c>
      <c r="V56" s="2143"/>
      <c r="W56" s="1044"/>
      <c r="X56" s="1044">
        <v>1</v>
      </c>
      <c r="Y56" s="1044"/>
      <c r="Z56" s="2144">
        <f t="shared" si="5"/>
        <v>7</v>
      </c>
      <c r="AA56" s="1044">
        <f t="shared" si="2"/>
        <v>9</v>
      </c>
      <c r="AB56" s="2057"/>
      <c r="AC56" s="1175" t="s">
        <v>29</v>
      </c>
      <c r="AD56" s="1044">
        <f t="shared" si="3"/>
        <v>39</v>
      </c>
    </row>
    <row r="57" spans="1:30" ht="40.5" customHeight="1" x14ac:dyDescent="0.4">
      <c r="A57" s="1169">
        <v>49</v>
      </c>
      <c r="B57" s="2140">
        <v>5191421049</v>
      </c>
      <c r="C57" s="1173"/>
      <c r="D57" s="1044"/>
      <c r="E57" s="2141"/>
      <c r="F57" s="2141"/>
      <c r="G57" s="2141"/>
      <c r="H57" s="1169"/>
      <c r="I57" s="1169"/>
      <c r="J57" s="1169"/>
      <c r="K57" s="1169"/>
      <c r="L57" s="1169"/>
      <c r="M57" s="1044"/>
      <c r="N57" s="2142">
        <f t="shared" si="4"/>
        <v>0</v>
      </c>
      <c r="O57" s="1173">
        <v>1</v>
      </c>
      <c r="P57" s="1044">
        <v>1</v>
      </c>
      <c r="Q57" s="1044">
        <v>1</v>
      </c>
      <c r="R57" s="1044"/>
      <c r="S57" s="1044">
        <v>1</v>
      </c>
      <c r="T57" s="1174"/>
      <c r="U57" s="2143"/>
      <c r="V57" s="2143">
        <v>3</v>
      </c>
      <c r="W57" s="1044">
        <v>1</v>
      </c>
      <c r="X57" s="1044">
        <v>4</v>
      </c>
      <c r="Y57" s="1044"/>
      <c r="Z57" s="2144">
        <f t="shared" si="5"/>
        <v>12</v>
      </c>
      <c r="AA57" s="1044">
        <f t="shared" si="2"/>
        <v>6</v>
      </c>
      <c r="AB57" s="2057"/>
      <c r="AC57" s="1175" t="s">
        <v>31</v>
      </c>
      <c r="AD57" s="1044">
        <f t="shared" si="3"/>
        <v>55</v>
      </c>
    </row>
    <row r="58" spans="1:30" ht="40.5" customHeight="1" x14ac:dyDescent="0.4">
      <c r="A58" s="1169">
        <v>50</v>
      </c>
      <c r="B58" s="2140">
        <v>5191421050</v>
      </c>
      <c r="C58" s="1173">
        <v>2</v>
      </c>
      <c r="D58" s="1044">
        <v>1</v>
      </c>
      <c r="E58" s="2141">
        <v>1</v>
      </c>
      <c r="F58" s="2141"/>
      <c r="G58" s="2141"/>
      <c r="H58" s="1169">
        <v>1</v>
      </c>
      <c r="I58" s="1169">
        <v>1</v>
      </c>
      <c r="J58" s="1169">
        <v>3</v>
      </c>
      <c r="K58" s="1169"/>
      <c r="L58" s="1169"/>
      <c r="M58" s="1044"/>
      <c r="N58" s="2142">
        <f t="shared" si="4"/>
        <v>9</v>
      </c>
      <c r="O58" s="1173">
        <v>1</v>
      </c>
      <c r="P58" s="1044">
        <v>1</v>
      </c>
      <c r="Q58" s="1044">
        <v>2</v>
      </c>
      <c r="R58" s="1044"/>
      <c r="S58" s="1044"/>
      <c r="T58" s="1174">
        <v>3</v>
      </c>
      <c r="U58" s="2143"/>
      <c r="V58" s="2143"/>
      <c r="W58" s="1044"/>
      <c r="X58" s="1044">
        <v>3</v>
      </c>
      <c r="Y58" s="1044"/>
      <c r="Z58" s="2144">
        <f t="shared" si="5"/>
        <v>10</v>
      </c>
      <c r="AA58" s="1044">
        <f t="shared" si="2"/>
        <v>10</v>
      </c>
      <c r="AB58" s="2057"/>
      <c r="AC58" s="1175" t="s">
        <v>28</v>
      </c>
      <c r="AD58" s="1044">
        <f t="shared" si="3"/>
        <v>50</v>
      </c>
    </row>
    <row r="59" spans="1:30" ht="40.5" customHeight="1" x14ac:dyDescent="0.4">
      <c r="A59" s="1169">
        <v>51</v>
      </c>
      <c r="B59" s="2140">
        <v>5191421051</v>
      </c>
      <c r="C59" s="2147"/>
      <c r="D59" s="2148"/>
      <c r="E59" s="2149"/>
      <c r="F59" s="2149"/>
      <c r="G59" s="2149"/>
      <c r="H59" s="1169"/>
      <c r="I59" s="1169"/>
      <c r="J59" s="1169"/>
      <c r="K59" s="1169"/>
      <c r="L59" s="1169"/>
      <c r="M59" s="1044"/>
      <c r="N59" s="2142">
        <f t="shared" si="4"/>
        <v>0</v>
      </c>
      <c r="O59" s="2147">
        <v>1</v>
      </c>
      <c r="P59" s="2148">
        <v>1</v>
      </c>
      <c r="Q59" s="2148">
        <v>2</v>
      </c>
      <c r="R59" s="2148">
        <v>2</v>
      </c>
      <c r="S59" s="2148">
        <v>2</v>
      </c>
      <c r="T59" s="2150">
        <v>3</v>
      </c>
      <c r="U59" s="2151">
        <v>3</v>
      </c>
      <c r="V59" s="2151">
        <v>2</v>
      </c>
      <c r="W59" s="2148">
        <v>4</v>
      </c>
      <c r="X59" s="2148"/>
      <c r="Y59" s="2148"/>
      <c r="Z59" s="2144">
        <f t="shared" si="5"/>
        <v>20</v>
      </c>
      <c r="AA59" s="1044">
        <f t="shared" si="2"/>
        <v>10</v>
      </c>
      <c r="AB59" s="2057"/>
      <c r="AC59" s="1175" t="s">
        <v>32</v>
      </c>
      <c r="AD59" s="1044">
        <f t="shared" si="3"/>
        <v>70</v>
      </c>
    </row>
    <row r="60" spans="1:30" ht="40.5" customHeight="1" x14ac:dyDescent="0.4">
      <c r="A60" s="1169">
        <v>52</v>
      </c>
      <c r="B60" s="2140">
        <v>5191421052</v>
      </c>
      <c r="C60" s="2147">
        <v>2</v>
      </c>
      <c r="D60" s="2148">
        <v>2</v>
      </c>
      <c r="E60" s="2149">
        <v>1</v>
      </c>
      <c r="F60" s="2149">
        <v>2</v>
      </c>
      <c r="G60" s="2149">
        <v>1</v>
      </c>
      <c r="H60" s="1169">
        <v>4</v>
      </c>
      <c r="I60" s="1169">
        <v>4</v>
      </c>
      <c r="J60" s="1169">
        <v>4</v>
      </c>
      <c r="K60" s="1169"/>
      <c r="L60" s="1169"/>
      <c r="M60" s="1044"/>
      <c r="N60" s="2142">
        <f t="shared" si="4"/>
        <v>20</v>
      </c>
      <c r="O60" s="2147">
        <v>2</v>
      </c>
      <c r="P60" s="2148">
        <v>1</v>
      </c>
      <c r="Q60" s="2148">
        <v>2</v>
      </c>
      <c r="R60" s="2148"/>
      <c r="S60" s="2148">
        <v>2</v>
      </c>
      <c r="T60" s="2150">
        <v>4</v>
      </c>
      <c r="U60" s="2151">
        <v>2</v>
      </c>
      <c r="V60" s="2151">
        <v>4</v>
      </c>
      <c r="W60" s="2148"/>
      <c r="X60" s="2148"/>
      <c r="Y60" s="2148"/>
      <c r="Z60" s="2144">
        <f t="shared" si="5"/>
        <v>17</v>
      </c>
      <c r="AA60" s="1044">
        <f t="shared" si="2"/>
        <v>19</v>
      </c>
      <c r="AB60" s="2057"/>
      <c r="AC60" s="1175" t="s">
        <v>33</v>
      </c>
      <c r="AD60" s="1044"/>
    </row>
    <row r="61" spans="1:30" ht="40.5" customHeight="1" x14ac:dyDescent="0.4">
      <c r="A61" s="1169">
        <v>53</v>
      </c>
      <c r="B61" s="2140">
        <v>5191421053</v>
      </c>
      <c r="C61" s="2147">
        <v>2</v>
      </c>
      <c r="D61" s="2148">
        <v>2</v>
      </c>
      <c r="E61" s="2149">
        <v>1</v>
      </c>
      <c r="F61" s="2149">
        <v>2</v>
      </c>
      <c r="G61" s="2149">
        <v>2</v>
      </c>
      <c r="H61" s="1169">
        <v>1</v>
      </c>
      <c r="I61" s="1169">
        <v>4</v>
      </c>
      <c r="J61" s="1169">
        <v>3</v>
      </c>
      <c r="K61" s="1169">
        <v>3</v>
      </c>
      <c r="L61" s="1169"/>
      <c r="M61" s="1044"/>
      <c r="N61" s="2142">
        <f t="shared" si="4"/>
        <v>20</v>
      </c>
      <c r="O61" s="2147">
        <v>2</v>
      </c>
      <c r="P61" s="2148">
        <v>1</v>
      </c>
      <c r="Q61" s="2148">
        <v>2</v>
      </c>
      <c r="R61" s="2148"/>
      <c r="S61" s="2148">
        <v>2</v>
      </c>
      <c r="T61" s="2150">
        <v>4</v>
      </c>
      <c r="U61" s="2151">
        <v>2</v>
      </c>
      <c r="V61" s="2151">
        <v>1</v>
      </c>
      <c r="W61" s="2148">
        <v>4</v>
      </c>
      <c r="X61" s="2148"/>
      <c r="Y61" s="2148"/>
      <c r="Z61" s="2144">
        <f t="shared" si="5"/>
        <v>18</v>
      </c>
      <c r="AA61" s="1044">
        <f t="shared" si="2"/>
        <v>19</v>
      </c>
      <c r="AB61" s="2057"/>
      <c r="AC61" s="1175" t="s">
        <v>31</v>
      </c>
      <c r="AD61" s="1044"/>
    </row>
    <row r="62" spans="1:30" ht="40.5" customHeight="1" x14ac:dyDescent="0.4">
      <c r="A62" s="1169">
        <v>54</v>
      </c>
      <c r="B62" s="2140">
        <v>5191421054</v>
      </c>
      <c r="C62" s="2147"/>
      <c r="D62" s="2148"/>
      <c r="E62" s="2149">
        <v>1</v>
      </c>
      <c r="F62" s="2149">
        <v>2</v>
      </c>
      <c r="G62" s="2149"/>
      <c r="H62" s="1169"/>
      <c r="I62" s="1169"/>
      <c r="J62" s="1169">
        <v>2</v>
      </c>
      <c r="K62" s="1169"/>
      <c r="L62" s="1169">
        <v>3</v>
      </c>
      <c r="M62" s="1044"/>
      <c r="N62" s="2142">
        <f t="shared" si="4"/>
        <v>8</v>
      </c>
      <c r="O62" s="2147">
        <v>2</v>
      </c>
      <c r="P62" s="2148">
        <v>1</v>
      </c>
      <c r="Q62" s="2148"/>
      <c r="R62" s="2148"/>
      <c r="S62" s="2148">
        <v>1</v>
      </c>
      <c r="T62" s="2150">
        <v>2</v>
      </c>
      <c r="U62" s="2151"/>
      <c r="V62" s="2151">
        <v>2</v>
      </c>
      <c r="W62" s="2148"/>
      <c r="X62" s="2148"/>
      <c r="Y62" s="2148"/>
      <c r="Z62" s="2144">
        <f t="shared" si="5"/>
        <v>8</v>
      </c>
      <c r="AA62" s="1044">
        <f t="shared" si="2"/>
        <v>8</v>
      </c>
      <c r="AB62" s="2057"/>
      <c r="AC62" s="1175" t="s">
        <v>33</v>
      </c>
      <c r="AD62" s="1044"/>
    </row>
    <row r="63" spans="1:30" ht="40.5" customHeight="1" x14ac:dyDescent="0.4">
      <c r="A63" s="1169">
        <v>55</v>
      </c>
      <c r="B63" s="2140">
        <v>5191421055</v>
      </c>
      <c r="C63" s="2147">
        <v>2</v>
      </c>
      <c r="D63" s="2148">
        <v>1</v>
      </c>
      <c r="E63" s="2149"/>
      <c r="F63" s="2149">
        <v>1</v>
      </c>
      <c r="G63" s="2149">
        <v>1</v>
      </c>
      <c r="H63" s="1169">
        <v>3</v>
      </c>
      <c r="I63" s="1169"/>
      <c r="J63" s="1169">
        <v>2</v>
      </c>
      <c r="K63" s="1169"/>
      <c r="L63" s="1169"/>
      <c r="M63" s="1044"/>
      <c r="N63" s="2142">
        <f t="shared" si="4"/>
        <v>10</v>
      </c>
      <c r="O63" s="2147">
        <v>2</v>
      </c>
      <c r="P63" s="2148">
        <v>1</v>
      </c>
      <c r="Q63" s="2148">
        <v>2</v>
      </c>
      <c r="R63" s="2148"/>
      <c r="S63" s="2148">
        <v>1</v>
      </c>
      <c r="T63" s="2150">
        <v>3</v>
      </c>
      <c r="U63" s="2151">
        <v>2</v>
      </c>
      <c r="V63" s="2151"/>
      <c r="W63" s="2148"/>
      <c r="X63" s="2148"/>
      <c r="Y63" s="2148"/>
      <c r="Z63" s="2144">
        <f t="shared" si="5"/>
        <v>11</v>
      </c>
      <c r="AA63" s="1044">
        <f t="shared" si="2"/>
        <v>11</v>
      </c>
      <c r="AB63" s="2057"/>
      <c r="AC63" s="1175" t="s">
        <v>31</v>
      </c>
      <c r="AD63" s="1044"/>
    </row>
    <row r="64" spans="1:30" ht="40.5" customHeight="1" x14ac:dyDescent="0.4">
      <c r="A64" s="1169">
        <v>56</v>
      </c>
      <c r="B64" s="2140">
        <v>5191421056</v>
      </c>
      <c r="C64" s="2147">
        <v>2</v>
      </c>
      <c r="D64" s="2148">
        <v>2</v>
      </c>
      <c r="E64" s="2149"/>
      <c r="F64" s="2149">
        <v>2</v>
      </c>
      <c r="G64" s="2149">
        <v>1</v>
      </c>
      <c r="H64" s="1169">
        <v>2</v>
      </c>
      <c r="I64" s="1169">
        <v>3</v>
      </c>
      <c r="J64" s="1169">
        <v>3</v>
      </c>
      <c r="K64" s="1169"/>
      <c r="L64" s="1169"/>
      <c r="M64" s="1044"/>
      <c r="N64" s="2142">
        <f t="shared" si="4"/>
        <v>15</v>
      </c>
      <c r="O64" s="2147">
        <v>1</v>
      </c>
      <c r="P64" s="2148">
        <v>1</v>
      </c>
      <c r="Q64" s="2148">
        <v>2</v>
      </c>
      <c r="R64" s="2148"/>
      <c r="S64" s="2148">
        <v>1</v>
      </c>
      <c r="T64" s="2150">
        <v>4</v>
      </c>
      <c r="U64" s="2151"/>
      <c r="V64" s="2151"/>
      <c r="W64" s="2148"/>
      <c r="X64" s="2148">
        <v>5</v>
      </c>
      <c r="Y64" s="2148"/>
      <c r="Z64" s="2144">
        <f t="shared" si="5"/>
        <v>14</v>
      </c>
      <c r="AA64" s="1044">
        <f t="shared" si="2"/>
        <v>15</v>
      </c>
      <c r="AB64" s="2057"/>
      <c r="AC64" s="1175" t="s">
        <v>33</v>
      </c>
      <c r="AD64" s="1044"/>
    </row>
    <row r="65" spans="1:30" ht="40.5" customHeight="1" x14ac:dyDescent="0.4">
      <c r="A65" s="1169">
        <v>57</v>
      </c>
      <c r="B65" s="2140">
        <v>5191421057</v>
      </c>
      <c r="C65" s="2147">
        <v>2</v>
      </c>
      <c r="D65" s="2148">
        <v>2</v>
      </c>
      <c r="E65" s="2149">
        <v>1</v>
      </c>
      <c r="F65" s="2149">
        <v>2</v>
      </c>
      <c r="G65" s="2149">
        <v>1</v>
      </c>
      <c r="H65" s="1169">
        <v>5</v>
      </c>
      <c r="I65" s="1169">
        <v>3</v>
      </c>
      <c r="J65" s="1169"/>
      <c r="K65" s="1169"/>
      <c r="L65" s="1169">
        <v>3</v>
      </c>
      <c r="M65" s="1044">
        <v>3</v>
      </c>
      <c r="N65" s="2142">
        <f t="shared" si="4"/>
        <v>22</v>
      </c>
      <c r="O65" s="2147">
        <v>2</v>
      </c>
      <c r="P65" s="2148">
        <v>1</v>
      </c>
      <c r="Q65" s="2148">
        <v>2</v>
      </c>
      <c r="R65" s="2148"/>
      <c r="S65" s="2148">
        <v>2</v>
      </c>
      <c r="T65" s="2150">
        <v>4</v>
      </c>
      <c r="U65" s="2151">
        <v>4</v>
      </c>
      <c r="V65" s="2151"/>
      <c r="W65" s="2148"/>
      <c r="X65" s="2148">
        <v>2</v>
      </c>
      <c r="Y65" s="2148">
        <v>1</v>
      </c>
      <c r="Z65" s="2144">
        <f t="shared" si="5"/>
        <v>18</v>
      </c>
      <c r="AA65" s="1044">
        <f t="shared" si="2"/>
        <v>20</v>
      </c>
      <c r="AB65" s="2057"/>
      <c r="AC65" s="1178" t="s">
        <v>27</v>
      </c>
      <c r="AD65" s="1044"/>
    </row>
    <row r="66" spans="1:30" ht="40.5" customHeight="1" x14ac:dyDescent="0.4">
      <c r="A66" s="1169">
        <v>58</v>
      </c>
      <c r="B66" s="2140">
        <v>5191421058</v>
      </c>
      <c r="C66" s="2147">
        <v>2</v>
      </c>
      <c r="D66" s="2148">
        <v>1</v>
      </c>
      <c r="E66" s="2149">
        <v>1</v>
      </c>
      <c r="F66" s="2149"/>
      <c r="G66" s="2149"/>
      <c r="H66" s="1169">
        <v>4</v>
      </c>
      <c r="I66" s="1169">
        <v>3</v>
      </c>
      <c r="J66" s="1169"/>
      <c r="K66" s="1169"/>
      <c r="L66" s="1169">
        <v>4</v>
      </c>
      <c r="M66" s="1044"/>
      <c r="N66" s="2152">
        <f t="shared" si="4"/>
        <v>15</v>
      </c>
      <c r="O66" s="2147">
        <v>1</v>
      </c>
      <c r="P66" s="2148"/>
      <c r="Q66" s="2148"/>
      <c r="R66" s="2148"/>
      <c r="S66" s="2148"/>
      <c r="T66" s="2150">
        <v>2</v>
      </c>
      <c r="U66" s="2151">
        <v>1</v>
      </c>
      <c r="V66" s="2151"/>
      <c r="W66" s="2148"/>
      <c r="X66" s="2148">
        <v>2</v>
      </c>
      <c r="Y66" s="2148">
        <v>1</v>
      </c>
      <c r="Z66" s="2144">
        <f t="shared" si="5"/>
        <v>7</v>
      </c>
      <c r="AA66" s="1044">
        <f t="shared" si="2"/>
        <v>11</v>
      </c>
      <c r="AB66" s="2057"/>
      <c r="AC66" s="1047" t="s">
        <v>29</v>
      </c>
      <c r="AD66" s="1044"/>
    </row>
    <row r="67" spans="1:30" ht="40.5" customHeight="1" x14ac:dyDescent="0.4">
      <c r="A67" s="3136" t="s">
        <v>34</v>
      </c>
      <c r="C67" s="2520">
        <f t="shared" ref="C67:M67" si="6">COUNT(C10:C66)</f>
        <v>51</v>
      </c>
      <c r="D67" s="2520">
        <f t="shared" si="6"/>
        <v>41</v>
      </c>
      <c r="E67" s="2520">
        <f t="shared" si="6"/>
        <v>35</v>
      </c>
      <c r="F67" s="2520">
        <f t="shared" si="6"/>
        <v>40</v>
      </c>
      <c r="G67" s="2520">
        <f t="shared" si="6"/>
        <v>33</v>
      </c>
      <c r="H67" s="2520">
        <f t="shared" si="6"/>
        <v>47</v>
      </c>
      <c r="I67" s="2520">
        <f t="shared" si="6"/>
        <v>46</v>
      </c>
      <c r="J67" s="2520">
        <f t="shared" si="6"/>
        <v>21</v>
      </c>
      <c r="K67" s="2520">
        <f t="shared" si="6"/>
        <v>8</v>
      </c>
      <c r="L67" s="2520">
        <f t="shared" si="6"/>
        <v>26</v>
      </c>
      <c r="M67" s="2520">
        <f t="shared" si="6"/>
        <v>19</v>
      </c>
      <c r="N67" s="2057"/>
      <c r="O67" s="2057">
        <f>COUNT(O9:O66)</f>
        <v>48</v>
      </c>
      <c r="P67" s="2057">
        <f t="shared" ref="P67:Y67" si="7">COUNT(P9:P66)</f>
        <v>32</v>
      </c>
      <c r="Q67" s="2057">
        <f t="shared" si="7"/>
        <v>52</v>
      </c>
      <c r="R67" s="2057">
        <f t="shared" si="7"/>
        <v>19</v>
      </c>
      <c r="S67" s="2057">
        <f t="shared" si="7"/>
        <v>27</v>
      </c>
      <c r="T67" s="2057">
        <f t="shared" si="7"/>
        <v>42</v>
      </c>
      <c r="U67" s="2057">
        <f t="shared" si="7"/>
        <v>22</v>
      </c>
      <c r="V67" s="2057">
        <f t="shared" si="7"/>
        <v>39</v>
      </c>
      <c r="W67" s="2057">
        <f t="shared" si="7"/>
        <v>32</v>
      </c>
      <c r="X67" s="2057">
        <f t="shared" si="7"/>
        <v>17</v>
      </c>
      <c r="Y67" s="2057">
        <f t="shared" si="7"/>
        <v>10</v>
      </c>
      <c r="Z67" s="2057">
        <f>COUNT(Z9:Z66)</f>
        <v>58</v>
      </c>
      <c r="AA67" s="2057"/>
      <c r="AB67" s="2057"/>
      <c r="AC67" s="2057"/>
      <c r="AD67" s="2057">
        <f t="shared" ref="AD67" si="8">COUNT(AD9:AD66)</f>
        <v>51</v>
      </c>
    </row>
    <row r="68" spans="1:30" ht="40.5" customHeight="1" x14ac:dyDescent="0.4">
      <c r="A68" s="3137"/>
      <c r="B68" s="2058">
        <v>55</v>
      </c>
      <c r="C68" s="2153">
        <f>C8*(B68/100)</f>
        <v>1.1000000000000001</v>
      </c>
      <c r="D68" s="2153">
        <f>D8*(B68/100)</f>
        <v>1.1000000000000001</v>
      </c>
      <c r="E68" s="2153">
        <v>1</v>
      </c>
      <c r="F68" s="2153">
        <v>1</v>
      </c>
      <c r="G68" s="2153">
        <f>G8*(B68/100)</f>
        <v>1.1000000000000001</v>
      </c>
      <c r="H68" s="2520">
        <v>3</v>
      </c>
      <c r="I68" s="2520">
        <v>3</v>
      </c>
      <c r="J68" s="2520">
        <v>3</v>
      </c>
      <c r="K68" s="2520">
        <v>3</v>
      </c>
      <c r="L68" s="2520">
        <v>3</v>
      </c>
      <c r="M68" s="2520">
        <v>3</v>
      </c>
      <c r="N68" s="2057"/>
      <c r="O68" s="2153">
        <f>O8*(B68/100)</f>
        <v>1.1000000000000001</v>
      </c>
      <c r="P68" s="2153">
        <f>P8*(B68/100)</f>
        <v>1.1000000000000001</v>
      </c>
      <c r="Q68" s="2153">
        <v>1</v>
      </c>
      <c r="R68" s="2153">
        <v>1</v>
      </c>
      <c r="S68" s="2153">
        <f>S8*(B68/100)</f>
        <v>1.1000000000000001</v>
      </c>
      <c r="T68" s="2153">
        <f>T8*(B68/100)</f>
        <v>2.75</v>
      </c>
      <c r="U68" s="2153">
        <v>3</v>
      </c>
      <c r="V68" s="2153">
        <v>3</v>
      </c>
      <c r="W68" s="2153">
        <f>W8*(B68/100)</f>
        <v>2.75</v>
      </c>
      <c r="X68" s="2153">
        <v>3</v>
      </c>
      <c r="Y68" s="2153">
        <v>3</v>
      </c>
      <c r="Z68" s="2153"/>
      <c r="AA68" s="2153"/>
    </row>
    <row r="69" spans="1:30" ht="40.5" customHeight="1" x14ac:dyDescent="0.4">
      <c r="A69" s="3165" t="s">
        <v>35</v>
      </c>
      <c r="B69" s="3165"/>
      <c r="C69" s="2520">
        <f>COUNTIF(C10:C66,"&gt;=" &amp;C68)</f>
        <v>42</v>
      </c>
      <c r="D69" s="2520">
        <f t="shared" ref="D69:M69" si="9">COUNTIF(D10:D66,"&gt;=" &amp;D68)</f>
        <v>24</v>
      </c>
      <c r="E69" s="2520">
        <f t="shared" si="9"/>
        <v>35</v>
      </c>
      <c r="F69" s="2520">
        <f t="shared" si="9"/>
        <v>40</v>
      </c>
      <c r="G69" s="2520">
        <f t="shared" si="9"/>
        <v>19</v>
      </c>
      <c r="H69" s="2520">
        <f t="shared" si="9"/>
        <v>29</v>
      </c>
      <c r="I69" s="2520">
        <f t="shared" si="9"/>
        <v>31</v>
      </c>
      <c r="J69" s="2520">
        <f t="shared" si="9"/>
        <v>10</v>
      </c>
      <c r="K69" s="2520">
        <f t="shared" si="9"/>
        <v>5</v>
      </c>
      <c r="L69" s="2520">
        <f t="shared" si="9"/>
        <v>18</v>
      </c>
      <c r="M69" s="2520">
        <f t="shared" si="9"/>
        <v>16</v>
      </c>
      <c r="N69" s="2057"/>
      <c r="O69" s="2057">
        <f>COUNTIF(O9:O59,"&gt;=" &amp;O68)</f>
        <v>21</v>
      </c>
      <c r="P69" s="2057">
        <f t="shared" ref="P69:Y69" si="10">COUNTIF(P9:P59,"&gt;=" &amp;P68)</f>
        <v>4</v>
      </c>
      <c r="Q69" s="2057">
        <f t="shared" si="10"/>
        <v>47</v>
      </c>
      <c r="R69" s="2057">
        <f t="shared" si="10"/>
        <v>19</v>
      </c>
      <c r="S69" s="2057">
        <f t="shared" si="10"/>
        <v>6</v>
      </c>
      <c r="T69" s="2057">
        <f t="shared" si="10"/>
        <v>26</v>
      </c>
      <c r="U69" s="2057">
        <f t="shared" si="10"/>
        <v>12</v>
      </c>
      <c r="V69" s="2057">
        <f t="shared" si="10"/>
        <v>24</v>
      </c>
      <c r="W69" s="2057">
        <f t="shared" si="10"/>
        <v>13</v>
      </c>
      <c r="X69" s="2057">
        <f t="shared" si="10"/>
        <v>11</v>
      </c>
      <c r="Y69" s="2057">
        <f t="shared" si="10"/>
        <v>4</v>
      </c>
      <c r="Z69" s="2057"/>
      <c r="AA69" s="2057"/>
      <c r="AD69" s="2057">
        <f>COUNTIF(AD9:AD66,"&gt;="&amp;B68)</f>
        <v>31</v>
      </c>
    </row>
    <row r="70" spans="1:30" ht="40.5" customHeight="1" x14ac:dyDescent="0.4">
      <c r="A70" s="3166" t="s">
        <v>36</v>
      </c>
      <c r="B70" s="3166"/>
      <c r="C70" s="2520">
        <f t="shared" ref="C70:Y70" si="11">C69/C67</f>
        <v>0.82352941176470584</v>
      </c>
      <c r="D70" s="2520">
        <f t="shared" si="11"/>
        <v>0.58536585365853655</v>
      </c>
      <c r="E70" s="2520">
        <f t="shared" si="11"/>
        <v>1</v>
      </c>
      <c r="F70" s="2520">
        <f t="shared" si="11"/>
        <v>1</v>
      </c>
      <c r="G70" s="2520">
        <f t="shared" si="11"/>
        <v>0.5757575757575758</v>
      </c>
      <c r="H70" s="1512">
        <f t="shared" si="11"/>
        <v>0.61702127659574468</v>
      </c>
      <c r="I70" s="1512">
        <f t="shared" si="11"/>
        <v>0.67391304347826086</v>
      </c>
      <c r="J70" s="1512">
        <f t="shared" si="11"/>
        <v>0.47619047619047616</v>
      </c>
      <c r="K70" s="1512">
        <f t="shared" si="11"/>
        <v>0.625</v>
      </c>
      <c r="L70" s="1512">
        <f t="shared" si="11"/>
        <v>0.69230769230769229</v>
      </c>
      <c r="M70" s="1512">
        <f t="shared" si="11"/>
        <v>0.84210526315789469</v>
      </c>
      <c r="N70" s="2057"/>
      <c r="O70" s="2057">
        <f t="shared" si="11"/>
        <v>0.4375</v>
      </c>
      <c r="P70" s="2057">
        <f t="shared" si="11"/>
        <v>0.125</v>
      </c>
      <c r="Q70" s="2057">
        <f t="shared" si="11"/>
        <v>0.90384615384615385</v>
      </c>
      <c r="R70" s="2057">
        <f t="shared" si="11"/>
        <v>1</v>
      </c>
      <c r="S70" s="2057">
        <f t="shared" si="11"/>
        <v>0.22222222222222221</v>
      </c>
      <c r="T70" s="2057">
        <f t="shared" si="11"/>
        <v>0.61904761904761907</v>
      </c>
      <c r="U70" s="2057">
        <f t="shared" si="11"/>
        <v>0.54545454545454541</v>
      </c>
      <c r="V70" s="2057">
        <f t="shared" si="11"/>
        <v>0.61538461538461542</v>
      </c>
      <c r="W70" s="2057">
        <f t="shared" si="11"/>
        <v>0.40625</v>
      </c>
      <c r="X70" s="2057">
        <f t="shared" si="11"/>
        <v>0.6470588235294118</v>
      </c>
      <c r="Y70" s="2057">
        <f t="shared" si="11"/>
        <v>0.4</v>
      </c>
      <c r="Z70" s="2057"/>
      <c r="AA70" s="2057"/>
      <c r="AD70" s="2057">
        <f>(AD69/AD67)*100</f>
        <v>60.784313725490193</v>
      </c>
    </row>
    <row r="71" spans="1:30" ht="40.5" customHeight="1" x14ac:dyDescent="0.4">
      <c r="C71" s="1168" t="s">
        <v>20</v>
      </c>
      <c r="D71" s="1169" t="s">
        <v>20</v>
      </c>
      <c r="E71" s="1169" t="s">
        <v>40</v>
      </c>
      <c r="F71" s="1169" t="s">
        <v>40</v>
      </c>
      <c r="G71" s="1169" t="s">
        <v>23</v>
      </c>
      <c r="H71" s="3167" t="s">
        <v>22</v>
      </c>
      <c r="I71" s="3168"/>
      <c r="J71" s="3167" t="s">
        <v>40</v>
      </c>
      <c r="K71" s="3168"/>
      <c r="L71" s="3167" t="s">
        <v>41</v>
      </c>
      <c r="M71" s="3169"/>
      <c r="N71" s="2057"/>
      <c r="O71" s="1169" t="s">
        <v>41</v>
      </c>
      <c r="P71" s="1169" t="s">
        <v>41</v>
      </c>
      <c r="Q71" s="1169" t="s">
        <v>42</v>
      </c>
      <c r="R71" s="1169" t="s">
        <v>42</v>
      </c>
      <c r="S71" s="1169" t="s">
        <v>42</v>
      </c>
      <c r="T71" s="1169" t="s">
        <v>41</v>
      </c>
      <c r="U71" s="1169" t="s">
        <v>41</v>
      </c>
      <c r="V71" s="1169" t="s">
        <v>42</v>
      </c>
      <c r="W71" s="1169" t="s">
        <v>42</v>
      </c>
      <c r="X71" s="1169" t="s">
        <v>41</v>
      </c>
      <c r="Y71" s="1169" t="s">
        <v>42</v>
      </c>
      <c r="Z71" s="2057"/>
      <c r="AA71" s="2057"/>
    </row>
    <row r="73" spans="1:30" ht="40.5" customHeight="1" x14ac:dyDescent="0.4">
      <c r="B73" s="1053"/>
      <c r="C73" s="1053"/>
      <c r="D73" s="1169" t="s">
        <v>38</v>
      </c>
      <c r="E73" s="1169" t="s">
        <v>39</v>
      </c>
      <c r="F73" s="3152" t="s">
        <v>37</v>
      </c>
      <c r="G73" s="3152"/>
      <c r="H73" s="2058"/>
    </row>
    <row r="74" spans="1:30" ht="40.5" customHeight="1" x14ac:dyDescent="0.4">
      <c r="B74" s="1169" t="s">
        <v>22</v>
      </c>
      <c r="C74" s="1044">
        <f>AVERAGE(C70,D70,H70,I70)*100</f>
        <v>67.4957396374312</v>
      </c>
      <c r="D74" s="1044">
        <f t="shared" ref="D74:D77" si="12">IF(C74&gt;=70,3,IF(AND(C74&gt;=60,C74&lt;70),2,IF(AND(C74&gt;=50,C74&lt;60),1)))</f>
        <v>2</v>
      </c>
      <c r="E74" s="1504">
        <f>IF(AD70&gt;=70,3,IF(AND(AD70&gt;=60,AD70&lt;70),2,IF(AND(AD70&gt;=50,AD70&lt;60),1)))</f>
        <v>2</v>
      </c>
      <c r="F74" s="1504">
        <f>0.7*E74+0.3*D74</f>
        <v>2</v>
      </c>
      <c r="G74" s="1504"/>
      <c r="H74" s="1048"/>
    </row>
    <row r="75" spans="1:30" ht="40.5" customHeight="1" x14ac:dyDescent="0.4">
      <c r="B75" s="1169" t="s">
        <v>40</v>
      </c>
      <c r="C75" s="1044">
        <f>AVERAGE(E70,F70,J70,K70)*100</f>
        <v>77.529761904761912</v>
      </c>
      <c r="D75" s="1044">
        <f t="shared" si="12"/>
        <v>3</v>
      </c>
      <c r="E75" s="1504">
        <f>IF(AD70&gt;=70,3,IF(AND(AD70&gt;=60,AD70&lt;70),2,IF(AND(AD70&gt;=50,AD70&lt;60),1)))</f>
        <v>2</v>
      </c>
      <c r="F75" s="1504">
        <f>0.7*E75+0.3*D75</f>
        <v>2.2999999999999998</v>
      </c>
      <c r="G75" s="1504"/>
      <c r="H75" s="1048"/>
    </row>
    <row r="76" spans="1:30" ht="40.5" customHeight="1" x14ac:dyDescent="0.4">
      <c r="B76" s="1169" t="s">
        <v>41</v>
      </c>
      <c r="C76" s="1044">
        <f>AVERAGE(G70,L70,M70,O70,P70,T70,U70,X70)*100</f>
        <v>56.05289399068424</v>
      </c>
      <c r="D76" s="1044">
        <f t="shared" si="12"/>
        <v>1</v>
      </c>
      <c r="E76" s="1504">
        <f>IF(AD70&gt;=70,3,IF(AND(AD70&gt;=60,AD70&lt;70),2,IF(AND(AD70&gt;=50,AD70&lt;60),1)))</f>
        <v>2</v>
      </c>
      <c r="F76" s="1504">
        <f>0.7*E76+0.3*D76</f>
        <v>1.7</v>
      </c>
      <c r="G76" s="1504"/>
      <c r="H76" s="1048"/>
    </row>
    <row r="77" spans="1:30" ht="40.5" customHeight="1" x14ac:dyDescent="0.4">
      <c r="B77" s="1169" t="s">
        <v>42</v>
      </c>
      <c r="C77" s="1044">
        <f>AVERAGE(Q70,R70,S70,V70,W70)*100</f>
        <v>62.95405982905983</v>
      </c>
      <c r="D77" s="1044">
        <f t="shared" si="12"/>
        <v>2</v>
      </c>
      <c r="E77" s="1504">
        <f>IF(AD70&gt;=70,3,IF(AND(AD70&gt;=60,AD70&lt;70),2,IF(AND(AD70&gt;=50,AD70&lt;60),1)))</f>
        <v>2</v>
      </c>
      <c r="F77" s="1504">
        <f>0.7*E77+0.3*D77</f>
        <v>2</v>
      </c>
      <c r="G77" s="1504"/>
      <c r="H77" s="1048"/>
    </row>
    <row r="78" spans="1:30" ht="40.5" customHeight="1" x14ac:dyDescent="0.4">
      <c r="B78" s="3140" t="s">
        <v>44</v>
      </c>
      <c r="C78" s="3140"/>
      <c r="D78" s="3140"/>
      <c r="E78" s="3140"/>
      <c r="F78" s="2154">
        <f>AVERAGE(F74:F77)</f>
        <v>2</v>
      </c>
      <c r="G78" s="2154"/>
    </row>
    <row r="79" spans="1:30" ht="40.5" customHeight="1" x14ac:dyDescent="0.4">
      <c r="A79" s="3145" t="s">
        <v>134</v>
      </c>
      <c r="B79" s="3145"/>
    </row>
    <row r="81" spans="1:19" ht="40.5" customHeight="1" x14ac:dyDescent="0.4">
      <c r="B81" s="2060" t="s">
        <v>45</v>
      </c>
      <c r="C81" s="2155" t="s">
        <v>68</v>
      </c>
      <c r="D81" s="2155" t="s">
        <v>69</v>
      </c>
      <c r="E81" s="2155" t="s">
        <v>70</v>
      </c>
      <c r="F81" s="2155" t="s">
        <v>71</v>
      </c>
      <c r="G81" s="2155" t="s">
        <v>72</v>
      </c>
      <c r="H81" s="2155" t="s">
        <v>73</v>
      </c>
      <c r="I81" s="2155" t="s">
        <v>74</v>
      </c>
      <c r="J81" s="2155" t="s">
        <v>75</v>
      </c>
      <c r="K81" s="2155" t="s">
        <v>76</v>
      </c>
      <c r="L81" s="2155" t="s">
        <v>77</v>
      </c>
      <c r="M81" s="2155" t="s">
        <v>78</v>
      </c>
      <c r="N81" s="2155" t="s">
        <v>79</v>
      </c>
    </row>
    <row r="82" spans="1:19" ht="40.5" customHeight="1" x14ac:dyDescent="0.4">
      <c r="B82" s="2140" t="s">
        <v>20</v>
      </c>
      <c r="C82" s="1443">
        <v>3</v>
      </c>
      <c r="D82" s="1443">
        <v>3</v>
      </c>
      <c r="E82" s="1443">
        <v>2</v>
      </c>
      <c r="F82" s="1443">
        <v>2</v>
      </c>
      <c r="G82" s="1443">
        <v>2</v>
      </c>
      <c r="H82" s="1443">
        <v>1</v>
      </c>
      <c r="I82" s="1443"/>
      <c r="J82" s="1443">
        <v>1</v>
      </c>
      <c r="K82" s="1053"/>
      <c r="L82" s="1443"/>
      <c r="M82" s="1443"/>
      <c r="N82" s="1443">
        <v>3</v>
      </c>
    </row>
    <row r="83" spans="1:19" ht="40.5" customHeight="1" x14ac:dyDescent="0.4">
      <c r="B83" s="2140" t="s">
        <v>21</v>
      </c>
      <c r="C83" s="1443">
        <v>3</v>
      </c>
      <c r="D83" s="1443">
        <v>3</v>
      </c>
      <c r="E83" s="1443">
        <v>2</v>
      </c>
      <c r="F83" s="1443">
        <v>1</v>
      </c>
      <c r="G83" s="1443">
        <v>2</v>
      </c>
      <c r="H83" s="1443">
        <v>1</v>
      </c>
      <c r="I83" s="1443"/>
      <c r="J83" s="1443">
        <v>2</v>
      </c>
      <c r="K83" s="1053"/>
      <c r="L83" s="1443"/>
      <c r="M83" s="1443"/>
      <c r="N83" s="1443">
        <v>2</v>
      </c>
    </row>
    <row r="84" spans="1:19" ht="40.5" customHeight="1" x14ac:dyDescent="0.4">
      <c r="B84" s="2140" t="s">
        <v>23</v>
      </c>
      <c r="C84" s="1443">
        <v>3</v>
      </c>
      <c r="D84" s="1443">
        <v>3</v>
      </c>
      <c r="E84" s="1443">
        <v>3</v>
      </c>
      <c r="F84" s="1443">
        <v>2</v>
      </c>
      <c r="G84" s="1443">
        <v>1</v>
      </c>
      <c r="H84" s="1443">
        <v>1</v>
      </c>
      <c r="I84" s="1443"/>
      <c r="J84" s="1443">
        <v>2</v>
      </c>
      <c r="K84" s="1053"/>
      <c r="L84" s="1443"/>
      <c r="M84" s="1443"/>
      <c r="N84" s="1443">
        <v>2</v>
      </c>
    </row>
    <row r="85" spans="1:19" ht="40.5" customHeight="1" x14ac:dyDescent="0.4">
      <c r="B85" s="2140" t="s">
        <v>25</v>
      </c>
      <c r="C85" s="1443">
        <v>3</v>
      </c>
      <c r="D85" s="1443">
        <v>3</v>
      </c>
      <c r="E85" s="1443">
        <v>3</v>
      </c>
      <c r="F85" s="1443">
        <v>1</v>
      </c>
      <c r="G85" s="1443">
        <v>2</v>
      </c>
      <c r="H85" s="1443">
        <v>1</v>
      </c>
      <c r="I85" s="1443"/>
      <c r="J85" s="1443">
        <v>1</v>
      </c>
      <c r="K85" s="1053"/>
      <c r="L85" s="1443"/>
      <c r="M85" s="1443"/>
      <c r="N85" s="1443">
        <v>1</v>
      </c>
    </row>
    <row r="86" spans="1:19" ht="40.5" customHeight="1" x14ac:dyDescent="0.4">
      <c r="B86" s="1054" t="s">
        <v>10</v>
      </c>
      <c r="C86" s="1433">
        <f>AVERAGE(C82:C85)</f>
        <v>3</v>
      </c>
      <c r="D86" s="1433">
        <f t="shared" ref="D86:N86" si="13">AVERAGE(D82:D85)</f>
        <v>3</v>
      </c>
      <c r="E86" s="1433">
        <f t="shared" si="13"/>
        <v>2.5</v>
      </c>
      <c r="F86" s="1433">
        <f t="shared" si="13"/>
        <v>1.5</v>
      </c>
      <c r="G86" s="1433">
        <f t="shared" si="13"/>
        <v>1.75</v>
      </c>
      <c r="H86" s="1433">
        <f t="shared" si="13"/>
        <v>1</v>
      </c>
      <c r="I86" s="1433"/>
      <c r="J86" s="1433">
        <f t="shared" si="13"/>
        <v>1.5</v>
      </c>
      <c r="K86" s="1044"/>
      <c r="L86" s="1433"/>
      <c r="M86" s="1433"/>
      <c r="N86" s="1433">
        <f t="shared" si="13"/>
        <v>2</v>
      </c>
    </row>
    <row r="87" spans="1:19" ht="40.5" customHeight="1" x14ac:dyDescent="0.4">
      <c r="B87" s="1054" t="s">
        <v>58</v>
      </c>
      <c r="C87" s="3159">
        <f>AVERAGE(C86:N86)</f>
        <v>2.03125</v>
      </c>
      <c r="D87" s="3160"/>
      <c r="E87" s="3160"/>
      <c r="F87" s="3160"/>
      <c r="G87" s="3160"/>
      <c r="H87" s="3160"/>
      <c r="I87" s="3160"/>
      <c r="J87" s="3160"/>
      <c r="K87" s="3160"/>
      <c r="L87" s="3160"/>
      <c r="M87" s="3160"/>
      <c r="N87" s="3160"/>
      <c r="O87" s="3160"/>
      <c r="P87" s="3160"/>
      <c r="Q87" s="3160"/>
      <c r="R87" s="3160"/>
      <c r="S87" s="3161"/>
    </row>
    <row r="89" spans="1:19" ht="40.5" customHeight="1" x14ac:dyDescent="0.4">
      <c r="A89" s="3145" t="s">
        <v>148</v>
      </c>
      <c r="B89" s="3145"/>
    </row>
    <row r="91" spans="1:19" ht="40.5" customHeight="1" x14ac:dyDescent="0.4">
      <c r="B91" s="2060" t="s">
        <v>45</v>
      </c>
      <c r="C91" s="2155" t="s">
        <v>68</v>
      </c>
      <c r="D91" s="2155" t="s">
        <v>69</v>
      </c>
      <c r="E91" s="2155" t="s">
        <v>70</v>
      </c>
      <c r="F91" s="2155" t="s">
        <v>71</v>
      </c>
      <c r="G91" s="2155" t="s">
        <v>72</v>
      </c>
      <c r="H91" s="2155" t="s">
        <v>73</v>
      </c>
      <c r="I91" s="2155" t="s">
        <v>74</v>
      </c>
      <c r="J91" s="2155" t="s">
        <v>75</v>
      </c>
      <c r="K91" s="2155" t="s">
        <v>76</v>
      </c>
      <c r="L91" s="2155" t="s">
        <v>77</v>
      </c>
      <c r="M91" s="2155" t="s">
        <v>78</v>
      </c>
      <c r="N91" s="2155" t="s">
        <v>79</v>
      </c>
    </row>
    <row r="92" spans="1:19" ht="40.5" customHeight="1" x14ac:dyDescent="0.4">
      <c r="B92" s="2140" t="s">
        <v>20</v>
      </c>
      <c r="C92" s="1052">
        <f>F74*C82/3</f>
        <v>2</v>
      </c>
      <c r="D92" s="1052">
        <f>F74*D82/3</f>
        <v>2</v>
      </c>
      <c r="E92" s="1052">
        <f>E82*F74/3</f>
        <v>1.3333333333333333</v>
      </c>
      <c r="F92" s="1052">
        <f>F82*F74/3</f>
        <v>1.3333333333333333</v>
      </c>
      <c r="G92" s="1052">
        <f>F74*G82/3</f>
        <v>1.3333333333333333</v>
      </c>
      <c r="H92" s="1052">
        <f>H82*F74/3</f>
        <v>0.66666666666666663</v>
      </c>
      <c r="I92" s="1052"/>
      <c r="J92" s="1052">
        <f>J82*F74/3</f>
        <v>0.66666666666666663</v>
      </c>
      <c r="K92" s="1052"/>
      <c r="L92" s="1052"/>
      <c r="M92" s="1052"/>
      <c r="N92" s="1052">
        <f>N82*F74/3</f>
        <v>2</v>
      </c>
    </row>
    <row r="93" spans="1:19" ht="40.5" customHeight="1" x14ac:dyDescent="0.4">
      <c r="B93" s="2140" t="s">
        <v>21</v>
      </c>
      <c r="C93" s="1052">
        <f>F75*C83/3</f>
        <v>2.2999999999999998</v>
      </c>
      <c r="D93" s="1052">
        <f>F75*D83/3</f>
        <v>2.2999999999999998</v>
      </c>
      <c r="E93" s="1052">
        <f>E83*F75/3</f>
        <v>1.5333333333333332</v>
      </c>
      <c r="F93" s="1052">
        <f>F83*F75/3</f>
        <v>0.76666666666666661</v>
      </c>
      <c r="G93" s="1052">
        <f>F75*G83/3</f>
        <v>1.5333333333333332</v>
      </c>
      <c r="H93" s="1052">
        <f>H83*F75/3</f>
        <v>0.76666666666666661</v>
      </c>
      <c r="I93" s="1052"/>
      <c r="J93" s="1052">
        <f>J83*F75/3</f>
        <v>1.5333333333333332</v>
      </c>
      <c r="K93" s="1052"/>
      <c r="L93" s="1052"/>
      <c r="M93" s="1052"/>
      <c r="N93" s="1052">
        <f>N83*F75/3</f>
        <v>1.5333333333333332</v>
      </c>
    </row>
    <row r="94" spans="1:19" ht="40.5" customHeight="1" x14ac:dyDescent="0.4">
      <c r="B94" s="2140" t="s">
        <v>23</v>
      </c>
      <c r="C94" s="1052">
        <f>F76*C84/3</f>
        <v>1.7</v>
      </c>
      <c r="D94" s="1052">
        <f>F76*D84/3</f>
        <v>1.7</v>
      </c>
      <c r="E94" s="1052">
        <f>E84*F76/3</f>
        <v>1.7</v>
      </c>
      <c r="F94" s="1052">
        <f>F84*F76/3</f>
        <v>1.1333333333333333</v>
      </c>
      <c r="G94" s="1052">
        <f>F76*G84/3</f>
        <v>0.56666666666666665</v>
      </c>
      <c r="H94" s="1052">
        <f>H84*F76/3</f>
        <v>0.56666666666666665</v>
      </c>
      <c r="I94" s="1052"/>
      <c r="J94" s="1052">
        <f>J84*F76/3</f>
        <v>1.1333333333333333</v>
      </c>
      <c r="K94" s="1052"/>
      <c r="L94" s="1052"/>
      <c r="M94" s="1052"/>
      <c r="N94" s="1052">
        <f>N84*F76/3</f>
        <v>1.1333333333333333</v>
      </c>
    </row>
    <row r="95" spans="1:19" ht="40.5" customHeight="1" x14ac:dyDescent="0.4">
      <c r="B95" s="2140" t="s">
        <v>25</v>
      </c>
      <c r="C95" s="1052">
        <f>F77*C85/3</f>
        <v>2</v>
      </c>
      <c r="D95" s="1052">
        <f>F77*D85/3</f>
        <v>2</v>
      </c>
      <c r="E95" s="1052">
        <f>E85*F77/3</f>
        <v>2</v>
      </c>
      <c r="F95" s="1052">
        <f>F85*F77/3</f>
        <v>0.66666666666666663</v>
      </c>
      <c r="G95" s="1052">
        <f>F77*G85/3</f>
        <v>1.3333333333333333</v>
      </c>
      <c r="H95" s="1052">
        <f>H85*F77/3</f>
        <v>0.66666666666666663</v>
      </c>
      <c r="I95" s="1052"/>
      <c r="J95" s="1052">
        <f>J85*F77/3</f>
        <v>0.66666666666666663</v>
      </c>
      <c r="K95" s="1052"/>
      <c r="L95" s="1052"/>
      <c r="M95" s="1052"/>
      <c r="N95" s="1052">
        <f>N85*F77/3</f>
        <v>0.66666666666666663</v>
      </c>
    </row>
    <row r="96" spans="1:19" ht="40.5" customHeight="1" x14ac:dyDescent="0.4">
      <c r="B96" s="1054" t="s">
        <v>10</v>
      </c>
      <c r="C96" s="2156">
        <f>AVERAGE(C92:C95)</f>
        <v>2</v>
      </c>
      <c r="D96" s="2156">
        <f t="shared" ref="D96:H96" si="14">AVERAGE(D92:D95)</f>
        <v>2</v>
      </c>
      <c r="E96" s="2156">
        <f t="shared" si="14"/>
        <v>1.6416666666666666</v>
      </c>
      <c r="F96" s="2156">
        <f t="shared" si="14"/>
        <v>0.97499999999999987</v>
      </c>
      <c r="G96" s="2156">
        <f t="shared" si="14"/>
        <v>1.1916666666666664</v>
      </c>
      <c r="H96" s="2156">
        <f t="shared" si="14"/>
        <v>0.66666666666666663</v>
      </c>
      <c r="I96" s="2156"/>
      <c r="J96" s="2156">
        <f t="shared" ref="J96" si="15">AVERAGE(J92:J95)</f>
        <v>0.99999999999999989</v>
      </c>
      <c r="K96" s="2156"/>
      <c r="L96" s="2156"/>
      <c r="M96" s="2156"/>
      <c r="N96" s="2156">
        <f>AVERAGE(N92:N95)</f>
        <v>1.3333333333333333</v>
      </c>
    </row>
    <row r="97" spans="1:19" ht="40.5" customHeight="1" x14ac:dyDescent="0.4">
      <c r="B97" s="1054" t="s">
        <v>58</v>
      </c>
      <c r="C97" s="3146">
        <f>AVERAGE(C96:N96)</f>
        <v>1.3510416666666667</v>
      </c>
      <c r="D97" s="3147"/>
      <c r="E97" s="3147"/>
      <c r="F97" s="3147"/>
      <c r="G97" s="3147"/>
      <c r="H97" s="3147"/>
      <c r="I97" s="3147"/>
      <c r="J97" s="3147"/>
      <c r="K97" s="3147"/>
      <c r="L97" s="3147"/>
      <c r="M97" s="3147"/>
      <c r="N97" s="3147"/>
      <c r="O97" s="3147"/>
      <c r="P97" s="3147"/>
      <c r="Q97" s="3147"/>
      <c r="R97" s="3147"/>
      <c r="S97" s="3148"/>
    </row>
    <row r="99" spans="1:19" ht="40.5" customHeight="1" x14ac:dyDescent="0.4">
      <c r="A99" s="3145" t="s">
        <v>137</v>
      </c>
      <c r="B99" s="3145"/>
      <c r="K99" s="3145" t="s">
        <v>149</v>
      </c>
      <c r="L99" s="3145"/>
      <c r="M99" s="3145"/>
    </row>
    <row r="100" spans="1:19" ht="40.5" customHeight="1" x14ac:dyDescent="0.4">
      <c r="A100" s="2055"/>
      <c r="B100" s="2055"/>
      <c r="K100" s="2055"/>
      <c r="L100" s="2055"/>
      <c r="M100" s="2055"/>
    </row>
    <row r="101" spans="1:19" ht="40.5" customHeight="1" x14ac:dyDescent="0.4">
      <c r="B101" s="2060" t="s">
        <v>59</v>
      </c>
      <c r="C101" s="2155" t="s">
        <v>60</v>
      </c>
      <c r="D101" s="2155" t="s">
        <v>61</v>
      </c>
      <c r="E101" s="2155" t="s">
        <v>62</v>
      </c>
      <c r="K101" s="2060" t="s">
        <v>59</v>
      </c>
      <c r="L101" s="2155" t="s">
        <v>60</v>
      </c>
      <c r="M101" s="2155" t="s">
        <v>61</v>
      </c>
      <c r="N101" s="2155" t="s">
        <v>62</v>
      </c>
      <c r="O101" s="2157"/>
      <c r="P101" s="2157"/>
    </row>
    <row r="102" spans="1:19" ht="40.5" customHeight="1" x14ac:dyDescent="0.4">
      <c r="B102" s="1448" t="s">
        <v>20</v>
      </c>
      <c r="C102" s="1443">
        <v>3</v>
      </c>
      <c r="D102" s="1443">
        <v>2</v>
      </c>
      <c r="E102" s="1443"/>
      <c r="K102" s="1448" t="s">
        <v>20</v>
      </c>
      <c r="L102" s="2471">
        <f>F74*C102/3</f>
        <v>2</v>
      </c>
      <c r="M102" s="2471">
        <f>F74*D102/3</f>
        <v>1.3333333333333333</v>
      </c>
      <c r="N102" s="2471"/>
      <c r="O102" s="2158"/>
      <c r="P102" s="2158"/>
    </row>
    <row r="103" spans="1:19" ht="40.5" customHeight="1" x14ac:dyDescent="0.4">
      <c r="B103" s="2140" t="s">
        <v>21</v>
      </c>
      <c r="C103" s="1443">
        <v>3</v>
      </c>
      <c r="D103" s="1443">
        <v>2</v>
      </c>
      <c r="E103" s="1443">
        <v>1</v>
      </c>
      <c r="K103" s="2140" t="s">
        <v>21</v>
      </c>
      <c r="L103" s="2471">
        <f>F75*C103/3</f>
        <v>2.2999999999999998</v>
      </c>
      <c r="M103" s="2471">
        <f>F75*D103/3</f>
        <v>1.5333333333333332</v>
      </c>
      <c r="N103" s="2471">
        <f>F75*E103/3</f>
        <v>0.76666666666666661</v>
      </c>
      <c r="O103" s="2158"/>
      <c r="P103" s="2158"/>
    </row>
    <row r="104" spans="1:19" ht="40.5" customHeight="1" x14ac:dyDescent="0.4">
      <c r="B104" s="2140" t="s">
        <v>23</v>
      </c>
      <c r="C104" s="1443">
        <v>3</v>
      </c>
      <c r="D104" s="1443">
        <v>3</v>
      </c>
      <c r="E104" s="1443">
        <v>1</v>
      </c>
      <c r="K104" s="2140" t="s">
        <v>23</v>
      </c>
      <c r="L104" s="2471">
        <f>F76*C104/3</f>
        <v>1.7</v>
      </c>
      <c r="M104" s="2471">
        <f>F76*D104/3</f>
        <v>1.7</v>
      </c>
      <c r="N104" s="2471">
        <f>F76*E104/3</f>
        <v>0.56666666666666665</v>
      </c>
      <c r="O104" s="2158"/>
      <c r="P104" s="2158"/>
    </row>
    <row r="105" spans="1:19" ht="40.5" customHeight="1" x14ac:dyDescent="0.4">
      <c r="B105" s="2140" t="s">
        <v>25</v>
      </c>
      <c r="C105" s="1443">
        <v>2</v>
      </c>
      <c r="D105" s="1443">
        <v>2</v>
      </c>
      <c r="E105" s="1443"/>
      <c r="K105" s="2140" t="s">
        <v>25</v>
      </c>
      <c r="L105" s="2471">
        <f>F77*C105/3</f>
        <v>1.3333333333333333</v>
      </c>
      <c r="M105" s="2471">
        <f>F77*D105/3</f>
        <v>1.3333333333333333</v>
      </c>
      <c r="N105" s="2471"/>
      <c r="O105" s="2158"/>
      <c r="P105" s="2158"/>
    </row>
    <row r="106" spans="1:19" ht="40.5" customHeight="1" x14ac:dyDescent="0.4">
      <c r="B106" s="2159" t="s">
        <v>10</v>
      </c>
      <c r="C106" s="1449">
        <f>AVERAGE(C102:C105)</f>
        <v>2.75</v>
      </c>
      <c r="D106" s="1449">
        <f>AVERAGE(D102:D105)</f>
        <v>2.25</v>
      </c>
      <c r="E106" s="1449">
        <f>AVERAGE(E102:E105)</f>
        <v>1</v>
      </c>
      <c r="K106" s="2159" t="s">
        <v>10</v>
      </c>
      <c r="L106" s="2471">
        <f>AVERAGE(L102:L105)</f>
        <v>1.8333333333333333</v>
      </c>
      <c r="M106" s="2471">
        <f>AVERAGE(M102:M105)</f>
        <v>1.4749999999999999</v>
      </c>
      <c r="N106" s="2471">
        <f>AVERAGE(N102:N105)</f>
        <v>0.66666666666666663</v>
      </c>
      <c r="O106" s="2158"/>
      <c r="P106" s="2158"/>
    </row>
    <row r="107" spans="1:19" ht="40.5" customHeight="1" x14ac:dyDescent="0.4">
      <c r="A107" s="2057"/>
      <c r="B107" s="2137" t="s">
        <v>58</v>
      </c>
      <c r="C107" s="3152">
        <f>AVERAGE(C106:E106)</f>
        <v>2</v>
      </c>
      <c r="D107" s="3152"/>
      <c r="E107" s="3152"/>
      <c r="F107" s="1444"/>
      <c r="G107" s="1444"/>
      <c r="H107" s="2057"/>
      <c r="I107" s="2057"/>
      <c r="J107" s="2057"/>
      <c r="K107" s="2137" t="s">
        <v>58</v>
      </c>
      <c r="L107" s="3149">
        <f>AVERAGE(L106:N106)</f>
        <v>1.325</v>
      </c>
      <c r="M107" s="3150"/>
      <c r="N107" s="3151"/>
      <c r="Q107" s="1415"/>
      <c r="R107" s="1415"/>
      <c r="S107" s="2057"/>
    </row>
    <row r="110" spans="1:19" ht="40.5" customHeight="1" x14ac:dyDescent="0.4">
      <c r="A110" s="3142"/>
      <c r="B110" s="3142"/>
      <c r="C110" s="3142"/>
      <c r="D110" s="3142"/>
      <c r="E110" s="3142"/>
      <c r="F110" s="3142"/>
      <c r="G110" s="3142"/>
      <c r="H110" s="3142"/>
      <c r="I110" s="3142"/>
      <c r="J110" s="3142"/>
      <c r="K110" s="3142"/>
      <c r="L110" s="3142"/>
      <c r="M110" s="3142"/>
      <c r="N110" s="3142"/>
      <c r="O110" s="3142"/>
      <c r="P110" s="3142"/>
      <c r="Q110" s="3142"/>
      <c r="R110" s="3142"/>
      <c r="S110" s="3142"/>
    </row>
    <row r="111" spans="1:19" ht="40.5" customHeight="1" x14ac:dyDescent="0.4">
      <c r="A111" s="2056"/>
      <c r="B111" s="2056"/>
      <c r="C111" s="2056"/>
      <c r="D111" s="2056"/>
      <c r="E111" s="2056"/>
      <c r="F111" s="2056"/>
      <c r="G111" s="2056"/>
      <c r="H111" s="2056"/>
      <c r="I111" s="2056"/>
      <c r="J111" s="2056"/>
      <c r="K111" s="2056"/>
      <c r="L111" s="2056"/>
      <c r="M111" s="2056"/>
      <c r="N111" s="2056"/>
      <c r="O111" s="2056"/>
      <c r="P111" s="2056"/>
      <c r="Q111" s="2056"/>
      <c r="R111" s="2056"/>
      <c r="S111" s="2056"/>
    </row>
    <row r="112" spans="1:19" ht="40.5" customHeight="1" x14ac:dyDescent="0.4">
      <c r="A112" s="3141"/>
      <c r="B112" s="3141"/>
      <c r="C112" s="3141"/>
      <c r="D112" s="3141"/>
      <c r="E112" s="3141"/>
      <c r="F112" s="3141"/>
      <c r="G112" s="3141"/>
      <c r="H112" s="3141"/>
      <c r="I112" s="3141"/>
      <c r="J112" s="3141"/>
      <c r="K112" s="3141"/>
      <c r="L112" s="3141"/>
      <c r="M112" s="3141"/>
      <c r="N112" s="3141"/>
      <c r="O112" s="3141"/>
      <c r="P112" s="3141"/>
      <c r="Q112" s="3141"/>
      <c r="R112" s="3141"/>
      <c r="S112" s="3141"/>
    </row>
    <row r="113" spans="1:19" ht="40.5" customHeight="1" x14ac:dyDescent="0.4">
      <c r="A113" s="3141"/>
      <c r="B113" s="3141"/>
      <c r="C113" s="3141"/>
      <c r="D113" s="3141"/>
      <c r="E113" s="3141"/>
      <c r="F113" s="3141"/>
      <c r="G113" s="3141"/>
      <c r="H113" s="3141"/>
      <c r="I113" s="3141"/>
      <c r="J113" s="3141"/>
      <c r="K113" s="3141"/>
      <c r="L113" s="3141"/>
      <c r="M113" s="3141"/>
      <c r="N113" s="3141"/>
      <c r="O113" s="3141"/>
      <c r="P113" s="3141"/>
      <c r="Q113" s="3141"/>
      <c r="R113" s="3141"/>
      <c r="S113" s="3141"/>
    </row>
    <row r="114" spans="1:19" ht="40.5" customHeight="1" x14ac:dyDescent="0.4">
      <c r="A114" s="3141"/>
      <c r="B114" s="3141"/>
      <c r="C114" s="3141"/>
      <c r="D114" s="3141"/>
      <c r="E114" s="3141"/>
      <c r="F114" s="3141"/>
      <c r="G114" s="3141"/>
      <c r="H114" s="3141"/>
      <c r="I114" s="3141"/>
      <c r="J114" s="3141"/>
      <c r="K114" s="3141"/>
      <c r="L114" s="3141"/>
      <c r="M114" s="3141"/>
      <c r="N114" s="3141"/>
      <c r="O114" s="3141"/>
      <c r="P114" s="3141"/>
      <c r="Q114" s="3141"/>
      <c r="R114" s="3141"/>
      <c r="S114" s="3141"/>
    </row>
    <row r="115" spans="1:19" ht="40.5" customHeight="1" x14ac:dyDescent="0.4">
      <c r="A115" s="3141"/>
      <c r="B115" s="3141"/>
      <c r="C115" s="3141"/>
      <c r="D115" s="3141"/>
      <c r="E115" s="3141"/>
      <c r="F115" s="3141"/>
      <c r="G115" s="3141"/>
      <c r="H115" s="3141"/>
      <c r="I115" s="3141"/>
      <c r="J115" s="3141"/>
      <c r="K115" s="3141"/>
      <c r="L115" s="3141"/>
      <c r="M115" s="3141"/>
      <c r="N115" s="3141"/>
      <c r="O115" s="3141"/>
      <c r="P115" s="3141"/>
      <c r="Q115" s="3141"/>
      <c r="R115" s="3141"/>
      <c r="S115" s="3141"/>
    </row>
    <row r="116" spans="1:19" ht="40.5" customHeight="1" x14ac:dyDescent="0.4">
      <c r="A116" s="3141"/>
      <c r="B116" s="3141"/>
      <c r="C116" s="3141"/>
      <c r="D116" s="3141"/>
      <c r="E116" s="3141"/>
      <c r="F116" s="3141"/>
      <c r="G116" s="3141"/>
      <c r="H116" s="3141"/>
      <c r="I116" s="3141"/>
      <c r="J116" s="3141"/>
      <c r="K116" s="3141"/>
      <c r="L116" s="3141"/>
      <c r="M116" s="3141"/>
      <c r="N116" s="3141"/>
      <c r="O116" s="3141"/>
      <c r="P116" s="3141"/>
      <c r="Q116" s="3141"/>
      <c r="R116" s="3141"/>
      <c r="S116" s="3141"/>
    </row>
    <row r="117" spans="1:19" ht="40.5" customHeight="1" x14ac:dyDescent="0.4">
      <c r="A117" s="3141"/>
      <c r="B117" s="3141"/>
      <c r="C117" s="3141"/>
      <c r="D117" s="3141"/>
      <c r="E117" s="3141"/>
      <c r="F117" s="3141"/>
      <c r="G117" s="3141"/>
      <c r="H117" s="3141"/>
      <c r="I117" s="3141"/>
      <c r="J117" s="3141"/>
      <c r="K117" s="3141"/>
      <c r="L117" s="3141"/>
      <c r="M117" s="3141"/>
      <c r="N117" s="3141"/>
      <c r="O117" s="3141"/>
      <c r="P117" s="3141"/>
      <c r="Q117" s="3141"/>
      <c r="R117" s="3141"/>
      <c r="S117" s="3141"/>
    </row>
    <row r="118" spans="1:19" ht="40.5" customHeight="1" x14ac:dyDescent="0.4">
      <c r="A118" s="3142"/>
      <c r="B118" s="3142"/>
      <c r="C118" s="3142"/>
      <c r="D118" s="3142"/>
      <c r="E118" s="3142"/>
      <c r="F118" s="3142"/>
      <c r="G118" s="3142"/>
      <c r="H118" s="3142"/>
      <c r="I118" s="3142"/>
      <c r="J118" s="3142"/>
      <c r="K118" s="3142"/>
      <c r="L118" s="3142"/>
      <c r="M118" s="3142"/>
      <c r="N118" s="3142"/>
      <c r="O118" s="3142"/>
      <c r="P118" s="3142"/>
      <c r="Q118" s="3142"/>
      <c r="R118" s="3142"/>
      <c r="S118" s="3142"/>
    </row>
    <row r="119" spans="1:19" ht="40.5" customHeight="1" x14ac:dyDescent="0.4">
      <c r="A119" s="3143"/>
      <c r="B119" s="3143"/>
      <c r="C119" s="3143"/>
      <c r="D119" s="3143"/>
      <c r="E119" s="3143"/>
      <c r="F119" s="3143"/>
      <c r="G119" s="3143"/>
      <c r="H119" s="3143"/>
      <c r="I119" s="3143"/>
      <c r="J119" s="3143"/>
      <c r="K119" s="3143"/>
      <c r="L119" s="3143"/>
      <c r="M119" s="3143"/>
      <c r="N119" s="3143"/>
      <c r="O119" s="3143"/>
      <c r="P119" s="3143"/>
      <c r="Q119" s="3143"/>
      <c r="R119" s="3143"/>
      <c r="S119" s="3143"/>
    </row>
    <row r="120" spans="1:19" ht="40.5" customHeight="1" x14ac:dyDescent="0.4">
      <c r="A120" s="3139"/>
      <c r="B120" s="3139"/>
      <c r="C120" s="3139"/>
      <c r="D120" s="3139"/>
      <c r="E120" s="3139"/>
      <c r="F120" s="3139"/>
      <c r="G120" s="3139"/>
      <c r="H120" s="3139"/>
      <c r="I120" s="3139"/>
      <c r="J120" s="3139"/>
      <c r="K120" s="3139"/>
      <c r="L120" s="3139"/>
      <c r="M120" s="3139"/>
      <c r="N120" s="3139"/>
      <c r="O120" s="3139"/>
      <c r="P120" s="3139"/>
      <c r="Q120" s="3139"/>
      <c r="R120" s="3139"/>
      <c r="S120" s="3139"/>
    </row>
    <row r="121" spans="1:19" ht="40.5" customHeight="1" x14ac:dyDescent="0.4">
      <c r="A121" s="3144"/>
      <c r="B121" s="3144"/>
      <c r="C121" s="3144"/>
      <c r="D121" s="3144"/>
      <c r="E121" s="3144"/>
      <c r="F121" s="3144"/>
      <c r="G121" s="3144"/>
      <c r="H121" s="3144"/>
      <c r="I121" s="3144"/>
      <c r="J121" s="3144"/>
      <c r="K121" s="3144"/>
      <c r="L121" s="3144"/>
      <c r="M121" s="3144"/>
      <c r="N121" s="3144"/>
      <c r="O121" s="3144"/>
      <c r="P121" s="3144"/>
      <c r="Q121" s="3144"/>
      <c r="R121" s="3144"/>
      <c r="S121" s="3144"/>
    </row>
    <row r="122" spans="1:19" ht="40.5" customHeight="1" x14ac:dyDescent="0.4">
      <c r="A122" s="3138"/>
      <c r="B122" s="3138"/>
      <c r="C122" s="3138"/>
      <c r="D122" s="3138"/>
      <c r="E122" s="3138"/>
      <c r="F122" s="3138"/>
      <c r="G122" s="3138"/>
      <c r="H122" s="3138"/>
      <c r="I122" s="3138"/>
      <c r="J122" s="3138"/>
      <c r="K122" s="3138"/>
      <c r="L122" s="3138"/>
      <c r="M122" s="3138"/>
      <c r="N122" s="3138"/>
      <c r="O122" s="3138"/>
      <c r="P122" s="3138"/>
      <c r="Q122" s="3138"/>
      <c r="R122" s="3138"/>
      <c r="S122" s="3138"/>
    </row>
    <row r="123" spans="1:19" ht="40.5" customHeight="1" x14ac:dyDescent="0.4">
      <c r="A123" s="3138"/>
      <c r="B123" s="3138"/>
      <c r="C123" s="3138"/>
      <c r="D123" s="3138"/>
      <c r="E123" s="3138"/>
      <c r="F123" s="3138"/>
      <c r="G123" s="3138"/>
      <c r="H123" s="3138"/>
      <c r="I123" s="3138"/>
      <c r="J123" s="3138"/>
      <c r="K123" s="3138"/>
      <c r="L123" s="3138"/>
      <c r="M123" s="3138"/>
      <c r="N123" s="3138"/>
      <c r="O123" s="3138"/>
      <c r="P123" s="3138"/>
      <c r="Q123" s="3138"/>
      <c r="R123" s="3138"/>
      <c r="S123" s="3138"/>
    </row>
    <row r="124" spans="1:19" ht="40.5" customHeight="1" x14ac:dyDescent="0.4">
      <c r="A124" s="3139"/>
      <c r="B124" s="3139"/>
      <c r="C124" s="3139"/>
      <c r="D124" s="3139"/>
      <c r="E124" s="3139"/>
      <c r="F124" s="3139"/>
      <c r="G124" s="3139"/>
      <c r="H124" s="3139"/>
      <c r="I124" s="3139"/>
      <c r="J124" s="3139"/>
      <c r="K124" s="3139"/>
      <c r="L124" s="3139"/>
      <c r="M124" s="3139"/>
      <c r="N124" s="3139"/>
      <c r="O124" s="3139"/>
      <c r="P124" s="3139"/>
      <c r="Q124" s="3139"/>
      <c r="R124" s="3139"/>
      <c r="S124" s="3139"/>
    </row>
  </sheetData>
  <mergeCells count="56">
    <mergeCell ref="A1:B1"/>
    <mergeCell ref="C1:M1"/>
    <mergeCell ref="O1:Y1"/>
    <mergeCell ref="A2:B2"/>
    <mergeCell ref="C2:M2"/>
    <mergeCell ref="O2:Y2"/>
    <mergeCell ref="V5:W5"/>
    <mergeCell ref="X5:Y5"/>
    <mergeCell ref="C3:M3"/>
    <mergeCell ref="O3:Y3"/>
    <mergeCell ref="A4:B4"/>
    <mergeCell ref="C4:N4"/>
    <mergeCell ref="O4:Z4"/>
    <mergeCell ref="A5:A7"/>
    <mergeCell ref="B5:B6"/>
    <mergeCell ref="C5:G5"/>
    <mergeCell ref="H5:I5"/>
    <mergeCell ref="J5:K5"/>
    <mergeCell ref="AC5:AC7"/>
    <mergeCell ref="AD5:AD7"/>
    <mergeCell ref="F73:G73"/>
    <mergeCell ref="A79:B79"/>
    <mergeCell ref="C87:S87"/>
    <mergeCell ref="Z5:Z7"/>
    <mergeCell ref="AA5:AA7"/>
    <mergeCell ref="A69:B69"/>
    <mergeCell ref="A70:B70"/>
    <mergeCell ref="H71:I71"/>
    <mergeCell ref="J71:K71"/>
    <mergeCell ref="L71:M71"/>
    <mergeCell ref="L5:M5"/>
    <mergeCell ref="N5:N7"/>
    <mergeCell ref="O5:S5"/>
    <mergeCell ref="T5:U5"/>
    <mergeCell ref="A89:B89"/>
    <mergeCell ref="C97:S97"/>
    <mergeCell ref="A99:B99"/>
    <mergeCell ref="K99:M99"/>
    <mergeCell ref="L107:N107"/>
    <mergeCell ref="C107:E107"/>
    <mergeCell ref="A67:A68"/>
    <mergeCell ref="A123:S123"/>
    <mergeCell ref="A124:S124"/>
    <mergeCell ref="B78:E78"/>
    <mergeCell ref="A117:S117"/>
    <mergeCell ref="A118:S118"/>
    <mergeCell ref="A119:S119"/>
    <mergeCell ref="A120:S120"/>
    <mergeCell ref="A121:S121"/>
    <mergeCell ref="A122:S122"/>
    <mergeCell ref="A110:S110"/>
    <mergeCell ref="A112:S112"/>
    <mergeCell ref="A113:S113"/>
    <mergeCell ref="A114:S114"/>
    <mergeCell ref="A115:S115"/>
    <mergeCell ref="A116:S116"/>
  </mergeCells>
  <conditionalFormatting sqref="AC49:AC52 AC9:AC44">
    <cfRule type="containsText" dxfId="108" priority="4" operator="containsText" text="F">
      <formula>NOT(ISERROR(SEARCH("F",AC9)))</formula>
    </cfRule>
  </conditionalFormatting>
  <conditionalFormatting sqref="AC47">
    <cfRule type="containsText" dxfId="107" priority="1" operator="containsText" text="F">
      <formula>NOT(ISERROR(SEARCH("F",AC47)))</formula>
    </cfRule>
  </conditionalFormatting>
  <conditionalFormatting sqref="AC46 AC55:AC66">
    <cfRule type="containsText" dxfId="106" priority="3" operator="containsText" text="F">
      <formula>NOT(ISERROR(SEARCH("F",AC46)))</formula>
    </cfRule>
  </conditionalFormatting>
  <conditionalFormatting sqref="AC45 AC48 AC53:AC54">
    <cfRule type="containsText" dxfId="105" priority="2" operator="containsText" text="F">
      <formula>NOT(ISERROR(SEARCH("F",AC45)))</formula>
    </cfRule>
  </conditionalFormatting>
  <pageMargins left="0.70866141732283472" right="0.70866141732283472" top="0.74803149606299213" bottom="0.74803149606299213" header="0.31496062992125984" footer="0.31496062992125984"/>
  <pageSetup paperSize="8" scale="2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AA126"/>
  <sheetViews>
    <sheetView topLeftCell="A91" zoomScale="80" zoomScaleNormal="80" workbookViewId="0">
      <selection activeCell="P108" sqref="P108"/>
    </sheetView>
  </sheetViews>
  <sheetFormatPr defaultColWidth="9.140625" defaultRowHeight="18.75" x14ac:dyDescent="0.3"/>
  <cols>
    <col min="1" max="1" width="13.85546875" style="2271" customWidth="1"/>
    <col min="2" max="2" width="13.7109375" style="2271" customWidth="1"/>
    <col min="3" max="12" width="10.28515625" style="1116" customWidth="1"/>
    <col min="13" max="13" width="10.28515625" style="1181" customWidth="1"/>
    <col min="14" max="26" width="10.28515625" style="1116" customWidth="1"/>
    <col min="27" max="27" width="7.42578125" style="2271" customWidth="1"/>
    <col min="28" max="16384" width="9.140625" style="2271"/>
  </cols>
  <sheetData>
    <row r="1" spans="1:27" ht="19.5" thickBot="1" x14ac:dyDescent="0.35">
      <c r="A1" s="333"/>
    </row>
    <row r="2" spans="1:27" x14ac:dyDescent="0.3">
      <c r="A2" s="3268" t="s">
        <v>0</v>
      </c>
      <c r="B2" s="3269"/>
      <c r="C2" s="3270" t="s">
        <v>112</v>
      </c>
      <c r="D2" s="3271"/>
      <c r="E2" s="3271"/>
      <c r="F2" s="3271"/>
      <c r="G2" s="3271"/>
      <c r="H2" s="3271"/>
      <c r="I2" s="3271"/>
      <c r="J2" s="3271"/>
      <c r="K2" s="3271"/>
      <c r="L2" s="3271"/>
      <c r="M2" s="3272"/>
      <c r="N2" s="1182" t="s">
        <v>63</v>
      </c>
      <c r="O2" s="3273" t="s">
        <v>155</v>
      </c>
      <c r="P2" s="3274"/>
      <c r="Q2" s="3274"/>
      <c r="R2" s="3274"/>
      <c r="S2" s="3274"/>
      <c r="T2" s="3274"/>
      <c r="U2" s="3274"/>
      <c r="V2" s="3275"/>
      <c r="W2" s="1183"/>
      <c r="X2" s="1183"/>
      <c r="Y2" s="1183"/>
      <c r="Z2" s="1183"/>
      <c r="AA2" s="735"/>
    </row>
    <row r="3" spans="1:27" x14ac:dyDescent="0.3">
      <c r="A3" s="3276" t="s">
        <v>1</v>
      </c>
      <c r="B3" s="3277"/>
      <c r="C3" s="3278" t="s">
        <v>81</v>
      </c>
      <c r="D3" s="3279"/>
      <c r="E3" s="3279"/>
      <c r="F3" s="3279"/>
      <c r="G3" s="3279"/>
      <c r="H3" s="3279"/>
      <c r="I3" s="3279"/>
      <c r="J3" s="3279"/>
      <c r="K3" s="3279"/>
      <c r="L3" s="3279"/>
      <c r="M3" s="3280"/>
      <c r="N3" s="1184" t="s">
        <v>64</v>
      </c>
      <c r="O3" s="3281" t="s">
        <v>226</v>
      </c>
      <c r="P3" s="3282"/>
      <c r="Q3" s="3282"/>
      <c r="R3" s="3282"/>
      <c r="S3" s="3282"/>
      <c r="T3" s="3282"/>
      <c r="U3" s="3282"/>
      <c r="V3" s="3283"/>
      <c r="W3" s="1183"/>
      <c r="X3" s="1183"/>
      <c r="Y3" s="1183"/>
      <c r="Z3" s="1183"/>
      <c r="AA3" s="735"/>
    </row>
    <row r="4" spans="1:27" ht="19.5" thickBot="1" x14ac:dyDescent="0.35">
      <c r="A4" s="3260" t="s">
        <v>2</v>
      </c>
      <c r="B4" s="3261"/>
      <c r="C4" s="3251" t="s">
        <v>133</v>
      </c>
      <c r="D4" s="3252"/>
      <c r="E4" s="3252"/>
      <c r="F4" s="3252"/>
      <c r="G4" s="3252"/>
      <c r="H4" s="3252"/>
      <c r="I4" s="3252"/>
      <c r="J4" s="3252"/>
      <c r="K4" s="3252"/>
      <c r="L4" s="3252"/>
      <c r="M4" s="3253"/>
      <c r="N4" s="1185" t="s">
        <v>65</v>
      </c>
      <c r="O4" s="3254" t="s">
        <v>66</v>
      </c>
      <c r="P4" s="3255"/>
      <c r="Q4" s="3255"/>
      <c r="R4" s="3255"/>
      <c r="S4" s="3255"/>
      <c r="T4" s="3255"/>
      <c r="U4" s="3255"/>
      <c r="V4" s="3256"/>
      <c r="W4" s="1183"/>
      <c r="X4" s="1183"/>
      <c r="Y4" s="1183"/>
      <c r="Z4" s="1183"/>
      <c r="AA4" s="735"/>
    </row>
    <row r="5" spans="1:27" ht="19.5" thickBot="1" x14ac:dyDescent="0.35">
      <c r="A5" s="3265" t="s">
        <v>18</v>
      </c>
      <c r="B5" s="3262" t="s">
        <v>5</v>
      </c>
      <c r="C5" s="3257" t="s">
        <v>3</v>
      </c>
      <c r="D5" s="3258"/>
      <c r="E5" s="3258"/>
      <c r="F5" s="3258"/>
      <c r="G5" s="3258"/>
      <c r="H5" s="3258"/>
      <c r="I5" s="3258"/>
      <c r="J5" s="3258"/>
      <c r="K5" s="3258"/>
      <c r="L5" s="3259"/>
      <c r="M5" s="3257" t="s">
        <v>4</v>
      </c>
      <c r="N5" s="3258"/>
      <c r="O5" s="3258"/>
      <c r="P5" s="3258"/>
      <c r="Q5" s="3258"/>
      <c r="R5" s="3258"/>
      <c r="S5" s="3258"/>
      <c r="T5" s="3258"/>
      <c r="U5" s="3258"/>
      <c r="V5" s="3259"/>
      <c r="W5" s="1186"/>
      <c r="X5" s="1187"/>
      <c r="Y5" s="1188"/>
      <c r="Z5" s="1188"/>
      <c r="AA5" s="2277"/>
    </row>
    <row r="6" spans="1:27" ht="15" customHeight="1" x14ac:dyDescent="0.3">
      <c r="A6" s="3266"/>
      <c r="B6" s="3263"/>
      <c r="C6" s="3240" t="s">
        <v>6</v>
      </c>
      <c r="D6" s="3241"/>
      <c r="E6" s="3241"/>
      <c r="F6" s="3241"/>
      <c r="G6" s="3242"/>
      <c r="H6" s="2381" t="s">
        <v>7</v>
      </c>
      <c r="I6" s="1189" t="s">
        <v>8</v>
      </c>
      <c r="J6" s="3249" t="s">
        <v>9</v>
      </c>
      <c r="K6" s="3250"/>
      <c r="L6" s="3235" t="s">
        <v>289</v>
      </c>
      <c r="M6" s="3240" t="s">
        <v>6</v>
      </c>
      <c r="N6" s="3241"/>
      <c r="O6" s="3241"/>
      <c r="P6" s="3241"/>
      <c r="Q6" s="3242"/>
      <c r="R6" s="3243" t="s">
        <v>7</v>
      </c>
      <c r="S6" s="3245" t="s">
        <v>8</v>
      </c>
      <c r="T6" s="3247" t="s">
        <v>9</v>
      </c>
      <c r="U6" s="3235" t="s">
        <v>290</v>
      </c>
      <c r="V6" s="3235" t="s">
        <v>10</v>
      </c>
      <c r="W6" s="3226" t="s">
        <v>233</v>
      </c>
      <c r="X6" s="3226" t="s">
        <v>11</v>
      </c>
      <c r="Y6" s="3226" t="s">
        <v>12</v>
      </c>
    </row>
    <row r="7" spans="1:27" ht="15.75" customHeight="1" x14ac:dyDescent="0.3">
      <c r="A7" s="3266"/>
      <c r="B7" s="3264"/>
      <c r="C7" s="1190" t="s">
        <v>13</v>
      </c>
      <c r="D7" s="1191" t="s">
        <v>14</v>
      </c>
      <c r="E7" s="1191" t="s">
        <v>15</v>
      </c>
      <c r="F7" s="1191" t="s">
        <v>16</v>
      </c>
      <c r="G7" s="1192" t="s">
        <v>17</v>
      </c>
      <c r="H7" s="1193">
        <v>2</v>
      </c>
      <c r="I7" s="1191">
        <v>3</v>
      </c>
      <c r="J7" s="3231">
        <v>4</v>
      </c>
      <c r="K7" s="3232"/>
      <c r="L7" s="3236"/>
      <c r="M7" s="1190" t="s">
        <v>13</v>
      </c>
      <c r="N7" s="1191" t="s">
        <v>14</v>
      </c>
      <c r="O7" s="1191" t="s">
        <v>15</v>
      </c>
      <c r="P7" s="1191" t="s">
        <v>16</v>
      </c>
      <c r="Q7" s="1192" t="s">
        <v>17</v>
      </c>
      <c r="R7" s="3244"/>
      <c r="S7" s="3246"/>
      <c r="T7" s="3248"/>
      <c r="U7" s="3236"/>
      <c r="V7" s="3236"/>
      <c r="W7" s="3227"/>
      <c r="X7" s="3227"/>
      <c r="Y7" s="3227"/>
    </row>
    <row r="8" spans="1:27" ht="34.5" thickBot="1" x14ac:dyDescent="0.35">
      <c r="A8" s="3266"/>
      <c r="B8" s="1008" t="s">
        <v>19</v>
      </c>
      <c r="C8" s="1194">
        <v>1</v>
      </c>
      <c r="D8" s="1195">
        <v>1</v>
      </c>
      <c r="E8" s="1195">
        <v>2</v>
      </c>
      <c r="F8" s="1195">
        <v>3</v>
      </c>
      <c r="G8" s="1196">
        <v>3</v>
      </c>
      <c r="H8" s="1197">
        <v>1</v>
      </c>
      <c r="I8" s="1195">
        <v>2</v>
      </c>
      <c r="J8" s="1198">
        <v>3</v>
      </c>
      <c r="K8" s="1199">
        <v>2</v>
      </c>
      <c r="L8" s="3237"/>
      <c r="M8" s="1194">
        <v>3</v>
      </c>
      <c r="N8" s="1195">
        <v>3</v>
      </c>
      <c r="O8" s="1195">
        <v>4</v>
      </c>
      <c r="P8" s="1195">
        <v>4</v>
      </c>
      <c r="Q8" s="1196">
        <v>4</v>
      </c>
      <c r="R8" s="1194">
        <v>3</v>
      </c>
      <c r="S8" s="1195">
        <v>4</v>
      </c>
      <c r="T8" s="1200">
        <v>4</v>
      </c>
      <c r="U8" s="3237"/>
      <c r="V8" s="3237"/>
      <c r="W8" s="3228"/>
      <c r="X8" s="3227"/>
      <c r="Y8" s="3227"/>
    </row>
    <row r="9" spans="1:27" ht="33.75" thickBot="1" x14ac:dyDescent="0.35">
      <c r="A9" s="3267"/>
      <c r="B9" s="1009" t="s">
        <v>26</v>
      </c>
      <c r="C9" s="1201">
        <v>2</v>
      </c>
      <c r="D9" s="1202">
        <v>2</v>
      </c>
      <c r="E9" s="1202">
        <v>2</v>
      </c>
      <c r="F9" s="1202">
        <v>2</v>
      </c>
      <c r="G9" s="1203">
        <v>2</v>
      </c>
      <c r="H9" s="1204">
        <v>10</v>
      </c>
      <c r="I9" s="1202">
        <v>10</v>
      </c>
      <c r="J9" s="1202">
        <v>5</v>
      </c>
      <c r="K9" s="1205">
        <v>5</v>
      </c>
      <c r="L9" s="1206">
        <v>30</v>
      </c>
      <c r="M9" s="1201">
        <v>2</v>
      </c>
      <c r="N9" s="1202">
        <v>2</v>
      </c>
      <c r="O9" s="1202">
        <v>2</v>
      </c>
      <c r="P9" s="1202">
        <v>2</v>
      </c>
      <c r="Q9" s="1203">
        <v>2</v>
      </c>
      <c r="R9" s="1201">
        <v>10</v>
      </c>
      <c r="S9" s="1202">
        <v>10</v>
      </c>
      <c r="T9" s="1202">
        <v>10</v>
      </c>
      <c r="U9" s="1207">
        <v>30</v>
      </c>
      <c r="V9" s="1202">
        <v>30</v>
      </c>
      <c r="W9" s="1203">
        <v>10</v>
      </c>
      <c r="X9" s="3228"/>
      <c r="Y9" s="3228"/>
    </row>
    <row r="10" spans="1:27" x14ac:dyDescent="0.3">
      <c r="A10" s="985">
        <v>1</v>
      </c>
      <c r="B10" s="484">
        <v>5191421001</v>
      </c>
      <c r="C10" s="1208">
        <v>2</v>
      </c>
      <c r="D10" s="1158">
        <v>0</v>
      </c>
      <c r="E10" s="1158">
        <v>2</v>
      </c>
      <c r="F10" s="1158">
        <v>1</v>
      </c>
      <c r="G10" s="1209">
        <v>0</v>
      </c>
      <c r="H10" s="1210"/>
      <c r="I10" s="1158">
        <v>6</v>
      </c>
      <c r="J10" s="1156"/>
      <c r="K10" s="1211"/>
      <c r="L10" s="1212">
        <f t="shared" ref="L10:L41" si="0">SUM(C10:K10)</f>
        <v>11</v>
      </c>
      <c r="M10" s="1213">
        <v>1</v>
      </c>
      <c r="N10" s="1214">
        <v>2</v>
      </c>
      <c r="O10" s="1214">
        <v>2</v>
      </c>
      <c r="P10" s="1214"/>
      <c r="Q10" s="1215">
        <v>1</v>
      </c>
      <c r="R10" s="1216"/>
      <c r="S10" s="1156">
        <v>2</v>
      </c>
      <c r="T10" s="1156">
        <v>2</v>
      </c>
      <c r="U10" s="1217">
        <f t="shared" ref="U10:U41" si="1">SUM(M10:T10)</f>
        <v>10</v>
      </c>
      <c r="V10" s="1156">
        <f t="shared" ref="V10:V67" si="2">ROUND(AVERAGE(L10,U10),0)</f>
        <v>11</v>
      </c>
      <c r="W10" s="1156">
        <v>10</v>
      </c>
      <c r="X10" s="1218" t="s">
        <v>33</v>
      </c>
      <c r="Y10" s="1156">
        <f>IF(X10="O",100,IF(X10="A+",90,IF(X10="A",80,IF(X10="B+",70,IF(X10="B",60,IF(X10="C",55,IF(X10="P",50,IF(X10="F",39))))))))</f>
        <v>60</v>
      </c>
    </row>
    <row r="11" spans="1:27" x14ac:dyDescent="0.3">
      <c r="A11" s="985">
        <v>2</v>
      </c>
      <c r="B11" s="484">
        <v>5191421002</v>
      </c>
      <c r="C11" s="1219">
        <v>2</v>
      </c>
      <c r="D11" s="2396">
        <v>2</v>
      </c>
      <c r="E11" s="2396">
        <v>1</v>
      </c>
      <c r="F11" s="2396"/>
      <c r="G11" s="1220"/>
      <c r="H11" s="1138">
        <v>8</v>
      </c>
      <c r="I11" s="2396">
        <v>4</v>
      </c>
      <c r="J11" s="2396"/>
      <c r="K11" s="1221"/>
      <c r="L11" s="1222">
        <f t="shared" si="0"/>
        <v>17</v>
      </c>
      <c r="M11" s="1136">
        <v>2</v>
      </c>
      <c r="N11" s="1137">
        <v>1</v>
      </c>
      <c r="O11" s="1137">
        <v>2</v>
      </c>
      <c r="P11" s="1137">
        <v>2</v>
      </c>
      <c r="Q11" s="1220">
        <v>1</v>
      </c>
      <c r="R11" s="1138">
        <v>10</v>
      </c>
      <c r="S11" s="2396"/>
      <c r="T11" s="2396">
        <v>7</v>
      </c>
      <c r="U11" s="2348">
        <f t="shared" si="1"/>
        <v>25</v>
      </c>
      <c r="V11" s="2396">
        <f t="shared" si="2"/>
        <v>21</v>
      </c>
      <c r="W11" s="2396">
        <v>10</v>
      </c>
      <c r="X11" s="1223" t="s">
        <v>32</v>
      </c>
      <c r="Y11" s="2396">
        <f t="shared" ref="Y11:Y67" si="3">IF(X11="O",100,IF(X11="A+",90,IF(X11="A",80,IF(X11="B+",70,IF(X11="B",60,IF(X11="C",55,IF(X11="P",50,IF(X11="F",39))))))))</f>
        <v>70</v>
      </c>
    </row>
    <row r="12" spans="1:27" x14ac:dyDescent="0.3">
      <c r="A12" s="985">
        <v>3</v>
      </c>
      <c r="B12" s="484">
        <v>5191421003</v>
      </c>
      <c r="C12" s="1224">
        <v>2</v>
      </c>
      <c r="D12" s="1137">
        <v>2</v>
      </c>
      <c r="E12" s="1137"/>
      <c r="F12" s="1137"/>
      <c r="G12" s="1220"/>
      <c r="H12" s="1138">
        <v>10</v>
      </c>
      <c r="I12" s="2396">
        <v>5</v>
      </c>
      <c r="J12" s="2396"/>
      <c r="K12" s="1221"/>
      <c r="L12" s="1222">
        <f t="shared" si="0"/>
        <v>19</v>
      </c>
      <c r="M12" s="1136">
        <v>2</v>
      </c>
      <c r="N12" s="1137">
        <v>2</v>
      </c>
      <c r="O12" s="1137">
        <v>1</v>
      </c>
      <c r="P12" s="1137">
        <v>2</v>
      </c>
      <c r="Q12" s="1220">
        <v>1</v>
      </c>
      <c r="R12" s="1138">
        <v>10</v>
      </c>
      <c r="S12" s="2396">
        <v>10</v>
      </c>
      <c r="T12" s="2396">
        <v>8</v>
      </c>
      <c r="U12" s="2348">
        <v>28</v>
      </c>
      <c r="V12" s="2396">
        <f t="shared" si="2"/>
        <v>24</v>
      </c>
      <c r="W12" s="2396">
        <v>10</v>
      </c>
      <c r="X12" s="1223" t="s">
        <v>30</v>
      </c>
      <c r="Y12" s="2396">
        <f t="shared" si="3"/>
        <v>90</v>
      </c>
    </row>
    <row r="13" spans="1:27" x14ac:dyDescent="0.3">
      <c r="A13" s="985">
        <v>4</v>
      </c>
      <c r="B13" s="484">
        <v>5191421004</v>
      </c>
      <c r="C13" s="1219">
        <v>2</v>
      </c>
      <c r="D13" s="1137">
        <v>2</v>
      </c>
      <c r="E13" s="1137"/>
      <c r="F13" s="1137"/>
      <c r="G13" s="1220"/>
      <c r="H13" s="1138"/>
      <c r="I13" s="2396"/>
      <c r="J13" s="2396"/>
      <c r="K13" s="1221"/>
      <c r="L13" s="1222">
        <f t="shared" si="0"/>
        <v>4</v>
      </c>
      <c r="M13" s="1136">
        <v>1</v>
      </c>
      <c r="N13" s="1137">
        <v>0</v>
      </c>
      <c r="O13" s="1137">
        <v>1</v>
      </c>
      <c r="P13" s="1137"/>
      <c r="Q13" s="1220"/>
      <c r="R13" s="1138">
        <v>4</v>
      </c>
      <c r="S13" s="2396"/>
      <c r="T13" s="2396"/>
      <c r="U13" s="2348">
        <f t="shared" si="1"/>
        <v>6</v>
      </c>
      <c r="V13" s="2396">
        <f t="shared" si="2"/>
        <v>5</v>
      </c>
      <c r="W13" s="2396">
        <v>10</v>
      </c>
      <c r="X13" s="1223" t="s">
        <v>33</v>
      </c>
      <c r="Y13" s="2396">
        <f t="shared" si="3"/>
        <v>60</v>
      </c>
    </row>
    <row r="14" spans="1:27" x14ac:dyDescent="0.3">
      <c r="A14" s="985">
        <v>5</v>
      </c>
      <c r="B14" s="484">
        <v>5191421005</v>
      </c>
      <c r="C14" s="1224"/>
      <c r="D14" s="1137"/>
      <c r="E14" s="1137"/>
      <c r="F14" s="1137"/>
      <c r="G14" s="1220"/>
      <c r="H14" s="1138"/>
      <c r="I14" s="2396">
        <v>4</v>
      </c>
      <c r="J14" s="2396"/>
      <c r="K14" s="1221"/>
      <c r="L14" s="1222">
        <f t="shared" si="0"/>
        <v>4</v>
      </c>
      <c r="M14" s="1136">
        <v>1</v>
      </c>
      <c r="N14" s="1137">
        <v>1</v>
      </c>
      <c r="O14" s="1137">
        <v>2</v>
      </c>
      <c r="P14" s="1137"/>
      <c r="Q14" s="1220"/>
      <c r="R14" s="1138">
        <v>3</v>
      </c>
      <c r="S14" s="2396">
        <v>3</v>
      </c>
      <c r="T14" s="2396"/>
      <c r="U14" s="2348">
        <f t="shared" si="1"/>
        <v>10</v>
      </c>
      <c r="V14" s="2396">
        <f t="shared" si="2"/>
        <v>7</v>
      </c>
      <c r="W14" s="2396">
        <v>10</v>
      </c>
      <c r="X14" s="1223" t="s">
        <v>32</v>
      </c>
      <c r="Y14" s="2396">
        <f t="shared" si="3"/>
        <v>70</v>
      </c>
    </row>
    <row r="15" spans="1:27" x14ac:dyDescent="0.3">
      <c r="A15" s="985">
        <v>6</v>
      </c>
      <c r="B15" s="484">
        <v>5191421006</v>
      </c>
      <c r="C15" s="1224">
        <v>2</v>
      </c>
      <c r="D15" s="1137">
        <v>2</v>
      </c>
      <c r="E15" s="1137"/>
      <c r="F15" s="1137"/>
      <c r="G15" s="1220">
        <v>1</v>
      </c>
      <c r="H15" s="1138">
        <v>6</v>
      </c>
      <c r="I15" s="2396">
        <v>2</v>
      </c>
      <c r="J15" s="2396"/>
      <c r="K15" s="1221"/>
      <c r="L15" s="1222">
        <f t="shared" si="0"/>
        <v>13</v>
      </c>
      <c r="M15" s="1136">
        <v>2</v>
      </c>
      <c r="N15" s="1137">
        <v>2</v>
      </c>
      <c r="O15" s="1137">
        <v>2</v>
      </c>
      <c r="P15" s="1137">
        <v>1</v>
      </c>
      <c r="Q15" s="1220">
        <v>1</v>
      </c>
      <c r="R15" s="1138">
        <v>7</v>
      </c>
      <c r="S15" s="2396"/>
      <c r="T15" s="2396">
        <v>3</v>
      </c>
      <c r="U15" s="2348">
        <f t="shared" si="1"/>
        <v>18</v>
      </c>
      <c r="V15" s="2396">
        <f t="shared" si="2"/>
        <v>16</v>
      </c>
      <c r="W15" s="2396">
        <v>10</v>
      </c>
      <c r="X15" s="1223" t="s">
        <v>32</v>
      </c>
      <c r="Y15" s="2396">
        <f t="shared" si="3"/>
        <v>70</v>
      </c>
    </row>
    <row r="16" spans="1:27" x14ac:dyDescent="0.3">
      <c r="A16" s="985">
        <v>7</v>
      </c>
      <c r="B16" s="484">
        <v>5191421007</v>
      </c>
      <c r="C16" s="1224">
        <v>1</v>
      </c>
      <c r="D16" s="1137">
        <v>0</v>
      </c>
      <c r="E16" s="1137">
        <v>2</v>
      </c>
      <c r="F16" s="1137"/>
      <c r="G16" s="1220">
        <v>0</v>
      </c>
      <c r="H16" s="1138">
        <v>2</v>
      </c>
      <c r="I16" s="2396">
        <v>4</v>
      </c>
      <c r="J16" s="2396"/>
      <c r="K16" s="1221"/>
      <c r="L16" s="1222">
        <f t="shared" si="0"/>
        <v>9</v>
      </c>
      <c r="M16" s="1136">
        <v>1</v>
      </c>
      <c r="N16" s="1137">
        <v>1</v>
      </c>
      <c r="O16" s="1137">
        <v>2</v>
      </c>
      <c r="P16" s="1137">
        <v>1</v>
      </c>
      <c r="Q16" s="1220">
        <v>1</v>
      </c>
      <c r="R16" s="1138">
        <v>1</v>
      </c>
      <c r="S16" s="2396">
        <v>4</v>
      </c>
      <c r="T16" s="2396">
        <v>8</v>
      </c>
      <c r="U16" s="2348">
        <v>18</v>
      </c>
      <c r="V16" s="2396">
        <f t="shared" si="2"/>
        <v>14</v>
      </c>
      <c r="W16" s="2396">
        <v>10</v>
      </c>
      <c r="X16" s="1223" t="s">
        <v>32</v>
      </c>
      <c r="Y16" s="2396">
        <f t="shared" si="3"/>
        <v>70</v>
      </c>
    </row>
    <row r="17" spans="1:25" x14ac:dyDescent="0.3">
      <c r="A17" s="985">
        <v>8</v>
      </c>
      <c r="B17" s="484">
        <v>5191421008</v>
      </c>
      <c r="C17" s="1224">
        <v>1</v>
      </c>
      <c r="D17" s="1137">
        <v>2</v>
      </c>
      <c r="E17" s="1137"/>
      <c r="F17" s="1137"/>
      <c r="G17" s="1220">
        <v>1</v>
      </c>
      <c r="H17" s="1138">
        <v>2</v>
      </c>
      <c r="I17" s="2396" t="s">
        <v>84</v>
      </c>
      <c r="J17" s="2396"/>
      <c r="K17" s="1221"/>
      <c r="L17" s="1222">
        <f t="shared" si="0"/>
        <v>6</v>
      </c>
      <c r="M17" s="1136">
        <v>2</v>
      </c>
      <c r="N17" s="1137">
        <v>1</v>
      </c>
      <c r="O17" s="1137">
        <v>1</v>
      </c>
      <c r="P17" s="1137"/>
      <c r="Q17" s="1220"/>
      <c r="R17" s="1138">
        <v>3</v>
      </c>
      <c r="S17" s="2396">
        <v>2</v>
      </c>
      <c r="T17" s="2396">
        <v>3</v>
      </c>
      <c r="U17" s="2348">
        <v>10</v>
      </c>
      <c r="V17" s="2396">
        <f t="shared" si="2"/>
        <v>8</v>
      </c>
      <c r="W17" s="2396">
        <v>10</v>
      </c>
      <c r="X17" s="1223" t="s">
        <v>32</v>
      </c>
      <c r="Y17" s="2396">
        <f t="shared" si="3"/>
        <v>70</v>
      </c>
    </row>
    <row r="18" spans="1:25" x14ac:dyDescent="0.3">
      <c r="A18" s="985">
        <v>9</v>
      </c>
      <c r="B18" s="484">
        <v>5191421009</v>
      </c>
      <c r="C18" s="1219">
        <v>2</v>
      </c>
      <c r="D18" s="2396">
        <v>0</v>
      </c>
      <c r="E18" s="2396"/>
      <c r="F18" s="2396"/>
      <c r="G18" s="1220"/>
      <c r="H18" s="1138">
        <v>4</v>
      </c>
      <c r="I18" s="2396"/>
      <c r="J18" s="2396"/>
      <c r="K18" s="1221"/>
      <c r="L18" s="1222">
        <f t="shared" si="0"/>
        <v>6</v>
      </c>
      <c r="M18" s="1136">
        <v>2</v>
      </c>
      <c r="N18" s="1137">
        <v>2</v>
      </c>
      <c r="O18" s="1137">
        <v>2</v>
      </c>
      <c r="P18" s="1137">
        <v>1</v>
      </c>
      <c r="Q18" s="1220">
        <v>1</v>
      </c>
      <c r="R18" s="1138">
        <v>4</v>
      </c>
      <c r="S18" s="2396">
        <v>3</v>
      </c>
      <c r="T18" s="2396">
        <v>3</v>
      </c>
      <c r="U18" s="2348">
        <v>15</v>
      </c>
      <c r="V18" s="2396">
        <f t="shared" si="2"/>
        <v>11</v>
      </c>
      <c r="W18" s="2396">
        <v>10</v>
      </c>
      <c r="X18" s="1223" t="s">
        <v>27</v>
      </c>
      <c r="Y18" s="2396">
        <f t="shared" si="3"/>
        <v>80</v>
      </c>
    </row>
    <row r="19" spans="1:25" x14ac:dyDescent="0.3">
      <c r="A19" s="985">
        <v>10</v>
      </c>
      <c r="B19" s="484">
        <v>5191421010</v>
      </c>
      <c r="C19" s="1224">
        <v>2</v>
      </c>
      <c r="D19" s="1137">
        <v>2</v>
      </c>
      <c r="E19" s="1137">
        <v>2</v>
      </c>
      <c r="F19" s="1137"/>
      <c r="G19" s="1220"/>
      <c r="H19" s="1138"/>
      <c r="I19" s="2396">
        <v>4</v>
      </c>
      <c r="J19" s="2396"/>
      <c r="K19" s="1221"/>
      <c r="L19" s="1222">
        <f t="shared" si="0"/>
        <v>10</v>
      </c>
      <c r="M19" s="1136">
        <v>2</v>
      </c>
      <c r="N19" s="1137">
        <v>2</v>
      </c>
      <c r="O19" s="1137">
        <v>2</v>
      </c>
      <c r="P19" s="1137">
        <v>0</v>
      </c>
      <c r="Q19" s="1220">
        <v>1</v>
      </c>
      <c r="R19" s="1138">
        <v>9</v>
      </c>
      <c r="S19" s="2396"/>
      <c r="T19" s="2396">
        <v>3</v>
      </c>
      <c r="U19" s="2348">
        <f t="shared" si="1"/>
        <v>19</v>
      </c>
      <c r="V19" s="2396">
        <f t="shared" si="2"/>
        <v>15</v>
      </c>
      <c r="W19" s="2396">
        <v>10</v>
      </c>
      <c r="X19" s="1223" t="s">
        <v>33</v>
      </c>
      <c r="Y19" s="2396">
        <f t="shared" si="3"/>
        <v>60</v>
      </c>
    </row>
    <row r="20" spans="1:25" x14ac:dyDescent="0.3">
      <c r="A20" s="985">
        <v>11</v>
      </c>
      <c r="B20" s="484">
        <v>5191421011</v>
      </c>
      <c r="C20" s="1224">
        <v>2</v>
      </c>
      <c r="D20" s="1137">
        <v>2</v>
      </c>
      <c r="E20" s="1137"/>
      <c r="F20" s="1137"/>
      <c r="G20" s="1220"/>
      <c r="H20" s="1138">
        <v>9</v>
      </c>
      <c r="I20" s="2396">
        <v>5</v>
      </c>
      <c r="J20" s="2396"/>
      <c r="K20" s="1221"/>
      <c r="L20" s="1222">
        <f t="shared" si="0"/>
        <v>18</v>
      </c>
      <c r="M20" s="1136">
        <v>2</v>
      </c>
      <c r="N20" s="1137">
        <v>2</v>
      </c>
      <c r="O20" s="1137">
        <v>2</v>
      </c>
      <c r="P20" s="1137">
        <v>2</v>
      </c>
      <c r="Q20" s="1220">
        <v>1</v>
      </c>
      <c r="R20" s="1138">
        <v>9</v>
      </c>
      <c r="S20" s="2396">
        <v>9</v>
      </c>
      <c r="T20" s="2396"/>
      <c r="U20" s="2348">
        <f t="shared" si="1"/>
        <v>27</v>
      </c>
      <c r="V20" s="2396">
        <f t="shared" si="2"/>
        <v>23</v>
      </c>
      <c r="W20" s="2396">
        <v>10</v>
      </c>
      <c r="X20" s="1223" t="s">
        <v>30</v>
      </c>
      <c r="Y20" s="2396">
        <f t="shared" si="3"/>
        <v>90</v>
      </c>
    </row>
    <row r="21" spans="1:25" x14ac:dyDescent="0.3">
      <c r="A21" s="985">
        <v>12</v>
      </c>
      <c r="B21" s="484">
        <v>5191421012</v>
      </c>
      <c r="C21" s="1224">
        <v>2</v>
      </c>
      <c r="D21" s="1137">
        <v>0</v>
      </c>
      <c r="E21" s="1137">
        <v>2</v>
      </c>
      <c r="F21" s="1137">
        <v>2</v>
      </c>
      <c r="G21" s="1220"/>
      <c r="H21" s="1138">
        <v>1</v>
      </c>
      <c r="I21" s="2396">
        <v>3</v>
      </c>
      <c r="J21" s="2396"/>
      <c r="K21" s="1221"/>
      <c r="L21" s="1222">
        <v>10</v>
      </c>
      <c r="M21" s="1136">
        <v>1</v>
      </c>
      <c r="N21" s="1137">
        <v>0</v>
      </c>
      <c r="O21" s="1137">
        <v>1</v>
      </c>
      <c r="P21" s="1137"/>
      <c r="Q21" s="1220"/>
      <c r="R21" s="1138">
        <v>9</v>
      </c>
      <c r="S21" s="2396"/>
      <c r="T21" s="2396"/>
      <c r="U21" s="2348">
        <f t="shared" si="1"/>
        <v>11</v>
      </c>
      <c r="V21" s="2396">
        <f t="shared" si="2"/>
        <v>11</v>
      </c>
      <c r="W21" s="2396">
        <v>10</v>
      </c>
      <c r="X21" s="1223" t="s">
        <v>28</v>
      </c>
      <c r="Y21" s="2396">
        <f t="shared" si="3"/>
        <v>50</v>
      </c>
    </row>
    <row r="22" spans="1:25" x14ac:dyDescent="0.3">
      <c r="A22" s="985">
        <v>13</v>
      </c>
      <c r="B22" s="484">
        <v>5191421013</v>
      </c>
      <c r="C22" s="1224">
        <v>1</v>
      </c>
      <c r="D22" s="1137">
        <v>2</v>
      </c>
      <c r="E22" s="1137">
        <v>1</v>
      </c>
      <c r="F22" s="1137"/>
      <c r="G22" s="1220">
        <v>1</v>
      </c>
      <c r="H22" s="1138">
        <v>7</v>
      </c>
      <c r="I22" s="2396">
        <v>3</v>
      </c>
      <c r="J22" s="2396"/>
      <c r="K22" s="1221"/>
      <c r="L22" s="1222">
        <f t="shared" si="0"/>
        <v>15</v>
      </c>
      <c r="M22" s="1136">
        <v>1</v>
      </c>
      <c r="N22" s="1137">
        <v>2</v>
      </c>
      <c r="O22" s="1137">
        <v>2</v>
      </c>
      <c r="P22" s="1137">
        <v>2</v>
      </c>
      <c r="Q22" s="1220">
        <v>1</v>
      </c>
      <c r="R22" s="1138">
        <v>10</v>
      </c>
      <c r="S22" s="2396">
        <v>7</v>
      </c>
      <c r="T22" s="2396">
        <v>1</v>
      </c>
      <c r="U22" s="2348">
        <v>25</v>
      </c>
      <c r="V22" s="2396">
        <f t="shared" si="2"/>
        <v>20</v>
      </c>
      <c r="W22" s="2396">
        <v>10</v>
      </c>
      <c r="X22" s="1223" t="s">
        <v>30</v>
      </c>
      <c r="Y22" s="2396">
        <f t="shared" si="3"/>
        <v>90</v>
      </c>
    </row>
    <row r="23" spans="1:25" x14ac:dyDescent="0.3">
      <c r="A23" s="985">
        <v>14</v>
      </c>
      <c r="B23" s="484">
        <v>5191421014</v>
      </c>
      <c r="C23" s="1224">
        <v>2</v>
      </c>
      <c r="D23" s="1137">
        <v>2</v>
      </c>
      <c r="E23" s="1137"/>
      <c r="F23" s="1137"/>
      <c r="G23" s="1220"/>
      <c r="H23" s="1138">
        <v>5</v>
      </c>
      <c r="I23" s="2396"/>
      <c r="J23" s="2396"/>
      <c r="K23" s="1221"/>
      <c r="L23" s="1222">
        <f t="shared" si="0"/>
        <v>9</v>
      </c>
      <c r="M23" s="1136">
        <v>1</v>
      </c>
      <c r="N23" s="1137">
        <v>1</v>
      </c>
      <c r="O23" s="1137">
        <v>2</v>
      </c>
      <c r="P23" s="1137"/>
      <c r="Q23" s="1220">
        <v>1</v>
      </c>
      <c r="R23" s="1138">
        <v>10</v>
      </c>
      <c r="S23" s="2396"/>
      <c r="T23" s="2396"/>
      <c r="U23" s="2348">
        <f t="shared" si="1"/>
        <v>15</v>
      </c>
      <c r="V23" s="2396">
        <f t="shared" si="2"/>
        <v>12</v>
      </c>
      <c r="W23" s="2396">
        <v>10</v>
      </c>
      <c r="X23" s="1223" t="s">
        <v>31</v>
      </c>
      <c r="Y23" s="2396">
        <f t="shared" si="3"/>
        <v>55</v>
      </c>
    </row>
    <row r="24" spans="1:25" x14ac:dyDescent="0.3">
      <c r="A24" s="985">
        <v>15</v>
      </c>
      <c r="B24" s="484">
        <v>5191421015</v>
      </c>
      <c r="C24" s="1224">
        <v>2</v>
      </c>
      <c r="D24" s="1137">
        <v>1</v>
      </c>
      <c r="E24" s="1137"/>
      <c r="F24" s="1137"/>
      <c r="G24" s="1220"/>
      <c r="H24" s="1138">
        <v>2</v>
      </c>
      <c r="I24" s="2396"/>
      <c r="J24" s="2396"/>
      <c r="K24" s="1221"/>
      <c r="L24" s="1222">
        <f t="shared" si="0"/>
        <v>5</v>
      </c>
      <c r="M24" s="1136">
        <v>0</v>
      </c>
      <c r="N24" s="1137">
        <v>0</v>
      </c>
      <c r="O24" s="1137">
        <v>2</v>
      </c>
      <c r="P24" s="1137"/>
      <c r="Q24" s="1220">
        <v>1</v>
      </c>
      <c r="R24" s="1138">
        <v>4</v>
      </c>
      <c r="S24" s="2396"/>
      <c r="T24" s="2396">
        <v>3</v>
      </c>
      <c r="U24" s="2348">
        <f t="shared" si="1"/>
        <v>10</v>
      </c>
      <c r="V24" s="2396">
        <f t="shared" si="2"/>
        <v>8</v>
      </c>
      <c r="W24" s="2396">
        <v>10</v>
      </c>
      <c r="X24" s="1223" t="s">
        <v>32</v>
      </c>
      <c r="Y24" s="2396">
        <f t="shared" si="3"/>
        <v>70</v>
      </c>
    </row>
    <row r="25" spans="1:25" x14ac:dyDescent="0.3">
      <c r="A25" s="985">
        <v>16</v>
      </c>
      <c r="B25" s="484">
        <v>5191421016</v>
      </c>
      <c r="C25" s="1224">
        <v>0</v>
      </c>
      <c r="D25" s="1137">
        <v>1</v>
      </c>
      <c r="E25" s="1137"/>
      <c r="F25" s="1137"/>
      <c r="G25" s="1220"/>
      <c r="H25" s="1138">
        <v>2</v>
      </c>
      <c r="I25" s="2396"/>
      <c r="J25" s="2396"/>
      <c r="K25" s="1221"/>
      <c r="L25" s="1222">
        <f t="shared" si="0"/>
        <v>3</v>
      </c>
      <c r="M25" s="1136">
        <v>0</v>
      </c>
      <c r="N25" s="1137">
        <v>1</v>
      </c>
      <c r="O25" s="1137">
        <v>2</v>
      </c>
      <c r="P25" s="1137"/>
      <c r="Q25" s="1220"/>
      <c r="R25" s="1138">
        <v>3</v>
      </c>
      <c r="S25" s="2396"/>
      <c r="T25" s="2396">
        <v>2</v>
      </c>
      <c r="U25" s="2348">
        <f t="shared" si="1"/>
        <v>8</v>
      </c>
      <c r="V25" s="2396">
        <f t="shared" si="2"/>
        <v>6</v>
      </c>
      <c r="W25" s="2396">
        <v>10</v>
      </c>
      <c r="X25" s="1223" t="s">
        <v>32</v>
      </c>
      <c r="Y25" s="2396">
        <f t="shared" si="3"/>
        <v>70</v>
      </c>
    </row>
    <row r="26" spans="1:25" x14ac:dyDescent="0.3">
      <c r="A26" s="985">
        <v>17</v>
      </c>
      <c r="B26" s="484">
        <v>5191421017</v>
      </c>
      <c r="C26" s="1224">
        <v>2</v>
      </c>
      <c r="D26" s="1137">
        <v>1</v>
      </c>
      <c r="E26" s="1137">
        <v>1</v>
      </c>
      <c r="F26" s="1137"/>
      <c r="G26" s="1220">
        <v>1</v>
      </c>
      <c r="H26" s="1138"/>
      <c r="I26" s="2396"/>
      <c r="J26" s="2396"/>
      <c r="K26" s="1221"/>
      <c r="L26" s="1222">
        <f t="shared" si="0"/>
        <v>5</v>
      </c>
      <c r="M26" s="1136">
        <v>2</v>
      </c>
      <c r="N26" s="1137">
        <v>2</v>
      </c>
      <c r="O26" s="1137">
        <v>1</v>
      </c>
      <c r="P26" s="1137"/>
      <c r="Q26" s="1220"/>
      <c r="R26" s="1138">
        <v>3</v>
      </c>
      <c r="S26" s="2396">
        <v>1</v>
      </c>
      <c r="T26" s="2396">
        <v>9</v>
      </c>
      <c r="U26" s="2348">
        <v>17</v>
      </c>
      <c r="V26" s="2396">
        <f t="shared" si="2"/>
        <v>11</v>
      </c>
      <c r="W26" s="2396">
        <v>10</v>
      </c>
      <c r="X26" s="1223" t="s">
        <v>33</v>
      </c>
      <c r="Y26" s="2396">
        <f t="shared" si="3"/>
        <v>60</v>
      </c>
    </row>
    <row r="27" spans="1:25" x14ac:dyDescent="0.3">
      <c r="A27" s="985">
        <v>18</v>
      </c>
      <c r="B27" s="484">
        <v>5191421018</v>
      </c>
      <c r="C27" s="1219">
        <v>1</v>
      </c>
      <c r="D27" s="1137"/>
      <c r="E27" s="1137"/>
      <c r="F27" s="1137"/>
      <c r="G27" s="1220"/>
      <c r="H27" s="1138"/>
      <c r="I27" s="2396"/>
      <c r="J27" s="2396"/>
      <c r="K27" s="1221"/>
      <c r="L27" s="1222">
        <f t="shared" si="0"/>
        <v>1</v>
      </c>
      <c r="M27" s="1136">
        <v>1</v>
      </c>
      <c r="N27" s="1137"/>
      <c r="O27" s="1137"/>
      <c r="P27" s="1137"/>
      <c r="Q27" s="1220"/>
      <c r="R27" s="1138">
        <v>3</v>
      </c>
      <c r="S27" s="2396"/>
      <c r="T27" s="2396">
        <v>3</v>
      </c>
      <c r="U27" s="2348">
        <f t="shared" si="1"/>
        <v>7</v>
      </c>
      <c r="V27" s="2396">
        <f t="shared" si="2"/>
        <v>4</v>
      </c>
      <c r="W27" s="2396">
        <v>10</v>
      </c>
      <c r="X27" s="1223" t="s">
        <v>32</v>
      </c>
      <c r="Y27" s="2396">
        <f t="shared" si="3"/>
        <v>70</v>
      </c>
    </row>
    <row r="28" spans="1:25" x14ac:dyDescent="0.3">
      <c r="A28" s="985">
        <v>19</v>
      </c>
      <c r="B28" s="484">
        <v>5191421019</v>
      </c>
      <c r="C28" s="1136">
        <v>2</v>
      </c>
      <c r="D28" s="2396">
        <v>2</v>
      </c>
      <c r="E28" s="2396">
        <v>1</v>
      </c>
      <c r="F28" s="2396">
        <v>2</v>
      </c>
      <c r="G28" s="1220">
        <v>1</v>
      </c>
      <c r="H28" s="1138">
        <v>3</v>
      </c>
      <c r="I28" s="2396">
        <v>8</v>
      </c>
      <c r="J28" s="2396"/>
      <c r="K28" s="1221"/>
      <c r="L28" s="1222">
        <f t="shared" si="0"/>
        <v>19</v>
      </c>
      <c r="M28" s="1136">
        <v>2</v>
      </c>
      <c r="N28" s="2396">
        <v>2</v>
      </c>
      <c r="O28" s="2396">
        <v>2</v>
      </c>
      <c r="P28" s="2396">
        <v>2</v>
      </c>
      <c r="Q28" s="1220">
        <v>1</v>
      </c>
      <c r="R28" s="1138">
        <v>10</v>
      </c>
      <c r="S28" s="2396">
        <v>10</v>
      </c>
      <c r="T28" s="2396">
        <v>10</v>
      </c>
      <c r="U28" s="2348">
        <v>29</v>
      </c>
      <c r="V28" s="2396">
        <f t="shared" si="2"/>
        <v>24</v>
      </c>
      <c r="W28" s="2396">
        <v>10</v>
      </c>
      <c r="X28" s="1223" t="s">
        <v>30</v>
      </c>
      <c r="Y28" s="2396">
        <f t="shared" si="3"/>
        <v>90</v>
      </c>
    </row>
    <row r="29" spans="1:25" x14ac:dyDescent="0.3">
      <c r="A29" s="985">
        <v>20</v>
      </c>
      <c r="B29" s="484">
        <v>5191421020</v>
      </c>
      <c r="C29" s="1138">
        <v>2</v>
      </c>
      <c r="D29" s="2396">
        <v>2</v>
      </c>
      <c r="E29" s="2396"/>
      <c r="F29" s="2396">
        <v>1</v>
      </c>
      <c r="G29" s="1220"/>
      <c r="H29" s="1138">
        <v>6</v>
      </c>
      <c r="I29" s="2396">
        <v>6</v>
      </c>
      <c r="J29" s="2396"/>
      <c r="K29" s="1221"/>
      <c r="L29" s="1222">
        <f t="shared" si="0"/>
        <v>17</v>
      </c>
      <c r="M29" s="1138">
        <v>1</v>
      </c>
      <c r="N29" s="2396">
        <v>2</v>
      </c>
      <c r="O29" s="2396">
        <v>2</v>
      </c>
      <c r="P29" s="2396">
        <v>2</v>
      </c>
      <c r="Q29" s="1220">
        <v>1</v>
      </c>
      <c r="R29" s="1138">
        <v>10</v>
      </c>
      <c r="S29" s="2396"/>
      <c r="T29" s="2396">
        <v>10</v>
      </c>
      <c r="U29" s="2348">
        <f t="shared" si="1"/>
        <v>28</v>
      </c>
      <c r="V29" s="2396">
        <f t="shared" si="2"/>
        <v>23</v>
      </c>
      <c r="W29" s="2396">
        <v>10</v>
      </c>
      <c r="X29" s="1223" t="s">
        <v>30</v>
      </c>
      <c r="Y29" s="2396">
        <f t="shared" si="3"/>
        <v>90</v>
      </c>
    </row>
    <row r="30" spans="1:25" x14ac:dyDescent="0.3">
      <c r="A30" s="985">
        <v>21</v>
      </c>
      <c r="B30" s="484">
        <v>5191421021</v>
      </c>
      <c r="C30" s="1136">
        <v>2</v>
      </c>
      <c r="D30" s="2396">
        <v>0</v>
      </c>
      <c r="E30" s="2396">
        <v>2</v>
      </c>
      <c r="F30" s="2396"/>
      <c r="G30" s="1220"/>
      <c r="H30" s="1138">
        <v>4</v>
      </c>
      <c r="I30" s="2396">
        <v>2</v>
      </c>
      <c r="J30" s="2396"/>
      <c r="K30" s="1221"/>
      <c r="L30" s="1222">
        <f t="shared" si="0"/>
        <v>10</v>
      </c>
      <c r="M30" s="1136">
        <v>2</v>
      </c>
      <c r="N30" s="2396">
        <v>2</v>
      </c>
      <c r="O30" s="2396">
        <v>2</v>
      </c>
      <c r="P30" s="2396">
        <v>1</v>
      </c>
      <c r="Q30" s="1220"/>
      <c r="R30" s="1138">
        <v>6</v>
      </c>
      <c r="S30" s="2396">
        <v>6</v>
      </c>
      <c r="T30" s="2396">
        <v>5</v>
      </c>
      <c r="U30" s="2348">
        <v>19</v>
      </c>
      <c r="V30" s="2396">
        <f t="shared" si="2"/>
        <v>15</v>
      </c>
      <c r="W30" s="2396">
        <v>10</v>
      </c>
      <c r="X30" s="1223" t="s">
        <v>32</v>
      </c>
      <c r="Y30" s="2396">
        <f t="shared" si="3"/>
        <v>70</v>
      </c>
    </row>
    <row r="31" spans="1:25" x14ac:dyDescent="0.3">
      <c r="A31" s="985">
        <v>22</v>
      </c>
      <c r="B31" s="484">
        <v>5191421022</v>
      </c>
      <c r="C31" s="1136">
        <v>2</v>
      </c>
      <c r="D31" s="2396">
        <v>1</v>
      </c>
      <c r="E31" s="2396"/>
      <c r="F31" s="2396"/>
      <c r="G31" s="1220"/>
      <c r="H31" s="1138"/>
      <c r="I31" s="2396"/>
      <c r="J31" s="2396"/>
      <c r="K31" s="1221"/>
      <c r="L31" s="1222">
        <f t="shared" si="0"/>
        <v>3</v>
      </c>
      <c r="M31" s="1136">
        <v>1</v>
      </c>
      <c r="N31" s="2396">
        <v>1</v>
      </c>
      <c r="O31" s="2396">
        <v>1</v>
      </c>
      <c r="P31" s="2396">
        <v>1</v>
      </c>
      <c r="Q31" s="1220"/>
      <c r="R31" s="1138">
        <v>4</v>
      </c>
      <c r="S31" s="2396"/>
      <c r="T31" s="2396">
        <v>4</v>
      </c>
      <c r="U31" s="2348">
        <f t="shared" si="1"/>
        <v>12</v>
      </c>
      <c r="V31" s="2396">
        <f t="shared" si="2"/>
        <v>8</v>
      </c>
      <c r="W31" s="2396">
        <v>10</v>
      </c>
      <c r="X31" s="1223" t="s">
        <v>27</v>
      </c>
      <c r="Y31" s="2396">
        <f t="shared" si="3"/>
        <v>80</v>
      </c>
    </row>
    <row r="32" spans="1:25" x14ac:dyDescent="0.3">
      <c r="A32" s="985">
        <v>23</v>
      </c>
      <c r="B32" s="484">
        <v>5191421023</v>
      </c>
      <c r="C32" s="1136">
        <v>2</v>
      </c>
      <c r="D32" s="2396">
        <v>1</v>
      </c>
      <c r="E32" s="2396"/>
      <c r="F32" s="2396"/>
      <c r="G32" s="1220"/>
      <c r="H32" s="1138"/>
      <c r="I32" s="2396">
        <v>6</v>
      </c>
      <c r="J32" s="2396"/>
      <c r="K32" s="1221"/>
      <c r="L32" s="1222">
        <f t="shared" si="0"/>
        <v>9</v>
      </c>
      <c r="M32" s="1136"/>
      <c r="N32" s="2396">
        <v>2</v>
      </c>
      <c r="O32" s="2396">
        <v>2</v>
      </c>
      <c r="P32" s="2396"/>
      <c r="Q32" s="1220"/>
      <c r="R32" s="1138">
        <v>1</v>
      </c>
      <c r="S32" s="2396"/>
      <c r="T32" s="2396">
        <v>6</v>
      </c>
      <c r="U32" s="2348">
        <f t="shared" si="1"/>
        <v>11</v>
      </c>
      <c r="V32" s="2396">
        <f t="shared" si="2"/>
        <v>10</v>
      </c>
      <c r="W32" s="2396">
        <v>10</v>
      </c>
      <c r="X32" s="1223" t="s">
        <v>29</v>
      </c>
      <c r="Y32" s="2396">
        <f t="shared" si="3"/>
        <v>39</v>
      </c>
    </row>
    <row r="33" spans="1:25" x14ac:dyDescent="0.3">
      <c r="A33" s="985">
        <v>24</v>
      </c>
      <c r="B33" s="484">
        <v>5191421024</v>
      </c>
      <c r="C33" s="1136"/>
      <c r="D33" s="2396"/>
      <c r="E33" s="2396"/>
      <c r="F33" s="2396"/>
      <c r="G33" s="1220"/>
      <c r="H33" s="1138"/>
      <c r="I33" s="2396"/>
      <c r="J33" s="2396"/>
      <c r="K33" s="1221"/>
      <c r="L33" s="1222">
        <f t="shared" si="0"/>
        <v>0</v>
      </c>
      <c r="M33" s="1136"/>
      <c r="N33" s="2396">
        <v>1</v>
      </c>
      <c r="O33" s="2396">
        <v>2</v>
      </c>
      <c r="P33" s="2396"/>
      <c r="Q33" s="1220"/>
      <c r="R33" s="1138"/>
      <c r="S33" s="2396"/>
      <c r="T33" s="2396"/>
      <c r="U33" s="2348">
        <f t="shared" si="1"/>
        <v>3</v>
      </c>
      <c r="V33" s="2396">
        <f t="shared" si="2"/>
        <v>2</v>
      </c>
      <c r="W33" s="2396">
        <v>10</v>
      </c>
      <c r="X33" s="1223" t="s">
        <v>29</v>
      </c>
      <c r="Y33" s="2396">
        <f t="shared" si="3"/>
        <v>39</v>
      </c>
    </row>
    <row r="34" spans="1:25" x14ac:dyDescent="0.3">
      <c r="A34" s="985">
        <v>25</v>
      </c>
      <c r="B34" s="484">
        <v>5191421025</v>
      </c>
      <c r="C34" s="1136">
        <v>2</v>
      </c>
      <c r="D34" s="2396">
        <v>2</v>
      </c>
      <c r="E34" s="2396">
        <v>2</v>
      </c>
      <c r="F34" s="2396">
        <v>1</v>
      </c>
      <c r="G34" s="1220">
        <v>1</v>
      </c>
      <c r="H34" s="1138">
        <v>7</v>
      </c>
      <c r="I34" s="2396">
        <v>6</v>
      </c>
      <c r="J34" s="2396"/>
      <c r="K34" s="1221"/>
      <c r="L34" s="1222">
        <f t="shared" si="0"/>
        <v>21</v>
      </c>
      <c r="M34" s="1136">
        <v>2</v>
      </c>
      <c r="N34" s="2396">
        <v>2</v>
      </c>
      <c r="O34" s="2396">
        <v>2</v>
      </c>
      <c r="P34" s="2396">
        <v>2</v>
      </c>
      <c r="Q34" s="1220">
        <v>1</v>
      </c>
      <c r="R34" s="1138"/>
      <c r="S34" s="2396">
        <v>8</v>
      </c>
      <c r="T34" s="2396">
        <v>10</v>
      </c>
      <c r="U34" s="2348">
        <f t="shared" si="1"/>
        <v>27</v>
      </c>
      <c r="V34" s="2396">
        <f t="shared" si="2"/>
        <v>24</v>
      </c>
      <c r="W34" s="2396">
        <v>10</v>
      </c>
      <c r="X34" s="1223" t="s">
        <v>30</v>
      </c>
      <c r="Y34" s="2396">
        <f t="shared" si="3"/>
        <v>90</v>
      </c>
    </row>
    <row r="35" spans="1:25" x14ac:dyDescent="0.3">
      <c r="A35" s="985">
        <v>26</v>
      </c>
      <c r="B35" s="484">
        <v>5191421026</v>
      </c>
      <c r="C35" s="1136">
        <v>2</v>
      </c>
      <c r="D35" s="2396"/>
      <c r="E35" s="2396"/>
      <c r="F35" s="2396"/>
      <c r="G35" s="1220"/>
      <c r="H35" s="1138">
        <v>1</v>
      </c>
      <c r="I35" s="2396"/>
      <c r="J35" s="2396"/>
      <c r="K35" s="1221"/>
      <c r="L35" s="1222">
        <f t="shared" si="0"/>
        <v>3</v>
      </c>
      <c r="M35" s="1136">
        <v>2</v>
      </c>
      <c r="N35" s="2396">
        <v>2</v>
      </c>
      <c r="O35" s="2396">
        <v>2</v>
      </c>
      <c r="P35" s="2396"/>
      <c r="Q35" s="1220"/>
      <c r="R35" s="1138">
        <v>3</v>
      </c>
      <c r="S35" s="2396">
        <v>1</v>
      </c>
      <c r="T35" s="2396">
        <v>7</v>
      </c>
      <c r="U35" s="2348">
        <v>16</v>
      </c>
      <c r="V35" s="2396">
        <f t="shared" si="2"/>
        <v>10</v>
      </c>
      <c r="W35" s="2396">
        <v>10</v>
      </c>
      <c r="X35" s="1223" t="s">
        <v>33</v>
      </c>
      <c r="Y35" s="2396">
        <f t="shared" si="3"/>
        <v>60</v>
      </c>
    </row>
    <row r="36" spans="1:25" x14ac:dyDescent="0.3">
      <c r="A36" s="985">
        <v>27</v>
      </c>
      <c r="B36" s="484">
        <v>5191421027</v>
      </c>
      <c r="C36" s="1136">
        <v>2</v>
      </c>
      <c r="D36" s="2396"/>
      <c r="E36" s="2396">
        <v>1</v>
      </c>
      <c r="F36" s="2396"/>
      <c r="G36" s="1220"/>
      <c r="H36" s="1138">
        <v>5</v>
      </c>
      <c r="I36" s="2396">
        <v>4</v>
      </c>
      <c r="J36" s="2396"/>
      <c r="K36" s="1221"/>
      <c r="L36" s="1222">
        <f t="shared" si="0"/>
        <v>12</v>
      </c>
      <c r="M36" s="1136">
        <v>2</v>
      </c>
      <c r="N36" s="2396">
        <v>2</v>
      </c>
      <c r="O36" s="2396">
        <v>2</v>
      </c>
      <c r="P36" s="2396">
        <v>2</v>
      </c>
      <c r="Q36" s="1220">
        <v>1</v>
      </c>
      <c r="R36" s="1138">
        <v>5</v>
      </c>
      <c r="S36" s="2396">
        <v>10</v>
      </c>
      <c r="T36" s="2396">
        <v>10</v>
      </c>
      <c r="U36" s="2348">
        <v>29</v>
      </c>
      <c r="V36" s="2396">
        <f t="shared" si="2"/>
        <v>21</v>
      </c>
      <c r="W36" s="2396">
        <v>10</v>
      </c>
      <c r="X36" s="1223" t="s">
        <v>30</v>
      </c>
      <c r="Y36" s="2396">
        <f t="shared" si="3"/>
        <v>90</v>
      </c>
    </row>
    <row r="37" spans="1:25" x14ac:dyDescent="0.3">
      <c r="A37" s="985">
        <v>28</v>
      </c>
      <c r="B37" s="484">
        <v>5191421028</v>
      </c>
      <c r="C37" s="1136">
        <v>2</v>
      </c>
      <c r="D37" s="2396">
        <v>2</v>
      </c>
      <c r="E37" s="2396">
        <v>1</v>
      </c>
      <c r="F37" s="2396"/>
      <c r="G37" s="1220"/>
      <c r="H37" s="1138">
        <v>7</v>
      </c>
      <c r="I37" s="2396">
        <v>5</v>
      </c>
      <c r="J37" s="2396"/>
      <c r="K37" s="1221"/>
      <c r="L37" s="1222">
        <f t="shared" si="0"/>
        <v>17</v>
      </c>
      <c r="M37" s="1136">
        <v>2</v>
      </c>
      <c r="N37" s="2396">
        <v>1</v>
      </c>
      <c r="O37" s="2396">
        <v>2</v>
      </c>
      <c r="P37" s="2396">
        <v>2</v>
      </c>
      <c r="Q37" s="1220"/>
      <c r="R37" s="1138"/>
      <c r="S37" s="2396">
        <v>10</v>
      </c>
      <c r="T37" s="2396">
        <v>9</v>
      </c>
      <c r="U37" s="2348">
        <f t="shared" si="1"/>
        <v>26</v>
      </c>
      <c r="V37" s="2396">
        <f t="shared" si="2"/>
        <v>22</v>
      </c>
      <c r="W37" s="2396">
        <v>10</v>
      </c>
      <c r="X37" s="1223" t="s">
        <v>30</v>
      </c>
      <c r="Y37" s="2396">
        <f t="shared" si="3"/>
        <v>90</v>
      </c>
    </row>
    <row r="38" spans="1:25" x14ac:dyDescent="0.3">
      <c r="A38" s="985">
        <v>29</v>
      </c>
      <c r="B38" s="484">
        <v>5191421029</v>
      </c>
      <c r="C38" s="1136"/>
      <c r="D38" s="2396"/>
      <c r="E38" s="2396"/>
      <c r="F38" s="2396"/>
      <c r="G38" s="1220"/>
      <c r="H38" s="1138"/>
      <c r="I38" s="2396"/>
      <c r="J38" s="2396"/>
      <c r="K38" s="1221"/>
      <c r="L38" s="1222">
        <f t="shared" si="0"/>
        <v>0</v>
      </c>
      <c r="M38" s="1136">
        <v>1</v>
      </c>
      <c r="N38" s="2396">
        <v>1</v>
      </c>
      <c r="O38" s="2396">
        <v>2</v>
      </c>
      <c r="P38" s="2396"/>
      <c r="Q38" s="1220">
        <v>1</v>
      </c>
      <c r="R38" s="1138">
        <v>2</v>
      </c>
      <c r="S38" s="2396">
        <v>2</v>
      </c>
      <c r="T38" s="2396">
        <v>5</v>
      </c>
      <c r="U38" s="2348">
        <v>12</v>
      </c>
      <c r="V38" s="2396">
        <f t="shared" si="2"/>
        <v>6</v>
      </c>
      <c r="W38" s="2396">
        <v>10</v>
      </c>
      <c r="X38" s="1223" t="s">
        <v>32</v>
      </c>
      <c r="Y38" s="2396">
        <f t="shared" si="3"/>
        <v>70</v>
      </c>
    </row>
    <row r="39" spans="1:25" x14ac:dyDescent="0.3">
      <c r="A39" s="985">
        <v>30</v>
      </c>
      <c r="B39" s="484">
        <v>5191421030</v>
      </c>
      <c r="C39" s="1136"/>
      <c r="D39" s="2396"/>
      <c r="E39" s="2396"/>
      <c r="F39" s="2396"/>
      <c r="G39" s="1220"/>
      <c r="H39" s="1138"/>
      <c r="I39" s="2396"/>
      <c r="J39" s="2396"/>
      <c r="K39" s="1221"/>
      <c r="L39" s="1222">
        <f t="shared" si="0"/>
        <v>0</v>
      </c>
      <c r="M39" s="1136">
        <v>0</v>
      </c>
      <c r="N39" s="2396">
        <v>2</v>
      </c>
      <c r="O39" s="2396">
        <v>2</v>
      </c>
      <c r="P39" s="2396"/>
      <c r="Q39" s="1220"/>
      <c r="R39" s="1138">
        <v>1</v>
      </c>
      <c r="S39" s="2396"/>
      <c r="T39" s="2396">
        <v>2</v>
      </c>
      <c r="U39" s="2348">
        <f t="shared" si="1"/>
        <v>7</v>
      </c>
      <c r="V39" s="2396">
        <f t="shared" si="2"/>
        <v>4</v>
      </c>
      <c r="W39" s="2396">
        <v>10</v>
      </c>
      <c r="X39" s="1223" t="s">
        <v>32</v>
      </c>
      <c r="Y39" s="2396">
        <f t="shared" si="3"/>
        <v>70</v>
      </c>
    </row>
    <row r="40" spans="1:25" x14ac:dyDescent="0.3">
      <c r="A40" s="985">
        <v>31</v>
      </c>
      <c r="B40" s="484">
        <v>5191421031</v>
      </c>
      <c r="C40" s="1219">
        <v>2</v>
      </c>
      <c r="D40" s="1225"/>
      <c r="E40" s="1225">
        <v>1</v>
      </c>
      <c r="F40" s="1225"/>
      <c r="G40" s="1226"/>
      <c r="H40" s="1219"/>
      <c r="I40" s="2396"/>
      <c r="J40" s="2396"/>
      <c r="K40" s="1221"/>
      <c r="L40" s="1222">
        <f t="shared" si="0"/>
        <v>3</v>
      </c>
      <c r="M40" s="1136">
        <v>1</v>
      </c>
      <c r="N40" s="2396">
        <v>2</v>
      </c>
      <c r="O40" s="2396">
        <v>2</v>
      </c>
      <c r="P40" s="2396"/>
      <c r="Q40" s="1220"/>
      <c r="R40" s="1138">
        <v>4</v>
      </c>
      <c r="S40" s="2396"/>
      <c r="T40" s="2396">
        <v>6</v>
      </c>
      <c r="U40" s="2348">
        <f t="shared" si="1"/>
        <v>15</v>
      </c>
      <c r="V40" s="2396">
        <f t="shared" si="2"/>
        <v>9</v>
      </c>
      <c r="W40" s="2396">
        <v>10</v>
      </c>
      <c r="X40" s="1223" t="s">
        <v>31</v>
      </c>
      <c r="Y40" s="2396">
        <f t="shared" si="3"/>
        <v>55</v>
      </c>
    </row>
    <row r="41" spans="1:25" x14ac:dyDescent="0.3">
      <c r="A41" s="985">
        <v>32</v>
      </c>
      <c r="B41" s="484">
        <v>5191421032</v>
      </c>
      <c r="C41" s="1138">
        <v>0</v>
      </c>
      <c r="D41" s="2396"/>
      <c r="E41" s="2396"/>
      <c r="F41" s="2396"/>
      <c r="G41" s="1220"/>
      <c r="H41" s="1138"/>
      <c r="I41" s="2396"/>
      <c r="J41" s="2396"/>
      <c r="K41" s="1221"/>
      <c r="L41" s="1222">
        <f t="shared" si="0"/>
        <v>0</v>
      </c>
      <c r="M41" s="1138">
        <v>1</v>
      </c>
      <c r="N41" s="2396">
        <v>1</v>
      </c>
      <c r="O41" s="2396">
        <v>1</v>
      </c>
      <c r="P41" s="2396"/>
      <c r="Q41" s="1220"/>
      <c r="R41" s="1138">
        <v>0</v>
      </c>
      <c r="S41" s="2396">
        <v>4</v>
      </c>
      <c r="T41" s="2396"/>
      <c r="U41" s="2348">
        <f t="shared" si="1"/>
        <v>7</v>
      </c>
      <c r="V41" s="2396">
        <f t="shared" si="2"/>
        <v>4</v>
      </c>
      <c r="W41" s="2396">
        <v>10</v>
      </c>
      <c r="X41" s="1223" t="s">
        <v>33</v>
      </c>
      <c r="Y41" s="2396">
        <f t="shared" si="3"/>
        <v>60</v>
      </c>
    </row>
    <row r="42" spans="1:25" x14ac:dyDescent="0.3">
      <c r="A42" s="985">
        <v>33</v>
      </c>
      <c r="B42" s="484">
        <v>5191421033</v>
      </c>
      <c r="C42" s="1136">
        <v>2</v>
      </c>
      <c r="D42" s="2396">
        <v>2</v>
      </c>
      <c r="E42" s="2396"/>
      <c r="F42" s="2396"/>
      <c r="G42" s="1220"/>
      <c r="H42" s="1138">
        <v>5</v>
      </c>
      <c r="I42" s="2396">
        <v>4</v>
      </c>
      <c r="J42" s="2396"/>
      <c r="K42" s="1221"/>
      <c r="L42" s="1222">
        <f t="shared" ref="L42:L67" si="4">SUM(C42:K42)</f>
        <v>13</v>
      </c>
      <c r="M42" s="1136">
        <v>2</v>
      </c>
      <c r="N42" s="2396">
        <v>2</v>
      </c>
      <c r="O42" s="2396">
        <v>2</v>
      </c>
      <c r="P42" s="2396">
        <v>2</v>
      </c>
      <c r="Q42" s="1220">
        <v>2</v>
      </c>
      <c r="R42" s="1138">
        <v>10</v>
      </c>
      <c r="S42" s="2396">
        <v>10</v>
      </c>
      <c r="T42" s="2396">
        <v>10</v>
      </c>
      <c r="U42" s="2348">
        <v>30</v>
      </c>
      <c r="V42" s="2396">
        <f t="shared" si="2"/>
        <v>22</v>
      </c>
      <c r="W42" s="2396">
        <v>10</v>
      </c>
      <c r="X42" s="1223" t="s">
        <v>27</v>
      </c>
      <c r="Y42" s="2396">
        <f t="shared" si="3"/>
        <v>80</v>
      </c>
    </row>
    <row r="43" spans="1:25" x14ac:dyDescent="0.3">
      <c r="A43" s="985">
        <v>34</v>
      </c>
      <c r="B43" s="484">
        <v>5191421034</v>
      </c>
      <c r="C43" s="1136">
        <v>2</v>
      </c>
      <c r="D43" s="2396">
        <v>1</v>
      </c>
      <c r="E43" s="2396">
        <v>2</v>
      </c>
      <c r="F43" s="2396"/>
      <c r="G43" s="1220"/>
      <c r="H43" s="1138">
        <v>6</v>
      </c>
      <c r="I43" s="2396">
        <v>8</v>
      </c>
      <c r="J43" s="2396"/>
      <c r="K43" s="1221"/>
      <c r="L43" s="1222">
        <f t="shared" si="4"/>
        <v>19</v>
      </c>
      <c r="M43" s="1138">
        <v>2</v>
      </c>
      <c r="N43" s="2396">
        <v>2</v>
      </c>
      <c r="O43" s="2396">
        <v>1</v>
      </c>
      <c r="P43" s="2396">
        <v>2</v>
      </c>
      <c r="Q43" s="1220">
        <v>1</v>
      </c>
      <c r="R43" s="1138">
        <v>10</v>
      </c>
      <c r="S43" s="2396">
        <v>8</v>
      </c>
      <c r="T43" s="2396">
        <v>9</v>
      </c>
      <c r="U43" s="2348">
        <v>27</v>
      </c>
      <c r="V43" s="2396">
        <f t="shared" si="2"/>
        <v>23</v>
      </c>
      <c r="W43" s="2396">
        <v>10</v>
      </c>
      <c r="X43" s="1223" t="s">
        <v>27</v>
      </c>
      <c r="Y43" s="2396">
        <f t="shared" si="3"/>
        <v>80</v>
      </c>
    </row>
    <row r="44" spans="1:25" x14ac:dyDescent="0.3">
      <c r="A44" s="985">
        <v>35</v>
      </c>
      <c r="B44" s="484">
        <v>5191421035</v>
      </c>
      <c r="C44" s="1136">
        <v>2</v>
      </c>
      <c r="D44" s="2396"/>
      <c r="E44" s="2396"/>
      <c r="F44" s="2396"/>
      <c r="G44" s="1220"/>
      <c r="H44" s="1138"/>
      <c r="I44" s="2396"/>
      <c r="J44" s="2396"/>
      <c r="K44" s="1221"/>
      <c r="L44" s="1222">
        <f t="shared" si="4"/>
        <v>2</v>
      </c>
      <c r="M44" s="1136"/>
      <c r="N44" s="2396"/>
      <c r="O44" s="2396">
        <v>2</v>
      </c>
      <c r="P44" s="2396"/>
      <c r="Q44" s="1220"/>
      <c r="R44" s="1138">
        <v>4</v>
      </c>
      <c r="S44" s="2396"/>
      <c r="T44" s="2396"/>
      <c r="U44" s="2348">
        <f t="shared" ref="U44:U67" si="5">SUM(M44:T44)</f>
        <v>6</v>
      </c>
      <c r="V44" s="2396">
        <f t="shared" si="2"/>
        <v>4</v>
      </c>
      <c r="W44" s="2396">
        <v>10</v>
      </c>
      <c r="X44" s="1223" t="s">
        <v>28</v>
      </c>
      <c r="Y44" s="2396">
        <f t="shared" si="3"/>
        <v>50</v>
      </c>
    </row>
    <row r="45" spans="1:25" x14ac:dyDescent="0.3">
      <c r="A45" s="985">
        <v>36</v>
      </c>
      <c r="B45" s="484">
        <v>5191421036</v>
      </c>
      <c r="C45" s="1136">
        <v>2</v>
      </c>
      <c r="D45" s="2396">
        <v>1</v>
      </c>
      <c r="E45" s="2396"/>
      <c r="F45" s="2396"/>
      <c r="G45" s="1220"/>
      <c r="H45" s="1138">
        <v>6</v>
      </c>
      <c r="I45" s="2396"/>
      <c r="J45" s="2396"/>
      <c r="K45" s="1221"/>
      <c r="L45" s="1222">
        <f t="shared" si="4"/>
        <v>9</v>
      </c>
      <c r="M45" s="1136">
        <v>1</v>
      </c>
      <c r="N45" s="2396">
        <v>2</v>
      </c>
      <c r="O45" s="2396">
        <v>2</v>
      </c>
      <c r="P45" s="2396">
        <v>2</v>
      </c>
      <c r="Q45" s="1220">
        <v>1</v>
      </c>
      <c r="R45" s="1138">
        <v>5</v>
      </c>
      <c r="S45" s="2396">
        <v>10</v>
      </c>
      <c r="T45" s="2396">
        <v>7</v>
      </c>
      <c r="U45" s="2348">
        <v>25</v>
      </c>
      <c r="V45" s="2396">
        <f t="shared" si="2"/>
        <v>17</v>
      </c>
      <c r="W45" s="2396">
        <v>10</v>
      </c>
      <c r="X45" s="1223" t="s">
        <v>32</v>
      </c>
      <c r="Y45" s="2396">
        <f t="shared" si="3"/>
        <v>70</v>
      </c>
    </row>
    <row r="46" spans="1:25" x14ac:dyDescent="0.3">
      <c r="A46" s="985">
        <v>37</v>
      </c>
      <c r="B46" s="484">
        <v>5191421037</v>
      </c>
      <c r="C46" s="1136"/>
      <c r="D46" s="2396"/>
      <c r="E46" s="2396"/>
      <c r="F46" s="2396"/>
      <c r="G46" s="1220"/>
      <c r="H46" s="1138"/>
      <c r="I46" s="2396"/>
      <c r="J46" s="2396"/>
      <c r="K46" s="1221"/>
      <c r="L46" s="1222">
        <f t="shared" si="4"/>
        <v>0</v>
      </c>
      <c r="M46" s="1136">
        <v>1</v>
      </c>
      <c r="N46" s="2396">
        <v>1</v>
      </c>
      <c r="O46" s="2396">
        <v>1</v>
      </c>
      <c r="P46" s="2396"/>
      <c r="Q46" s="1220"/>
      <c r="R46" s="1138">
        <v>5</v>
      </c>
      <c r="S46" s="2396">
        <v>1</v>
      </c>
      <c r="T46" s="2396"/>
      <c r="U46" s="2348">
        <f t="shared" si="5"/>
        <v>9</v>
      </c>
      <c r="V46" s="2396">
        <f t="shared" si="2"/>
        <v>5</v>
      </c>
      <c r="W46" s="2396">
        <v>10</v>
      </c>
      <c r="X46" s="1223" t="s">
        <v>154</v>
      </c>
      <c r="Y46" s="2396" t="b">
        <f t="shared" si="3"/>
        <v>0</v>
      </c>
    </row>
    <row r="47" spans="1:25" x14ac:dyDescent="0.3">
      <c r="A47" s="985">
        <v>38</v>
      </c>
      <c r="B47" s="484">
        <v>5191421038</v>
      </c>
      <c r="C47" s="1136">
        <v>1</v>
      </c>
      <c r="D47" s="2396"/>
      <c r="E47" s="2396"/>
      <c r="F47" s="2396"/>
      <c r="G47" s="1220"/>
      <c r="H47" s="1138"/>
      <c r="I47" s="2396"/>
      <c r="J47" s="2396"/>
      <c r="K47" s="1221"/>
      <c r="L47" s="1222">
        <f t="shared" si="4"/>
        <v>1</v>
      </c>
      <c r="M47" s="1136">
        <v>1</v>
      </c>
      <c r="N47" s="2396">
        <v>1</v>
      </c>
      <c r="O47" s="2396">
        <v>1</v>
      </c>
      <c r="P47" s="2396"/>
      <c r="Q47" s="1220"/>
      <c r="R47" s="1138">
        <v>5</v>
      </c>
      <c r="S47" s="2396"/>
      <c r="T47" s="2396">
        <v>1</v>
      </c>
      <c r="U47" s="2348">
        <f t="shared" si="5"/>
        <v>9</v>
      </c>
      <c r="V47" s="2396">
        <f t="shared" si="2"/>
        <v>5</v>
      </c>
      <c r="W47" s="2396">
        <v>10</v>
      </c>
      <c r="X47" s="1223" t="s">
        <v>32</v>
      </c>
      <c r="Y47" s="2396">
        <f t="shared" si="3"/>
        <v>70</v>
      </c>
    </row>
    <row r="48" spans="1:25" x14ac:dyDescent="0.3">
      <c r="A48" s="985">
        <v>39</v>
      </c>
      <c r="B48" s="484">
        <v>5191421039</v>
      </c>
      <c r="C48" s="1136">
        <v>2</v>
      </c>
      <c r="D48" s="2396">
        <v>0</v>
      </c>
      <c r="E48" s="2396">
        <v>1</v>
      </c>
      <c r="F48" s="2396"/>
      <c r="G48" s="1220"/>
      <c r="H48" s="1138">
        <v>6</v>
      </c>
      <c r="I48" s="2396">
        <v>3</v>
      </c>
      <c r="J48" s="2396"/>
      <c r="K48" s="1221"/>
      <c r="L48" s="1222">
        <f t="shared" si="4"/>
        <v>12</v>
      </c>
      <c r="M48" s="1136">
        <v>2</v>
      </c>
      <c r="N48" s="2396">
        <v>1</v>
      </c>
      <c r="O48" s="2396">
        <v>1</v>
      </c>
      <c r="P48" s="2396">
        <v>2</v>
      </c>
      <c r="Q48" s="1220">
        <v>1</v>
      </c>
      <c r="R48" s="1138">
        <v>9</v>
      </c>
      <c r="S48" s="2396"/>
      <c r="T48" s="2396">
        <v>7</v>
      </c>
      <c r="U48" s="2348">
        <f t="shared" si="5"/>
        <v>23</v>
      </c>
      <c r="V48" s="2396">
        <f t="shared" si="2"/>
        <v>18</v>
      </c>
      <c r="W48" s="2396">
        <v>10</v>
      </c>
      <c r="X48" s="1223" t="s">
        <v>32</v>
      </c>
      <c r="Y48" s="2396">
        <f t="shared" si="3"/>
        <v>70</v>
      </c>
    </row>
    <row r="49" spans="1:25" x14ac:dyDescent="0.3">
      <c r="A49" s="985">
        <v>40</v>
      </c>
      <c r="B49" s="484">
        <v>5191421040</v>
      </c>
      <c r="C49" s="1219">
        <v>1</v>
      </c>
      <c r="D49" s="2396">
        <v>2</v>
      </c>
      <c r="E49" s="2396">
        <v>1</v>
      </c>
      <c r="F49" s="2396">
        <v>1</v>
      </c>
      <c r="G49" s="1220"/>
      <c r="H49" s="1138">
        <v>2</v>
      </c>
      <c r="I49" s="2396">
        <v>7</v>
      </c>
      <c r="J49" s="2396"/>
      <c r="K49" s="1221"/>
      <c r="L49" s="1222">
        <f t="shared" si="4"/>
        <v>14</v>
      </c>
      <c r="M49" s="1136">
        <v>2</v>
      </c>
      <c r="N49" s="2396">
        <v>2</v>
      </c>
      <c r="O49" s="2396">
        <v>2</v>
      </c>
      <c r="P49" s="2396"/>
      <c r="Q49" s="1220"/>
      <c r="R49" s="1138">
        <v>4</v>
      </c>
      <c r="S49" s="2396"/>
      <c r="T49" s="2396">
        <v>5</v>
      </c>
      <c r="U49" s="2348">
        <f t="shared" si="5"/>
        <v>15</v>
      </c>
      <c r="V49" s="2396">
        <f t="shared" si="2"/>
        <v>15</v>
      </c>
      <c r="W49" s="2396">
        <v>10</v>
      </c>
      <c r="X49" s="1223" t="s">
        <v>32</v>
      </c>
      <c r="Y49" s="2396">
        <f t="shared" si="3"/>
        <v>70</v>
      </c>
    </row>
    <row r="50" spans="1:25" x14ac:dyDescent="0.3">
      <c r="A50" s="985">
        <v>41</v>
      </c>
      <c r="B50" s="484">
        <v>5191421041</v>
      </c>
      <c r="C50" s="1136">
        <v>2</v>
      </c>
      <c r="D50" s="2396">
        <v>2</v>
      </c>
      <c r="E50" s="2396">
        <v>2</v>
      </c>
      <c r="F50" s="2396">
        <v>1</v>
      </c>
      <c r="G50" s="1220"/>
      <c r="H50" s="1138">
        <v>5</v>
      </c>
      <c r="I50" s="2396"/>
      <c r="J50" s="2396"/>
      <c r="K50" s="1221"/>
      <c r="L50" s="1222">
        <f t="shared" si="4"/>
        <v>12</v>
      </c>
      <c r="M50" s="1136"/>
      <c r="N50" s="2396"/>
      <c r="O50" s="2396"/>
      <c r="P50" s="2396"/>
      <c r="Q50" s="1220"/>
      <c r="R50" s="1138">
        <v>5</v>
      </c>
      <c r="S50" s="2396"/>
      <c r="T50" s="2396"/>
      <c r="U50" s="2348">
        <f t="shared" si="5"/>
        <v>5</v>
      </c>
      <c r="V50" s="2396">
        <f t="shared" si="2"/>
        <v>9</v>
      </c>
      <c r="W50" s="2396">
        <v>10</v>
      </c>
      <c r="X50" s="1223" t="s">
        <v>29</v>
      </c>
      <c r="Y50" s="2396">
        <f t="shared" si="3"/>
        <v>39</v>
      </c>
    </row>
    <row r="51" spans="1:25" x14ac:dyDescent="0.3">
      <c r="A51" s="985">
        <v>42</v>
      </c>
      <c r="B51" s="484">
        <v>5191421042</v>
      </c>
      <c r="C51" s="1136"/>
      <c r="D51" s="2396"/>
      <c r="E51" s="2396"/>
      <c r="F51" s="2396"/>
      <c r="G51" s="1220"/>
      <c r="H51" s="1138"/>
      <c r="I51" s="2396"/>
      <c r="J51" s="2396"/>
      <c r="K51" s="1221"/>
      <c r="L51" s="1222">
        <f t="shared" si="4"/>
        <v>0</v>
      </c>
      <c r="M51" s="1136">
        <v>0</v>
      </c>
      <c r="N51" s="2396">
        <v>1</v>
      </c>
      <c r="O51" s="2396">
        <v>2</v>
      </c>
      <c r="P51" s="2396"/>
      <c r="Q51" s="1220"/>
      <c r="R51" s="1138">
        <v>3</v>
      </c>
      <c r="S51" s="2396"/>
      <c r="T51" s="2396">
        <v>3</v>
      </c>
      <c r="U51" s="2348">
        <f t="shared" si="5"/>
        <v>9</v>
      </c>
      <c r="V51" s="2396">
        <f t="shared" si="2"/>
        <v>5</v>
      </c>
      <c r="W51" s="2396">
        <v>10</v>
      </c>
      <c r="X51" s="1223" t="s">
        <v>32</v>
      </c>
      <c r="Y51" s="2396">
        <f t="shared" si="3"/>
        <v>70</v>
      </c>
    </row>
    <row r="52" spans="1:25" x14ac:dyDescent="0.3">
      <c r="A52" s="985">
        <v>43</v>
      </c>
      <c r="B52" s="484">
        <v>5191421043</v>
      </c>
      <c r="C52" s="1136">
        <v>2</v>
      </c>
      <c r="D52" s="2396">
        <v>2</v>
      </c>
      <c r="E52" s="2396"/>
      <c r="F52" s="2396"/>
      <c r="G52" s="1220"/>
      <c r="H52" s="1138">
        <v>1</v>
      </c>
      <c r="I52" s="2396">
        <v>2</v>
      </c>
      <c r="J52" s="2396"/>
      <c r="K52" s="1221"/>
      <c r="L52" s="1222">
        <f t="shared" si="4"/>
        <v>7</v>
      </c>
      <c r="M52" s="1136">
        <v>1</v>
      </c>
      <c r="N52" s="2396">
        <v>2</v>
      </c>
      <c r="O52" s="2396">
        <v>2</v>
      </c>
      <c r="P52" s="2396">
        <v>2</v>
      </c>
      <c r="Q52" s="1220">
        <v>1</v>
      </c>
      <c r="R52" s="1138">
        <v>8</v>
      </c>
      <c r="S52" s="2396">
        <v>5</v>
      </c>
      <c r="T52" s="2396">
        <v>10</v>
      </c>
      <c r="U52" s="2348">
        <v>26</v>
      </c>
      <c r="V52" s="2396">
        <f t="shared" si="2"/>
        <v>17</v>
      </c>
      <c r="W52" s="2396">
        <v>10</v>
      </c>
      <c r="X52" s="1223" t="s">
        <v>27</v>
      </c>
      <c r="Y52" s="2396">
        <f t="shared" si="3"/>
        <v>80</v>
      </c>
    </row>
    <row r="53" spans="1:25" x14ac:dyDescent="0.3">
      <c r="A53" s="985">
        <v>44</v>
      </c>
      <c r="B53" s="484">
        <v>5191421044</v>
      </c>
      <c r="C53" s="1136">
        <v>2</v>
      </c>
      <c r="D53" s="2396">
        <v>2</v>
      </c>
      <c r="E53" s="2396">
        <v>2</v>
      </c>
      <c r="F53" s="2396">
        <v>1</v>
      </c>
      <c r="G53" s="1220"/>
      <c r="H53" s="1138">
        <v>10</v>
      </c>
      <c r="I53" s="2396">
        <v>10</v>
      </c>
      <c r="J53" s="2396"/>
      <c r="K53" s="1221"/>
      <c r="L53" s="1222">
        <f t="shared" si="4"/>
        <v>27</v>
      </c>
      <c r="M53" s="1136">
        <v>2</v>
      </c>
      <c r="N53" s="2396">
        <v>2</v>
      </c>
      <c r="O53" s="2396">
        <v>2</v>
      </c>
      <c r="P53" s="2396">
        <v>2</v>
      </c>
      <c r="Q53" s="1220">
        <v>1</v>
      </c>
      <c r="R53" s="1138">
        <v>10</v>
      </c>
      <c r="S53" s="2396">
        <v>10</v>
      </c>
      <c r="T53" s="2396">
        <v>8</v>
      </c>
      <c r="U53" s="2348">
        <v>29</v>
      </c>
      <c r="V53" s="2396">
        <f t="shared" si="2"/>
        <v>28</v>
      </c>
      <c r="W53" s="2396">
        <v>10</v>
      </c>
      <c r="X53" s="1223" t="s">
        <v>30</v>
      </c>
      <c r="Y53" s="2396">
        <f t="shared" si="3"/>
        <v>90</v>
      </c>
    </row>
    <row r="54" spans="1:25" x14ac:dyDescent="0.3">
      <c r="A54" s="985">
        <v>45</v>
      </c>
      <c r="B54" s="484">
        <v>5191421045</v>
      </c>
      <c r="C54" s="1219"/>
      <c r="D54" s="2396"/>
      <c r="E54" s="2396"/>
      <c r="F54" s="2396"/>
      <c r="G54" s="1220"/>
      <c r="H54" s="1138"/>
      <c r="I54" s="2396"/>
      <c r="J54" s="2396"/>
      <c r="K54" s="1221"/>
      <c r="L54" s="1222">
        <f t="shared" si="4"/>
        <v>0</v>
      </c>
      <c r="M54" s="1136">
        <v>1</v>
      </c>
      <c r="N54" s="2396">
        <v>2</v>
      </c>
      <c r="O54" s="2396">
        <v>1</v>
      </c>
      <c r="P54" s="2396">
        <v>1</v>
      </c>
      <c r="Q54" s="1220">
        <v>1</v>
      </c>
      <c r="R54" s="1138">
        <v>4</v>
      </c>
      <c r="S54" s="2396"/>
      <c r="T54" s="2396"/>
      <c r="U54" s="2348">
        <f t="shared" si="5"/>
        <v>10</v>
      </c>
      <c r="V54" s="2396">
        <f t="shared" si="2"/>
        <v>5</v>
      </c>
      <c r="W54" s="2396">
        <v>10</v>
      </c>
      <c r="X54" s="1223" t="s">
        <v>31</v>
      </c>
      <c r="Y54" s="2396">
        <f t="shared" si="3"/>
        <v>55</v>
      </c>
    </row>
    <row r="55" spans="1:25" x14ac:dyDescent="0.3">
      <c r="A55" s="985">
        <v>46</v>
      </c>
      <c r="B55" s="484">
        <v>5191421046</v>
      </c>
      <c r="C55" s="1136">
        <v>2</v>
      </c>
      <c r="D55" s="2396">
        <v>0</v>
      </c>
      <c r="E55" s="2396">
        <v>1</v>
      </c>
      <c r="F55" s="2396">
        <v>1</v>
      </c>
      <c r="G55" s="1220"/>
      <c r="H55" s="1138">
        <v>6</v>
      </c>
      <c r="I55" s="2396"/>
      <c r="J55" s="2396"/>
      <c r="K55" s="1221"/>
      <c r="L55" s="1222">
        <f t="shared" si="4"/>
        <v>10</v>
      </c>
      <c r="M55" s="1136"/>
      <c r="N55" s="2396">
        <v>2</v>
      </c>
      <c r="O55" s="2396">
        <v>1</v>
      </c>
      <c r="P55" s="2396">
        <v>2</v>
      </c>
      <c r="Q55" s="1220">
        <v>1</v>
      </c>
      <c r="R55" s="1138"/>
      <c r="S55" s="2396">
        <v>5</v>
      </c>
      <c r="T55" s="2396">
        <v>9</v>
      </c>
      <c r="U55" s="2348">
        <f t="shared" si="5"/>
        <v>20</v>
      </c>
      <c r="V55" s="2396">
        <f t="shared" si="2"/>
        <v>15</v>
      </c>
      <c r="W55" s="2396">
        <v>10</v>
      </c>
      <c r="X55" s="1223" t="s">
        <v>27</v>
      </c>
      <c r="Y55" s="2396">
        <f t="shared" si="3"/>
        <v>80</v>
      </c>
    </row>
    <row r="56" spans="1:25" x14ac:dyDescent="0.3">
      <c r="A56" s="985">
        <v>47</v>
      </c>
      <c r="B56" s="484">
        <v>5191421047</v>
      </c>
      <c r="C56" s="1136"/>
      <c r="D56" s="2396"/>
      <c r="E56" s="2396"/>
      <c r="F56" s="2396"/>
      <c r="G56" s="1220"/>
      <c r="H56" s="1138"/>
      <c r="I56" s="2396"/>
      <c r="J56" s="2396"/>
      <c r="K56" s="1221"/>
      <c r="L56" s="1222">
        <f t="shared" si="4"/>
        <v>0</v>
      </c>
      <c r="M56" s="1136">
        <v>1</v>
      </c>
      <c r="N56" s="2396">
        <v>0</v>
      </c>
      <c r="O56" s="2396">
        <v>1</v>
      </c>
      <c r="P56" s="2396">
        <v>1</v>
      </c>
      <c r="Q56" s="1220">
        <v>0</v>
      </c>
      <c r="R56" s="1138">
        <v>2</v>
      </c>
      <c r="S56" s="2396"/>
      <c r="T56" s="2396">
        <v>3</v>
      </c>
      <c r="U56" s="2348">
        <f t="shared" si="5"/>
        <v>8</v>
      </c>
      <c r="V56" s="2396">
        <f t="shared" si="2"/>
        <v>4</v>
      </c>
      <c r="W56" s="2396">
        <v>10</v>
      </c>
      <c r="X56" s="1223" t="s">
        <v>28</v>
      </c>
      <c r="Y56" s="2396">
        <f t="shared" si="3"/>
        <v>50</v>
      </c>
    </row>
    <row r="57" spans="1:25" x14ac:dyDescent="0.3">
      <c r="A57" s="985">
        <v>48</v>
      </c>
      <c r="B57" s="484">
        <v>5191421048</v>
      </c>
      <c r="C57" s="1136"/>
      <c r="D57" s="2396"/>
      <c r="E57" s="2396"/>
      <c r="F57" s="2396"/>
      <c r="G57" s="1220"/>
      <c r="H57" s="1138"/>
      <c r="I57" s="2396"/>
      <c r="J57" s="2396"/>
      <c r="K57" s="1221"/>
      <c r="L57" s="1222">
        <f t="shared" si="4"/>
        <v>0</v>
      </c>
      <c r="M57" s="1136">
        <v>1</v>
      </c>
      <c r="N57" s="2396">
        <v>2</v>
      </c>
      <c r="O57" s="2396">
        <v>1</v>
      </c>
      <c r="P57" s="2396">
        <v>1</v>
      </c>
      <c r="Q57" s="1220">
        <v>1</v>
      </c>
      <c r="R57" s="1138">
        <v>4</v>
      </c>
      <c r="S57" s="2396"/>
      <c r="T57" s="2396">
        <v>6</v>
      </c>
      <c r="U57" s="2348">
        <f t="shared" si="5"/>
        <v>16</v>
      </c>
      <c r="V57" s="2396">
        <f t="shared" si="2"/>
        <v>8</v>
      </c>
      <c r="W57" s="2396">
        <v>10</v>
      </c>
      <c r="X57" s="1223" t="s">
        <v>31</v>
      </c>
      <c r="Y57" s="2396">
        <f t="shared" si="3"/>
        <v>55</v>
      </c>
    </row>
    <row r="58" spans="1:25" x14ac:dyDescent="0.3">
      <c r="A58" s="985">
        <v>49</v>
      </c>
      <c r="B58" s="484">
        <v>5191421049</v>
      </c>
      <c r="C58" s="1136"/>
      <c r="D58" s="2396"/>
      <c r="E58" s="2396"/>
      <c r="F58" s="2396"/>
      <c r="G58" s="1220"/>
      <c r="H58" s="1138"/>
      <c r="I58" s="2396"/>
      <c r="J58" s="2396"/>
      <c r="K58" s="1221"/>
      <c r="L58" s="1222">
        <f t="shared" si="4"/>
        <v>0</v>
      </c>
      <c r="M58" s="1136">
        <v>0</v>
      </c>
      <c r="N58" s="2396">
        <v>2</v>
      </c>
      <c r="O58" s="2396">
        <v>2</v>
      </c>
      <c r="P58" s="2396"/>
      <c r="Q58" s="1220">
        <v>1</v>
      </c>
      <c r="R58" s="1138">
        <v>2</v>
      </c>
      <c r="S58" s="2396">
        <v>4</v>
      </c>
      <c r="T58" s="2396"/>
      <c r="U58" s="2348">
        <f t="shared" si="5"/>
        <v>11</v>
      </c>
      <c r="V58" s="2396">
        <f t="shared" si="2"/>
        <v>6</v>
      </c>
      <c r="W58" s="2396">
        <v>10</v>
      </c>
      <c r="X58" s="1223" t="s">
        <v>32</v>
      </c>
      <c r="Y58" s="2396">
        <f t="shared" si="3"/>
        <v>70</v>
      </c>
    </row>
    <row r="59" spans="1:25" x14ac:dyDescent="0.3">
      <c r="A59" s="985">
        <v>50</v>
      </c>
      <c r="B59" s="484">
        <v>5191421050</v>
      </c>
      <c r="C59" s="1136"/>
      <c r="D59" s="2396"/>
      <c r="E59" s="2396"/>
      <c r="F59" s="2396"/>
      <c r="G59" s="1220"/>
      <c r="H59" s="1138"/>
      <c r="I59" s="2396"/>
      <c r="J59" s="2396"/>
      <c r="K59" s="1221"/>
      <c r="L59" s="1222">
        <f t="shared" si="4"/>
        <v>0</v>
      </c>
      <c r="M59" s="1136">
        <v>1</v>
      </c>
      <c r="N59" s="2396">
        <v>1</v>
      </c>
      <c r="O59" s="2396"/>
      <c r="P59" s="2396"/>
      <c r="Q59" s="1220"/>
      <c r="R59" s="1138">
        <v>6</v>
      </c>
      <c r="S59" s="2396">
        <v>2</v>
      </c>
      <c r="T59" s="2396"/>
      <c r="U59" s="2348">
        <f t="shared" si="5"/>
        <v>10</v>
      </c>
      <c r="V59" s="2396">
        <f t="shared" si="2"/>
        <v>5</v>
      </c>
      <c r="W59" s="2396">
        <v>10</v>
      </c>
      <c r="X59" s="1223" t="s">
        <v>31</v>
      </c>
      <c r="Y59" s="2396">
        <f t="shared" si="3"/>
        <v>55</v>
      </c>
    </row>
    <row r="60" spans="1:25" x14ac:dyDescent="0.3">
      <c r="A60" s="985">
        <v>51</v>
      </c>
      <c r="B60" s="484">
        <v>5191421051</v>
      </c>
      <c r="C60" s="1146"/>
      <c r="D60" s="1147"/>
      <c r="E60" s="1147"/>
      <c r="F60" s="1147"/>
      <c r="G60" s="1227"/>
      <c r="H60" s="1148"/>
      <c r="I60" s="1147"/>
      <c r="J60" s="1147"/>
      <c r="K60" s="1228"/>
      <c r="L60" s="1222">
        <f t="shared" si="4"/>
        <v>0</v>
      </c>
      <c r="M60" s="1146">
        <v>1</v>
      </c>
      <c r="N60" s="1147">
        <v>2</v>
      </c>
      <c r="O60" s="1147">
        <v>2</v>
      </c>
      <c r="P60" s="1147">
        <v>2</v>
      </c>
      <c r="Q60" s="1227">
        <v>1</v>
      </c>
      <c r="R60" s="1148">
        <v>5</v>
      </c>
      <c r="S60" s="1147">
        <v>2</v>
      </c>
      <c r="T60" s="1147"/>
      <c r="U60" s="2348">
        <f t="shared" si="5"/>
        <v>15</v>
      </c>
      <c r="V60" s="2396">
        <f t="shared" si="2"/>
        <v>8</v>
      </c>
      <c r="W60" s="2396">
        <v>10</v>
      </c>
      <c r="X60" s="1223" t="s">
        <v>32</v>
      </c>
      <c r="Y60" s="2396">
        <f t="shared" si="3"/>
        <v>70</v>
      </c>
    </row>
    <row r="61" spans="1:25" x14ac:dyDescent="0.3">
      <c r="A61" s="985">
        <v>52</v>
      </c>
      <c r="B61" s="484">
        <v>5191421052</v>
      </c>
      <c r="C61" s="1146">
        <v>2</v>
      </c>
      <c r="D61" s="1147"/>
      <c r="E61" s="1147"/>
      <c r="F61" s="1147"/>
      <c r="G61" s="1227"/>
      <c r="H61" s="1148"/>
      <c r="I61" s="1147"/>
      <c r="J61" s="1147"/>
      <c r="K61" s="1228"/>
      <c r="L61" s="1222">
        <f t="shared" si="4"/>
        <v>2</v>
      </c>
      <c r="M61" s="1146">
        <v>1</v>
      </c>
      <c r="N61" s="1147">
        <v>1</v>
      </c>
      <c r="O61" s="1147">
        <v>1</v>
      </c>
      <c r="P61" s="1147">
        <v>2</v>
      </c>
      <c r="Q61" s="1227"/>
      <c r="R61" s="1148">
        <v>6</v>
      </c>
      <c r="S61" s="1147"/>
      <c r="T61" s="1147">
        <v>8</v>
      </c>
      <c r="U61" s="2348">
        <f t="shared" si="5"/>
        <v>19</v>
      </c>
      <c r="V61" s="2396">
        <f t="shared" si="2"/>
        <v>11</v>
      </c>
      <c r="W61" s="2396">
        <v>10</v>
      </c>
      <c r="X61" s="1223" t="s">
        <v>27</v>
      </c>
      <c r="Y61" s="2396">
        <f t="shared" si="3"/>
        <v>80</v>
      </c>
    </row>
    <row r="62" spans="1:25" x14ac:dyDescent="0.3">
      <c r="A62" s="985">
        <v>53</v>
      </c>
      <c r="B62" s="484">
        <v>5191421053</v>
      </c>
      <c r="C62" s="1146">
        <v>2</v>
      </c>
      <c r="D62" s="1147"/>
      <c r="E62" s="1147"/>
      <c r="F62" s="1147"/>
      <c r="G62" s="1227"/>
      <c r="H62" s="1148">
        <v>1</v>
      </c>
      <c r="I62" s="1147"/>
      <c r="J62" s="1147"/>
      <c r="K62" s="1228"/>
      <c r="L62" s="1222">
        <f t="shared" si="4"/>
        <v>3</v>
      </c>
      <c r="M62" s="1146">
        <v>2</v>
      </c>
      <c r="N62" s="1147">
        <v>2</v>
      </c>
      <c r="O62" s="1147">
        <v>1</v>
      </c>
      <c r="P62" s="1147">
        <v>1</v>
      </c>
      <c r="Q62" s="1227"/>
      <c r="R62" s="1148">
        <v>8</v>
      </c>
      <c r="S62" s="1147"/>
      <c r="T62" s="1147">
        <v>3</v>
      </c>
      <c r="U62" s="2348">
        <f t="shared" si="5"/>
        <v>17</v>
      </c>
      <c r="V62" s="2396">
        <f t="shared" si="2"/>
        <v>10</v>
      </c>
      <c r="W62" s="2396">
        <v>10</v>
      </c>
      <c r="X62" s="1223" t="s">
        <v>32</v>
      </c>
      <c r="Y62" s="2396">
        <f t="shared" si="3"/>
        <v>70</v>
      </c>
    </row>
    <row r="63" spans="1:25" x14ac:dyDescent="0.3">
      <c r="A63" s="985">
        <v>54</v>
      </c>
      <c r="B63" s="484">
        <v>5191421054</v>
      </c>
      <c r="C63" s="1146">
        <v>1</v>
      </c>
      <c r="D63" s="1147"/>
      <c r="E63" s="1147"/>
      <c r="F63" s="1147"/>
      <c r="G63" s="1227"/>
      <c r="H63" s="1148">
        <v>1</v>
      </c>
      <c r="I63" s="1147"/>
      <c r="J63" s="1147"/>
      <c r="K63" s="1228"/>
      <c r="L63" s="1222">
        <f t="shared" si="4"/>
        <v>2</v>
      </c>
      <c r="M63" s="1146">
        <v>0</v>
      </c>
      <c r="N63" s="1147">
        <v>2</v>
      </c>
      <c r="O63" s="1147"/>
      <c r="P63" s="1147"/>
      <c r="Q63" s="1227">
        <v>1</v>
      </c>
      <c r="R63" s="1148">
        <v>4</v>
      </c>
      <c r="S63" s="1147"/>
      <c r="T63" s="1147">
        <v>2</v>
      </c>
      <c r="U63" s="2348">
        <f t="shared" si="5"/>
        <v>9</v>
      </c>
      <c r="V63" s="2396">
        <f t="shared" si="2"/>
        <v>6</v>
      </c>
      <c r="W63" s="2396">
        <v>10</v>
      </c>
      <c r="X63" s="1223" t="s">
        <v>31</v>
      </c>
      <c r="Y63" s="2396">
        <f t="shared" si="3"/>
        <v>55</v>
      </c>
    </row>
    <row r="64" spans="1:25" x14ac:dyDescent="0.3">
      <c r="A64" s="985">
        <v>55</v>
      </c>
      <c r="B64" s="484">
        <v>5191421055</v>
      </c>
      <c r="C64" s="1146"/>
      <c r="D64" s="1147"/>
      <c r="E64" s="1147"/>
      <c r="F64" s="1147"/>
      <c r="G64" s="1227"/>
      <c r="H64" s="1148"/>
      <c r="I64" s="1147"/>
      <c r="J64" s="1147"/>
      <c r="K64" s="1228"/>
      <c r="L64" s="1222">
        <f t="shared" si="4"/>
        <v>0</v>
      </c>
      <c r="M64" s="1146">
        <v>2</v>
      </c>
      <c r="N64" s="1147">
        <v>0</v>
      </c>
      <c r="O64" s="1147">
        <v>2</v>
      </c>
      <c r="P64" s="1147">
        <v>2</v>
      </c>
      <c r="Q64" s="1227">
        <v>1</v>
      </c>
      <c r="R64" s="1148">
        <v>3</v>
      </c>
      <c r="S64" s="1147"/>
      <c r="T64" s="1147"/>
      <c r="U64" s="2348">
        <f t="shared" si="5"/>
        <v>10</v>
      </c>
      <c r="V64" s="2396">
        <f t="shared" si="2"/>
        <v>5</v>
      </c>
      <c r="W64" s="2396">
        <v>10</v>
      </c>
      <c r="X64" s="1223" t="s">
        <v>32</v>
      </c>
      <c r="Y64" s="2396">
        <f t="shared" si="3"/>
        <v>70</v>
      </c>
    </row>
    <row r="65" spans="1:25" x14ac:dyDescent="0.3">
      <c r="A65" s="985">
        <v>56</v>
      </c>
      <c r="B65" s="484">
        <v>5191421056</v>
      </c>
      <c r="C65" s="1146">
        <v>2</v>
      </c>
      <c r="D65" s="1147"/>
      <c r="E65" s="1147"/>
      <c r="F65" s="1147"/>
      <c r="G65" s="1227"/>
      <c r="H65" s="1148">
        <v>1</v>
      </c>
      <c r="I65" s="1147"/>
      <c r="J65" s="1147"/>
      <c r="K65" s="1228"/>
      <c r="L65" s="1222">
        <f t="shared" si="4"/>
        <v>3</v>
      </c>
      <c r="M65" s="1146">
        <v>2</v>
      </c>
      <c r="N65" s="1147">
        <v>2</v>
      </c>
      <c r="O65" s="1147">
        <v>1</v>
      </c>
      <c r="P65" s="1147"/>
      <c r="Q65" s="1227">
        <v>1</v>
      </c>
      <c r="R65" s="1148">
        <v>5</v>
      </c>
      <c r="S65" s="1147"/>
      <c r="T65" s="1147">
        <v>3</v>
      </c>
      <c r="U65" s="2348">
        <f t="shared" si="5"/>
        <v>14</v>
      </c>
      <c r="V65" s="2396">
        <f t="shared" si="2"/>
        <v>9</v>
      </c>
      <c r="W65" s="2396">
        <v>10</v>
      </c>
      <c r="X65" s="1223" t="s">
        <v>27</v>
      </c>
      <c r="Y65" s="2396">
        <f t="shared" si="3"/>
        <v>80</v>
      </c>
    </row>
    <row r="66" spans="1:25" x14ac:dyDescent="0.3">
      <c r="A66" s="985">
        <v>57</v>
      </c>
      <c r="B66" s="484">
        <v>5191421057</v>
      </c>
      <c r="C66" s="1146">
        <v>2</v>
      </c>
      <c r="D66" s="1147"/>
      <c r="E66" s="1147"/>
      <c r="F66" s="1147"/>
      <c r="G66" s="1227"/>
      <c r="H66" s="1148">
        <v>2</v>
      </c>
      <c r="I66" s="1147"/>
      <c r="J66" s="1147"/>
      <c r="K66" s="1228"/>
      <c r="L66" s="1222">
        <f t="shared" si="4"/>
        <v>4</v>
      </c>
      <c r="M66" s="1146">
        <v>2</v>
      </c>
      <c r="N66" s="1147">
        <v>2</v>
      </c>
      <c r="O66" s="1147">
        <v>2</v>
      </c>
      <c r="P66" s="1147">
        <v>2</v>
      </c>
      <c r="Q66" s="1227">
        <v>2</v>
      </c>
      <c r="R66" s="1148">
        <v>2</v>
      </c>
      <c r="S66" s="1147"/>
      <c r="T66" s="1147">
        <v>5</v>
      </c>
      <c r="U66" s="2348">
        <f t="shared" si="5"/>
        <v>17</v>
      </c>
      <c r="V66" s="2396">
        <f t="shared" si="2"/>
        <v>11</v>
      </c>
      <c r="W66" s="2396">
        <v>10</v>
      </c>
      <c r="X66" s="1223" t="s">
        <v>27</v>
      </c>
      <c r="Y66" s="2396">
        <f t="shared" si="3"/>
        <v>80</v>
      </c>
    </row>
    <row r="67" spans="1:25" ht="19.5" thickBot="1" x14ac:dyDescent="0.35">
      <c r="A67" s="985">
        <v>58</v>
      </c>
      <c r="B67" s="484">
        <v>5191421058</v>
      </c>
      <c r="C67" s="1229"/>
      <c r="D67" s="1147"/>
      <c r="E67" s="1147"/>
      <c r="F67" s="1147"/>
      <c r="G67" s="1227"/>
      <c r="H67" s="1148"/>
      <c r="I67" s="1147"/>
      <c r="J67" s="1147"/>
      <c r="K67" s="1228"/>
      <c r="L67" s="1230">
        <f t="shared" si="4"/>
        <v>0</v>
      </c>
      <c r="M67" s="1146">
        <v>1</v>
      </c>
      <c r="N67" s="1147">
        <v>0</v>
      </c>
      <c r="O67" s="1147">
        <v>2</v>
      </c>
      <c r="P67" s="1147">
        <v>1</v>
      </c>
      <c r="Q67" s="1227">
        <v>1</v>
      </c>
      <c r="R67" s="1148"/>
      <c r="S67" s="1147">
        <v>2</v>
      </c>
      <c r="T67" s="1147">
        <v>2</v>
      </c>
      <c r="U67" s="2348">
        <f t="shared" si="5"/>
        <v>9</v>
      </c>
      <c r="V67" s="2396">
        <f t="shared" si="2"/>
        <v>5</v>
      </c>
      <c r="W67" s="2396">
        <v>10</v>
      </c>
      <c r="X67" s="1223" t="s">
        <v>28</v>
      </c>
      <c r="Y67" s="2396">
        <f t="shared" si="3"/>
        <v>50</v>
      </c>
    </row>
    <row r="68" spans="1:25" x14ac:dyDescent="0.3">
      <c r="A68" s="493"/>
      <c r="B68" s="493"/>
      <c r="C68" s="2396">
        <f>COUNT(C11:C67)</f>
        <v>43</v>
      </c>
      <c r="D68" s="2396">
        <f>COUNT(D11:D67)</f>
        <v>31</v>
      </c>
      <c r="E68" s="2396">
        <f>COUNT(E11:E67)</f>
        <v>18</v>
      </c>
      <c r="F68" s="2396">
        <f>COUNT(F11:F67)</f>
        <v>8</v>
      </c>
      <c r="G68" s="2396">
        <f t="shared" ref="G68:K68" si="6">COUNT(G11:G67)</f>
        <v>7</v>
      </c>
      <c r="H68" s="2396">
        <f t="shared" si="6"/>
        <v>32</v>
      </c>
      <c r="I68" s="2396">
        <f t="shared" si="6"/>
        <v>22</v>
      </c>
      <c r="J68" s="2396">
        <f t="shared" si="6"/>
        <v>0</v>
      </c>
      <c r="K68" s="2396">
        <f t="shared" si="6"/>
        <v>0</v>
      </c>
      <c r="L68" s="2385"/>
      <c r="M68" s="2396">
        <f t="shared" ref="M68:W68" si="7">COUNT(M10:M67)</f>
        <v>53</v>
      </c>
      <c r="N68" s="2396">
        <f t="shared" si="7"/>
        <v>55</v>
      </c>
      <c r="O68" s="2396">
        <f t="shared" si="7"/>
        <v>54</v>
      </c>
      <c r="P68" s="2396">
        <f t="shared" si="7"/>
        <v>31</v>
      </c>
      <c r="Q68" s="2396">
        <f t="shared" si="7"/>
        <v>33</v>
      </c>
      <c r="R68" s="2396">
        <f t="shared" si="7"/>
        <v>52</v>
      </c>
      <c r="S68" s="2396">
        <f t="shared" si="7"/>
        <v>28</v>
      </c>
      <c r="T68" s="2396">
        <f t="shared" si="7"/>
        <v>43</v>
      </c>
      <c r="U68" s="2385"/>
      <c r="V68" s="2385"/>
      <c r="W68" s="2385">
        <f t="shared" si="7"/>
        <v>58</v>
      </c>
    </row>
    <row r="69" spans="1:25" ht="31.15" customHeight="1" x14ac:dyDescent="0.3">
      <c r="A69" s="495" t="s">
        <v>34</v>
      </c>
      <c r="B69" s="985">
        <v>55</v>
      </c>
      <c r="C69" s="1231">
        <f>C9*(B69/100)</f>
        <v>1.1000000000000001</v>
      </c>
      <c r="D69" s="1231">
        <f>D9*(B69/100)</f>
        <v>1.1000000000000001</v>
      </c>
      <c r="E69" s="1231">
        <f>E9*(B69/100)</f>
        <v>1.1000000000000001</v>
      </c>
      <c r="F69" s="1231">
        <f>F9*(B69/100)</f>
        <v>1.1000000000000001</v>
      </c>
      <c r="G69" s="1231">
        <f>G9*(B69/100)</f>
        <v>1.1000000000000001</v>
      </c>
      <c r="H69" s="1231">
        <f>H9*(B69/100)</f>
        <v>5.5</v>
      </c>
      <c r="I69" s="1231">
        <f>I9*(B69/100)</f>
        <v>5.5</v>
      </c>
      <c r="J69" s="1231">
        <f>J9*(B69/100)</f>
        <v>2.75</v>
      </c>
      <c r="K69" s="1231">
        <f>K9*(B69/100)</f>
        <v>2.75</v>
      </c>
      <c r="L69" s="2385"/>
      <c r="M69" s="1231">
        <f>M9*(B69/100)</f>
        <v>1.1000000000000001</v>
      </c>
      <c r="N69" s="1231">
        <f>N9*(B69/100)</f>
        <v>1.1000000000000001</v>
      </c>
      <c r="O69" s="1231">
        <f>O9*(B69/100)</f>
        <v>1.1000000000000001</v>
      </c>
      <c r="P69" s="1231">
        <f>P9*(B69/100)</f>
        <v>1.1000000000000001</v>
      </c>
      <c r="Q69" s="1231">
        <f>Q9*(B69/100)</f>
        <v>1.1000000000000001</v>
      </c>
      <c r="R69" s="1231">
        <f>R9*(B69/100)</f>
        <v>5.5</v>
      </c>
      <c r="S69" s="1231">
        <f>S9*(B69/100)</f>
        <v>5.5</v>
      </c>
      <c r="T69" s="1231">
        <f>T9*(B69/100)</f>
        <v>5.5</v>
      </c>
      <c r="U69" s="1232"/>
      <c r="V69" s="1232"/>
      <c r="W69" s="1232">
        <v>5</v>
      </c>
    </row>
    <row r="70" spans="1:25" ht="32.25" customHeight="1" x14ac:dyDescent="0.3">
      <c r="A70" s="3233" t="s">
        <v>35</v>
      </c>
      <c r="B70" s="3234"/>
      <c r="C70" s="2396">
        <f>COUNTIF(C11:C67,"&gt;=" &amp;C69)</f>
        <v>34</v>
      </c>
      <c r="D70" s="2396">
        <f>COUNTIF(D11:D67,"&gt;=" &amp;D69)</f>
        <v>18</v>
      </c>
      <c r="E70" s="2396">
        <f>COUNTIF(E11:E67,"&gt;=" &amp;E69)</f>
        <v>8</v>
      </c>
      <c r="F70" s="2396">
        <f>COUNTIF(F11:F67,"&gt;=" &amp;F69)</f>
        <v>2</v>
      </c>
      <c r="G70" s="2396">
        <f t="shared" ref="G70:K70" si="8">COUNTIF(G11:G67,"&gt;=" &amp;G69)</f>
        <v>0</v>
      </c>
      <c r="H70" s="2396">
        <f t="shared" si="8"/>
        <v>13</v>
      </c>
      <c r="I70" s="2396">
        <f t="shared" si="8"/>
        <v>7</v>
      </c>
      <c r="J70" s="2396">
        <f t="shared" si="8"/>
        <v>0</v>
      </c>
      <c r="K70" s="2396">
        <f t="shared" si="8"/>
        <v>0</v>
      </c>
      <c r="L70" s="2385"/>
      <c r="M70" s="2396">
        <f t="shared" ref="M70:T70" si="9">COUNTIF(M10:M60,"&gt;=" &amp;M69)</f>
        <v>19</v>
      </c>
      <c r="N70" s="2396">
        <f t="shared" si="9"/>
        <v>28</v>
      </c>
      <c r="O70" s="2396">
        <f t="shared" si="9"/>
        <v>33</v>
      </c>
      <c r="P70" s="2396">
        <f t="shared" si="9"/>
        <v>17</v>
      </c>
      <c r="Q70" s="2396">
        <f t="shared" si="9"/>
        <v>1</v>
      </c>
      <c r="R70" s="2396">
        <f t="shared" si="9"/>
        <v>17</v>
      </c>
      <c r="S70" s="2396">
        <f t="shared" si="9"/>
        <v>12</v>
      </c>
      <c r="T70" s="2396">
        <f t="shared" si="9"/>
        <v>20</v>
      </c>
      <c r="U70" s="2385"/>
      <c r="V70" s="2385"/>
      <c r="W70" s="2385">
        <v>58</v>
      </c>
      <c r="Y70" s="1233">
        <f>COUNTIF(Y10:Y67,"&gt;="&amp;B69)</f>
        <v>50</v>
      </c>
    </row>
    <row r="71" spans="1:25" ht="30" customHeight="1" x14ac:dyDescent="0.3">
      <c r="A71" s="3238" t="s">
        <v>36</v>
      </c>
      <c r="B71" s="3239"/>
      <c r="C71" s="1234">
        <f t="shared" ref="C71:W71" si="10">C70/C68</f>
        <v>0.79069767441860461</v>
      </c>
      <c r="D71" s="1234">
        <f t="shared" si="10"/>
        <v>0.58064516129032262</v>
      </c>
      <c r="E71" s="1234">
        <f t="shared" si="10"/>
        <v>0.44444444444444442</v>
      </c>
      <c r="F71" s="1234">
        <f t="shared" si="10"/>
        <v>0.25</v>
      </c>
      <c r="G71" s="1234">
        <f t="shared" si="10"/>
        <v>0</v>
      </c>
      <c r="H71" s="1234">
        <f t="shared" si="10"/>
        <v>0.40625</v>
      </c>
      <c r="I71" s="1234">
        <f t="shared" si="10"/>
        <v>0.31818181818181818</v>
      </c>
      <c r="J71" s="1234">
        <v>0</v>
      </c>
      <c r="K71" s="1234">
        <v>0</v>
      </c>
      <c r="L71" s="1233"/>
      <c r="M71" s="1234">
        <f t="shared" si="10"/>
        <v>0.35849056603773582</v>
      </c>
      <c r="N71" s="1234">
        <f t="shared" si="10"/>
        <v>0.50909090909090904</v>
      </c>
      <c r="O71" s="1234">
        <f t="shared" si="10"/>
        <v>0.61111111111111116</v>
      </c>
      <c r="P71" s="1234">
        <f t="shared" si="10"/>
        <v>0.54838709677419351</v>
      </c>
      <c r="Q71" s="1234">
        <f t="shared" si="10"/>
        <v>3.0303030303030304E-2</v>
      </c>
      <c r="R71" s="1234">
        <f t="shared" si="10"/>
        <v>0.32692307692307693</v>
      </c>
      <c r="S71" s="1234">
        <f t="shared" si="10"/>
        <v>0.42857142857142855</v>
      </c>
      <c r="T71" s="1234">
        <f t="shared" si="10"/>
        <v>0.46511627906976744</v>
      </c>
      <c r="U71" s="2385"/>
      <c r="V71" s="2385"/>
      <c r="W71" s="2385">
        <f t="shared" si="10"/>
        <v>1</v>
      </c>
      <c r="Y71" s="1233">
        <f>(Y70/A67)*100</f>
        <v>86.206896551724128</v>
      </c>
    </row>
    <row r="72" spans="1:25" x14ac:dyDescent="0.3">
      <c r="A72" s="493"/>
      <c r="B72" s="493"/>
      <c r="C72" s="1122">
        <v>1</v>
      </c>
      <c r="D72" s="2347">
        <v>1</v>
      </c>
      <c r="E72" s="2347">
        <v>2</v>
      </c>
      <c r="F72" s="2347">
        <v>3</v>
      </c>
      <c r="G72" s="1235">
        <v>3</v>
      </c>
      <c r="H72" s="1236">
        <v>1</v>
      </c>
      <c r="I72" s="2347">
        <v>2</v>
      </c>
      <c r="J72" s="2384">
        <v>3</v>
      </c>
      <c r="K72" s="1237">
        <v>2</v>
      </c>
      <c r="L72" s="2385"/>
      <c r="M72" s="1122">
        <v>3</v>
      </c>
      <c r="N72" s="2347">
        <v>3</v>
      </c>
      <c r="O72" s="2347">
        <v>4</v>
      </c>
      <c r="P72" s="2347">
        <v>4</v>
      </c>
      <c r="Q72" s="1235">
        <v>4</v>
      </c>
      <c r="R72" s="1122">
        <v>3</v>
      </c>
      <c r="S72" s="2347">
        <v>4</v>
      </c>
      <c r="T72" s="2382">
        <v>4</v>
      </c>
      <c r="U72" s="2385"/>
      <c r="V72" s="2385"/>
      <c r="W72" s="2385"/>
    </row>
    <row r="74" spans="1:25" x14ac:dyDescent="0.3">
      <c r="C74" s="3229" t="s">
        <v>38</v>
      </c>
      <c r="D74" s="3230"/>
      <c r="E74" s="3205" t="s">
        <v>39</v>
      </c>
      <c r="F74" s="3207"/>
      <c r="G74" s="3205" t="s">
        <v>37</v>
      </c>
      <c r="H74" s="3206"/>
      <c r="I74" s="3207"/>
      <c r="J74" s="2351"/>
    </row>
    <row r="75" spans="1:25" x14ac:dyDescent="0.3">
      <c r="A75" s="2629" t="s">
        <v>22</v>
      </c>
      <c r="B75" s="2647"/>
      <c r="C75" s="2396">
        <f>AVERAGE(C71,D71,H71,W71)*100</f>
        <v>69.439820892723176</v>
      </c>
      <c r="D75" s="2396">
        <f t="shared" ref="D75:D78" si="11">IF(C75&gt;=70,3,IF(AND(C75&gt;=60,C75&lt;70),2,IF(AND(C75&gt;=50,C75&lt;60),1)))</f>
        <v>2</v>
      </c>
      <c r="E75" s="2683">
        <f>IF(Y71&gt;=70,3,IF(AND(Y71&gt;=60,Y71&lt;70),2,IF(AND(Y71&gt;=50,Y71&lt;60),1)))</f>
        <v>3</v>
      </c>
      <c r="F75" s="2685"/>
      <c r="G75" s="3217">
        <f>(70/100)*E75+(30/100)*D75</f>
        <v>2.6999999999999997</v>
      </c>
      <c r="H75" s="3218"/>
      <c r="I75" s="3219"/>
      <c r="J75" s="1150"/>
    </row>
    <row r="76" spans="1:25" x14ac:dyDescent="0.3">
      <c r="A76" s="2629" t="s">
        <v>40</v>
      </c>
      <c r="B76" s="2647"/>
      <c r="C76" s="2396">
        <f>AVERAGE(E71,I71,W71,K71)*100</f>
        <v>44.06565656565656</v>
      </c>
      <c r="D76" s="2396" t="b">
        <f t="shared" si="11"/>
        <v>0</v>
      </c>
      <c r="E76" s="2683">
        <f>IF(Y71&gt;=70,3,IF(AND(Y71&gt;=60,Y71&lt;70),2,IF(AND(Y71&gt;=50,Y71&lt;60),1)))</f>
        <v>3</v>
      </c>
      <c r="F76" s="2685"/>
      <c r="G76" s="3217">
        <f t="shared" ref="G76:G78" si="12">(70/100)*E76+(30/100)*D76</f>
        <v>2.0999999999999996</v>
      </c>
      <c r="H76" s="3218"/>
      <c r="I76" s="3219"/>
      <c r="J76" s="1150"/>
    </row>
    <row r="77" spans="1:25" x14ac:dyDescent="0.3">
      <c r="A77" s="2629" t="s">
        <v>41</v>
      </c>
      <c r="B77" s="2647"/>
      <c r="C77" s="2396">
        <f>AVERAGE(F71,G71,M71,N71,W71,J71)*100</f>
        <v>35.293024585477411</v>
      </c>
      <c r="D77" s="2396" t="b">
        <f t="shared" si="11"/>
        <v>0</v>
      </c>
      <c r="E77" s="2683">
        <f>IF(Y71&gt;=70,3,IF(AND(Y71&gt;=60,Y71&lt;70),2,IF(AND(Y71&gt;=50,Y71&lt;60),1)))</f>
        <v>3</v>
      </c>
      <c r="F77" s="2685"/>
      <c r="G77" s="3217">
        <f t="shared" si="12"/>
        <v>2.0999999999999996</v>
      </c>
      <c r="H77" s="3218"/>
      <c r="I77" s="3219"/>
      <c r="J77" s="1150"/>
    </row>
    <row r="78" spans="1:25" x14ac:dyDescent="0.3">
      <c r="A78" s="2629" t="s">
        <v>42</v>
      </c>
      <c r="B78" s="2647"/>
      <c r="C78" s="2396">
        <f>AVERAGE(O71,R71,W71)*100</f>
        <v>64.601139601139607</v>
      </c>
      <c r="D78" s="2396">
        <f t="shared" si="11"/>
        <v>2</v>
      </c>
      <c r="E78" s="2683">
        <f>IF(Y71&gt;=70,3,IF(AND(Y71&gt;=60,Y71&lt;70),2,IF(AND(Y71&gt;=50,Y71&lt;60),1)))</f>
        <v>3</v>
      </c>
      <c r="F78" s="2685"/>
      <c r="G78" s="3217">
        <f t="shared" si="12"/>
        <v>2.6999999999999997</v>
      </c>
      <c r="H78" s="3218"/>
      <c r="I78" s="3219"/>
      <c r="J78" s="1150"/>
    </row>
    <row r="79" spans="1:25" ht="40.5" customHeight="1" x14ac:dyDescent="0.3">
      <c r="A79" s="3220" t="s">
        <v>44</v>
      </c>
      <c r="B79" s="3221"/>
      <c r="C79" s="3221"/>
      <c r="D79" s="3221"/>
      <c r="E79" s="3221"/>
      <c r="F79" s="3222"/>
      <c r="G79" s="3223">
        <f>AVERAGE(G75:G78)</f>
        <v>2.3999999999999995</v>
      </c>
      <c r="H79" s="3224"/>
      <c r="I79" s="3225"/>
      <c r="J79" s="1240"/>
    </row>
    <row r="81" spans="1:26" x14ac:dyDescent="0.3">
      <c r="A81" s="3208" t="s">
        <v>134</v>
      </c>
      <c r="B81" s="3208"/>
    </row>
    <row r="82" spans="1:26" x14ac:dyDescent="0.3">
      <c r="A82" s="794"/>
      <c r="B82" s="794"/>
    </row>
    <row r="83" spans="1:26" x14ac:dyDescent="0.3">
      <c r="A83" s="794"/>
      <c r="B83" s="795" t="s">
        <v>45</v>
      </c>
      <c r="C83" s="1152" t="s">
        <v>68</v>
      </c>
      <c r="D83" s="1152" t="s">
        <v>69</v>
      </c>
      <c r="E83" s="1152" t="s">
        <v>70</v>
      </c>
      <c r="F83" s="1152" t="s">
        <v>71</v>
      </c>
      <c r="G83" s="1152" t="s">
        <v>72</v>
      </c>
      <c r="H83" s="1152" t="s">
        <v>73</v>
      </c>
      <c r="I83" s="1152" t="s">
        <v>74</v>
      </c>
      <c r="J83" s="1241" t="s">
        <v>75</v>
      </c>
      <c r="K83" s="1152" t="s">
        <v>76</v>
      </c>
      <c r="L83" s="1152" t="s">
        <v>77</v>
      </c>
      <c r="M83" s="1152" t="s">
        <v>78</v>
      </c>
      <c r="N83" s="1152" t="s">
        <v>79</v>
      </c>
      <c r="X83" s="2271"/>
      <c r="Y83" s="2271"/>
      <c r="Z83" s="2271"/>
    </row>
    <row r="84" spans="1:26" x14ac:dyDescent="0.3">
      <c r="A84" s="794"/>
      <c r="B84" s="796" t="s">
        <v>20</v>
      </c>
      <c r="C84" s="2349">
        <v>3</v>
      </c>
      <c r="D84" s="2349">
        <v>2</v>
      </c>
      <c r="E84" s="2349">
        <v>2</v>
      </c>
      <c r="F84" s="2349">
        <v>2</v>
      </c>
      <c r="G84" s="2349">
        <v>3</v>
      </c>
      <c r="H84" s="2349"/>
      <c r="I84" s="2349"/>
      <c r="J84" s="2349"/>
      <c r="K84" s="2349"/>
      <c r="L84" s="2349"/>
      <c r="M84" s="2349"/>
      <c r="N84" s="2349">
        <v>2</v>
      </c>
      <c r="X84" s="2271"/>
      <c r="Y84" s="2271"/>
      <c r="Z84" s="2271"/>
    </row>
    <row r="85" spans="1:26" x14ac:dyDescent="0.3">
      <c r="A85" s="794"/>
      <c r="B85" s="796" t="s">
        <v>21</v>
      </c>
      <c r="C85" s="2349">
        <v>3</v>
      </c>
      <c r="D85" s="2349">
        <v>2</v>
      </c>
      <c r="E85" s="2349">
        <v>2</v>
      </c>
      <c r="F85" s="2349">
        <v>2</v>
      </c>
      <c r="G85" s="2349">
        <v>3</v>
      </c>
      <c r="H85" s="2349"/>
      <c r="I85" s="2349"/>
      <c r="J85" s="2349"/>
      <c r="K85" s="2349"/>
      <c r="L85" s="2349"/>
      <c r="M85" s="2349"/>
      <c r="N85" s="2349">
        <v>2</v>
      </c>
      <c r="X85" s="2271"/>
      <c r="Y85" s="2271"/>
      <c r="Z85" s="2271"/>
    </row>
    <row r="86" spans="1:26" x14ac:dyDescent="0.3">
      <c r="A86" s="794"/>
      <c r="B86" s="796" t="s">
        <v>23</v>
      </c>
      <c r="C86" s="2349">
        <v>3</v>
      </c>
      <c r="D86" s="2349">
        <v>2</v>
      </c>
      <c r="E86" s="2349">
        <v>2</v>
      </c>
      <c r="F86" s="2349">
        <v>2</v>
      </c>
      <c r="G86" s="2349">
        <v>3</v>
      </c>
      <c r="H86" s="2349"/>
      <c r="I86" s="2349"/>
      <c r="J86" s="2349"/>
      <c r="K86" s="2349">
        <v>3</v>
      </c>
      <c r="L86" s="2349">
        <v>2</v>
      </c>
      <c r="M86" s="2349"/>
      <c r="N86" s="2349">
        <v>2</v>
      </c>
      <c r="X86" s="2271"/>
      <c r="Y86" s="2271"/>
      <c r="Z86" s="2271"/>
    </row>
    <row r="87" spans="1:26" x14ac:dyDescent="0.3">
      <c r="A87" s="794"/>
      <c r="B87" s="796" t="s">
        <v>25</v>
      </c>
      <c r="C87" s="2349">
        <v>3</v>
      </c>
      <c r="D87" s="2349">
        <v>2</v>
      </c>
      <c r="E87" s="2349">
        <v>2</v>
      </c>
      <c r="F87" s="2349">
        <v>2</v>
      </c>
      <c r="G87" s="2349">
        <v>3</v>
      </c>
      <c r="H87" s="2349"/>
      <c r="I87" s="2349"/>
      <c r="J87" s="2349"/>
      <c r="K87" s="2349"/>
      <c r="L87" s="2349">
        <v>2</v>
      </c>
      <c r="M87" s="2349"/>
      <c r="N87" s="2349">
        <v>2</v>
      </c>
      <c r="X87" s="2271"/>
      <c r="Y87" s="2271"/>
      <c r="Z87" s="2271"/>
    </row>
    <row r="88" spans="1:26" x14ac:dyDescent="0.3">
      <c r="A88" s="794"/>
      <c r="B88" s="2380" t="s">
        <v>10</v>
      </c>
      <c r="C88" s="1242">
        <f t="shared" ref="C88:N88" si="13">AVERAGE(C84:C87)</f>
        <v>3</v>
      </c>
      <c r="D88" s="1242">
        <f t="shared" si="13"/>
        <v>2</v>
      </c>
      <c r="E88" s="1242">
        <f t="shared" si="13"/>
        <v>2</v>
      </c>
      <c r="F88" s="1242">
        <f t="shared" si="13"/>
        <v>2</v>
      </c>
      <c r="G88" s="1242">
        <f t="shared" si="13"/>
        <v>3</v>
      </c>
      <c r="H88" s="1242"/>
      <c r="I88" s="1242"/>
      <c r="J88" s="1242"/>
      <c r="K88" s="1242">
        <f t="shared" si="13"/>
        <v>3</v>
      </c>
      <c r="L88" s="1242">
        <f t="shared" si="13"/>
        <v>2</v>
      </c>
      <c r="M88" s="1242"/>
      <c r="N88" s="1242">
        <f t="shared" si="13"/>
        <v>2</v>
      </c>
      <c r="X88" s="2271"/>
      <c r="Y88" s="2271"/>
      <c r="Z88" s="2271"/>
    </row>
    <row r="89" spans="1:26" x14ac:dyDescent="0.3">
      <c r="A89" s="794"/>
      <c r="B89" s="2388" t="s">
        <v>58</v>
      </c>
      <c r="C89" s="3205">
        <f>AVERAGE(C88:N88)</f>
        <v>2.375</v>
      </c>
      <c r="D89" s="3206"/>
      <c r="E89" s="3206"/>
      <c r="F89" s="3206"/>
      <c r="G89" s="3206"/>
      <c r="H89" s="3206"/>
      <c r="I89" s="3206"/>
      <c r="J89" s="3206"/>
      <c r="K89" s="3206"/>
      <c r="L89" s="3206"/>
      <c r="M89" s="3206"/>
      <c r="N89" s="3207"/>
      <c r="X89" s="2271"/>
      <c r="Y89" s="2271"/>
      <c r="Z89" s="2271"/>
    </row>
    <row r="90" spans="1:26" x14ac:dyDescent="0.3">
      <c r="A90" s="794"/>
      <c r="B90" s="794"/>
    </row>
    <row r="91" spans="1:26" x14ac:dyDescent="0.3">
      <c r="A91" s="3208" t="s">
        <v>148</v>
      </c>
      <c r="B91" s="3208"/>
    </row>
    <row r="92" spans="1:26" x14ac:dyDescent="0.3">
      <c r="A92" s="794"/>
      <c r="B92" s="794"/>
    </row>
    <row r="93" spans="1:26" x14ac:dyDescent="0.3">
      <c r="A93" s="794"/>
      <c r="B93" s="795" t="s">
        <v>45</v>
      </c>
      <c r="C93" s="1152" t="s">
        <v>68</v>
      </c>
      <c r="D93" s="1152" t="s">
        <v>69</v>
      </c>
      <c r="E93" s="1152" t="s">
        <v>70</v>
      </c>
      <c r="F93" s="1152" t="s">
        <v>71</v>
      </c>
      <c r="G93" s="1152" t="s">
        <v>72</v>
      </c>
      <c r="H93" s="1152" t="s">
        <v>73</v>
      </c>
      <c r="I93" s="1152" t="s">
        <v>74</v>
      </c>
      <c r="J93" s="1241" t="s">
        <v>75</v>
      </c>
      <c r="K93" s="1152" t="s">
        <v>76</v>
      </c>
      <c r="L93" s="1152" t="s">
        <v>77</v>
      </c>
      <c r="M93" s="1152" t="s">
        <v>78</v>
      </c>
      <c r="N93" s="1152" t="s">
        <v>79</v>
      </c>
      <c r="X93" s="2271"/>
      <c r="Y93" s="2271"/>
      <c r="Z93" s="2271"/>
    </row>
    <row r="94" spans="1:26" x14ac:dyDescent="0.3">
      <c r="A94" s="794"/>
      <c r="B94" s="796" t="s">
        <v>20</v>
      </c>
      <c r="C94" s="1244">
        <f t="shared" ref="C94:N94" si="14">IF(C84="","",(C84/3)*$G75)</f>
        <v>2.6999999999999997</v>
      </c>
      <c r="D94" s="1244">
        <f t="shared" si="14"/>
        <v>1.7999999999999998</v>
      </c>
      <c r="E94" s="1244">
        <f t="shared" si="14"/>
        <v>1.7999999999999998</v>
      </c>
      <c r="F94" s="1244">
        <f t="shared" si="14"/>
        <v>1.7999999999999998</v>
      </c>
      <c r="G94" s="1244">
        <f t="shared" si="14"/>
        <v>2.6999999999999997</v>
      </c>
      <c r="H94" s="1244" t="str">
        <f t="shared" si="14"/>
        <v/>
      </c>
      <c r="I94" s="1244" t="str">
        <f t="shared" si="14"/>
        <v/>
      </c>
      <c r="J94" s="1244" t="str">
        <f t="shared" si="14"/>
        <v/>
      </c>
      <c r="K94" s="1244" t="str">
        <f t="shared" si="14"/>
        <v/>
      </c>
      <c r="L94" s="1244" t="str">
        <f t="shared" si="14"/>
        <v/>
      </c>
      <c r="M94" s="1244" t="str">
        <f t="shared" si="14"/>
        <v/>
      </c>
      <c r="N94" s="1244">
        <f t="shared" si="14"/>
        <v>1.7999999999999998</v>
      </c>
      <c r="X94" s="2271"/>
      <c r="Y94" s="2271"/>
      <c r="Z94" s="2271"/>
    </row>
    <row r="95" spans="1:26" x14ac:dyDescent="0.3">
      <c r="A95" s="794"/>
      <c r="B95" s="796" t="s">
        <v>21</v>
      </c>
      <c r="C95" s="1244">
        <f t="shared" ref="C95:N95" si="15">IF(C85="","",(C85/3)*$G76)</f>
        <v>2.0999999999999996</v>
      </c>
      <c r="D95" s="1244">
        <f t="shared" si="15"/>
        <v>1.3999999999999997</v>
      </c>
      <c r="E95" s="1244">
        <f t="shared" si="15"/>
        <v>1.3999999999999997</v>
      </c>
      <c r="F95" s="1244">
        <f t="shared" si="15"/>
        <v>1.3999999999999997</v>
      </c>
      <c r="G95" s="1244">
        <f t="shared" si="15"/>
        <v>2.0999999999999996</v>
      </c>
      <c r="H95" s="1244" t="str">
        <f t="shared" si="15"/>
        <v/>
      </c>
      <c r="I95" s="1244" t="str">
        <f t="shared" si="15"/>
        <v/>
      </c>
      <c r="J95" s="1244" t="str">
        <f t="shared" si="15"/>
        <v/>
      </c>
      <c r="K95" s="1244" t="str">
        <f t="shared" si="15"/>
        <v/>
      </c>
      <c r="L95" s="1244" t="str">
        <f t="shared" si="15"/>
        <v/>
      </c>
      <c r="M95" s="1244" t="str">
        <f t="shared" si="15"/>
        <v/>
      </c>
      <c r="N95" s="1244">
        <f t="shared" si="15"/>
        <v>1.3999999999999997</v>
      </c>
      <c r="X95" s="2271"/>
      <c r="Y95" s="2271"/>
      <c r="Z95" s="2271"/>
    </row>
    <row r="96" spans="1:26" x14ac:dyDescent="0.3">
      <c r="A96" s="794"/>
      <c r="B96" s="796" t="s">
        <v>23</v>
      </c>
      <c r="C96" s="1244">
        <f t="shared" ref="C96:N96" si="16">IF(C86="","",(C86/3)*$G77)</f>
        <v>2.0999999999999996</v>
      </c>
      <c r="D96" s="1244">
        <f t="shared" si="16"/>
        <v>1.3999999999999997</v>
      </c>
      <c r="E96" s="1244">
        <f t="shared" si="16"/>
        <v>1.3999999999999997</v>
      </c>
      <c r="F96" s="1244">
        <f t="shared" si="16"/>
        <v>1.3999999999999997</v>
      </c>
      <c r="G96" s="1244">
        <f t="shared" si="16"/>
        <v>2.0999999999999996</v>
      </c>
      <c r="H96" s="1244" t="str">
        <f t="shared" si="16"/>
        <v/>
      </c>
      <c r="I96" s="1244" t="str">
        <f t="shared" si="16"/>
        <v/>
      </c>
      <c r="J96" s="1244" t="str">
        <f t="shared" si="16"/>
        <v/>
      </c>
      <c r="K96" s="1244">
        <f t="shared" si="16"/>
        <v>2.0999999999999996</v>
      </c>
      <c r="L96" s="1244">
        <f t="shared" si="16"/>
        <v>1.3999999999999997</v>
      </c>
      <c r="M96" s="1244" t="str">
        <f t="shared" si="16"/>
        <v/>
      </c>
      <c r="N96" s="1244">
        <f t="shared" si="16"/>
        <v>1.3999999999999997</v>
      </c>
      <c r="X96" s="2271"/>
      <c r="Y96" s="2271"/>
      <c r="Z96" s="2271"/>
    </row>
    <row r="97" spans="1:26" x14ac:dyDescent="0.3">
      <c r="A97" s="794"/>
      <c r="B97" s="796" t="s">
        <v>25</v>
      </c>
      <c r="C97" s="1244">
        <f t="shared" ref="C97:N97" si="17">IF(C87="","",(C87/3)*$G78)</f>
        <v>2.6999999999999997</v>
      </c>
      <c r="D97" s="1244">
        <f t="shared" si="17"/>
        <v>1.7999999999999998</v>
      </c>
      <c r="E97" s="1244">
        <f t="shared" si="17"/>
        <v>1.7999999999999998</v>
      </c>
      <c r="F97" s="1244">
        <f t="shared" si="17"/>
        <v>1.7999999999999998</v>
      </c>
      <c r="G97" s="1244">
        <f t="shared" si="17"/>
        <v>2.6999999999999997</v>
      </c>
      <c r="H97" s="1244" t="str">
        <f t="shared" si="17"/>
        <v/>
      </c>
      <c r="I97" s="1244" t="str">
        <f t="shared" si="17"/>
        <v/>
      </c>
      <c r="J97" s="1244" t="str">
        <f t="shared" si="17"/>
        <v/>
      </c>
      <c r="K97" s="1244" t="str">
        <f t="shared" si="17"/>
        <v/>
      </c>
      <c r="L97" s="1244">
        <f t="shared" si="17"/>
        <v>1.7999999999999998</v>
      </c>
      <c r="M97" s="1244" t="str">
        <f t="shared" si="17"/>
        <v/>
      </c>
      <c r="N97" s="1244">
        <f t="shared" si="17"/>
        <v>1.7999999999999998</v>
      </c>
      <c r="X97" s="2271"/>
      <c r="Y97" s="2271"/>
      <c r="Z97" s="2271"/>
    </row>
    <row r="98" spans="1:26" x14ac:dyDescent="0.3">
      <c r="A98" s="794"/>
      <c r="B98" s="2380" t="s">
        <v>10</v>
      </c>
      <c r="C98" s="1245">
        <f t="shared" ref="C98:N98" si="18">IF(SUM(C93:C97)&gt;0,AVERAGE(C93:C97)," ")</f>
        <v>2.3999999999999995</v>
      </c>
      <c r="D98" s="1245">
        <f t="shared" si="18"/>
        <v>1.5999999999999996</v>
      </c>
      <c r="E98" s="1245">
        <f t="shared" si="18"/>
        <v>1.5999999999999996</v>
      </c>
      <c r="F98" s="1245">
        <f t="shared" si="18"/>
        <v>1.5999999999999996</v>
      </c>
      <c r="G98" s="1245">
        <f t="shared" si="18"/>
        <v>2.3999999999999995</v>
      </c>
      <c r="H98" s="1245" t="str">
        <f t="shared" si="18"/>
        <v xml:space="preserve"> </v>
      </c>
      <c r="I98" s="1245" t="str">
        <f t="shared" si="18"/>
        <v xml:space="preserve"> </v>
      </c>
      <c r="J98" s="1245" t="str">
        <f t="shared" si="18"/>
        <v xml:space="preserve"> </v>
      </c>
      <c r="K98" s="1245">
        <f t="shared" si="18"/>
        <v>2.0999999999999996</v>
      </c>
      <c r="L98" s="1245">
        <f t="shared" si="18"/>
        <v>1.5999999999999996</v>
      </c>
      <c r="M98" s="1245" t="str">
        <f t="shared" si="18"/>
        <v xml:space="preserve"> </v>
      </c>
      <c r="N98" s="1245">
        <f t="shared" si="18"/>
        <v>1.5999999999999996</v>
      </c>
      <c r="X98" s="2271"/>
      <c r="Y98" s="2271"/>
      <c r="Z98" s="2271"/>
    </row>
    <row r="99" spans="1:26" x14ac:dyDescent="0.3">
      <c r="A99" s="794"/>
      <c r="B99" s="2370" t="s">
        <v>58</v>
      </c>
      <c r="C99" s="3209">
        <f>AVERAGE(C98:N98)</f>
        <v>1.8624999999999996</v>
      </c>
      <c r="D99" s="3210"/>
      <c r="E99" s="3210"/>
      <c r="F99" s="3210"/>
      <c r="G99" s="3210"/>
      <c r="H99" s="3210"/>
      <c r="I99" s="3210"/>
      <c r="J99" s="3210"/>
      <c r="K99" s="3210"/>
      <c r="L99" s="3210"/>
      <c r="M99" s="3210"/>
      <c r="N99" s="3211"/>
      <c r="X99" s="2271"/>
      <c r="Y99" s="2271"/>
      <c r="Z99" s="2271"/>
    </row>
    <row r="100" spans="1:26" x14ac:dyDescent="0.3">
      <c r="A100" s="794"/>
      <c r="B100" s="794"/>
      <c r="X100" s="2271"/>
      <c r="Y100" s="2271"/>
      <c r="Z100" s="2271"/>
    </row>
    <row r="101" spans="1:26" x14ac:dyDescent="0.3">
      <c r="A101" s="3212" t="s">
        <v>137</v>
      </c>
      <c r="B101" s="3213"/>
      <c r="C101" s="1240"/>
      <c r="D101" s="1240"/>
      <c r="K101" s="3214" t="s">
        <v>149</v>
      </c>
      <c r="L101" s="3215"/>
      <c r="M101" s="3216"/>
      <c r="N101" s="1240"/>
      <c r="O101" s="1240"/>
    </row>
    <row r="102" spans="1:26" x14ac:dyDescent="0.3">
      <c r="A102" s="798"/>
      <c r="B102" s="798"/>
      <c r="C102" s="1240"/>
      <c r="D102" s="1240"/>
      <c r="K102" s="2350"/>
      <c r="L102" s="2350"/>
      <c r="M102" s="1248"/>
      <c r="N102" s="1240"/>
      <c r="O102" s="1240"/>
    </row>
    <row r="103" spans="1:26" x14ac:dyDescent="0.3">
      <c r="A103" s="794"/>
      <c r="B103" s="795" t="s">
        <v>59</v>
      </c>
      <c r="C103" s="1152" t="s">
        <v>60</v>
      </c>
      <c r="D103" s="1152" t="s">
        <v>61</v>
      </c>
      <c r="E103" s="1152" t="s">
        <v>62</v>
      </c>
      <c r="M103" s="809" t="s">
        <v>59</v>
      </c>
      <c r="N103" s="2407" t="s">
        <v>60</v>
      </c>
      <c r="O103" s="2407" t="s">
        <v>61</v>
      </c>
      <c r="P103" s="2407" t="s">
        <v>62</v>
      </c>
    </row>
    <row r="104" spans="1:26" x14ac:dyDescent="0.3">
      <c r="A104" s="794"/>
      <c r="B104" s="799" t="s">
        <v>20</v>
      </c>
      <c r="C104" s="1153"/>
      <c r="D104" s="1153"/>
      <c r="E104" s="1153"/>
      <c r="M104" s="810" t="s">
        <v>20</v>
      </c>
      <c r="N104" s="797"/>
      <c r="O104" s="797"/>
      <c r="P104" s="797"/>
    </row>
    <row r="105" spans="1:26" x14ac:dyDescent="0.3">
      <c r="A105" s="794"/>
      <c r="B105" s="796" t="s">
        <v>21</v>
      </c>
      <c r="C105" s="1153">
        <v>3</v>
      </c>
      <c r="D105" s="1153">
        <v>3</v>
      </c>
      <c r="E105" s="1153"/>
      <c r="M105" s="811" t="s">
        <v>21</v>
      </c>
      <c r="N105" s="797">
        <f>G75*C105/3</f>
        <v>2.6999999999999997</v>
      </c>
      <c r="O105" s="797">
        <f>G75*D105/3</f>
        <v>2.6999999999999997</v>
      </c>
      <c r="P105" s="797"/>
    </row>
    <row r="106" spans="1:26" x14ac:dyDescent="0.3">
      <c r="A106" s="794"/>
      <c r="B106" s="796" t="s">
        <v>23</v>
      </c>
      <c r="C106" s="1153"/>
      <c r="D106" s="1153"/>
      <c r="E106" s="1153">
        <v>2</v>
      </c>
      <c r="M106" s="811" t="s">
        <v>23</v>
      </c>
      <c r="N106" s="797"/>
      <c r="O106" s="797"/>
      <c r="P106" s="797">
        <f>G76*E106/3</f>
        <v>1.3999999999999997</v>
      </c>
    </row>
    <row r="107" spans="1:26" x14ac:dyDescent="0.3">
      <c r="A107" s="794"/>
      <c r="B107" s="796" t="s">
        <v>25</v>
      </c>
      <c r="C107" s="1153">
        <v>3</v>
      </c>
      <c r="D107" s="1153">
        <v>2</v>
      </c>
      <c r="E107" s="1153"/>
      <c r="M107" s="811" t="s">
        <v>25</v>
      </c>
      <c r="N107" s="797">
        <f>G77*C107/3</f>
        <v>2.0999999999999996</v>
      </c>
      <c r="O107" s="797">
        <f>G77*D107/3</f>
        <v>1.3999999999999997</v>
      </c>
      <c r="P107" s="797"/>
    </row>
    <row r="108" spans="1:26" x14ac:dyDescent="0.3">
      <c r="A108" s="794"/>
      <c r="B108" s="498" t="s">
        <v>10</v>
      </c>
      <c r="C108" s="1252">
        <f>AVERAGE(C104:C107)</f>
        <v>3</v>
      </c>
      <c r="D108" s="1252">
        <f>AVERAGE(D104:D107)</f>
        <v>2.5</v>
      </c>
      <c r="E108" s="1252">
        <f>AVERAGE(E104:E107)</f>
        <v>2</v>
      </c>
      <c r="M108" s="812" t="s">
        <v>10</v>
      </c>
      <c r="N108" s="797">
        <f>AVERAGE(N104:N107)</f>
        <v>2.3999999999999995</v>
      </c>
      <c r="O108" s="797">
        <f>AVERAGE(O104:O107)</f>
        <v>2.0499999999999998</v>
      </c>
      <c r="P108" s="797">
        <f>AVERAGE(P104:P107)</f>
        <v>1.3999999999999997</v>
      </c>
    </row>
    <row r="109" spans="1:26" ht="25.5" x14ac:dyDescent="0.3">
      <c r="A109" s="2387"/>
      <c r="B109" s="2377" t="s">
        <v>58</v>
      </c>
      <c r="C109" s="3205">
        <f>AVERAGE(C108:E108)</f>
        <v>2.5</v>
      </c>
      <c r="D109" s="3206"/>
      <c r="E109" s="3207"/>
      <c r="F109" s="2385"/>
      <c r="G109" s="2385"/>
      <c r="H109" s="2385"/>
      <c r="I109" s="2385"/>
      <c r="J109" s="2385"/>
      <c r="K109" s="2385"/>
      <c r="L109" s="2385"/>
      <c r="M109" s="828" t="s">
        <v>58</v>
      </c>
      <c r="N109" s="3105">
        <f>AVERAGE(N108:P108)</f>
        <v>1.9499999999999995</v>
      </c>
      <c r="O109" s="3105"/>
      <c r="P109" s="3105"/>
      <c r="Q109" s="2385"/>
    </row>
    <row r="110" spans="1:26" x14ac:dyDescent="0.3">
      <c r="A110" s="794"/>
      <c r="B110" s="794"/>
    </row>
    <row r="112" spans="1:26" x14ac:dyDescent="0.3">
      <c r="A112" s="3054"/>
      <c r="B112" s="3054"/>
      <c r="C112" s="3054"/>
      <c r="D112" s="3054"/>
      <c r="E112" s="3054"/>
      <c r="F112" s="3054"/>
      <c r="G112" s="3054"/>
      <c r="H112" s="3054"/>
      <c r="I112" s="3054"/>
      <c r="J112" s="3054"/>
      <c r="K112" s="3054"/>
      <c r="L112" s="3054"/>
      <c r="M112" s="3054"/>
      <c r="N112" s="3054"/>
      <c r="O112" s="3054"/>
      <c r="P112" s="3054"/>
      <c r="Q112" s="3054"/>
    </row>
    <row r="113" spans="1:17" x14ac:dyDescent="0.3">
      <c r="A113" s="2369"/>
      <c r="B113" s="2369"/>
      <c r="C113" s="2389"/>
      <c r="D113" s="2389"/>
      <c r="E113" s="2389"/>
      <c r="F113" s="2389"/>
      <c r="G113" s="2389"/>
      <c r="H113" s="2389"/>
      <c r="I113" s="2389"/>
      <c r="J113" s="2389"/>
      <c r="K113" s="2389"/>
      <c r="L113" s="2389"/>
      <c r="M113" s="2389"/>
      <c r="N113" s="2389"/>
      <c r="O113" s="2389"/>
      <c r="P113" s="2389"/>
      <c r="Q113" s="2389"/>
    </row>
    <row r="114" spans="1:17" x14ac:dyDescent="0.3">
      <c r="A114" s="3053"/>
      <c r="B114" s="3053"/>
      <c r="C114" s="3053"/>
      <c r="D114" s="3053"/>
      <c r="E114" s="3053"/>
      <c r="F114" s="3053"/>
      <c r="G114" s="3053"/>
      <c r="H114" s="3053"/>
      <c r="I114" s="3053"/>
      <c r="J114" s="3053"/>
      <c r="K114" s="3053"/>
      <c r="L114" s="3053"/>
      <c r="M114" s="3053"/>
      <c r="N114" s="3053"/>
      <c r="O114" s="3053"/>
      <c r="P114" s="3053"/>
      <c r="Q114" s="3053"/>
    </row>
    <row r="115" spans="1:17" x14ac:dyDescent="0.3">
      <c r="A115" s="3053"/>
      <c r="B115" s="3053"/>
      <c r="C115" s="3053"/>
      <c r="D115" s="3053"/>
      <c r="E115" s="3053"/>
      <c r="F115" s="3053"/>
      <c r="G115" s="3053"/>
      <c r="H115" s="3053"/>
      <c r="I115" s="3053"/>
      <c r="J115" s="3053"/>
      <c r="K115" s="3053"/>
      <c r="L115" s="3053"/>
      <c r="M115" s="3053"/>
      <c r="N115" s="3053"/>
      <c r="O115" s="3053"/>
      <c r="P115" s="3053"/>
      <c r="Q115" s="3053"/>
    </row>
    <row r="116" spans="1:17" x14ac:dyDescent="0.3">
      <c r="A116" s="3053"/>
      <c r="B116" s="3053"/>
      <c r="C116" s="3053"/>
      <c r="D116" s="3053"/>
      <c r="E116" s="3053"/>
      <c r="F116" s="3053"/>
      <c r="G116" s="3053"/>
      <c r="H116" s="3053"/>
      <c r="I116" s="3053"/>
      <c r="J116" s="3053"/>
      <c r="K116" s="3053"/>
      <c r="L116" s="3053"/>
      <c r="M116" s="3053"/>
      <c r="N116" s="3053"/>
      <c r="O116" s="3053"/>
      <c r="P116" s="3053"/>
      <c r="Q116" s="3053"/>
    </row>
    <row r="117" spans="1:17" x14ac:dyDescent="0.3">
      <c r="A117" s="3053"/>
      <c r="B117" s="3053"/>
      <c r="C117" s="3053"/>
      <c r="D117" s="3053"/>
      <c r="E117" s="3053"/>
      <c r="F117" s="3053"/>
      <c r="G117" s="3053"/>
      <c r="H117" s="3053"/>
      <c r="I117" s="3053"/>
      <c r="J117" s="3053"/>
      <c r="K117" s="3053"/>
      <c r="L117" s="3053"/>
      <c r="M117" s="3053"/>
      <c r="N117" s="3053"/>
      <c r="O117" s="3053"/>
      <c r="P117" s="3053"/>
      <c r="Q117" s="3053"/>
    </row>
    <row r="118" spans="1:17" x14ac:dyDescent="0.3">
      <c r="A118" s="3053"/>
      <c r="B118" s="3053"/>
      <c r="C118" s="3053"/>
      <c r="D118" s="3053"/>
      <c r="E118" s="3053"/>
      <c r="F118" s="3053"/>
      <c r="G118" s="3053"/>
      <c r="H118" s="3053"/>
      <c r="I118" s="3053"/>
      <c r="J118" s="3053"/>
      <c r="K118" s="3053"/>
      <c r="L118" s="3053"/>
      <c r="M118" s="3053"/>
      <c r="N118" s="3053"/>
      <c r="O118" s="3053"/>
      <c r="P118" s="3053"/>
      <c r="Q118" s="3053"/>
    </row>
    <row r="119" spans="1:17" x14ac:dyDescent="0.3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  <c r="P119" s="3053"/>
      <c r="Q119" s="3053"/>
    </row>
    <row r="120" spans="1:17" x14ac:dyDescent="0.3">
      <c r="A120" s="3054"/>
      <c r="B120" s="3054"/>
      <c r="C120" s="3054"/>
      <c r="D120" s="3054"/>
      <c r="E120" s="3054"/>
      <c r="F120" s="3054"/>
      <c r="G120" s="3054"/>
      <c r="H120" s="3054"/>
      <c r="I120" s="3054"/>
      <c r="J120" s="3054"/>
      <c r="K120" s="3054"/>
      <c r="L120" s="3054"/>
      <c r="M120" s="3054"/>
      <c r="N120" s="3054"/>
      <c r="O120" s="3054"/>
      <c r="P120" s="3054"/>
      <c r="Q120" s="3054"/>
    </row>
    <row r="121" spans="1:17" x14ac:dyDescent="0.3">
      <c r="A121" s="3055"/>
      <c r="B121" s="3055"/>
      <c r="C121" s="3055"/>
      <c r="D121" s="3055"/>
      <c r="E121" s="3055"/>
      <c r="F121" s="3055"/>
      <c r="G121" s="3055"/>
      <c r="H121" s="3055"/>
      <c r="I121" s="3055"/>
      <c r="J121" s="3055"/>
      <c r="K121" s="3055"/>
      <c r="L121" s="3055"/>
      <c r="M121" s="3055"/>
      <c r="N121" s="3055"/>
      <c r="O121" s="3055"/>
      <c r="P121" s="3055"/>
      <c r="Q121" s="3055"/>
    </row>
    <row r="122" spans="1:17" x14ac:dyDescent="0.3">
      <c r="A122" s="2983"/>
      <c r="B122" s="2983"/>
      <c r="C122" s="2983"/>
      <c r="D122" s="2983"/>
      <c r="E122" s="2983"/>
      <c r="F122" s="2983"/>
      <c r="G122" s="2983"/>
      <c r="H122" s="2983"/>
      <c r="I122" s="2983"/>
      <c r="J122" s="2983"/>
      <c r="K122" s="2983"/>
      <c r="L122" s="2983"/>
      <c r="M122" s="2983"/>
      <c r="N122" s="2983"/>
      <c r="O122" s="2983"/>
      <c r="P122" s="2983"/>
      <c r="Q122" s="2983"/>
    </row>
    <row r="123" spans="1:17" x14ac:dyDescent="0.3">
      <c r="A123" s="3045"/>
      <c r="B123" s="3045"/>
      <c r="C123" s="3045"/>
      <c r="D123" s="3045"/>
      <c r="E123" s="3045"/>
      <c r="F123" s="3045"/>
      <c r="G123" s="3045"/>
      <c r="H123" s="3045"/>
      <c r="I123" s="3045"/>
      <c r="J123" s="3045"/>
      <c r="K123" s="3045"/>
      <c r="L123" s="3045"/>
      <c r="M123" s="3045"/>
      <c r="N123" s="3045"/>
      <c r="O123" s="3045"/>
      <c r="P123" s="3045"/>
      <c r="Q123" s="3045"/>
    </row>
    <row r="124" spans="1:17" x14ac:dyDescent="0.3">
      <c r="A124" s="3046"/>
      <c r="B124" s="3046"/>
      <c r="C124" s="3046"/>
      <c r="D124" s="3046"/>
      <c r="E124" s="3046"/>
      <c r="F124" s="3046"/>
      <c r="G124" s="3046"/>
      <c r="H124" s="3046"/>
      <c r="I124" s="3046"/>
      <c r="J124" s="3046"/>
      <c r="K124" s="3046"/>
      <c r="L124" s="3046"/>
      <c r="M124" s="3046"/>
      <c r="N124" s="3046"/>
      <c r="O124" s="3046"/>
      <c r="P124" s="3046"/>
      <c r="Q124" s="3046"/>
    </row>
    <row r="125" spans="1:17" x14ac:dyDescent="0.3">
      <c r="A125" s="3046"/>
      <c r="B125" s="3046"/>
      <c r="C125" s="3046"/>
      <c r="D125" s="3046"/>
      <c r="E125" s="3046"/>
      <c r="F125" s="3046"/>
      <c r="G125" s="3046"/>
      <c r="H125" s="3046"/>
      <c r="I125" s="3046"/>
      <c r="J125" s="3046"/>
      <c r="K125" s="3046"/>
      <c r="L125" s="3046"/>
      <c r="M125" s="3046"/>
      <c r="N125" s="3046"/>
      <c r="O125" s="3046"/>
      <c r="P125" s="3046"/>
      <c r="Q125" s="3046"/>
    </row>
    <row r="126" spans="1:17" x14ac:dyDescent="0.3">
      <c r="A126" s="2983"/>
      <c r="B126" s="2983"/>
      <c r="C126" s="2983"/>
      <c r="D126" s="2983"/>
      <c r="E126" s="2983"/>
      <c r="F126" s="2983"/>
      <c r="G126" s="2983"/>
      <c r="H126" s="2983"/>
      <c r="I126" s="2983"/>
      <c r="J126" s="2983"/>
      <c r="K126" s="2983"/>
      <c r="L126" s="2983"/>
      <c r="M126" s="2983"/>
      <c r="N126" s="2983"/>
      <c r="O126" s="2983"/>
      <c r="P126" s="2983"/>
      <c r="Q126" s="2983"/>
    </row>
  </sheetData>
  <mergeCells count="67">
    <mergeCell ref="A2:B2"/>
    <mergeCell ref="C2:M2"/>
    <mergeCell ref="O2:V2"/>
    <mergeCell ref="A3:B3"/>
    <mergeCell ref="C3:M3"/>
    <mergeCell ref="O3:V3"/>
    <mergeCell ref="C4:M4"/>
    <mergeCell ref="O4:V4"/>
    <mergeCell ref="C5:L5"/>
    <mergeCell ref="A4:B4"/>
    <mergeCell ref="M5:V5"/>
    <mergeCell ref="B5:B7"/>
    <mergeCell ref="A5:A9"/>
    <mergeCell ref="A70:B70"/>
    <mergeCell ref="U6:U8"/>
    <mergeCell ref="V6:V8"/>
    <mergeCell ref="A71:B71"/>
    <mergeCell ref="M6:Q6"/>
    <mergeCell ref="R6:R7"/>
    <mergeCell ref="S6:S7"/>
    <mergeCell ref="T6:T7"/>
    <mergeCell ref="C6:G6"/>
    <mergeCell ref="J6:K6"/>
    <mergeCell ref="L6:L8"/>
    <mergeCell ref="X6:X9"/>
    <mergeCell ref="Y6:Y9"/>
    <mergeCell ref="C74:D74"/>
    <mergeCell ref="E74:F74"/>
    <mergeCell ref="G74:I74"/>
    <mergeCell ref="W6:W8"/>
    <mergeCell ref="J7:K7"/>
    <mergeCell ref="A75:B75"/>
    <mergeCell ref="E75:F75"/>
    <mergeCell ref="G75:I75"/>
    <mergeCell ref="A81:B81"/>
    <mergeCell ref="A76:B76"/>
    <mergeCell ref="E76:F76"/>
    <mergeCell ref="G76:I76"/>
    <mergeCell ref="A77:B77"/>
    <mergeCell ref="E77:F77"/>
    <mergeCell ref="G77:I77"/>
    <mergeCell ref="A78:B78"/>
    <mergeCell ref="E78:F78"/>
    <mergeCell ref="G78:I78"/>
    <mergeCell ref="A79:F79"/>
    <mergeCell ref="G79:I79"/>
    <mergeCell ref="A118:Q118"/>
    <mergeCell ref="C89:N89"/>
    <mergeCell ref="A91:B91"/>
    <mergeCell ref="C99:N99"/>
    <mergeCell ref="A101:B101"/>
    <mergeCell ref="K101:M101"/>
    <mergeCell ref="C109:E109"/>
    <mergeCell ref="N109:P109"/>
    <mergeCell ref="A112:Q112"/>
    <mergeCell ref="A114:Q114"/>
    <mergeCell ref="A115:Q115"/>
    <mergeCell ref="A116:Q116"/>
    <mergeCell ref="A117:Q117"/>
    <mergeCell ref="A125:Q125"/>
    <mergeCell ref="A126:Q126"/>
    <mergeCell ref="A119:Q119"/>
    <mergeCell ref="A120:Q120"/>
    <mergeCell ref="A121:Q121"/>
    <mergeCell ref="A122:Q122"/>
    <mergeCell ref="A123:Q123"/>
    <mergeCell ref="A124:Q124"/>
  </mergeCells>
  <conditionalFormatting sqref="X10:X67">
    <cfRule type="containsText" dxfId="104" priority="1" operator="containsText" text="F">
      <formula>NOT(ISERROR(SEARCH("F",X10)))</formula>
    </cfRule>
  </conditionalFormatting>
  <pageMargins left="0.7" right="0.7" top="0.75" bottom="0.75" header="0.3" footer="0.3"/>
  <pageSetup paperSize="8" scale="4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AB127"/>
  <sheetViews>
    <sheetView topLeftCell="A82" zoomScale="64" zoomScaleNormal="64" workbookViewId="0">
      <selection activeCell="W11" sqref="W11"/>
    </sheetView>
  </sheetViews>
  <sheetFormatPr defaultColWidth="9.140625" defaultRowHeight="15.75" x14ac:dyDescent="0.25"/>
  <cols>
    <col min="1" max="1" width="9.28515625" style="2271" customWidth="1"/>
    <col min="2" max="2" width="13.7109375" style="2271" customWidth="1"/>
    <col min="3" max="12" width="7" style="2271" customWidth="1"/>
    <col min="13" max="13" width="7.7109375" style="806" customWidth="1"/>
    <col min="14" max="23" width="7.7109375" style="2271" customWidth="1"/>
    <col min="24" max="26" width="9.140625" style="2271"/>
    <col min="27" max="27" width="8" style="2271" customWidth="1"/>
    <col min="28" max="28" width="7.42578125" style="2271" customWidth="1"/>
    <col min="29" max="16384" width="9.140625" style="2271"/>
  </cols>
  <sheetData>
    <row r="1" spans="1:28" x14ac:dyDescent="0.25">
      <c r="A1" s="333"/>
    </row>
    <row r="2" spans="1:28" x14ac:dyDescent="0.25">
      <c r="A2" s="3124" t="s">
        <v>0</v>
      </c>
      <c r="B2" s="3125"/>
      <c r="C2" s="3126" t="s">
        <v>118</v>
      </c>
      <c r="D2" s="3127"/>
      <c r="E2" s="3127"/>
      <c r="F2" s="3127"/>
      <c r="G2" s="3127"/>
      <c r="H2" s="3127"/>
      <c r="I2" s="3127"/>
      <c r="J2" s="3127"/>
      <c r="K2" s="3127"/>
      <c r="L2" s="3127"/>
      <c r="M2" s="3128"/>
      <c r="N2" s="2547" t="s">
        <v>63</v>
      </c>
      <c r="O2" s="3129" t="s">
        <v>155</v>
      </c>
      <c r="P2" s="3130"/>
      <c r="Q2" s="3130"/>
      <c r="R2" s="3130"/>
      <c r="S2" s="3130"/>
      <c r="T2" s="3130"/>
      <c r="U2" s="3130"/>
      <c r="V2" s="3130"/>
      <c r="W2" s="735"/>
      <c r="X2" s="735"/>
      <c r="Y2" s="735"/>
      <c r="Z2" s="735"/>
      <c r="AA2" s="735"/>
      <c r="AB2" s="735"/>
    </row>
    <row r="3" spans="1:28" x14ac:dyDescent="0.25">
      <c r="A3" s="3124" t="s">
        <v>1</v>
      </c>
      <c r="B3" s="3125"/>
      <c r="C3" s="3126" t="s">
        <v>419</v>
      </c>
      <c r="D3" s="3127"/>
      <c r="E3" s="3127"/>
      <c r="F3" s="3127"/>
      <c r="G3" s="3127"/>
      <c r="H3" s="3127"/>
      <c r="I3" s="3127"/>
      <c r="J3" s="3127"/>
      <c r="K3" s="3127"/>
      <c r="L3" s="3127"/>
      <c r="M3" s="3128"/>
      <c r="N3" s="803" t="s">
        <v>64</v>
      </c>
      <c r="O3" s="3129" t="s">
        <v>226</v>
      </c>
      <c r="P3" s="3130"/>
      <c r="Q3" s="3130"/>
      <c r="R3" s="3130"/>
      <c r="S3" s="3130"/>
      <c r="T3" s="3130"/>
      <c r="U3" s="3130"/>
      <c r="V3" s="3130"/>
      <c r="W3" s="735"/>
      <c r="X3" s="735"/>
      <c r="Y3" s="735"/>
      <c r="Z3" s="735"/>
      <c r="AA3" s="735"/>
      <c r="AB3" s="735"/>
    </row>
    <row r="4" spans="1:28" ht="16.5" thickBot="1" x14ac:dyDescent="0.3">
      <c r="A4" s="2610"/>
      <c r="B4" s="2611" t="s">
        <v>2</v>
      </c>
      <c r="C4" s="3289" t="s">
        <v>133</v>
      </c>
      <c r="D4" s="3290"/>
      <c r="E4" s="3290"/>
      <c r="F4" s="3290"/>
      <c r="G4" s="3290"/>
      <c r="H4" s="3290"/>
      <c r="I4" s="3290"/>
      <c r="J4" s="3290"/>
      <c r="K4" s="3290"/>
      <c r="L4" s="3290"/>
      <c r="M4" s="3291"/>
      <c r="N4" s="2612" t="s">
        <v>65</v>
      </c>
      <c r="O4" s="3292" t="s">
        <v>66</v>
      </c>
      <c r="P4" s="3293"/>
      <c r="Q4" s="3293"/>
      <c r="R4" s="3293"/>
      <c r="S4" s="3293"/>
      <c r="T4" s="3293"/>
      <c r="U4" s="3293"/>
      <c r="V4" s="3293"/>
      <c r="W4" s="735"/>
      <c r="X4" s="735"/>
      <c r="Y4" s="735"/>
      <c r="Z4" s="735"/>
      <c r="AA4" s="735"/>
      <c r="AB4" s="735"/>
    </row>
    <row r="5" spans="1:28" ht="16.5" thickBot="1" x14ac:dyDescent="0.3">
      <c r="A5" s="3064"/>
      <c r="B5" s="3065"/>
      <c r="C5" s="3294" t="s">
        <v>3</v>
      </c>
      <c r="D5" s="3295"/>
      <c r="E5" s="3295"/>
      <c r="F5" s="3295"/>
      <c r="G5" s="3295"/>
      <c r="H5" s="3295"/>
      <c r="I5" s="3295"/>
      <c r="J5" s="3295"/>
      <c r="K5" s="3295"/>
      <c r="L5" s="3296"/>
      <c r="M5" s="3297" t="s">
        <v>4</v>
      </c>
      <c r="N5" s="3089"/>
      <c r="O5" s="3089"/>
      <c r="P5" s="3089"/>
      <c r="Q5" s="3089"/>
      <c r="R5" s="3089"/>
      <c r="S5" s="3089"/>
      <c r="T5" s="3089"/>
      <c r="U5" s="3089"/>
      <c r="V5" s="2405"/>
      <c r="W5" s="2613"/>
      <c r="X5" s="2613"/>
      <c r="Y5" s="2541"/>
      <c r="Z5" s="65"/>
      <c r="AA5" s="65"/>
      <c r="AB5" s="66"/>
    </row>
    <row r="6" spans="1:28" ht="15" customHeight="1" x14ac:dyDescent="0.25">
      <c r="A6" s="3066"/>
      <c r="B6" s="3100" t="s">
        <v>5</v>
      </c>
      <c r="C6" s="3093" t="s">
        <v>6</v>
      </c>
      <c r="D6" s="3094"/>
      <c r="E6" s="3094"/>
      <c r="F6" s="3094"/>
      <c r="G6" s="3095"/>
      <c r="H6" s="709" t="s">
        <v>7</v>
      </c>
      <c r="I6" s="394" t="s">
        <v>8</v>
      </c>
      <c r="J6" s="3098" t="s">
        <v>9</v>
      </c>
      <c r="K6" s="3119"/>
      <c r="L6" s="3076" t="s">
        <v>146</v>
      </c>
      <c r="M6" s="3093" t="s">
        <v>6</v>
      </c>
      <c r="N6" s="3094"/>
      <c r="O6" s="3094"/>
      <c r="P6" s="3094"/>
      <c r="Q6" s="3095"/>
      <c r="R6" s="3096" t="s">
        <v>7</v>
      </c>
      <c r="S6" s="3098" t="s">
        <v>8</v>
      </c>
      <c r="T6" s="3099" t="s">
        <v>9</v>
      </c>
      <c r="U6" s="2679" t="s">
        <v>147</v>
      </c>
      <c r="V6" s="2679" t="s">
        <v>233</v>
      </c>
      <c r="W6" s="2537"/>
      <c r="X6" s="3048" t="s">
        <v>11</v>
      </c>
      <c r="Y6" s="3091" t="s">
        <v>12</v>
      </c>
    </row>
    <row r="7" spans="1:28" ht="15.75" customHeight="1" x14ac:dyDescent="0.25">
      <c r="A7" s="3067"/>
      <c r="B7" s="2626"/>
      <c r="C7" s="816" t="s">
        <v>13</v>
      </c>
      <c r="D7" s="2544" t="s">
        <v>14</v>
      </c>
      <c r="E7" s="2544" t="s">
        <v>15</v>
      </c>
      <c r="F7" s="2544" t="s">
        <v>16</v>
      </c>
      <c r="G7" s="817" t="s">
        <v>17</v>
      </c>
      <c r="H7" s="101">
        <v>2</v>
      </c>
      <c r="I7" s="2544">
        <v>3</v>
      </c>
      <c r="J7" s="2629">
        <v>4</v>
      </c>
      <c r="K7" s="3298"/>
      <c r="L7" s="3077"/>
      <c r="M7" s="816" t="s">
        <v>13</v>
      </c>
      <c r="N7" s="2544" t="s">
        <v>14</v>
      </c>
      <c r="O7" s="2544" t="s">
        <v>15</v>
      </c>
      <c r="P7" s="2544" t="s">
        <v>16</v>
      </c>
      <c r="Q7" s="817" t="s">
        <v>17</v>
      </c>
      <c r="R7" s="3097"/>
      <c r="S7" s="2679"/>
      <c r="T7" s="3100"/>
      <c r="U7" s="2679"/>
      <c r="V7" s="2679"/>
      <c r="W7" s="2537"/>
      <c r="X7" s="2679"/>
      <c r="Y7" s="3052"/>
    </row>
    <row r="8" spans="1:28" x14ac:dyDescent="0.25">
      <c r="A8" s="3068"/>
      <c r="B8" s="2545" t="s">
        <v>19</v>
      </c>
      <c r="C8" s="818">
        <v>1</v>
      </c>
      <c r="D8" s="2543">
        <v>1</v>
      </c>
      <c r="E8" s="2543">
        <v>1</v>
      </c>
      <c r="F8" s="2543">
        <v>2</v>
      </c>
      <c r="G8" s="819">
        <v>2</v>
      </c>
      <c r="H8" s="847">
        <v>1</v>
      </c>
      <c r="I8" s="2543">
        <v>2</v>
      </c>
      <c r="J8" s="2548">
        <v>3</v>
      </c>
      <c r="K8" s="2614">
        <v>3</v>
      </c>
      <c r="L8" s="3077"/>
      <c r="M8" s="818">
        <v>3</v>
      </c>
      <c r="N8" s="2543">
        <v>3</v>
      </c>
      <c r="O8" s="2543">
        <v>3</v>
      </c>
      <c r="P8" s="2543">
        <v>4</v>
      </c>
      <c r="Q8" s="819">
        <v>4</v>
      </c>
      <c r="R8" s="818">
        <v>3</v>
      </c>
      <c r="S8" s="2543">
        <v>4</v>
      </c>
      <c r="T8" s="2546">
        <v>4</v>
      </c>
      <c r="U8" s="2679"/>
      <c r="V8" s="2679"/>
      <c r="W8" s="2537"/>
      <c r="X8" s="2679"/>
      <c r="Y8" s="3052"/>
    </row>
    <row r="9" spans="1:28" x14ac:dyDescent="0.25">
      <c r="A9" s="2544" t="s">
        <v>18</v>
      </c>
      <c r="B9" s="2533" t="s">
        <v>26</v>
      </c>
      <c r="C9" s="818">
        <v>2</v>
      </c>
      <c r="D9" s="2543">
        <v>2</v>
      </c>
      <c r="E9" s="2543">
        <v>2</v>
      </c>
      <c r="F9" s="2543">
        <v>2</v>
      </c>
      <c r="G9" s="819">
        <v>2</v>
      </c>
      <c r="H9" s="847">
        <v>10</v>
      </c>
      <c r="I9" s="2543">
        <v>10</v>
      </c>
      <c r="J9" s="2543">
        <v>5</v>
      </c>
      <c r="K9" s="2614">
        <v>5</v>
      </c>
      <c r="L9" s="82"/>
      <c r="M9" s="818">
        <v>2</v>
      </c>
      <c r="N9" s="2543">
        <v>2</v>
      </c>
      <c r="O9" s="2543">
        <v>2</v>
      </c>
      <c r="P9" s="2543">
        <v>2</v>
      </c>
      <c r="Q9" s="819">
        <v>2</v>
      </c>
      <c r="R9" s="818">
        <v>10</v>
      </c>
      <c r="S9" s="2543">
        <v>10</v>
      </c>
      <c r="T9" s="2543">
        <v>10</v>
      </c>
      <c r="U9" s="2534">
        <v>30</v>
      </c>
      <c r="V9" s="2535">
        <v>8</v>
      </c>
      <c r="W9" s="2536"/>
      <c r="X9" s="2536"/>
      <c r="Y9" s="330"/>
    </row>
    <row r="10" spans="1:28" ht="18.75" x14ac:dyDescent="0.25">
      <c r="A10" s="2544">
        <v>1</v>
      </c>
      <c r="B10" s="427">
        <v>5191421001</v>
      </c>
      <c r="C10" s="396">
        <v>2</v>
      </c>
      <c r="D10" s="2539">
        <v>2</v>
      </c>
      <c r="E10" s="2539">
        <v>2</v>
      </c>
      <c r="F10" s="2539">
        <v>2</v>
      </c>
      <c r="G10" s="840"/>
      <c r="H10" s="397">
        <v>8</v>
      </c>
      <c r="I10" s="2539">
        <v>5</v>
      </c>
      <c r="J10" s="839"/>
      <c r="K10" s="2615"/>
      <c r="L10" s="2024">
        <v>21</v>
      </c>
      <c r="M10" s="822">
        <v>2</v>
      </c>
      <c r="N10" s="813">
        <v>2</v>
      </c>
      <c r="O10" s="813">
        <v>2</v>
      </c>
      <c r="P10" s="813">
        <v>2</v>
      </c>
      <c r="Q10" s="821">
        <v>0</v>
      </c>
      <c r="R10" s="820">
        <v>2</v>
      </c>
      <c r="S10" s="839">
        <v>5</v>
      </c>
      <c r="T10" s="839">
        <v>4</v>
      </c>
      <c r="U10" s="2524">
        <v>17</v>
      </c>
      <c r="V10" s="2535">
        <v>10</v>
      </c>
      <c r="W10" s="2550"/>
      <c r="X10" s="2281" t="s">
        <v>33</v>
      </c>
      <c r="Y10" s="2538">
        <f>IF(X10="O",100,IF(X10="A+",90,IF(X10="A",80,IF(X10="B+",70,IF(X10="B",60,IF(X10="C",55,IF(X10="P",50,IF(X10="F",39))))))))</f>
        <v>60</v>
      </c>
    </row>
    <row r="11" spans="1:28" ht="18.75" x14ac:dyDescent="0.25">
      <c r="A11" s="2544">
        <v>2</v>
      </c>
      <c r="B11" s="427">
        <v>5191421002</v>
      </c>
      <c r="C11" s="312">
        <v>2</v>
      </c>
      <c r="D11" s="839">
        <v>2</v>
      </c>
      <c r="E11" s="839">
        <v>2</v>
      </c>
      <c r="F11" s="839">
        <v>2</v>
      </c>
      <c r="G11" s="821">
        <v>2</v>
      </c>
      <c r="H11" s="820">
        <v>10</v>
      </c>
      <c r="I11" s="839">
        <v>6</v>
      </c>
      <c r="J11" s="839"/>
      <c r="K11" s="436"/>
      <c r="L11" s="2524">
        <v>26</v>
      </c>
      <c r="M11" s="822"/>
      <c r="N11" s="813">
        <v>2</v>
      </c>
      <c r="O11" s="813">
        <v>2</v>
      </c>
      <c r="P11" s="813">
        <v>2</v>
      </c>
      <c r="Q11" s="821">
        <v>1</v>
      </c>
      <c r="R11" s="820"/>
      <c r="S11" s="839">
        <v>5</v>
      </c>
      <c r="T11" s="839">
        <v>9</v>
      </c>
      <c r="U11" s="2524">
        <v>21</v>
      </c>
      <c r="V11" s="2535">
        <v>10</v>
      </c>
      <c r="W11" s="2550"/>
      <c r="X11" s="2281" t="s">
        <v>33</v>
      </c>
      <c r="Y11" s="2538">
        <f t="shared" ref="Y11:Y67" si="0">IF(X11="O",100,IF(X11="A+",90,IF(X11="A",80,IF(X11="B+",70,IF(X11="B",60,IF(X11="C",55,IF(X11="P",50,IF(X11="F",39))))))))</f>
        <v>60</v>
      </c>
    </row>
    <row r="12" spans="1:28" ht="18.75" x14ac:dyDescent="0.25">
      <c r="A12" s="2544">
        <v>3</v>
      </c>
      <c r="B12" s="427">
        <v>5191421003</v>
      </c>
      <c r="C12" s="107">
        <v>2</v>
      </c>
      <c r="D12" s="813">
        <v>2</v>
      </c>
      <c r="E12" s="813">
        <v>2</v>
      </c>
      <c r="F12" s="813">
        <v>2</v>
      </c>
      <c r="G12" s="821">
        <v>2</v>
      </c>
      <c r="H12" s="820">
        <v>7</v>
      </c>
      <c r="I12" s="839">
        <v>10</v>
      </c>
      <c r="J12" s="839"/>
      <c r="K12" s="436"/>
      <c r="L12" s="2524">
        <v>27</v>
      </c>
      <c r="M12" s="822">
        <v>2</v>
      </c>
      <c r="N12" s="813">
        <v>2</v>
      </c>
      <c r="O12" s="813">
        <v>2</v>
      </c>
      <c r="P12" s="813">
        <v>2</v>
      </c>
      <c r="Q12" s="821">
        <v>2</v>
      </c>
      <c r="R12" s="820"/>
      <c r="S12" s="839">
        <v>10</v>
      </c>
      <c r="T12" s="839">
        <v>10</v>
      </c>
      <c r="U12" s="2524">
        <v>30</v>
      </c>
      <c r="V12" s="2535">
        <v>10</v>
      </c>
      <c r="W12" s="2550"/>
      <c r="X12" s="2281" t="s">
        <v>27</v>
      </c>
      <c r="Y12" s="2538">
        <f t="shared" si="0"/>
        <v>80</v>
      </c>
    </row>
    <row r="13" spans="1:28" ht="18.75" x14ac:dyDescent="0.25">
      <c r="A13" s="2544">
        <v>4</v>
      </c>
      <c r="B13" s="427">
        <v>5191421004</v>
      </c>
      <c r="C13" s="100">
        <v>1</v>
      </c>
      <c r="D13" s="813">
        <v>0</v>
      </c>
      <c r="E13" s="813"/>
      <c r="F13" s="813">
        <v>1</v>
      </c>
      <c r="G13" s="821"/>
      <c r="H13" s="820"/>
      <c r="I13" s="839"/>
      <c r="J13" s="839"/>
      <c r="K13" s="436"/>
      <c r="L13" s="2024">
        <v>2</v>
      </c>
      <c r="M13" s="822">
        <v>2</v>
      </c>
      <c r="N13" s="813">
        <v>2</v>
      </c>
      <c r="O13" s="813"/>
      <c r="P13" s="813">
        <v>2</v>
      </c>
      <c r="Q13" s="821">
        <v>2</v>
      </c>
      <c r="R13" s="820">
        <v>4</v>
      </c>
      <c r="S13" s="839"/>
      <c r="T13" s="839">
        <v>9</v>
      </c>
      <c r="U13" s="2524">
        <v>22</v>
      </c>
      <c r="V13" s="2535">
        <v>8</v>
      </c>
      <c r="W13" s="2550"/>
      <c r="X13" s="2281" t="s">
        <v>29</v>
      </c>
      <c r="Y13" s="2538">
        <f t="shared" si="0"/>
        <v>39</v>
      </c>
    </row>
    <row r="14" spans="1:28" ht="18.75" x14ac:dyDescent="0.25">
      <c r="A14" s="2544">
        <v>5</v>
      </c>
      <c r="B14" s="427">
        <v>5191421005</v>
      </c>
      <c r="C14" s="107">
        <v>2</v>
      </c>
      <c r="D14" s="813">
        <v>2</v>
      </c>
      <c r="E14" s="813">
        <v>2</v>
      </c>
      <c r="F14" s="813">
        <v>1</v>
      </c>
      <c r="G14" s="821">
        <v>0</v>
      </c>
      <c r="H14" s="820">
        <v>4</v>
      </c>
      <c r="I14" s="839">
        <v>5</v>
      </c>
      <c r="J14" s="839"/>
      <c r="K14" s="436"/>
      <c r="L14" s="2524">
        <v>16</v>
      </c>
      <c r="M14" s="822">
        <v>0</v>
      </c>
      <c r="N14" s="813">
        <v>1</v>
      </c>
      <c r="O14" s="813">
        <v>0</v>
      </c>
      <c r="P14" s="813">
        <v>2</v>
      </c>
      <c r="Q14" s="821">
        <v>0</v>
      </c>
      <c r="R14" s="820"/>
      <c r="S14" s="839">
        <v>7</v>
      </c>
      <c r="T14" s="839">
        <v>6</v>
      </c>
      <c r="U14" s="2524">
        <v>16</v>
      </c>
      <c r="V14" s="2535">
        <v>10</v>
      </c>
      <c r="W14" s="2550"/>
      <c r="X14" s="2281" t="s">
        <v>28</v>
      </c>
      <c r="Y14" s="2538">
        <f t="shared" si="0"/>
        <v>50</v>
      </c>
    </row>
    <row r="15" spans="1:28" ht="18.75" x14ac:dyDescent="0.25">
      <c r="A15" s="2544">
        <v>6</v>
      </c>
      <c r="B15" s="427">
        <v>5191421006</v>
      </c>
      <c r="C15" s="107">
        <v>2</v>
      </c>
      <c r="D15" s="813">
        <v>2</v>
      </c>
      <c r="E15" s="813">
        <v>2</v>
      </c>
      <c r="F15" s="813">
        <v>2</v>
      </c>
      <c r="G15" s="821">
        <v>2</v>
      </c>
      <c r="H15" s="820">
        <v>6</v>
      </c>
      <c r="I15" s="839">
        <v>9</v>
      </c>
      <c r="J15" s="839">
        <v>3</v>
      </c>
      <c r="K15" s="436">
        <v>5</v>
      </c>
      <c r="L15" s="2524">
        <v>27</v>
      </c>
      <c r="M15" s="822">
        <v>2</v>
      </c>
      <c r="N15" s="813">
        <v>2</v>
      </c>
      <c r="O15" s="813">
        <v>2</v>
      </c>
      <c r="P15" s="813">
        <v>2</v>
      </c>
      <c r="Q15" s="821">
        <v>2</v>
      </c>
      <c r="R15" s="820">
        <v>10</v>
      </c>
      <c r="S15" s="839">
        <v>8</v>
      </c>
      <c r="T15" s="839">
        <v>8</v>
      </c>
      <c r="U15" s="2524">
        <v>28</v>
      </c>
      <c r="V15" s="2535">
        <v>10</v>
      </c>
      <c r="W15" s="2550"/>
      <c r="X15" s="2281" t="s">
        <v>32</v>
      </c>
      <c r="Y15" s="2538">
        <f t="shared" si="0"/>
        <v>70</v>
      </c>
    </row>
    <row r="16" spans="1:28" ht="18.75" x14ac:dyDescent="0.25">
      <c r="A16" s="2544">
        <v>7</v>
      </c>
      <c r="B16" s="427">
        <v>5191421007</v>
      </c>
      <c r="C16" s="107">
        <v>2</v>
      </c>
      <c r="D16" s="813">
        <v>2</v>
      </c>
      <c r="E16" s="813">
        <v>0</v>
      </c>
      <c r="F16" s="813">
        <v>0</v>
      </c>
      <c r="G16" s="821">
        <v>0</v>
      </c>
      <c r="H16" s="820">
        <v>4</v>
      </c>
      <c r="I16" s="839">
        <v>10</v>
      </c>
      <c r="J16" s="839"/>
      <c r="K16" s="436"/>
      <c r="L16" s="2524">
        <v>18</v>
      </c>
      <c r="M16" s="822">
        <v>2</v>
      </c>
      <c r="N16" s="813">
        <v>2</v>
      </c>
      <c r="O16" s="813">
        <v>2</v>
      </c>
      <c r="P16" s="813">
        <v>2</v>
      </c>
      <c r="Q16" s="821">
        <v>1</v>
      </c>
      <c r="R16" s="820"/>
      <c r="S16" s="839">
        <v>7</v>
      </c>
      <c r="T16" s="839">
        <v>6</v>
      </c>
      <c r="U16" s="2524">
        <v>22</v>
      </c>
      <c r="V16" s="2535">
        <v>8</v>
      </c>
      <c r="W16" s="2550"/>
      <c r="X16" s="2281" t="s">
        <v>31</v>
      </c>
      <c r="Y16" s="2538">
        <f t="shared" si="0"/>
        <v>55</v>
      </c>
    </row>
    <row r="17" spans="1:25" ht="18.75" x14ac:dyDescent="0.25">
      <c r="A17" s="2544">
        <v>8</v>
      </c>
      <c r="B17" s="427">
        <v>5191421008</v>
      </c>
      <c r="C17" s="107">
        <v>2</v>
      </c>
      <c r="D17" s="813">
        <v>1</v>
      </c>
      <c r="E17" s="813">
        <v>0</v>
      </c>
      <c r="F17" s="813">
        <v>0</v>
      </c>
      <c r="G17" s="821">
        <v>1</v>
      </c>
      <c r="H17" s="820">
        <v>4</v>
      </c>
      <c r="I17" s="839"/>
      <c r="J17" s="839"/>
      <c r="K17" s="436"/>
      <c r="L17" s="2524">
        <v>8</v>
      </c>
      <c r="M17" s="822">
        <v>2</v>
      </c>
      <c r="N17" s="813">
        <v>2</v>
      </c>
      <c r="O17" s="813">
        <v>1</v>
      </c>
      <c r="P17" s="813">
        <v>2</v>
      </c>
      <c r="Q17" s="821">
        <v>2</v>
      </c>
      <c r="R17" s="820">
        <v>5</v>
      </c>
      <c r="S17" s="839"/>
      <c r="T17" s="839">
        <v>7</v>
      </c>
      <c r="U17" s="2524">
        <v>21</v>
      </c>
      <c r="V17" s="2535">
        <v>10</v>
      </c>
      <c r="W17" s="2550"/>
      <c r="X17" s="2281" t="s">
        <v>31</v>
      </c>
      <c r="Y17" s="2538">
        <f t="shared" si="0"/>
        <v>55</v>
      </c>
    </row>
    <row r="18" spans="1:25" ht="18.75" x14ac:dyDescent="0.25">
      <c r="A18" s="2544">
        <v>9</v>
      </c>
      <c r="B18" s="427">
        <v>5191421009</v>
      </c>
      <c r="C18" s="312">
        <v>2</v>
      </c>
      <c r="D18" s="839">
        <v>2</v>
      </c>
      <c r="E18" s="839">
        <v>0</v>
      </c>
      <c r="F18" s="839">
        <v>2</v>
      </c>
      <c r="G18" s="821">
        <v>1</v>
      </c>
      <c r="H18" s="820">
        <v>5</v>
      </c>
      <c r="I18" s="839">
        <v>3</v>
      </c>
      <c r="J18" s="839"/>
      <c r="K18" s="436"/>
      <c r="L18" s="2524">
        <v>15</v>
      </c>
      <c r="M18" s="822">
        <v>2</v>
      </c>
      <c r="N18" s="813">
        <v>2</v>
      </c>
      <c r="O18" s="813">
        <v>2</v>
      </c>
      <c r="P18" s="813">
        <v>2</v>
      </c>
      <c r="Q18" s="821">
        <v>1</v>
      </c>
      <c r="R18" s="820">
        <v>6</v>
      </c>
      <c r="S18" s="839">
        <v>7</v>
      </c>
      <c r="T18" s="839">
        <v>0</v>
      </c>
      <c r="U18" s="2524">
        <v>22</v>
      </c>
      <c r="V18" s="2535">
        <v>10</v>
      </c>
      <c r="W18" s="2550"/>
      <c r="X18" s="2281" t="s">
        <v>31</v>
      </c>
      <c r="Y18" s="2538">
        <f t="shared" si="0"/>
        <v>55</v>
      </c>
    </row>
    <row r="19" spans="1:25" ht="18.75" x14ac:dyDescent="0.25">
      <c r="A19" s="2544">
        <v>10</v>
      </c>
      <c r="B19" s="427">
        <v>5191421010</v>
      </c>
      <c r="C19" s="107">
        <v>2</v>
      </c>
      <c r="D19" s="813">
        <v>2</v>
      </c>
      <c r="E19" s="813">
        <v>2</v>
      </c>
      <c r="F19" s="813">
        <v>1</v>
      </c>
      <c r="G19" s="821">
        <v>0</v>
      </c>
      <c r="H19" s="820">
        <v>8</v>
      </c>
      <c r="I19" s="839">
        <v>10</v>
      </c>
      <c r="J19" s="839"/>
      <c r="K19" s="436"/>
      <c r="L19" s="2524">
        <v>25</v>
      </c>
      <c r="M19" s="822">
        <v>2</v>
      </c>
      <c r="N19" s="813">
        <v>2</v>
      </c>
      <c r="O19" s="813">
        <v>2</v>
      </c>
      <c r="P19" s="813">
        <v>2</v>
      </c>
      <c r="Q19" s="821">
        <v>1</v>
      </c>
      <c r="R19" s="820">
        <v>5</v>
      </c>
      <c r="S19" s="839">
        <v>9</v>
      </c>
      <c r="T19" s="839">
        <v>7</v>
      </c>
      <c r="U19" s="2524">
        <v>25</v>
      </c>
      <c r="V19" s="2535">
        <v>10</v>
      </c>
      <c r="W19" s="2550"/>
      <c r="X19" s="2281" t="s">
        <v>27</v>
      </c>
      <c r="Y19" s="2538">
        <f t="shared" si="0"/>
        <v>80</v>
      </c>
    </row>
    <row r="20" spans="1:25" ht="18.75" x14ac:dyDescent="0.25">
      <c r="A20" s="2544">
        <v>11</v>
      </c>
      <c r="B20" s="427">
        <v>5191421011</v>
      </c>
      <c r="C20" s="107">
        <v>2</v>
      </c>
      <c r="D20" s="813">
        <v>2</v>
      </c>
      <c r="E20" s="813">
        <v>2</v>
      </c>
      <c r="F20" s="813">
        <v>2</v>
      </c>
      <c r="G20" s="821">
        <v>0</v>
      </c>
      <c r="H20" s="820">
        <v>8</v>
      </c>
      <c r="I20" s="839">
        <v>7</v>
      </c>
      <c r="J20" s="839"/>
      <c r="K20" s="436"/>
      <c r="L20" s="2524">
        <v>23</v>
      </c>
      <c r="M20" s="822">
        <v>2</v>
      </c>
      <c r="N20" s="813">
        <v>2</v>
      </c>
      <c r="O20" s="813">
        <v>2</v>
      </c>
      <c r="P20" s="813">
        <v>2</v>
      </c>
      <c r="Q20" s="821">
        <v>1</v>
      </c>
      <c r="R20" s="820">
        <v>9</v>
      </c>
      <c r="S20" s="839"/>
      <c r="T20" s="839">
        <v>7</v>
      </c>
      <c r="U20" s="2524">
        <v>25</v>
      </c>
      <c r="V20" s="2535">
        <v>10</v>
      </c>
      <c r="W20" s="2550"/>
      <c r="X20" s="2281" t="s">
        <v>27</v>
      </c>
      <c r="Y20" s="2538">
        <f t="shared" si="0"/>
        <v>80</v>
      </c>
    </row>
    <row r="21" spans="1:25" ht="18.75" x14ac:dyDescent="0.25">
      <c r="A21" s="2544">
        <v>12</v>
      </c>
      <c r="B21" s="427">
        <v>5191421012</v>
      </c>
      <c r="C21" s="107">
        <v>2</v>
      </c>
      <c r="D21" s="813">
        <v>2</v>
      </c>
      <c r="E21" s="813">
        <v>2</v>
      </c>
      <c r="F21" s="813">
        <v>2</v>
      </c>
      <c r="G21" s="821">
        <v>2</v>
      </c>
      <c r="H21" s="820">
        <v>8</v>
      </c>
      <c r="I21" s="839">
        <v>10</v>
      </c>
      <c r="J21" s="839"/>
      <c r="K21" s="436"/>
      <c r="L21" s="2524">
        <v>28</v>
      </c>
      <c r="M21" s="822">
        <v>2</v>
      </c>
      <c r="N21" s="813">
        <v>2</v>
      </c>
      <c r="O21" s="813">
        <v>1</v>
      </c>
      <c r="P21" s="813">
        <v>2</v>
      </c>
      <c r="Q21" s="821">
        <v>1</v>
      </c>
      <c r="R21" s="820"/>
      <c r="S21" s="839">
        <v>8</v>
      </c>
      <c r="T21" s="839">
        <v>9</v>
      </c>
      <c r="U21" s="2524">
        <v>25</v>
      </c>
      <c r="V21" s="2535">
        <v>10</v>
      </c>
      <c r="W21" s="2550"/>
      <c r="X21" s="2281" t="s">
        <v>32</v>
      </c>
      <c r="Y21" s="2538">
        <f t="shared" si="0"/>
        <v>70</v>
      </c>
    </row>
    <row r="22" spans="1:25" ht="18.75" x14ac:dyDescent="0.25">
      <c r="A22" s="2544">
        <v>13</v>
      </c>
      <c r="B22" s="427">
        <v>5191421013</v>
      </c>
      <c r="C22" s="107">
        <v>2</v>
      </c>
      <c r="D22" s="813">
        <v>2</v>
      </c>
      <c r="E22" s="813">
        <v>2</v>
      </c>
      <c r="F22" s="813">
        <v>2</v>
      </c>
      <c r="G22" s="821">
        <v>2</v>
      </c>
      <c r="H22" s="820">
        <v>5</v>
      </c>
      <c r="I22" s="839">
        <v>7</v>
      </c>
      <c r="J22" s="839"/>
      <c r="K22" s="436"/>
      <c r="L22" s="2524">
        <v>22</v>
      </c>
      <c r="M22" s="822">
        <v>2</v>
      </c>
      <c r="N22" s="813">
        <v>2</v>
      </c>
      <c r="O22" s="813">
        <v>2</v>
      </c>
      <c r="P22" s="813">
        <v>2</v>
      </c>
      <c r="Q22" s="821">
        <v>2</v>
      </c>
      <c r="R22" s="820">
        <v>8</v>
      </c>
      <c r="S22" s="839">
        <v>10</v>
      </c>
      <c r="T22" s="839"/>
      <c r="U22" s="2524">
        <v>28</v>
      </c>
      <c r="V22" s="2535">
        <v>10</v>
      </c>
      <c r="W22" s="2550"/>
      <c r="X22" s="2281" t="s">
        <v>27</v>
      </c>
      <c r="Y22" s="2538">
        <f t="shared" si="0"/>
        <v>80</v>
      </c>
    </row>
    <row r="23" spans="1:25" ht="18.75" x14ac:dyDescent="0.25">
      <c r="A23" s="2544">
        <v>14</v>
      </c>
      <c r="B23" s="427">
        <v>5191421014</v>
      </c>
      <c r="C23" s="107">
        <v>2</v>
      </c>
      <c r="D23" s="813">
        <v>2</v>
      </c>
      <c r="E23" s="813"/>
      <c r="F23" s="813"/>
      <c r="G23" s="821"/>
      <c r="H23" s="820">
        <v>3</v>
      </c>
      <c r="I23" s="839">
        <v>3</v>
      </c>
      <c r="J23" s="839"/>
      <c r="K23" s="436"/>
      <c r="L23" s="2524">
        <v>10</v>
      </c>
      <c r="M23" s="822">
        <v>2</v>
      </c>
      <c r="N23" s="813"/>
      <c r="O23" s="813">
        <v>1</v>
      </c>
      <c r="P23" s="813">
        <v>2</v>
      </c>
      <c r="Q23" s="821">
        <v>1</v>
      </c>
      <c r="R23" s="820"/>
      <c r="S23" s="839">
        <v>5</v>
      </c>
      <c r="T23" s="839">
        <v>10</v>
      </c>
      <c r="U23" s="2524">
        <v>21</v>
      </c>
      <c r="V23" s="2535">
        <v>10</v>
      </c>
      <c r="W23" s="2550"/>
      <c r="X23" s="2281" t="s">
        <v>33</v>
      </c>
      <c r="Y23" s="2538">
        <f t="shared" si="0"/>
        <v>60</v>
      </c>
    </row>
    <row r="24" spans="1:25" ht="18.75" x14ac:dyDescent="0.25">
      <c r="A24" s="2544">
        <v>15</v>
      </c>
      <c r="B24" s="427">
        <v>5191421015</v>
      </c>
      <c r="C24" s="107">
        <v>2</v>
      </c>
      <c r="D24" s="813">
        <v>1</v>
      </c>
      <c r="E24" s="813">
        <v>0</v>
      </c>
      <c r="F24" s="813">
        <v>2</v>
      </c>
      <c r="G24" s="821">
        <v>0</v>
      </c>
      <c r="H24" s="820">
        <v>5</v>
      </c>
      <c r="I24" s="839">
        <v>2</v>
      </c>
      <c r="J24" s="839"/>
      <c r="K24" s="436"/>
      <c r="L24" s="2524">
        <v>12</v>
      </c>
      <c r="M24" s="822">
        <v>0</v>
      </c>
      <c r="N24" s="813">
        <v>2</v>
      </c>
      <c r="O24" s="813">
        <v>0</v>
      </c>
      <c r="P24" s="813">
        <v>2</v>
      </c>
      <c r="Q24" s="821">
        <v>1</v>
      </c>
      <c r="R24" s="820">
        <v>6</v>
      </c>
      <c r="S24" s="839">
        <v>5</v>
      </c>
      <c r="T24" s="839">
        <v>5</v>
      </c>
      <c r="U24" s="2524">
        <v>16</v>
      </c>
      <c r="V24" s="2535">
        <v>10</v>
      </c>
      <c r="W24" s="2550"/>
      <c r="X24" s="2281" t="s">
        <v>31</v>
      </c>
      <c r="Y24" s="2538">
        <f t="shared" si="0"/>
        <v>55</v>
      </c>
    </row>
    <row r="25" spans="1:25" ht="18.75" x14ac:dyDescent="0.25">
      <c r="A25" s="2544">
        <v>16</v>
      </c>
      <c r="B25" s="427">
        <v>5191421016</v>
      </c>
      <c r="C25" s="107">
        <v>0</v>
      </c>
      <c r="D25" s="813">
        <v>1</v>
      </c>
      <c r="E25" s="813">
        <v>0</v>
      </c>
      <c r="F25" s="813">
        <v>0</v>
      </c>
      <c r="G25" s="821">
        <v>0</v>
      </c>
      <c r="H25" s="820">
        <v>0</v>
      </c>
      <c r="I25" s="839">
        <v>0</v>
      </c>
      <c r="J25" s="839"/>
      <c r="K25" s="436"/>
      <c r="L25" s="2524">
        <v>1</v>
      </c>
      <c r="M25" s="822">
        <v>0</v>
      </c>
      <c r="N25" s="813">
        <v>1</v>
      </c>
      <c r="O25" s="813">
        <v>0</v>
      </c>
      <c r="P25" s="813">
        <v>1</v>
      </c>
      <c r="Q25" s="821">
        <v>1</v>
      </c>
      <c r="R25" s="820">
        <v>0</v>
      </c>
      <c r="S25" s="839">
        <v>0</v>
      </c>
      <c r="T25" s="839">
        <v>5</v>
      </c>
      <c r="U25" s="2524">
        <v>8</v>
      </c>
      <c r="V25" s="2535">
        <v>10</v>
      </c>
      <c r="W25" s="2550"/>
      <c r="X25" s="2281" t="s">
        <v>28</v>
      </c>
      <c r="Y25" s="2538">
        <f t="shared" si="0"/>
        <v>50</v>
      </c>
    </row>
    <row r="26" spans="1:25" ht="18.75" x14ac:dyDescent="0.25">
      <c r="A26" s="2544">
        <v>17</v>
      </c>
      <c r="B26" s="427">
        <v>5191421017</v>
      </c>
      <c r="C26" s="107">
        <v>2</v>
      </c>
      <c r="D26" s="813">
        <v>2</v>
      </c>
      <c r="E26" s="813">
        <v>2</v>
      </c>
      <c r="F26" s="813">
        <v>2</v>
      </c>
      <c r="G26" s="821">
        <v>0</v>
      </c>
      <c r="H26" s="820">
        <v>4</v>
      </c>
      <c r="I26" s="839">
        <v>4</v>
      </c>
      <c r="J26" s="839"/>
      <c r="K26" s="436"/>
      <c r="L26" s="2524">
        <v>16</v>
      </c>
      <c r="M26" s="822">
        <v>2</v>
      </c>
      <c r="N26" s="813">
        <v>2</v>
      </c>
      <c r="O26" s="813">
        <v>2</v>
      </c>
      <c r="P26" s="813">
        <v>2</v>
      </c>
      <c r="Q26" s="821">
        <v>2</v>
      </c>
      <c r="R26" s="820">
        <v>3</v>
      </c>
      <c r="S26" s="839">
        <v>10</v>
      </c>
      <c r="T26" s="839">
        <v>7</v>
      </c>
      <c r="U26" s="2524">
        <v>27</v>
      </c>
      <c r="V26" s="2535">
        <v>10</v>
      </c>
      <c r="W26" s="2550"/>
      <c r="X26" s="2281" t="s">
        <v>32</v>
      </c>
      <c r="Y26" s="2538">
        <f t="shared" si="0"/>
        <v>70</v>
      </c>
    </row>
    <row r="27" spans="1:25" ht="18.75" x14ac:dyDescent="0.25">
      <c r="A27" s="2544">
        <v>18</v>
      </c>
      <c r="B27" s="427">
        <v>5191421018</v>
      </c>
      <c r="C27" s="100">
        <v>1</v>
      </c>
      <c r="D27" s="813">
        <v>1</v>
      </c>
      <c r="E27" s="813">
        <v>1</v>
      </c>
      <c r="F27" s="813">
        <v>0</v>
      </c>
      <c r="G27" s="821"/>
      <c r="H27" s="820">
        <v>0</v>
      </c>
      <c r="I27" s="839">
        <v>1</v>
      </c>
      <c r="J27" s="839"/>
      <c r="K27" s="436"/>
      <c r="L27" s="2024">
        <v>4</v>
      </c>
      <c r="M27" s="822"/>
      <c r="N27" s="813"/>
      <c r="O27" s="813"/>
      <c r="P27" s="813">
        <v>2</v>
      </c>
      <c r="Q27" s="821"/>
      <c r="R27" s="820"/>
      <c r="S27" s="839">
        <v>4</v>
      </c>
      <c r="T27" s="839">
        <v>1</v>
      </c>
      <c r="U27" s="2524">
        <v>7</v>
      </c>
      <c r="V27" s="2535">
        <v>10</v>
      </c>
      <c r="W27" s="2550"/>
      <c r="X27" s="2281" t="s">
        <v>28</v>
      </c>
      <c r="Y27" s="2538">
        <f t="shared" si="0"/>
        <v>50</v>
      </c>
    </row>
    <row r="28" spans="1:25" ht="18.75" x14ac:dyDescent="0.25">
      <c r="A28" s="2544">
        <v>19</v>
      </c>
      <c r="B28" s="427">
        <v>5191421019</v>
      </c>
      <c r="C28" s="822">
        <v>2</v>
      </c>
      <c r="D28" s="839">
        <v>2</v>
      </c>
      <c r="E28" s="839"/>
      <c r="F28" s="839">
        <v>1</v>
      </c>
      <c r="G28" s="821">
        <v>2</v>
      </c>
      <c r="H28" s="820">
        <v>4</v>
      </c>
      <c r="I28" s="839">
        <v>10</v>
      </c>
      <c r="J28" s="839"/>
      <c r="K28" s="436">
        <v>5</v>
      </c>
      <c r="L28" s="2524">
        <v>22</v>
      </c>
      <c r="M28" s="822">
        <v>1</v>
      </c>
      <c r="N28" s="839">
        <v>2</v>
      </c>
      <c r="O28" s="839">
        <v>2</v>
      </c>
      <c r="P28" s="839">
        <v>2</v>
      </c>
      <c r="Q28" s="821">
        <v>2</v>
      </c>
      <c r="R28" s="820"/>
      <c r="S28" s="839">
        <v>7</v>
      </c>
      <c r="T28" s="839">
        <v>10</v>
      </c>
      <c r="U28" s="2524">
        <v>26</v>
      </c>
      <c r="V28" s="2535">
        <v>10</v>
      </c>
      <c r="W28" s="2550"/>
      <c r="X28" s="2281" t="s">
        <v>27</v>
      </c>
      <c r="Y28" s="2538">
        <f t="shared" si="0"/>
        <v>80</v>
      </c>
    </row>
    <row r="29" spans="1:25" ht="18.75" x14ac:dyDescent="0.25">
      <c r="A29" s="2544">
        <v>20</v>
      </c>
      <c r="B29" s="427">
        <v>5191421020</v>
      </c>
      <c r="C29" s="820">
        <v>2</v>
      </c>
      <c r="D29" s="839">
        <v>2</v>
      </c>
      <c r="E29" s="839">
        <v>2</v>
      </c>
      <c r="F29" s="839">
        <v>2</v>
      </c>
      <c r="G29" s="821">
        <v>2</v>
      </c>
      <c r="H29" s="820">
        <v>8</v>
      </c>
      <c r="I29" s="839">
        <v>10</v>
      </c>
      <c r="J29" s="839"/>
      <c r="K29" s="436"/>
      <c r="L29" s="2524">
        <v>28</v>
      </c>
      <c r="M29" s="820">
        <v>1</v>
      </c>
      <c r="N29" s="839">
        <v>2</v>
      </c>
      <c r="O29" s="839">
        <v>2</v>
      </c>
      <c r="P29" s="839">
        <v>2</v>
      </c>
      <c r="Q29" s="821">
        <v>1</v>
      </c>
      <c r="R29" s="820"/>
      <c r="S29" s="839">
        <v>9</v>
      </c>
      <c r="T29" s="839">
        <v>7</v>
      </c>
      <c r="U29" s="2524">
        <v>24</v>
      </c>
      <c r="V29" s="2535">
        <v>8</v>
      </c>
      <c r="W29" s="2550"/>
      <c r="X29" s="2281" t="s">
        <v>27</v>
      </c>
      <c r="Y29" s="2538">
        <f t="shared" si="0"/>
        <v>80</v>
      </c>
    </row>
    <row r="30" spans="1:25" ht="18.75" x14ac:dyDescent="0.25">
      <c r="A30" s="2544">
        <v>21</v>
      </c>
      <c r="B30" s="427">
        <v>5191421021</v>
      </c>
      <c r="C30" s="822">
        <v>2</v>
      </c>
      <c r="D30" s="839">
        <v>2</v>
      </c>
      <c r="E30" s="839">
        <v>2</v>
      </c>
      <c r="F30" s="839">
        <v>2</v>
      </c>
      <c r="G30" s="821">
        <v>0</v>
      </c>
      <c r="H30" s="820">
        <v>9</v>
      </c>
      <c r="I30" s="839"/>
      <c r="J30" s="839"/>
      <c r="K30" s="436"/>
      <c r="L30" s="2524">
        <v>17</v>
      </c>
      <c r="M30" s="822">
        <v>2</v>
      </c>
      <c r="N30" s="839">
        <v>2</v>
      </c>
      <c r="O30" s="839">
        <v>2</v>
      </c>
      <c r="P30" s="839">
        <v>2</v>
      </c>
      <c r="Q30" s="821">
        <v>2</v>
      </c>
      <c r="R30" s="820"/>
      <c r="S30" s="839">
        <v>8</v>
      </c>
      <c r="T30" s="839">
        <v>5</v>
      </c>
      <c r="U30" s="2524">
        <v>23</v>
      </c>
      <c r="V30" s="2535">
        <v>9</v>
      </c>
      <c r="W30" s="2550"/>
      <c r="X30" s="2281" t="s">
        <v>32</v>
      </c>
      <c r="Y30" s="2538">
        <f t="shared" si="0"/>
        <v>70</v>
      </c>
    </row>
    <row r="31" spans="1:25" ht="18.75" x14ac:dyDescent="0.25">
      <c r="A31" s="2544">
        <v>22</v>
      </c>
      <c r="B31" s="427">
        <v>5191421022</v>
      </c>
      <c r="C31" s="822">
        <v>2</v>
      </c>
      <c r="D31" s="839">
        <v>0</v>
      </c>
      <c r="E31" s="839">
        <v>0</v>
      </c>
      <c r="F31" s="839">
        <v>1</v>
      </c>
      <c r="G31" s="821"/>
      <c r="H31" s="820"/>
      <c r="I31" s="839">
        <v>4</v>
      </c>
      <c r="J31" s="839"/>
      <c r="K31" s="436"/>
      <c r="L31" s="2524">
        <v>7</v>
      </c>
      <c r="M31" s="822"/>
      <c r="N31" s="839">
        <v>2</v>
      </c>
      <c r="O31" s="839">
        <v>0</v>
      </c>
      <c r="P31" s="839">
        <v>2</v>
      </c>
      <c r="Q31" s="821">
        <v>1</v>
      </c>
      <c r="R31" s="820"/>
      <c r="S31" s="839">
        <v>5</v>
      </c>
      <c r="T31" s="839">
        <v>8</v>
      </c>
      <c r="U31" s="2524">
        <v>18</v>
      </c>
      <c r="V31" s="2535">
        <v>8</v>
      </c>
      <c r="W31" s="2550"/>
      <c r="X31" s="2281" t="s">
        <v>31</v>
      </c>
      <c r="Y31" s="2538">
        <f t="shared" si="0"/>
        <v>55</v>
      </c>
    </row>
    <row r="32" spans="1:25" ht="18.75" x14ac:dyDescent="0.25">
      <c r="A32" s="2544">
        <v>23</v>
      </c>
      <c r="B32" s="427">
        <v>5191421023</v>
      </c>
      <c r="C32" s="822">
        <v>2</v>
      </c>
      <c r="D32" s="839">
        <v>2</v>
      </c>
      <c r="E32" s="839">
        <v>2</v>
      </c>
      <c r="F32" s="839">
        <v>2</v>
      </c>
      <c r="G32" s="821">
        <v>2</v>
      </c>
      <c r="H32" s="820">
        <v>10</v>
      </c>
      <c r="I32" s="839"/>
      <c r="J32" s="839"/>
      <c r="K32" s="436"/>
      <c r="L32" s="2524">
        <v>20</v>
      </c>
      <c r="M32" s="822">
        <v>2</v>
      </c>
      <c r="N32" s="839">
        <v>2</v>
      </c>
      <c r="O32" s="839"/>
      <c r="P32" s="839">
        <v>2</v>
      </c>
      <c r="Q32" s="821">
        <v>2</v>
      </c>
      <c r="R32" s="820"/>
      <c r="S32" s="839">
        <v>7</v>
      </c>
      <c r="T32" s="839">
        <v>0</v>
      </c>
      <c r="U32" s="2524">
        <v>15</v>
      </c>
      <c r="V32" s="2535">
        <v>10</v>
      </c>
      <c r="W32" s="2550"/>
      <c r="X32" s="2281" t="s">
        <v>31</v>
      </c>
      <c r="Y32" s="2538">
        <f t="shared" si="0"/>
        <v>55</v>
      </c>
    </row>
    <row r="33" spans="1:25" ht="18.75" x14ac:dyDescent="0.25">
      <c r="A33" s="2544">
        <v>24</v>
      </c>
      <c r="B33" s="427">
        <v>5191421024</v>
      </c>
      <c r="C33" s="822">
        <v>2</v>
      </c>
      <c r="D33" s="839"/>
      <c r="E33" s="839"/>
      <c r="F33" s="839"/>
      <c r="G33" s="821">
        <v>0</v>
      </c>
      <c r="H33" s="820">
        <v>2</v>
      </c>
      <c r="I33" s="839">
        <v>2</v>
      </c>
      <c r="J33" s="839"/>
      <c r="K33" s="436"/>
      <c r="L33" s="2524">
        <v>6</v>
      </c>
      <c r="M33" s="822"/>
      <c r="N33" s="839">
        <v>0</v>
      </c>
      <c r="O33" s="839"/>
      <c r="P33" s="839"/>
      <c r="Q33" s="821">
        <v>0</v>
      </c>
      <c r="R33" s="820"/>
      <c r="S33" s="839"/>
      <c r="T33" s="839">
        <v>0</v>
      </c>
      <c r="U33" s="2524">
        <v>0</v>
      </c>
      <c r="V33" s="2535">
        <v>10</v>
      </c>
      <c r="W33" s="2550"/>
      <c r="X33" s="2281" t="s">
        <v>29</v>
      </c>
      <c r="Y33" s="2538">
        <f t="shared" si="0"/>
        <v>39</v>
      </c>
    </row>
    <row r="34" spans="1:25" ht="18.75" x14ac:dyDescent="0.25">
      <c r="A34" s="2544">
        <v>25</v>
      </c>
      <c r="B34" s="427">
        <v>5191421025</v>
      </c>
      <c r="C34" s="822">
        <v>2</v>
      </c>
      <c r="D34" s="839">
        <v>2</v>
      </c>
      <c r="E34" s="839">
        <v>2</v>
      </c>
      <c r="F34" s="839">
        <v>2</v>
      </c>
      <c r="G34" s="821">
        <v>2</v>
      </c>
      <c r="H34" s="820">
        <v>10</v>
      </c>
      <c r="I34" s="839">
        <v>10</v>
      </c>
      <c r="J34" s="839"/>
      <c r="K34" s="436"/>
      <c r="L34" s="2524">
        <v>30</v>
      </c>
      <c r="M34" s="822">
        <v>2</v>
      </c>
      <c r="N34" s="839">
        <v>2</v>
      </c>
      <c r="O34" s="839">
        <v>2</v>
      </c>
      <c r="P34" s="839">
        <v>2</v>
      </c>
      <c r="Q34" s="821">
        <v>1</v>
      </c>
      <c r="R34" s="820"/>
      <c r="S34" s="839">
        <v>10</v>
      </c>
      <c r="T34" s="839">
        <v>7</v>
      </c>
      <c r="U34" s="2524">
        <v>26</v>
      </c>
      <c r="V34" s="2535">
        <v>8</v>
      </c>
      <c r="W34" s="2550"/>
      <c r="X34" s="2281" t="s">
        <v>27</v>
      </c>
      <c r="Y34" s="2538">
        <f t="shared" si="0"/>
        <v>80</v>
      </c>
    </row>
    <row r="35" spans="1:25" ht="18.75" x14ac:dyDescent="0.25">
      <c r="A35" s="2544">
        <v>26</v>
      </c>
      <c r="B35" s="427">
        <v>5191421026</v>
      </c>
      <c r="C35" s="822">
        <v>2</v>
      </c>
      <c r="D35" s="839"/>
      <c r="E35" s="839">
        <v>0</v>
      </c>
      <c r="F35" s="839">
        <v>2</v>
      </c>
      <c r="G35" s="821">
        <v>2</v>
      </c>
      <c r="H35" s="820">
        <v>5</v>
      </c>
      <c r="I35" s="839">
        <v>5</v>
      </c>
      <c r="J35" s="839"/>
      <c r="K35" s="436"/>
      <c r="L35" s="2524">
        <v>16</v>
      </c>
      <c r="M35" s="822">
        <v>2</v>
      </c>
      <c r="N35" s="839">
        <v>2</v>
      </c>
      <c r="O35" s="839">
        <v>2</v>
      </c>
      <c r="P35" s="839">
        <v>2</v>
      </c>
      <c r="Q35" s="821">
        <v>1</v>
      </c>
      <c r="R35" s="820">
        <v>4</v>
      </c>
      <c r="S35" s="839">
        <v>7</v>
      </c>
      <c r="T35" s="839"/>
      <c r="U35" s="2524">
        <v>20</v>
      </c>
      <c r="V35" s="2535">
        <v>10</v>
      </c>
      <c r="W35" s="2550"/>
      <c r="X35" s="2281" t="s">
        <v>31</v>
      </c>
      <c r="Y35" s="2538">
        <f t="shared" si="0"/>
        <v>55</v>
      </c>
    </row>
    <row r="36" spans="1:25" ht="18.75" x14ac:dyDescent="0.25">
      <c r="A36" s="2544">
        <v>27</v>
      </c>
      <c r="B36" s="427">
        <v>5191421027</v>
      </c>
      <c r="C36" s="822">
        <v>2</v>
      </c>
      <c r="D36" s="839">
        <v>2</v>
      </c>
      <c r="E36" s="839">
        <v>2</v>
      </c>
      <c r="F36" s="839">
        <v>2</v>
      </c>
      <c r="G36" s="821">
        <v>2</v>
      </c>
      <c r="H36" s="820">
        <v>9</v>
      </c>
      <c r="I36" s="839"/>
      <c r="J36" s="839">
        <v>1</v>
      </c>
      <c r="K36" s="436">
        <v>5</v>
      </c>
      <c r="L36" s="2524">
        <v>25</v>
      </c>
      <c r="M36" s="822">
        <v>0</v>
      </c>
      <c r="N36" s="839">
        <v>2</v>
      </c>
      <c r="O36" s="839">
        <v>1</v>
      </c>
      <c r="P36" s="839">
        <v>2</v>
      </c>
      <c r="Q36" s="821">
        <v>0</v>
      </c>
      <c r="R36" s="820"/>
      <c r="S36" s="839">
        <v>10</v>
      </c>
      <c r="T36" s="839">
        <v>10</v>
      </c>
      <c r="U36" s="2524">
        <v>25</v>
      </c>
      <c r="V36" s="2535">
        <v>10</v>
      </c>
      <c r="W36" s="2550"/>
      <c r="X36" s="2281" t="s">
        <v>32</v>
      </c>
      <c r="Y36" s="2538">
        <f t="shared" si="0"/>
        <v>70</v>
      </c>
    </row>
    <row r="37" spans="1:25" ht="18.75" x14ac:dyDescent="0.25">
      <c r="A37" s="2544">
        <v>28</v>
      </c>
      <c r="B37" s="427">
        <v>5191421028</v>
      </c>
      <c r="C37" s="822">
        <v>2</v>
      </c>
      <c r="D37" s="839">
        <v>2</v>
      </c>
      <c r="E37" s="839">
        <v>2</v>
      </c>
      <c r="F37" s="839">
        <v>2</v>
      </c>
      <c r="G37" s="821">
        <v>2</v>
      </c>
      <c r="H37" s="820">
        <v>9</v>
      </c>
      <c r="I37" s="839">
        <v>10</v>
      </c>
      <c r="J37" s="839"/>
      <c r="K37" s="436"/>
      <c r="L37" s="2524">
        <v>29</v>
      </c>
      <c r="M37" s="822">
        <v>2</v>
      </c>
      <c r="N37" s="839">
        <v>2</v>
      </c>
      <c r="O37" s="839">
        <v>1</v>
      </c>
      <c r="P37" s="839">
        <v>2</v>
      </c>
      <c r="Q37" s="821">
        <v>2</v>
      </c>
      <c r="R37" s="820"/>
      <c r="S37" s="839">
        <v>10</v>
      </c>
      <c r="T37" s="839">
        <v>7</v>
      </c>
      <c r="U37" s="2524">
        <v>26</v>
      </c>
      <c r="V37" s="2535">
        <v>10</v>
      </c>
      <c r="W37" s="2550"/>
      <c r="X37" s="2284" t="s">
        <v>27</v>
      </c>
      <c r="Y37" s="2538">
        <f t="shared" si="0"/>
        <v>80</v>
      </c>
    </row>
    <row r="38" spans="1:25" ht="18.75" x14ac:dyDescent="0.25">
      <c r="A38" s="2544">
        <v>29</v>
      </c>
      <c r="B38" s="427">
        <v>5191421029</v>
      </c>
      <c r="C38" s="822">
        <v>2</v>
      </c>
      <c r="D38" s="839"/>
      <c r="E38" s="839"/>
      <c r="F38" s="839"/>
      <c r="G38" s="821">
        <v>0</v>
      </c>
      <c r="H38" s="820">
        <v>5</v>
      </c>
      <c r="I38" s="839">
        <v>10</v>
      </c>
      <c r="J38" s="839"/>
      <c r="K38" s="436"/>
      <c r="L38" s="2524">
        <v>17</v>
      </c>
      <c r="M38" s="822">
        <v>0</v>
      </c>
      <c r="N38" s="839">
        <v>2</v>
      </c>
      <c r="O38" s="839">
        <v>0</v>
      </c>
      <c r="P38" s="839">
        <v>0</v>
      </c>
      <c r="Q38" s="821">
        <v>1</v>
      </c>
      <c r="R38" s="820">
        <v>8</v>
      </c>
      <c r="S38" s="839">
        <v>5</v>
      </c>
      <c r="T38" s="839"/>
      <c r="U38" s="2524">
        <v>13</v>
      </c>
      <c r="V38" s="2535">
        <v>10</v>
      </c>
      <c r="W38" s="2550"/>
      <c r="X38" s="2281" t="s">
        <v>31</v>
      </c>
      <c r="Y38" s="2538">
        <f t="shared" si="0"/>
        <v>55</v>
      </c>
    </row>
    <row r="39" spans="1:25" ht="18.75" x14ac:dyDescent="0.25">
      <c r="A39" s="2544">
        <v>30</v>
      </c>
      <c r="B39" s="427">
        <v>5191421030</v>
      </c>
      <c r="C39" s="822"/>
      <c r="D39" s="839"/>
      <c r="E39" s="839"/>
      <c r="F39" s="839"/>
      <c r="G39" s="821"/>
      <c r="H39" s="820"/>
      <c r="I39" s="839"/>
      <c r="J39" s="839"/>
      <c r="K39" s="436"/>
      <c r="L39" s="2524">
        <v>0</v>
      </c>
      <c r="M39" s="822"/>
      <c r="N39" s="839"/>
      <c r="O39" s="839">
        <v>0</v>
      </c>
      <c r="P39" s="839">
        <v>2</v>
      </c>
      <c r="Q39" s="821"/>
      <c r="R39" s="820"/>
      <c r="S39" s="839">
        <v>9</v>
      </c>
      <c r="T39" s="839">
        <v>0</v>
      </c>
      <c r="U39" s="2524">
        <v>11</v>
      </c>
      <c r="V39" s="2535">
        <v>9</v>
      </c>
      <c r="W39" s="2550"/>
      <c r="X39" s="2281" t="s">
        <v>28</v>
      </c>
      <c r="Y39" s="2538">
        <f t="shared" si="0"/>
        <v>50</v>
      </c>
    </row>
    <row r="40" spans="1:25" ht="18.75" x14ac:dyDescent="0.25">
      <c r="A40" s="2544">
        <v>31</v>
      </c>
      <c r="B40" s="427">
        <v>5191421031</v>
      </c>
      <c r="C40" s="100">
        <v>2</v>
      </c>
      <c r="D40" s="438">
        <v>2</v>
      </c>
      <c r="E40" s="438"/>
      <c r="F40" s="438">
        <v>2</v>
      </c>
      <c r="G40" s="311"/>
      <c r="H40" s="312"/>
      <c r="I40" s="839">
        <v>1</v>
      </c>
      <c r="J40" s="839">
        <v>1</v>
      </c>
      <c r="K40" s="436"/>
      <c r="L40" s="2024">
        <v>8</v>
      </c>
      <c r="M40" s="822">
        <v>2</v>
      </c>
      <c r="N40" s="839">
        <v>2</v>
      </c>
      <c r="O40" s="839">
        <v>2</v>
      </c>
      <c r="P40" s="839"/>
      <c r="Q40" s="821">
        <v>1</v>
      </c>
      <c r="R40" s="820">
        <v>5</v>
      </c>
      <c r="S40" s="839">
        <v>5</v>
      </c>
      <c r="T40" s="839">
        <v>5</v>
      </c>
      <c r="U40" s="2524">
        <v>17</v>
      </c>
      <c r="V40" s="2535">
        <v>10</v>
      </c>
      <c r="W40" s="2550"/>
      <c r="X40" s="2281" t="s">
        <v>28</v>
      </c>
      <c r="Y40" s="2538">
        <f t="shared" si="0"/>
        <v>50</v>
      </c>
    </row>
    <row r="41" spans="1:25" ht="18.75" x14ac:dyDescent="0.25">
      <c r="A41" s="2544">
        <v>32</v>
      </c>
      <c r="B41" s="427">
        <v>5191421032</v>
      </c>
      <c r="C41" s="820">
        <v>1</v>
      </c>
      <c r="D41" s="839">
        <v>0</v>
      </c>
      <c r="E41" s="839">
        <v>2</v>
      </c>
      <c r="F41" s="839">
        <v>2</v>
      </c>
      <c r="G41" s="821">
        <v>0</v>
      </c>
      <c r="H41" s="820">
        <v>1</v>
      </c>
      <c r="I41" s="839">
        <v>2</v>
      </c>
      <c r="J41" s="839"/>
      <c r="K41" s="436"/>
      <c r="L41" s="2524">
        <v>8</v>
      </c>
      <c r="M41" s="820">
        <v>0</v>
      </c>
      <c r="N41" s="839">
        <v>0</v>
      </c>
      <c r="O41" s="839">
        <v>0</v>
      </c>
      <c r="P41" s="839">
        <v>1</v>
      </c>
      <c r="Q41" s="821">
        <v>0</v>
      </c>
      <c r="R41" s="820">
        <v>0</v>
      </c>
      <c r="S41" s="839">
        <v>0</v>
      </c>
      <c r="T41" s="839"/>
      <c r="U41" s="2524">
        <v>1</v>
      </c>
      <c r="V41" s="2535">
        <v>10</v>
      </c>
      <c r="W41" s="2550"/>
      <c r="X41" s="2281" t="s">
        <v>28</v>
      </c>
      <c r="Y41" s="2538">
        <f t="shared" si="0"/>
        <v>50</v>
      </c>
    </row>
    <row r="42" spans="1:25" ht="18.75" x14ac:dyDescent="0.25">
      <c r="A42" s="2544">
        <v>33</v>
      </c>
      <c r="B42" s="427">
        <v>5191421033</v>
      </c>
      <c r="C42" s="822">
        <v>2</v>
      </c>
      <c r="D42" s="839">
        <v>2</v>
      </c>
      <c r="E42" s="839"/>
      <c r="F42" s="839">
        <v>2</v>
      </c>
      <c r="G42" s="821">
        <v>2</v>
      </c>
      <c r="H42" s="820">
        <v>8</v>
      </c>
      <c r="I42" s="839">
        <v>10</v>
      </c>
      <c r="J42" s="839"/>
      <c r="K42" s="436"/>
      <c r="L42" s="2524">
        <v>26</v>
      </c>
      <c r="M42" s="822">
        <v>2</v>
      </c>
      <c r="N42" s="839">
        <v>2</v>
      </c>
      <c r="O42" s="839">
        <v>2</v>
      </c>
      <c r="P42" s="839">
        <v>2</v>
      </c>
      <c r="Q42" s="821">
        <v>1</v>
      </c>
      <c r="R42" s="820"/>
      <c r="S42" s="839">
        <v>9</v>
      </c>
      <c r="T42" s="839">
        <v>10</v>
      </c>
      <c r="U42" s="2524">
        <v>28</v>
      </c>
      <c r="V42" s="2535">
        <v>10</v>
      </c>
      <c r="W42" s="2550"/>
      <c r="X42" s="2281" t="s">
        <v>27</v>
      </c>
      <c r="Y42" s="2538">
        <f t="shared" si="0"/>
        <v>80</v>
      </c>
    </row>
    <row r="43" spans="1:25" ht="18.75" x14ac:dyDescent="0.25">
      <c r="A43" s="2544">
        <v>34</v>
      </c>
      <c r="B43" s="427">
        <v>5191421034</v>
      </c>
      <c r="C43" s="822">
        <v>2</v>
      </c>
      <c r="D43" s="839">
        <v>2</v>
      </c>
      <c r="E43" s="839">
        <v>2</v>
      </c>
      <c r="F43" s="839">
        <v>2</v>
      </c>
      <c r="G43" s="821">
        <v>2</v>
      </c>
      <c r="H43" s="820">
        <v>7</v>
      </c>
      <c r="I43" s="839">
        <v>10</v>
      </c>
      <c r="J43" s="839"/>
      <c r="K43" s="436"/>
      <c r="L43" s="2524">
        <v>27</v>
      </c>
      <c r="M43" s="820">
        <v>2</v>
      </c>
      <c r="N43" s="839">
        <v>2</v>
      </c>
      <c r="O43" s="839">
        <v>2</v>
      </c>
      <c r="P43" s="839">
        <v>2</v>
      </c>
      <c r="Q43" s="821">
        <v>1</v>
      </c>
      <c r="R43" s="820"/>
      <c r="S43" s="839">
        <v>9</v>
      </c>
      <c r="T43" s="839">
        <v>7</v>
      </c>
      <c r="U43" s="2524">
        <v>25</v>
      </c>
      <c r="V43" s="2535">
        <v>10</v>
      </c>
      <c r="W43" s="2550"/>
      <c r="X43" s="2281" t="s">
        <v>32</v>
      </c>
      <c r="Y43" s="2538">
        <f t="shared" si="0"/>
        <v>70</v>
      </c>
    </row>
    <row r="44" spans="1:25" ht="18.75" x14ac:dyDescent="0.25">
      <c r="A44" s="2544">
        <v>35</v>
      </c>
      <c r="B44" s="427">
        <v>5191421035</v>
      </c>
      <c r="C44" s="822">
        <v>0</v>
      </c>
      <c r="D44" s="839">
        <v>0</v>
      </c>
      <c r="E44" s="839"/>
      <c r="F44" s="839">
        <v>1</v>
      </c>
      <c r="G44" s="821"/>
      <c r="H44" s="820"/>
      <c r="I44" s="839"/>
      <c r="J44" s="839"/>
      <c r="K44" s="436"/>
      <c r="L44" s="2524">
        <v>1</v>
      </c>
      <c r="M44" s="822"/>
      <c r="N44" s="839"/>
      <c r="O44" s="839"/>
      <c r="P44" s="839"/>
      <c r="Q44" s="821"/>
      <c r="R44" s="820"/>
      <c r="S44" s="839">
        <v>5</v>
      </c>
      <c r="T44" s="839">
        <v>2</v>
      </c>
      <c r="U44" s="2524">
        <v>7</v>
      </c>
      <c r="V44" s="2535">
        <v>10</v>
      </c>
      <c r="W44" s="2550"/>
      <c r="X44" s="2281" t="s">
        <v>28</v>
      </c>
      <c r="Y44" s="2538">
        <f t="shared" si="0"/>
        <v>50</v>
      </c>
    </row>
    <row r="45" spans="1:25" ht="18.75" x14ac:dyDescent="0.25">
      <c r="A45" s="2544">
        <v>36</v>
      </c>
      <c r="B45" s="427">
        <v>5191421036</v>
      </c>
      <c r="C45" s="822">
        <v>2</v>
      </c>
      <c r="D45" s="839">
        <v>2</v>
      </c>
      <c r="E45" s="839">
        <v>2</v>
      </c>
      <c r="F45" s="839">
        <v>2</v>
      </c>
      <c r="G45" s="821">
        <v>2</v>
      </c>
      <c r="H45" s="820">
        <v>10</v>
      </c>
      <c r="I45" s="839">
        <v>10</v>
      </c>
      <c r="J45" s="839"/>
      <c r="K45" s="436"/>
      <c r="L45" s="2524">
        <v>30</v>
      </c>
      <c r="M45" s="822">
        <v>0</v>
      </c>
      <c r="N45" s="839">
        <v>2</v>
      </c>
      <c r="O45" s="839">
        <v>2</v>
      </c>
      <c r="P45" s="839">
        <v>2</v>
      </c>
      <c r="Q45" s="821">
        <v>1</v>
      </c>
      <c r="R45" s="820"/>
      <c r="S45" s="839">
        <v>9</v>
      </c>
      <c r="T45" s="839">
        <v>10</v>
      </c>
      <c r="U45" s="2524">
        <v>26</v>
      </c>
      <c r="V45" s="2535">
        <v>10</v>
      </c>
      <c r="W45" s="2550"/>
      <c r="X45" s="2281" t="s">
        <v>27</v>
      </c>
      <c r="Y45" s="2538">
        <f t="shared" si="0"/>
        <v>80</v>
      </c>
    </row>
    <row r="46" spans="1:25" ht="18.75" x14ac:dyDescent="0.25">
      <c r="A46" s="2544">
        <v>37</v>
      </c>
      <c r="B46" s="427">
        <v>5191421037</v>
      </c>
      <c r="C46" s="822"/>
      <c r="D46" s="839"/>
      <c r="E46" s="839"/>
      <c r="F46" s="839"/>
      <c r="G46" s="821"/>
      <c r="H46" s="820"/>
      <c r="I46" s="839"/>
      <c r="J46" s="839"/>
      <c r="K46" s="436"/>
      <c r="L46" s="2524">
        <v>0</v>
      </c>
      <c r="M46" s="822">
        <v>2</v>
      </c>
      <c r="N46" s="839">
        <v>0</v>
      </c>
      <c r="O46" s="839">
        <v>1</v>
      </c>
      <c r="P46" s="839">
        <v>2</v>
      </c>
      <c r="Q46" s="821">
        <v>0</v>
      </c>
      <c r="R46" s="820">
        <v>2</v>
      </c>
      <c r="S46" s="839">
        <v>0</v>
      </c>
      <c r="T46" s="839"/>
      <c r="U46" s="2524">
        <v>7</v>
      </c>
      <c r="V46" s="2535">
        <v>10</v>
      </c>
      <c r="W46" s="2550"/>
      <c r="X46" s="2175" t="s">
        <v>154</v>
      </c>
      <c r="Y46" s="2538" t="b">
        <f t="shared" si="0"/>
        <v>0</v>
      </c>
    </row>
    <row r="47" spans="1:25" ht="18.75" x14ac:dyDescent="0.25">
      <c r="A47" s="2544">
        <v>38</v>
      </c>
      <c r="B47" s="427">
        <v>5191421038</v>
      </c>
      <c r="C47" s="822">
        <v>2</v>
      </c>
      <c r="D47" s="839">
        <v>2</v>
      </c>
      <c r="E47" s="839"/>
      <c r="F47" s="839">
        <v>2</v>
      </c>
      <c r="G47" s="821">
        <v>0</v>
      </c>
      <c r="H47" s="820">
        <v>0</v>
      </c>
      <c r="I47" s="839"/>
      <c r="J47" s="839">
        <v>2</v>
      </c>
      <c r="K47" s="436"/>
      <c r="L47" s="2524">
        <v>8</v>
      </c>
      <c r="M47" s="822">
        <v>0</v>
      </c>
      <c r="N47" s="839">
        <v>1</v>
      </c>
      <c r="O47" s="839"/>
      <c r="P47" s="839">
        <v>1</v>
      </c>
      <c r="Q47" s="821">
        <v>0</v>
      </c>
      <c r="R47" s="820">
        <v>0</v>
      </c>
      <c r="S47" s="839">
        <v>6</v>
      </c>
      <c r="T47" s="839"/>
      <c r="U47" s="2524">
        <v>10</v>
      </c>
      <c r="V47" s="2535">
        <v>10</v>
      </c>
      <c r="W47" s="2550"/>
      <c r="X47" s="2281" t="s">
        <v>28</v>
      </c>
      <c r="Y47" s="2538">
        <f t="shared" si="0"/>
        <v>50</v>
      </c>
    </row>
    <row r="48" spans="1:25" ht="18.75" x14ac:dyDescent="0.25">
      <c r="A48" s="2544">
        <v>39</v>
      </c>
      <c r="B48" s="427">
        <v>5191421039</v>
      </c>
      <c r="C48" s="822">
        <v>2</v>
      </c>
      <c r="D48" s="839">
        <v>2</v>
      </c>
      <c r="E48" s="839">
        <v>2</v>
      </c>
      <c r="F48" s="839">
        <v>2</v>
      </c>
      <c r="G48" s="821">
        <v>2</v>
      </c>
      <c r="H48" s="820">
        <v>9</v>
      </c>
      <c r="I48" s="839">
        <v>10</v>
      </c>
      <c r="J48" s="839"/>
      <c r="K48" s="436"/>
      <c r="L48" s="2524">
        <v>29</v>
      </c>
      <c r="M48" s="822">
        <v>2</v>
      </c>
      <c r="N48" s="839">
        <v>2</v>
      </c>
      <c r="O48" s="839">
        <v>2</v>
      </c>
      <c r="P48" s="839">
        <v>2</v>
      </c>
      <c r="Q48" s="821">
        <v>2</v>
      </c>
      <c r="R48" s="820"/>
      <c r="S48" s="839">
        <v>9</v>
      </c>
      <c r="T48" s="839">
        <v>10</v>
      </c>
      <c r="U48" s="2524">
        <v>29</v>
      </c>
      <c r="V48" s="2535">
        <v>8</v>
      </c>
      <c r="W48" s="2550"/>
      <c r="X48" s="2281" t="s">
        <v>27</v>
      </c>
      <c r="Y48" s="2538">
        <f t="shared" si="0"/>
        <v>80</v>
      </c>
    </row>
    <row r="49" spans="1:25" ht="18.75" x14ac:dyDescent="0.25">
      <c r="A49" s="2544">
        <v>40</v>
      </c>
      <c r="B49" s="427">
        <v>5191421040</v>
      </c>
      <c r="C49" s="100">
        <v>2</v>
      </c>
      <c r="D49" s="839">
        <v>2</v>
      </c>
      <c r="E49" s="839">
        <v>2</v>
      </c>
      <c r="F49" s="839">
        <v>2</v>
      </c>
      <c r="G49" s="821">
        <v>2</v>
      </c>
      <c r="H49" s="820">
        <v>10</v>
      </c>
      <c r="I49" s="839">
        <v>5</v>
      </c>
      <c r="J49" s="839"/>
      <c r="K49" s="436"/>
      <c r="L49" s="2024">
        <v>25</v>
      </c>
      <c r="M49" s="822">
        <v>2</v>
      </c>
      <c r="N49" s="839">
        <v>2</v>
      </c>
      <c r="O49" s="839">
        <v>2</v>
      </c>
      <c r="P49" s="839"/>
      <c r="Q49" s="821"/>
      <c r="R49" s="820">
        <v>7</v>
      </c>
      <c r="S49" s="839">
        <v>5</v>
      </c>
      <c r="T49" s="839">
        <v>5</v>
      </c>
      <c r="U49" s="2524">
        <v>18</v>
      </c>
      <c r="V49" s="2535">
        <v>9</v>
      </c>
      <c r="W49" s="2550"/>
      <c r="X49" s="2281" t="s">
        <v>32</v>
      </c>
      <c r="Y49" s="2538">
        <f t="shared" si="0"/>
        <v>70</v>
      </c>
    </row>
    <row r="50" spans="1:25" ht="18.75" x14ac:dyDescent="0.25">
      <c r="A50" s="2544">
        <v>41</v>
      </c>
      <c r="B50" s="427">
        <v>5191421041</v>
      </c>
      <c r="C50" s="822">
        <v>2</v>
      </c>
      <c r="D50" s="839">
        <v>2</v>
      </c>
      <c r="E50" s="839">
        <v>2</v>
      </c>
      <c r="F50" s="839">
        <v>2</v>
      </c>
      <c r="G50" s="821">
        <v>2</v>
      </c>
      <c r="H50" s="820">
        <v>8</v>
      </c>
      <c r="I50" s="839"/>
      <c r="J50" s="839"/>
      <c r="K50" s="436"/>
      <c r="L50" s="2524">
        <v>18</v>
      </c>
      <c r="M50" s="822">
        <v>1</v>
      </c>
      <c r="N50" s="839">
        <v>1</v>
      </c>
      <c r="O50" s="839">
        <v>1</v>
      </c>
      <c r="P50" s="839">
        <v>1</v>
      </c>
      <c r="Q50" s="821"/>
      <c r="R50" s="820">
        <v>4</v>
      </c>
      <c r="S50" s="839">
        <v>5</v>
      </c>
      <c r="T50" s="839"/>
      <c r="U50" s="2524">
        <v>13</v>
      </c>
      <c r="V50" s="2535">
        <v>10</v>
      </c>
      <c r="W50" s="2550"/>
      <c r="X50" s="2281" t="s">
        <v>29</v>
      </c>
      <c r="Y50" s="2538">
        <f t="shared" si="0"/>
        <v>39</v>
      </c>
    </row>
    <row r="51" spans="1:25" ht="18.75" x14ac:dyDescent="0.25">
      <c r="A51" s="2544">
        <v>42</v>
      </c>
      <c r="B51" s="427">
        <v>5191421042</v>
      </c>
      <c r="C51" s="822">
        <v>1</v>
      </c>
      <c r="D51" s="839"/>
      <c r="E51" s="839"/>
      <c r="F51" s="839">
        <v>1</v>
      </c>
      <c r="G51" s="821"/>
      <c r="H51" s="820"/>
      <c r="I51" s="839">
        <v>0</v>
      </c>
      <c r="J51" s="839">
        <v>1</v>
      </c>
      <c r="K51" s="436"/>
      <c r="L51" s="2524">
        <v>3</v>
      </c>
      <c r="M51" s="822">
        <v>0</v>
      </c>
      <c r="N51" s="839">
        <v>1</v>
      </c>
      <c r="O51" s="839">
        <v>0</v>
      </c>
      <c r="P51" s="839">
        <v>2</v>
      </c>
      <c r="Q51" s="821">
        <v>0</v>
      </c>
      <c r="R51" s="820">
        <v>3</v>
      </c>
      <c r="S51" s="839">
        <v>0</v>
      </c>
      <c r="T51" s="839"/>
      <c r="U51" s="2524">
        <v>6</v>
      </c>
      <c r="V51" s="2535">
        <v>10</v>
      </c>
      <c r="W51" s="2550"/>
      <c r="X51" s="2281" t="s">
        <v>28</v>
      </c>
      <c r="Y51" s="2538">
        <f t="shared" si="0"/>
        <v>50</v>
      </c>
    </row>
    <row r="52" spans="1:25" ht="18.75" x14ac:dyDescent="0.25">
      <c r="A52" s="2544">
        <v>43</v>
      </c>
      <c r="B52" s="427">
        <v>5191421043</v>
      </c>
      <c r="C52" s="822">
        <v>2</v>
      </c>
      <c r="D52" s="839">
        <v>2</v>
      </c>
      <c r="E52" s="839"/>
      <c r="F52" s="839"/>
      <c r="G52" s="821"/>
      <c r="H52" s="820">
        <v>5</v>
      </c>
      <c r="I52" s="839">
        <v>4</v>
      </c>
      <c r="J52" s="839"/>
      <c r="K52" s="436"/>
      <c r="L52" s="2524">
        <v>13</v>
      </c>
      <c r="M52" s="822">
        <v>2</v>
      </c>
      <c r="N52" s="839">
        <v>2</v>
      </c>
      <c r="O52" s="839">
        <v>2</v>
      </c>
      <c r="P52" s="839">
        <v>2</v>
      </c>
      <c r="Q52" s="821">
        <v>2</v>
      </c>
      <c r="R52" s="820">
        <v>9</v>
      </c>
      <c r="S52" s="839"/>
      <c r="T52" s="839">
        <v>7</v>
      </c>
      <c r="U52" s="2524">
        <v>26</v>
      </c>
      <c r="V52" s="2535">
        <v>10</v>
      </c>
      <c r="W52" s="2550"/>
      <c r="X52" s="2281" t="s">
        <v>32</v>
      </c>
      <c r="Y52" s="2538">
        <f t="shared" si="0"/>
        <v>70</v>
      </c>
    </row>
    <row r="53" spans="1:25" ht="18.75" x14ac:dyDescent="0.25">
      <c r="A53" s="2544">
        <v>44</v>
      </c>
      <c r="B53" s="427">
        <v>5191421044</v>
      </c>
      <c r="C53" s="822">
        <v>2</v>
      </c>
      <c r="D53" s="839">
        <v>2</v>
      </c>
      <c r="E53" s="839">
        <v>2</v>
      </c>
      <c r="F53" s="839">
        <v>2</v>
      </c>
      <c r="G53" s="821">
        <v>2</v>
      </c>
      <c r="H53" s="820">
        <v>10</v>
      </c>
      <c r="I53" s="839">
        <v>10</v>
      </c>
      <c r="J53" s="839"/>
      <c r="K53" s="436"/>
      <c r="L53" s="2524">
        <v>30</v>
      </c>
      <c r="M53" s="822">
        <v>2</v>
      </c>
      <c r="N53" s="839">
        <v>2</v>
      </c>
      <c r="O53" s="839">
        <v>2</v>
      </c>
      <c r="P53" s="839">
        <v>2</v>
      </c>
      <c r="Q53" s="821">
        <v>2</v>
      </c>
      <c r="R53" s="820">
        <v>9</v>
      </c>
      <c r="S53" s="839">
        <v>10</v>
      </c>
      <c r="T53" s="839">
        <v>10</v>
      </c>
      <c r="U53" s="2524">
        <v>30</v>
      </c>
      <c r="V53" s="2535">
        <v>10</v>
      </c>
      <c r="W53" s="2550"/>
      <c r="X53" s="2281" t="s">
        <v>27</v>
      </c>
      <c r="Y53" s="2538">
        <f t="shared" si="0"/>
        <v>80</v>
      </c>
    </row>
    <row r="54" spans="1:25" ht="18.75" x14ac:dyDescent="0.25">
      <c r="A54" s="2544">
        <v>45</v>
      </c>
      <c r="B54" s="427">
        <v>5191421045</v>
      </c>
      <c r="C54" s="100">
        <v>2</v>
      </c>
      <c r="D54" s="839"/>
      <c r="E54" s="839"/>
      <c r="F54" s="839">
        <v>2</v>
      </c>
      <c r="G54" s="821">
        <v>2</v>
      </c>
      <c r="H54" s="820">
        <v>5</v>
      </c>
      <c r="I54" s="839">
        <v>2</v>
      </c>
      <c r="J54" s="839"/>
      <c r="K54" s="436"/>
      <c r="L54" s="2524">
        <v>13</v>
      </c>
      <c r="M54" s="822">
        <v>2</v>
      </c>
      <c r="N54" s="839">
        <v>2</v>
      </c>
      <c r="O54" s="839"/>
      <c r="P54" s="839">
        <v>0</v>
      </c>
      <c r="Q54" s="821">
        <v>0</v>
      </c>
      <c r="R54" s="820"/>
      <c r="S54" s="839">
        <v>3</v>
      </c>
      <c r="T54" s="839">
        <v>4</v>
      </c>
      <c r="U54" s="2524">
        <v>11</v>
      </c>
      <c r="V54" s="2535">
        <v>10</v>
      </c>
      <c r="W54" s="2550"/>
      <c r="X54" s="2281" t="s">
        <v>28</v>
      </c>
      <c r="Y54" s="2538">
        <f t="shared" si="0"/>
        <v>50</v>
      </c>
    </row>
    <row r="55" spans="1:25" ht="18.75" x14ac:dyDescent="0.25">
      <c r="A55" s="2544">
        <v>46</v>
      </c>
      <c r="B55" s="427">
        <v>5191421046</v>
      </c>
      <c r="C55" s="822">
        <v>2</v>
      </c>
      <c r="D55" s="839">
        <v>2</v>
      </c>
      <c r="E55" s="839">
        <v>1</v>
      </c>
      <c r="F55" s="839">
        <v>2</v>
      </c>
      <c r="G55" s="821">
        <v>2</v>
      </c>
      <c r="H55" s="820">
        <v>8</v>
      </c>
      <c r="I55" s="839">
        <v>10</v>
      </c>
      <c r="J55" s="839"/>
      <c r="K55" s="436"/>
      <c r="L55" s="2524">
        <v>27</v>
      </c>
      <c r="M55" s="822">
        <v>2</v>
      </c>
      <c r="N55" s="839">
        <v>2</v>
      </c>
      <c r="O55" s="839">
        <v>2</v>
      </c>
      <c r="P55" s="839">
        <v>2</v>
      </c>
      <c r="Q55" s="821"/>
      <c r="R55" s="820">
        <v>8</v>
      </c>
      <c r="S55" s="839">
        <v>7</v>
      </c>
      <c r="T55" s="839"/>
      <c r="U55" s="2524">
        <v>23</v>
      </c>
      <c r="V55" s="2535">
        <v>10</v>
      </c>
      <c r="W55" s="2550"/>
      <c r="X55" s="2281" t="s">
        <v>32</v>
      </c>
      <c r="Y55" s="2538">
        <f t="shared" si="0"/>
        <v>70</v>
      </c>
    </row>
    <row r="56" spans="1:25" ht="18.75" x14ac:dyDescent="0.25">
      <c r="A56" s="2544">
        <v>47</v>
      </c>
      <c r="B56" s="427">
        <v>5191421047</v>
      </c>
      <c r="C56" s="822"/>
      <c r="D56" s="839"/>
      <c r="E56" s="839"/>
      <c r="F56" s="839"/>
      <c r="G56" s="821"/>
      <c r="H56" s="820"/>
      <c r="I56" s="839"/>
      <c r="J56" s="839"/>
      <c r="K56" s="436"/>
      <c r="L56" s="2524">
        <v>0</v>
      </c>
      <c r="M56" s="822">
        <v>0</v>
      </c>
      <c r="N56" s="839"/>
      <c r="O56" s="839">
        <v>0</v>
      </c>
      <c r="P56" s="839">
        <v>2</v>
      </c>
      <c r="Q56" s="821"/>
      <c r="R56" s="820"/>
      <c r="S56" s="839">
        <v>5</v>
      </c>
      <c r="T56" s="839">
        <v>2</v>
      </c>
      <c r="U56" s="2524">
        <v>9</v>
      </c>
      <c r="V56" s="2535">
        <v>8</v>
      </c>
      <c r="W56" s="2550"/>
      <c r="X56" s="2281" t="s">
        <v>29</v>
      </c>
      <c r="Y56" s="2538">
        <f t="shared" si="0"/>
        <v>39</v>
      </c>
    </row>
    <row r="57" spans="1:25" ht="18.75" x14ac:dyDescent="0.25">
      <c r="A57" s="2544">
        <v>48</v>
      </c>
      <c r="B57" s="427">
        <v>5191421048</v>
      </c>
      <c r="C57" s="822">
        <v>2</v>
      </c>
      <c r="D57" s="839">
        <v>2</v>
      </c>
      <c r="E57" s="839">
        <v>2</v>
      </c>
      <c r="F57" s="839">
        <v>1</v>
      </c>
      <c r="G57" s="821">
        <v>0</v>
      </c>
      <c r="H57" s="820">
        <v>4</v>
      </c>
      <c r="I57" s="839">
        <v>2</v>
      </c>
      <c r="J57" s="839">
        <v>1</v>
      </c>
      <c r="K57" s="436"/>
      <c r="L57" s="2524">
        <v>14</v>
      </c>
      <c r="M57" s="822">
        <v>2</v>
      </c>
      <c r="N57" s="839">
        <v>2</v>
      </c>
      <c r="O57" s="839">
        <v>2</v>
      </c>
      <c r="P57" s="839">
        <v>2</v>
      </c>
      <c r="Q57" s="821">
        <v>2</v>
      </c>
      <c r="R57" s="820">
        <v>4</v>
      </c>
      <c r="S57" s="839">
        <v>6</v>
      </c>
      <c r="T57" s="839">
        <v>3</v>
      </c>
      <c r="U57" s="2524">
        <v>20</v>
      </c>
      <c r="V57" s="2535">
        <v>10</v>
      </c>
      <c r="W57" s="2550"/>
      <c r="X57" s="2281" t="s">
        <v>31</v>
      </c>
      <c r="Y57" s="2538">
        <f t="shared" si="0"/>
        <v>55</v>
      </c>
    </row>
    <row r="58" spans="1:25" ht="18.75" x14ac:dyDescent="0.25">
      <c r="A58" s="2544">
        <v>49</v>
      </c>
      <c r="B58" s="427">
        <v>5191421049</v>
      </c>
      <c r="C58" s="822"/>
      <c r="D58" s="839"/>
      <c r="E58" s="839"/>
      <c r="F58" s="839"/>
      <c r="G58" s="821"/>
      <c r="H58" s="820"/>
      <c r="I58" s="839"/>
      <c r="J58" s="839"/>
      <c r="K58" s="436"/>
      <c r="L58" s="2524">
        <v>0</v>
      </c>
      <c r="M58" s="822">
        <v>0</v>
      </c>
      <c r="N58" s="839">
        <v>2</v>
      </c>
      <c r="O58" s="839">
        <v>1</v>
      </c>
      <c r="P58" s="839">
        <v>2</v>
      </c>
      <c r="Q58" s="821">
        <v>0</v>
      </c>
      <c r="R58" s="820"/>
      <c r="S58" s="839">
        <v>5</v>
      </c>
      <c r="T58" s="839">
        <v>6</v>
      </c>
      <c r="U58" s="2524">
        <v>16</v>
      </c>
      <c r="V58" s="2535">
        <v>10</v>
      </c>
      <c r="W58" s="2550"/>
      <c r="X58" s="2281" t="s">
        <v>33</v>
      </c>
      <c r="Y58" s="2538">
        <f t="shared" si="0"/>
        <v>60</v>
      </c>
    </row>
    <row r="59" spans="1:25" ht="18.75" x14ac:dyDescent="0.25">
      <c r="A59" s="2544">
        <v>50</v>
      </c>
      <c r="B59" s="427">
        <v>5191421050</v>
      </c>
      <c r="C59" s="822"/>
      <c r="D59" s="839"/>
      <c r="E59" s="839"/>
      <c r="F59" s="839"/>
      <c r="G59" s="821"/>
      <c r="H59" s="820"/>
      <c r="I59" s="839"/>
      <c r="J59" s="839"/>
      <c r="K59" s="436"/>
      <c r="L59" s="2524">
        <v>0</v>
      </c>
      <c r="M59" s="822">
        <v>2</v>
      </c>
      <c r="N59" s="839">
        <v>2</v>
      </c>
      <c r="O59" s="839">
        <v>2</v>
      </c>
      <c r="P59" s="839">
        <v>2</v>
      </c>
      <c r="Q59" s="821">
        <v>2</v>
      </c>
      <c r="R59" s="820">
        <v>6</v>
      </c>
      <c r="S59" s="839">
        <v>4</v>
      </c>
      <c r="T59" s="839">
        <v>5</v>
      </c>
      <c r="U59" s="2524">
        <v>21</v>
      </c>
      <c r="V59" s="2535">
        <v>10</v>
      </c>
      <c r="W59" s="2550"/>
      <c r="X59" s="2281" t="s">
        <v>33</v>
      </c>
      <c r="Y59" s="2538">
        <f t="shared" si="0"/>
        <v>60</v>
      </c>
    </row>
    <row r="60" spans="1:25" ht="18.75" x14ac:dyDescent="0.25">
      <c r="A60" s="2544">
        <v>51</v>
      </c>
      <c r="B60" s="427">
        <v>5191421051</v>
      </c>
      <c r="C60" s="2616"/>
      <c r="D60" s="2617"/>
      <c r="E60" s="2617"/>
      <c r="F60" s="2617"/>
      <c r="G60" s="2618"/>
      <c r="H60" s="2619"/>
      <c r="I60" s="2617"/>
      <c r="J60" s="2617"/>
      <c r="K60" s="2620"/>
      <c r="L60" s="2524">
        <v>0</v>
      </c>
      <c r="M60" s="2616">
        <v>1</v>
      </c>
      <c r="N60" s="2617">
        <v>2</v>
      </c>
      <c r="O60" s="2617">
        <v>2</v>
      </c>
      <c r="P60" s="2617">
        <v>2</v>
      </c>
      <c r="Q60" s="2618">
        <v>1</v>
      </c>
      <c r="R60" s="2619"/>
      <c r="S60" s="2617">
        <v>6</v>
      </c>
      <c r="T60" s="2617">
        <v>7</v>
      </c>
      <c r="U60" s="2524">
        <v>21</v>
      </c>
      <c r="V60" s="2535">
        <v>10</v>
      </c>
      <c r="W60" s="2550"/>
      <c r="X60" s="2281" t="s">
        <v>33</v>
      </c>
      <c r="Y60" s="2538">
        <f t="shared" si="0"/>
        <v>60</v>
      </c>
    </row>
    <row r="61" spans="1:25" ht="18.75" x14ac:dyDescent="0.25">
      <c r="A61" s="2544">
        <v>52</v>
      </c>
      <c r="B61" s="427">
        <v>5191421052</v>
      </c>
      <c r="C61" s="2616">
        <v>2</v>
      </c>
      <c r="D61" s="2617">
        <v>2</v>
      </c>
      <c r="E61" s="2617"/>
      <c r="F61" s="2617">
        <v>2</v>
      </c>
      <c r="G61" s="2618"/>
      <c r="H61" s="2619"/>
      <c r="I61" s="2617">
        <v>0</v>
      </c>
      <c r="J61" s="2617"/>
      <c r="K61" s="2620"/>
      <c r="L61" s="2524">
        <v>6</v>
      </c>
      <c r="M61" s="2616">
        <v>2</v>
      </c>
      <c r="N61" s="2617">
        <v>2</v>
      </c>
      <c r="O61" s="2617">
        <v>2</v>
      </c>
      <c r="P61" s="2617">
        <v>2</v>
      </c>
      <c r="Q61" s="2618">
        <v>1</v>
      </c>
      <c r="R61" s="2619"/>
      <c r="S61" s="2617">
        <v>6</v>
      </c>
      <c r="T61" s="2617">
        <v>7</v>
      </c>
      <c r="U61" s="2524">
        <v>22</v>
      </c>
      <c r="V61" s="2535">
        <v>10</v>
      </c>
      <c r="W61" s="2550"/>
      <c r="X61" s="2281" t="s">
        <v>32</v>
      </c>
      <c r="Y61" s="2538">
        <f t="shared" si="0"/>
        <v>70</v>
      </c>
    </row>
    <row r="62" spans="1:25" ht="18.75" x14ac:dyDescent="0.25">
      <c r="A62" s="2544">
        <v>53</v>
      </c>
      <c r="B62" s="427">
        <v>5191421053</v>
      </c>
      <c r="C62" s="2616">
        <v>2</v>
      </c>
      <c r="D62" s="2617">
        <v>2</v>
      </c>
      <c r="E62" s="2617"/>
      <c r="F62" s="2617"/>
      <c r="G62" s="2618"/>
      <c r="H62" s="2619">
        <v>3</v>
      </c>
      <c r="I62" s="2617">
        <v>0</v>
      </c>
      <c r="J62" s="2617"/>
      <c r="K62" s="2620">
        <v>0</v>
      </c>
      <c r="L62" s="2524">
        <v>7</v>
      </c>
      <c r="M62" s="2616">
        <v>2</v>
      </c>
      <c r="N62" s="2617">
        <v>2</v>
      </c>
      <c r="O62" s="2617">
        <v>2</v>
      </c>
      <c r="P62" s="2617">
        <v>2</v>
      </c>
      <c r="Q62" s="2618">
        <v>2</v>
      </c>
      <c r="R62" s="2619">
        <v>10</v>
      </c>
      <c r="S62" s="2617">
        <v>5</v>
      </c>
      <c r="T62" s="2617"/>
      <c r="U62" s="2524">
        <v>25</v>
      </c>
      <c r="V62" s="2535">
        <v>10</v>
      </c>
      <c r="W62" s="2550"/>
      <c r="X62" s="2281" t="s">
        <v>27</v>
      </c>
      <c r="Y62" s="2538">
        <f t="shared" si="0"/>
        <v>80</v>
      </c>
    </row>
    <row r="63" spans="1:25" ht="18.75" x14ac:dyDescent="0.25">
      <c r="A63" s="2544">
        <v>54</v>
      </c>
      <c r="B63" s="427">
        <v>5191421054</v>
      </c>
      <c r="C63" s="2616">
        <v>2</v>
      </c>
      <c r="D63" s="2617">
        <v>2</v>
      </c>
      <c r="E63" s="2617">
        <v>2</v>
      </c>
      <c r="F63" s="2617">
        <v>2</v>
      </c>
      <c r="G63" s="2618">
        <v>1</v>
      </c>
      <c r="H63" s="2619">
        <v>0</v>
      </c>
      <c r="I63" s="2617">
        <v>3</v>
      </c>
      <c r="J63" s="2617"/>
      <c r="K63" s="2620"/>
      <c r="L63" s="2524">
        <v>12</v>
      </c>
      <c r="M63" s="2616">
        <v>0</v>
      </c>
      <c r="N63" s="2617">
        <v>0</v>
      </c>
      <c r="O63" s="2617">
        <v>1</v>
      </c>
      <c r="P63" s="2617">
        <v>2</v>
      </c>
      <c r="Q63" s="2618">
        <v>0</v>
      </c>
      <c r="R63" s="2619"/>
      <c r="S63" s="2617">
        <v>6</v>
      </c>
      <c r="T63" s="2617">
        <v>7</v>
      </c>
      <c r="U63" s="2524">
        <v>16</v>
      </c>
      <c r="V63" s="2535">
        <v>10</v>
      </c>
      <c r="W63" s="2550"/>
      <c r="X63" s="2281" t="s">
        <v>31</v>
      </c>
      <c r="Y63" s="2538">
        <f t="shared" si="0"/>
        <v>55</v>
      </c>
    </row>
    <row r="64" spans="1:25" ht="18.75" x14ac:dyDescent="0.25">
      <c r="A64" s="2544">
        <v>55</v>
      </c>
      <c r="B64" s="427">
        <v>5191421055</v>
      </c>
      <c r="C64" s="2616"/>
      <c r="D64" s="2617"/>
      <c r="E64" s="2617"/>
      <c r="F64" s="2617"/>
      <c r="G64" s="2618"/>
      <c r="H64" s="2619"/>
      <c r="I64" s="2617"/>
      <c r="J64" s="2617"/>
      <c r="K64" s="2620"/>
      <c r="L64" s="2524">
        <v>0</v>
      </c>
      <c r="M64" s="2616"/>
      <c r="N64" s="2617">
        <v>2</v>
      </c>
      <c r="O64" s="2617">
        <v>2</v>
      </c>
      <c r="P64" s="2617">
        <v>2</v>
      </c>
      <c r="Q64" s="2618"/>
      <c r="R64" s="2619">
        <v>6</v>
      </c>
      <c r="S64" s="2617"/>
      <c r="T64" s="2617">
        <v>2</v>
      </c>
      <c r="U64" s="2524">
        <v>14</v>
      </c>
      <c r="V64" s="2535">
        <v>10</v>
      </c>
      <c r="W64" s="2550"/>
      <c r="X64" s="2281" t="s">
        <v>31</v>
      </c>
      <c r="Y64" s="2538">
        <f t="shared" si="0"/>
        <v>55</v>
      </c>
    </row>
    <row r="65" spans="1:25" ht="18.75" x14ac:dyDescent="0.25">
      <c r="A65" s="2544">
        <v>56</v>
      </c>
      <c r="B65" s="427">
        <v>5191421056</v>
      </c>
      <c r="C65" s="2616"/>
      <c r="D65" s="2617"/>
      <c r="E65" s="2617"/>
      <c r="F65" s="2617"/>
      <c r="G65" s="2618"/>
      <c r="H65" s="2619"/>
      <c r="I65" s="2617"/>
      <c r="J65" s="2617"/>
      <c r="K65" s="2620"/>
      <c r="L65" s="2524">
        <v>0</v>
      </c>
      <c r="M65" s="2616"/>
      <c r="N65" s="2617">
        <v>2</v>
      </c>
      <c r="O65" s="2617">
        <v>2</v>
      </c>
      <c r="P65" s="2617">
        <v>2</v>
      </c>
      <c r="Q65" s="2618">
        <v>1</v>
      </c>
      <c r="R65" s="2619"/>
      <c r="S65" s="2617">
        <v>5</v>
      </c>
      <c r="T65" s="2617">
        <v>6</v>
      </c>
      <c r="U65" s="2524">
        <v>18</v>
      </c>
      <c r="V65" s="2535">
        <v>10</v>
      </c>
      <c r="W65" s="2550"/>
      <c r="X65" s="2281" t="s">
        <v>33</v>
      </c>
      <c r="Y65" s="2538">
        <f t="shared" si="0"/>
        <v>60</v>
      </c>
    </row>
    <row r="66" spans="1:25" ht="18.75" x14ac:dyDescent="0.25">
      <c r="A66" s="2544">
        <v>57</v>
      </c>
      <c r="B66" s="427">
        <v>5191421057</v>
      </c>
      <c r="C66" s="2616"/>
      <c r="D66" s="2617"/>
      <c r="E66" s="2617"/>
      <c r="F66" s="2617"/>
      <c r="G66" s="2618"/>
      <c r="H66" s="2619"/>
      <c r="I66" s="2617"/>
      <c r="J66" s="2617"/>
      <c r="K66" s="2620"/>
      <c r="L66" s="2524">
        <v>0</v>
      </c>
      <c r="M66" s="2616">
        <v>2</v>
      </c>
      <c r="N66" s="2617">
        <v>2</v>
      </c>
      <c r="O66" s="2617">
        <v>2</v>
      </c>
      <c r="P66" s="2617">
        <v>2</v>
      </c>
      <c r="Q66" s="2618">
        <v>1</v>
      </c>
      <c r="R66" s="2619"/>
      <c r="S66" s="2617">
        <v>8</v>
      </c>
      <c r="T66" s="2617">
        <v>5</v>
      </c>
      <c r="U66" s="2524">
        <v>22</v>
      </c>
      <c r="V66" s="2535">
        <v>10</v>
      </c>
      <c r="W66" s="2550"/>
      <c r="X66" s="2282" t="s">
        <v>32</v>
      </c>
      <c r="Y66" s="2538">
        <f t="shared" si="0"/>
        <v>70</v>
      </c>
    </row>
    <row r="67" spans="1:25" ht="19.5" thickBot="1" x14ac:dyDescent="0.3">
      <c r="A67" s="2544">
        <v>58</v>
      </c>
      <c r="B67" s="427">
        <v>5191421058</v>
      </c>
      <c r="C67" s="398">
        <v>2</v>
      </c>
      <c r="D67" s="410">
        <v>2</v>
      </c>
      <c r="E67" s="410">
        <v>2</v>
      </c>
      <c r="F67" s="410">
        <v>2</v>
      </c>
      <c r="G67" s="91">
        <v>2</v>
      </c>
      <c r="H67" s="92">
        <v>2</v>
      </c>
      <c r="I67" s="410">
        <v>5</v>
      </c>
      <c r="J67" s="410"/>
      <c r="K67" s="2621"/>
      <c r="L67" s="2524">
        <v>17</v>
      </c>
      <c r="M67" s="94"/>
      <c r="N67" s="410">
        <v>2</v>
      </c>
      <c r="O67" s="410">
        <v>1</v>
      </c>
      <c r="P67" s="410"/>
      <c r="Q67" s="91"/>
      <c r="R67" s="92">
        <v>3</v>
      </c>
      <c r="S67" s="410">
        <v>5</v>
      </c>
      <c r="T67" s="410">
        <v>0</v>
      </c>
      <c r="U67" s="2524">
        <v>11</v>
      </c>
      <c r="V67" s="2535">
        <v>10</v>
      </c>
      <c r="W67" s="2275"/>
      <c r="X67" s="2622" t="s">
        <v>29</v>
      </c>
      <c r="Y67" s="2538">
        <f t="shared" si="0"/>
        <v>39</v>
      </c>
    </row>
    <row r="68" spans="1:25" ht="18.75" x14ac:dyDescent="0.25">
      <c r="C68" s="2550">
        <f>COUNT(C11:C67)</f>
        <v>48</v>
      </c>
      <c r="D68" s="2550">
        <f>COUNT(D11:D67)</f>
        <v>43</v>
      </c>
      <c r="E68" s="2550">
        <f>COUNT(E11:E67)</f>
        <v>34</v>
      </c>
      <c r="F68" s="2550">
        <f>COUNT(F11:F67)</f>
        <v>43</v>
      </c>
      <c r="G68" s="2550">
        <f t="shared" ref="G68:K68" si="1">COUNT(G11:G67)</f>
        <v>38</v>
      </c>
      <c r="H68" s="2550">
        <f t="shared" si="1"/>
        <v>42</v>
      </c>
      <c r="I68" s="2550">
        <f t="shared" si="1"/>
        <v>40</v>
      </c>
      <c r="J68" s="2550">
        <f t="shared" si="1"/>
        <v>6</v>
      </c>
      <c r="K68" s="2550">
        <f t="shared" si="1"/>
        <v>4</v>
      </c>
      <c r="L68" s="2550"/>
      <c r="M68" s="2550">
        <f t="shared" ref="M68:V68" si="2">COUNT(M10:M67)</f>
        <v>49</v>
      </c>
      <c r="N68" s="2550">
        <f t="shared" si="2"/>
        <v>53</v>
      </c>
      <c r="O68" s="2550">
        <f t="shared" si="2"/>
        <v>51</v>
      </c>
      <c r="P68" s="2550">
        <f t="shared" si="2"/>
        <v>53</v>
      </c>
      <c r="Q68" s="2550">
        <f t="shared" si="2"/>
        <v>49</v>
      </c>
      <c r="R68" s="2550">
        <f t="shared" si="2"/>
        <v>28</v>
      </c>
      <c r="S68" s="2550">
        <f t="shared" si="2"/>
        <v>52</v>
      </c>
      <c r="T68" s="2550">
        <f t="shared" si="2"/>
        <v>48</v>
      </c>
      <c r="U68" s="2550"/>
      <c r="V68" s="2550">
        <f t="shared" si="2"/>
        <v>58</v>
      </c>
      <c r="X68" s="2623"/>
    </row>
    <row r="69" spans="1:25" ht="31.15" customHeight="1" x14ac:dyDescent="0.25">
      <c r="A69" s="2406" t="s">
        <v>34</v>
      </c>
      <c r="B69" s="2536">
        <v>55</v>
      </c>
      <c r="C69" s="2551">
        <f>C9*(B69/100)</f>
        <v>1.1000000000000001</v>
      </c>
      <c r="D69" s="2551">
        <f>D9*(B69/100)</f>
        <v>1.1000000000000001</v>
      </c>
      <c r="E69" s="2551">
        <f>E9*(B69/100)</f>
        <v>1.1000000000000001</v>
      </c>
      <c r="F69" s="2551">
        <f>F9*(B69/100)</f>
        <v>1.1000000000000001</v>
      </c>
      <c r="G69" s="2551">
        <f>G9*(B69/100)</f>
        <v>1.1000000000000001</v>
      </c>
      <c r="H69" s="2551">
        <f>H9*(B69/100)</f>
        <v>5.5</v>
      </c>
      <c r="I69" s="2551">
        <f>I9*(B69/100)</f>
        <v>5.5</v>
      </c>
      <c r="J69" s="2551">
        <f>J9*(B69/100)</f>
        <v>2.75</v>
      </c>
      <c r="K69" s="2551">
        <f>K9*(B69/100)</f>
        <v>2.75</v>
      </c>
      <c r="L69" s="2550"/>
      <c r="M69" s="2551">
        <f>M9*(B69/100)</f>
        <v>1.1000000000000001</v>
      </c>
      <c r="N69" s="2551">
        <f>N9*(B69/100)</f>
        <v>1.1000000000000001</v>
      </c>
      <c r="O69" s="2551">
        <f>O9*(B69/100)</f>
        <v>1.1000000000000001</v>
      </c>
      <c r="P69" s="2551">
        <f>P9*(B69/100)</f>
        <v>1.1000000000000001</v>
      </c>
      <c r="Q69" s="2551">
        <f>Q9*(B69/100)</f>
        <v>1.1000000000000001</v>
      </c>
      <c r="R69" s="2551">
        <f>R9*(B69/100)</f>
        <v>5.5</v>
      </c>
      <c r="S69" s="2551">
        <f>S9*(B69/100)</f>
        <v>5.5</v>
      </c>
      <c r="T69" s="2551">
        <f>T9*(B69/100)</f>
        <v>5.5</v>
      </c>
      <c r="U69" s="2551"/>
      <c r="V69" s="2551">
        <v>5</v>
      </c>
      <c r="X69" s="2623"/>
    </row>
    <row r="70" spans="1:25" ht="32.25" customHeight="1" x14ac:dyDescent="0.25">
      <c r="A70" s="3075" t="s">
        <v>35</v>
      </c>
      <c r="B70" s="3075"/>
      <c r="C70" s="2550">
        <f>COUNTIF(C11:C67,"&gt;=" &amp;C69)</f>
        <v>42</v>
      </c>
      <c r="D70" s="2550">
        <f>COUNTIF(D11:D67,"&gt;=" &amp;D69)</f>
        <v>35</v>
      </c>
      <c r="E70" s="2550">
        <f>COUNTIF(E11:E67,"&gt;=" &amp;E69)</f>
        <v>25</v>
      </c>
      <c r="F70" s="2550">
        <f>COUNTIF(F11:F67,"&gt;=" &amp;F69)</f>
        <v>31</v>
      </c>
      <c r="G70" s="2550">
        <f t="shared" ref="G70:K70" si="3">COUNTIF(G11:G67,"&gt;=" &amp;G69)</f>
        <v>22</v>
      </c>
      <c r="H70" s="2550">
        <f t="shared" si="3"/>
        <v>20</v>
      </c>
      <c r="I70" s="2550">
        <f t="shared" si="3"/>
        <v>19</v>
      </c>
      <c r="J70" s="2550">
        <f t="shared" si="3"/>
        <v>1</v>
      </c>
      <c r="K70" s="2550">
        <f t="shared" si="3"/>
        <v>3</v>
      </c>
      <c r="L70" s="2550"/>
      <c r="M70" s="2550">
        <f t="shared" ref="M70:T70" si="4">COUNTIF(M10:M60,"&gt;=" &amp;M69)</f>
        <v>30</v>
      </c>
      <c r="N70" s="2550">
        <f t="shared" si="4"/>
        <v>38</v>
      </c>
      <c r="O70" s="2550">
        <f t="shared" si="4"/>
        <v>27</v>
      </c>
      <c r="P70" s="2550">
        <f t="shared" si="4"/>
        <v>41</v>
      </c>
      <c r="Q70" s="2550">
        <f t="shared" si="4"/>
        <v>15</v>
      </c>
      <c r="R70" s="2550">
        <f t="shared" si="4"/>
        <v>11</v>
      </c>
      <c r="S70" s="2550">
        <f t="shared" si="4"/>
        <v>27</v>
      </c>
      <c r="T70" s="2550">
        <f t="shared" si="4"/>
        <v>26</v>
      </c>
      <c r="U70" s="2550"/>
      <c r="V70" s="2550">
        <v>58</v>
      </c>
      <c r="X70" s="2623"/>
      <c r="Y70" s="2550">
        <f>COUNTIF(Y10:Y67,"&gt;="&amp;B69)</f>
        <v>42</v>
      </c>
    </row>
    <row r="71" spans="1:25" ht="30" customHeight="1" x14ac:dyDescent="0.25">
      <c r="A71" s="3061" t="s">
        <v>36</v>
      </c>
      <c r="B71" s="3061"/>
      <c r="C71" s="2550">
        <f t="shared" ref="C71:V71" si="5">C70/C68</f>
        <v>0.875</v>
      </c>
      <c r="D71" s="2550">
        <f t="shared" si="5"/>
        <v>0.81395348837209303</v>
      </c>
      <c r="E71" s="2550">
        <f t="shared" si="5"/>
        <v>0.73529411764705888</v>
      </c>
      <c r="F71" s="2550">
        <f t="shared" si="5"/>
        <v>0.72093023255813948</v>
      </c>
      <c r="G71" s="2550">
        <f t="shared" si="5"/>
        <v>0.57894736842105265</v>
      </c>
      <c r="H71" s="2550">
        <f t="shared" si="5"/>
        <v>0.47619047619047616</v>
      </c>
      <c r="I71" s="2550">
        <f t="shared" si="5"/>
        <v>0.47499999999999998</v>
      </c>
      <c r="J71" s="2550">
        <f t="shared" si="5"/>
        <v>0.16666666666666666</v>
      </c>
      <c r="K71" s="2550">
        <f t="shared" si="5"/>
        <v>0.75</v>
      </c>
      <c r="L71" s="2550"/>
      <c r="M71" s="2550">
        <f t="shared" si="5"/>
        <v>0.61224489795918369</v>
      </c>
      <c r="N71" s="2550">
        <f t="shared" si="5"/>
        <v>0.71698113207547165</v>
      </c>
      <c r="O71" s="2550">
        <f t="shared" si="5"/>
        <v>0.52941176470588236</v>
      </c>
      <c r="P71" s="2550">
        <f t="shared" si="5"/>
        <v>0.77358490566037741</v>
      </c>
      <c r="Q71" s="2550">
        <f t="shared" si="5"/>
        <v>0.30612244897959184</v>
      </c>
      <c r="R71" s="2550">
        <f t="shared" si="5"/>
        <v>0.39285714285714285</v>
      </c>
      <c r="S71" s="2550">
        <f t="shared" si="5"/>
        <v>0.51923076923076927</v>
      </c>
      <c r="T71" s="2550">
        <f t="shared" si="5"/>
        <v>0.54166666666666663</v>
      </c>
      <c r="U71" s="2550"/>
      <c r="V71" s="2550">
        <f t="shared" si="5"/>
        <v>1</v>
      </c>
      <c r="X71" s="2623"/>
      <c r="Y71" s="2550">
        <f>(Y70/A67)*100</f>
        <v>72.41379310344827</v>
      </c>
    </row>
    <row r="72" spans="1:25" ht="18.75" x14ac:dyDescent="0.25">
      <c r="C72" s="818">
        <v>1</v>
      </c>
      <c r="D72" s="2543">
        <v>1</v>
      </c>
      <c r="E72" s="2543">
        <v>1</v>
      </c>
      <c r="F72" s="2543">
        <v>2</v>
      </c>
      <c r="G72" s="819">
        <v>2</v>
      </c>
      <c r="H72" s="847">
        <v>1</v>
      </c>
      <c r="I72" s="2543">
        <v>2</v>
      </c>
      <c r="J72" s="2548">
        <v>3</v>
      </c>
      <c r="K72" s="2614">
        <v>3</v>
      </c>
      <c r="L72" s="2550"/>
      <c r="M72" s="818">
        <v>3</v>
      </c>
      <c r="N72" s="2543">
        <v>3</v>
      </c>
      <c r="O72" s="2543">
        <v>3</v>
      </c>
      <c r="P72" s="2543">
        <v>4</v>
      </c>
      <c r="Q72" s="819">
        <v>4</v>
      </c>
      <c r="R72" s="818">
        <v>3</v>
      </c>
      <c r="S72" s="2543">
        <v>4</v>
      </c>
      <c r="T72" s="2546">
        <v>4</v>
      </c>
      <c r="U72" s="2550"/>
      <c r="V72" s="2550"/>
      <c r="X72" s="2623"/>
    </row>
    <row r="73" spans="1:25" ht="18.75" x14ac:dyDescent="0.25">
      <c r="X73" s="2623"/>
    </row>
    <row r="74" spans="1:25" ht="18.75" x14ac:dyDescent="0.25">
      <c r="C74" s="3299" t="s">
        <v>38</v>
      </c>
      <c r="D74" s="3300"/>
      <c r="E74" s="3107" t="s">
        <v>39</v>
      </c>
      <c r="F74" s="3107"/>
      <c r="G74" s="3107" t="s">
        <v>37</v>
      </c>
      <c r="H74" s="3107"/>
      <c r="I74" s="3107"/>
      <c r="J74" s="2536"/>
      <c r="X74" s="2623"/>
    </row>
    <row r="75" spans="1:25" ht="18.75" x14ac:dyDescent="0.25">
      <c r="A75" s="3107" t="s">
        <v>22</v>
      </c>
      <c r="B75" s="3107"/>
      <c r="C75" s="2538">
        <f>AVERAGE(C71,D71,E71,H71,V71)*100</f>
        <v>78.008761644192575</v>
      </c>
      <c r="D75" s="2538">
        <f t="shared" ref="D75:D78" si="6">IF(C75&gt;=70,3,IF(AND(C75&gt;=60,C75&lt;70),2,IF(AND(C75&gt;=50,C75&lt;60),1)))</f>
        <v>3</v>
      </c>
      <c r="E75" s="3108">
        <f>IF(Y71&gt;=70,3,IF(AND(Y71&gt;=60,Y71&lt;70),2,IF(AND(Y71&gt;=50,Y71&lt;60),1)))</f>
        <v>3</v>
      </c>
      <c r="F75" s="3109"/>
      <c r="G75" s="3030">
        <f>(70/100)*E75+(30/100)*D75</f>
        <v>2.9999999999999996</v>
      </c>
      <c r="H75" s="3030"/>
      <c r="I75" s="3030"/>
      <c r="J75" s="2286"/>
      <c r="X75" s="2623"/>
    </row>
    <row r="76" spans="1:25" ht="18.75" x14ac:dyDescent="0.25">
      <c r="A76" s="3107" t="s">
        <v>40</v>
      </c>
      <c r="B76" s="3107"/>
      <c r="C76" s="2538">
        <f>AVERAGE(F71,G71,I71,V71)*100</f>
        <v>69.371940024479812</v>
      </c>
      <c r="D76" s="2538">
        <f t="shared" si="6"/>
        <v>2</v>
      </c>
      <c r="E76" s="3108">
        <f>IF(Y71&gt;=70,3,IF(AND(Y71&gt;=60,Y71&lt;70),2,IF(AND(Y71&gt;=50,Y71&lt;60),1)))</f>
        <v>3</v>
      </c>
      <c r="F76" s="3109"/>
      <c r="G76" s="3030">
        <f t="shared" ref="G76:G78" si="7">(70/100)*E76+(30/100)*D76</f>
        <v>2.6999999999999997</v>
      </c>
      <c r="H76" s="3030"/>
      <c r="I76" s="3030"/>
      <c r="J76" s="2286"/>
      <c r="X76" s="2623"/>
    </row>
    <row r="77" spans="1:25" ht="18.75" x14ac:dyDescent="0.25">
      <c r="A77" s="3107" t="s">
        <v>41</v>
      </c>
      <c r="B77" s="3107"/>
      <c r="C77" s="2538">
        <f>AVERAGE(J71,K71,M71,N71,O71,R71,V71)*100</f>
        <v>59.545165775204957</v>
      </c>
      <c r="D77" s="2538">
        <f t="shared" si="6"/>
        <v>1</v>
      </c>
      <c r="E77" s="3108">
        <f>IF(Y71&gt;=70,3,IF(AND(Y71&gt;=60,Y71&lt;70),2,IF(AND(Y71&gt;=50,Y71&lt;60),1)))</f>
        <v>3</v>
      </c>
      <c r="F77" s="3109"/>
      <c r="G77" s="3030">
        <f t="shared" si="7"/>
        <v>2.3999999999999995</v>
      </c>
      <c r="H77" s="3030"/>
      <c r="I77" s="3030"/>
      <c r="J77" s="2286"/>
      <c r="X77" s="2623"/>
    </row>
    <row r="78" spans="1:25" x14ac:dyDescent="0.25">
      <c r="A78" s="3107" t="s">
        <v>42</v>
      </c>
      <c r="B78" s="3107"/>
      <c r="C78" s="2538">
        <f>AVERAGE(P71,Q71,S71,T71,V71)*100</f>
        <v>62.812095810748104</v>
      </c>
      <c r="D78" s="2538">
        <f t="shared" si="6"/>
        <v>2</v>
      </c>
      <c r="E78" s="3108">
        <f>IF(Y71&gt;=70,3,IF(AND(Y71&gt;=60,Y71&lt;70),2,IF(AND(Y71&gt;=50,Y71&lt;60),1)))</f>
        <v>3</v>
      </c>
      <c r="F78" s="3109"/>
      <c r="G78" s="3030">
        <f t="shared" si="7"/>
        <v>2.6999999999999997</v>
      </c>
      <c r="H78" s="3030"/>
      <c r="I78" s="3030"/>
      <c r="J78" s="2286"/>
    </row>
    <row r="79" spans="1:25" ht="40.5" customHeight="1" x14ac:dyDescent="0.25">
      <c r="A79" s="3286" t="s">
        <v>44</v>
      </c>
      <c r="B79" s="3287"/>
      <c r="C79" s="3287"/>
      <c r="D79" s="3287"/>
      <c r="E79" s="3287"/>
      <c r="F79" s="3288"/>
      <c r="G79" s="3107">
        <f>AVERAGE(G75:G78)</f>
        <v>2.6999999999999993</v>
      </c>
      <c r="H79" s="3107"/>
      <c r="I79" s="3107"/>
      <c r="J79" s="342"/>
    </row>
    <row r="81" spans="1:17" x14ac:dyDescent="0.25">
      <c r="A81" s="3041" t="s">
        <v>134</v>
      </c>
      <c r="B81" s="3041"/>
      <c r="C81" s="794"/>
      <c r="D81" s="794"/>
      <c r="E81" s="794"/>
      <c r="F81" s="794"/>
      <c r="G81" s="794"/>
      <c r="H81" s="794"/>
      <c r="I81" s="794"/>
      <c r="J81" s="794"/>
      <c r="K81" s="794"/>
      <c r="L81" s="794"/>
      <c r="M81" s="807"/>
      <c r="N81" s="794"/>
      <c r="O81" s="794"/>
      <c r="P81" s="794"/>
      <c r="Q81" s="794"/>
    </row>
    <row r="82" spans="1:17" x14ac:dyDescent="0.25">
      <c r="A82" s="794"/>
      <c r="B82" s="794"/>
      <c r="C82" s="794"/>
      <c r="D82" s="794"/>
      <c r="E82" s="794"/>
      <c r="F82" s="794"/>
      <c r="G82" s="794"/>
      <c r="H82" s="794"/>
      <c r="I82" s="794"/>
      <c r="J82" s="794"/>
      <c r="K82" s="794"/>
      <c r="L82" s="794"/>
      <c r="M82" s="807"/>
      <c r="N82" s="794"/>
      <c r="O82" s="794"/>
      <c r="P82" s="794"/>
      <c r="Q82" s="794"/>
    </row>
    <row r="83" spans="1:17" x14ac:dyDescent="0.25">
      <c r="A83" s="794"/>
      <c r="B83" s="795" t="s">
        <v>45</v>
      </c>
      <c r="C83" s="2624" t="s">
        <v>68</v>
      </c>
      <c r="D83" s="2624" t="s">
        <v>69</v>
      </c>
      <c r="E83" s="2624" t="s">
        <v>70</v>
      </c>
      <c r="F83" s="2624" t="s">
        <v>71</v>
      </c>
      <c r="G83" s="2624" t="s">
        <v>72</v>
      </c>
      <c r="H83" s="2624" t="s">
        <v>73</v>
      </c>
      <c r="I83" s="2624" t="s">
        <v>74</v>
      </c>
      <c r="J83" s="2625" t="s">
        <v>75</v>
      </c>
      <c r="K83" s="2624" t="s">
        <v>76</v>
      </c>
      <c r="L83" s="2624" t="s">
        <v>77</v>
      </c>
      <c r="M83" s="2624" t="s">
        <v>78</v>
      </c>
      <c r="N83" s="2624" t="s">
        <v>79</v>
      </c>
    </row>
    <row r="84" spans="1:17" ht="18.75" x14ac:dyDescent="0.3">
      <c r="A84" s="794"/>
      <c r="B84" s="796" t="s">
        <v>20</v>
      </c>
      <c r="C84" s="1249">
        <v>3</v>
      </c>
      <c r="D84" s="1249">
        <v>2</v>
      </c>
      <c r="E84" s="1249">
        <v>2</v>
      </c>
      <c r="F84" s="1249"/>
      <c r="G84" s="1249"/>
      <c r="H84" s="1249">
        <v>1</v>
      </c>
      <c r="I84" s="1249"/>
      <c r="J84" s="1249"/>
      <c r="K84" s="1249"/>
      <c r="L84" s="1249"/>
      <c r="M84" s="1249"/>
      <c r="N84" s="1249">
        <v>2</v>
      </c>
    </row>
    <row r="85" spans="1:17" ht="18.75" x14ac:dyDescent="0.3">
      <c r="A85" s="794"/>
      <c r="B85" s="796" t="s">
        <v>21</v>
      </c>
      <c r="C85" s="1249">
        <v>3</v>
      </c>
      <c r="D85" s="1249">
        <v>2</v>
      </c>
      <c r="E85" s="1249">
        <v>2</v>
      </c>
      <c r="F85" s="1249"/>
      <c r="G85" s="1249"/>
      <c r="H85" s="1249">
        <v>1</v>
      </c>
      <c r="I85" s="1249"/>
      <c r="J85" s="1249"/>
      <c r="K85" s="1249"/>
      <c r="L85" s="1249"/>
      <c r="M85" s="1249"/>
      <c r="N85" s="1249">
        <v>2</v>
      </c>
    </row>
    <row r="86" spans="1:17" ht="18.75" x14ac:dyDescent="0.3">
      <c r="A86" s="794"/>
      <c r="B86" s="796" t="s">
        <v>23</v>
      </c>
      <c r="C86" s="1249">
        <v>3</v>
      </c>
      <c r="D86" s="1249">
        <v>2</v>
      </c>
      <c r="E86" s="1249">
        <v>2</v>
      </c>
      <c r="F86" s="1249"/>
      <c r="G86" s="1249"/>
      <c r="H86" s="1249">
        <v>1</v>
      </c>
      <c r="I86" s="1249"/>
      <c r="J86" s="1249"/>
      <c r="K86" s="1249"/>
      <c r="L86" s="1249"/>
      <c r="M86" s="1249"/>
      <c r="N86" s="1249">
        <v>2</v>
      </c>
    </row>
    <row r="87" spans="1:17" ht="18.75" x14ac:dyDescent="0.3">
      <c r="A87" s="794"/>
      <c r="B87" s="796" t="s">
        <v>25</v>
      </c>
      <c r="C87" s="1249">
        <v>3</v>
      </c>
      <c r="D87" s="1249">
        <v>2</v>
      </c>
      <c r="E87" s="1249">
        <v>2</v>
      </c>
      <c r="F87" s="1249"/>
      <c r="G87" s="1249"/>
      <c r="H87" s="1249">
        <v>1</v>
      </c>
      <c r="I87" s="1249"/>
      <c r="J87" s="1249"/>
      <c r="K87" s="1249"/>
      <c r="L87" s="1249"/>
      <c r="M87" s="1249"/>
      <c r="N87" s="1249">
        <v>2</v>
      </c>
    </row>
    <row r="88" spans="1:17" x14ac:dyDescent="0.25">
      <c r="A88" s="794"/>
      <c r="B88" s="2388" t="s">
        <v>10</v>
      </c>
      <c r="C88" s="724">
        <f t="shared" ref="C88:N88" si="8">AVERAGE(C84:C87)</f>
        <v>3</v>
      </c>
      <c r="D88" s="724">
        <f t="shared" si="8"/>
        <v>2</v>
      </c>
      <c r="E88" s="724">
        <f t="shared" si="8"/>
        <v>2</v>
      </c>
      <c r="F88" s="724"/>
      <c r="G88" s="724"/>
      <c r="H88" s="724">
        <f t="shared" si="8"/>
        <v>1</v>
      </c>
      <c r="I88" s="724"/>
      <c r="J88" s="724"/>
      <c r="K88" s="724"/>
      <c r="L88" s="724"/>
      <c r="M88" s="724"/>
      <c r="N88" s="724">
        <f t="shared" si="8"/>
        <v>2</v>
      </c>
    </row>
    <row r="89" spans="1:17" x14ac:dyDescent="0.25">
      <c r="A89" s="794"/>
      <c r="B89" s="2388" t="s">
        <v>58</v>
      </c>
      <c r="C89" s="3113">
        <f>AVERAGE(C88:N88)</f>
        <v>2</v>
      </c>
      <c r="D89" s="3284"/>
      <c r="E89" s="3284"/>
      <c r="F89" s="3284"/>
      <c r="G89" s="3284"/>
      <c r="H89" s="3284"/>
      <c r="I89" s="3284"/>
      <c r="J89" s="3284"/>
      <c r="K89" s="3284"/>
      <c r="L89" s="3284"/>
      <c r="M89" s="3284"/>
      <c r="N89" s="3284"/>
      <c r="O89" s="497"/>
      <c r="P89" s="497"/>
      <c r="Q89" s="497"/>
    </row>
    <row r="90" spans="1:17" x14ac:dyDescent="0.25">
      <c r="A90" s="794"/>
      <c r="B90" s="794"/>
      <c r="C90" s="336"/>
      <c r="D90" s="794"/>
      <c r="E90" s="794"/>
      <c r="F90" s="794"/>
      <c r="G90" s="794"/>
      <c r="H90" s="794"/>
      <c r="I90" s="794"/>
      <c r="J90" s="794"/>
      <c r="K90" s="794"/>
      <c r="L90" s="794"/>
      <c r="M90" s="807"/>
      <c r="N90" s="794"/>
      <c r="O90" s="794"/>
      <c r="P90" s="794"/>
      <c r="Q90" s="794"/>
    </row>
    <row r="91" spans="1:17" x14ac:dyDescent="0.25">
      <c r="A91" s="794"/>
      <c r="B91" s="794"/>
      <c r="C91" s="794"/>
      <c r="D91" s="794"/>
      <c r="E91" s="794"/>
      <c r="F91" s="794"/>
      <c r="G91" s="794"/>
      <c r="H91" s="794"/>
      <c r="I91" s="794"/>
      <c r="J91" s="794"/>
      <c r="K91" s="794"/>
      <c r="L91" s="794"/>
      <c r="M91" s="807"/>
      <c r="N91" s="794"/>
      <c r="O91" s="794"/>
      <c r="P91" s="794"/>
      <c r="Q91" s="794"/>
    </row>
    <row r="92" spans="1:17" x14ac:dyDescent="0.25">
      <c r="A92" s="3041" t="s">
        <v>148</v>
      </c>
      <c r="B92" s="3041"/>
      <c r="C92" s="794"/>
      <c r="D92" s="794"/>
      <c r="E92" s="794"/>
      <c r="F92" s="794"/>
      <c r="G92" s="794"/>
      <c r="H92" s="794"/>
      <c r="I92" s="794"/>
      <c r="J92" s="794"/>
      <c r="K92" s="794"/>
      <c r="L92" s="794"/>
      <c r="M92" s="807"/>
      <c r="N92" s="794"/>
      <c r="O92" s="794"/>
      <c r="P92" s="794"/>
      <c r="Q92" s="794"/>
    </row>
    <row r="93" spans="1:17" x14ac:dyDescent="0.25">
      <c r="A93" s="794"/>
      <c r="B93" s="794"/>
      <c r="C93" s="794"/>
      <c r="D93" s="794"/>
      <c r="E93" s="794"/>
      <c r="F93" s="794"/>
      <c r="G93" s="794"/>
      <c r="H93" s="794"/>
      <c r="I93" s="794"/>
      <c r="J93" s="794"/>
      <c r="K93" s="794"/>
      <c r="L93" s="794"/>
      <c r="M93" s="807"/>
      <c r="N93" s="794"/>
      <c r="O93" s="794"/>
      <c r="P93" s="794"/>
      <c r="Q93" s="794"/>
    </row>
    <row r="94" spans="1:17" x14ac:dyDescent="0.25">
      <c r="A94" s="794"/>
      <c r="B94" s="795" t="s">
        <v>45</v>
      </c>
      <c r="C94" s="2624" t="s">
        <v>68</v>
      </c>
      <c r="D94" s="2624" t="s">
        <v>69</v>
      </c>
      <c r="E94" s="2624" t="s">
        <v>70</v>
      </c>
      <c r="F94" s="2624" t="s">
        <v>71</v>
      </c>
      <c r="G94" s="2624" t="s">
        <v>72</v>
      </c>
      <c r="H94" s="2624" t="s">
        <v>73</v>
      </c>
      <c r="I94" s="2624" t="s">
        <v>74</v>
      </c>
      <c r="J94" s="2625" t="s">
        <v>75</v>
      </c>
      <c r="K94" s="2624" t="s">
        <v>76</v>
      </c>
      <c r="L94" s="2624" t="s">
        <v>77</v>
      </c>
      <c r="M94" s="2624" t="s">
        <v>78</v>
      </c>
      <c r="N94" s="2624" t="s">
        <v>79</v>
      </c>
    </row>
    <row r="95" spans="1:17" x14ac:dyDescent="0.25">
      <c r="A95" s="794"/>
      <c r="B95" s="796" t="s">
        <v>20</v>
      </c>
      <c r="C95" s="797">
        <f>G75*C84/3</f>
        <v>2.9999999999999996</v>
      </c>
      <c r="D95" s="797">
        <f>G75*D84/3</f>
        <v>1.9999999999999998</v>
      </c>
      <c r="E95" s="797">
        <f>$G75*E84/3</f>
        <v>1.9999999999999998</v>
      </c>
      <c r="F95" s="797"/>
      <c r="G95" s="797"/>
      <c r="H95" s="797">
        <f t="shared" ref="H95:H98" si="9">$G75*H84/3</f>
        <v>0.99999999999999989</v>
      </c>
      <c r="I95" s="797"/>
      <c r="J95" s="797"/>
      <c r="K95" s="797"/>
      <c r="L95" s="797"/>
      <c r="M95" s="797"/>
      <c r="N95" s="797">
        <f>G75*N84/3</f>
        <v>1.9999999999999998</v>
      </c>
    </row>
    <row r="96" spans="1:17" x14ac:dyDescent="0.25">
      <c r="A96" s="794"/>
      <c r="B96" s="796" t="s">
        <v>21</v>
      </c>
      <c r="C96" s="797">
        <f>G76*C85/3</f>
        <v>2.6999999999999997</v>
      </c>
      <c r="D96" s="797">
        <f>G76*D85/3</f>
        <v>1.7999999999999998</v>
      </c>
      <c r="E96" s="797">
        <f>$G76*E85/3</f>
        <v>1.7999999999999998</v>
      </c>
      <c r="F96" s="797"/>
      <c r="G96" s="797"/>
      <c r="H96" s="797">
        <f t="shared" si="9"/>
        <v>0.89999999999999991</v>
      </c>
      <c r="I96" s="797"/>
      <c r="J96" s="797"/>
      <c r="K96" s="797"/>
      <c r="L96" s="797"/>
      <c r="M96" s="797"/>
      <c r="N96" s="797">
        <f>G76*N85/3</f>
        <v>1.7999999999999998</v>
      </c>
    </row>
    <row r="97" spans="1:17" x14ac:dyDescent="0.25">
      <c r="A97" s="794"/>
      <c r="B97" s="796" t="s">
        <v>23</v>
      </c>
      <c r="C97" s="797">
        <f>G77*C86/3</f>
        <v>2.3999999999999995</v>
      </c>
      <c r="D97" s="797">
        <f>G77*D86/3</f>
        <v>1.5999999999999996</v>
      </c>
      <c r="E97" s="797">
        <f>$G77*E86/3</f>
        <v>1.5999999999999996</v>
      </c>
      <c r="F97" s="797"/>
      <c r="G97" s="797"/>
      <c r="H97" s="797">
        <f t="shared" si="9"/>
        <v>0.79999999999999982</v>
      </c>
      <c r="I97" s="797"/>
      <c r="J97" s="797"/>
      <c r="K97" s="797"/>
      <c r="L97" s="797"/>
      <c r="M97" s="797"/>
      <c r="N97" s="797">
        <f>G77*N86/3</f>
        <v>1.5999999999999996</v>
      </c>
    </row>
    <row r="98" spans="1:17" x14ac:dyDescent="0.25">
      <c r="A98" s="794"/>
      <c r="B98" s="796" t="s">
        <v>25</v>
      </c>
      <c r="C98" s="797">
        <f>G78*C87/3</f>
        <v>2.6999999999999997</v>
      </c>
      <c r="D98" s="797">
        <f>G78*D87/3</f>
        <v>1.7999999999999998</v>
      </c>
      <c r="E98" s="797">
        <f>$G78*E87/3</f>
        <v>1.7999999999999998</v>
      </c>
      <c r="F98" s="797"/>
      <c r="G98" s="797"/>
      <c r="H98" s="797">
        <f t="shared" si="9"/>
        <v>0.89999999999999991</v>
      </c>
      <c r="I98" s="797"/>
      <c r="J98" s="797"/>
      <c r="K98" s="797"/>
      <c r="L98" s="797"/>
      <c r="M98" s="797"/>
      <c r="N98" s="797">
        <f>G78*N87/3</f>
        <v>1.7999999999999998</v>
      </c>
    </row>
    <row r="99" spans="1:17" x14ac:dyDescent="0.25">
      <c r="A99" s="794"/>
      <c r="B99" s="2388" t="s">
        <v>10</v>
      </c>
      <c r="C99" s="736">
        <f t="shared" ref="C99:N99" si="10">AVERAGE(C95:C98)</f>
        <v>2.6999999999999993</v>
      </c>
      <c r="D99" s="736">
        <f t="shared" si="10"/>
        <v>1.7999999999999998</v>
      </c>
      <c r="E99" s="736">
        <f t="shared" si="10"/>
        <v>1.7999999999999998</v>
      </c>
      <c r="F99" s="736"/>
      <c r="G99" s="736"/>
      <c r="H99" s="736">
        <f t="shared" ref="H99" si="11">AVERAGE(H95:H98)</f>
        <v>0.89999999999999991</v>
      </c>
      <c r="I99" s="736"/>
      <c r="J99" s="736"/>
      <c r="K99" s="736"/>
      <c r="L99" s="736"/>
      <c r="M99" s="736"/>
      <c r="N99" s="736">
        <f t="shared" si="10"/>
        <v>1.7999999999999998</v>
      </c>
    </row>
    <row r="100" spans="1:17" x14ac:dyDescent="0.25">
      <c r="A100" s="794"/>
      <c r="B100" s="2542" t="s">
        <v>58</v>
      </c>
      <c r="C100" s="3102">
        <f>AVERAGE(C99:N99)</f>
        <v>1.8</v>
      </c>
      <c r="D100" s="3285"/>
      <c r="E100" s="3285"/>
      <c r="F100" s="3285"/>
      <c r="G100" s="3285"/>
      <c r="H100" s="3285"/>
      <c r="I100" s="3285"/>
      <c r="J100" s="3285"/>
      <c r="K100" s="3285"/>
      <c r="L100" s="3285"/>
      <c r="M100" s="3285"/>
      <c r="N100" s="3104"/>
      <c r="O100" s="69"/>
      <c r="P100" s="69"/>
      <c r="Q100" s="69"/>
    </row>
    <row r="101" spans="1:17" x14ac:dyDescent="0.25">
      <c r="A101" s="794"/>
      <c r="B101" s="794"/>
      <c r="C101" s="794"/>
      <c r="D101" s="794"/>
      <c r="E101" s="794"/>
      <c r="F101" s="794"/>
      <c r="G101" s="794"/>
      <c r="H101" s="794"/>
      <c r="I101" s="794"/>
      <c r="J101" s="794"/>
      <c r="K101" s="794"/>
      <c r="L101" s="794"/>
      <c r="M101" s="807"/>
      <c r="N101" s="794"/>
      <c r="O101" s="794"/>
      <c r="P101" s="794"/>
      <c r="Q101" s="794"/>
    </row>
    <row r="102" spans="1:17" x14ac:dyDescent="0.25">
      <c r="A102" s="3041" t="s">
        <v>137</v>
      </c>
      <c r="B102" s="3041"/>
      <c r="C102" s="732"/>
      <c r="D102" s="732"/>
      <c r="E102" s="794"/>
      <c r="F102" s="794"/>
      <c r="G102" s="794"/>
      <c r="H102" s="794"/>
      <c r="I102" s="794"/>
      <c r="J102" s="794"/>
      <c r="K102" s="3041" t="s">
        <v>149</v>
      </c>
      <c r="L102" s="3041"/>
      <c r="M102" s="3041"/>
      <c r="N102" s="732"/>
      <c r="O102" s="732"/>
      <c r="P102" s="794"/>
      <c r="Q102" s="794"/>
    </row>
    <row r="103" spans="1:17" x14ac:dyDescent="0.25">
      <c r="A103" s="798"/>
      <c r="B103" s="798"/>
      <c r="C103" s="732"/>
      <c r="D103" s="732"/>
      <c r="E103" s="794"/>
      <c r="F103" s="794"/>
      <c r="G103" s="794"/>
      <c r="H103" s="794"/>
      <c r="I103" s="794"/>
      <c r="J103" s="794"/>
      <c r="K103" s="798"/>
      <c r="L103" s="798"/>
      <c r="M103" s="808"/>
      <c r="N103" s="732"/>
      <c r="O103" s="732"/>
      <c r="P103" s="794"/>
      <c r="Q103" s="794"/>
    </row>
    <row r="104" spans="1:17" ht="26.25" x14ac:dyDescent="0.25">
      <c r="A104" s="794"/>
      <c r="B104" s="795" t="s">
        <v>59</v>
      </c>
      <c r="C104" s="2624" t="s">
        <v>60</v>
      </c>
      <c r="D104" s="2624" t="s">
        <v>61</v>
      </c>
      <c r="E104" s="2624" t="s">
        <v>62</v>
      </c>
      <c r="F104" s="794"/>
      <c r="G104" s="794"/>
      <c r="H104" s="794"/>
      <c r="I104" s="794"/>
      <c r="J104" s="794"/>
      <c r="K104" s="794"/>
      <c r="L104" s="794"/>
      <c r="M104" s="809" t="s">
        <v>59</v>
      </c>
      <c r="N104" s="2624" t="s">
        <v>60</v>
      </c>
      <c r="O104" s="2624" t="s">
        <v>61</v>
      </c>
      <c r="P104" s="2624" t="s">
        <v>62</v>
      </c>
      <c r="Q104" s="794"/>
    </row>
    <row r="105" spans="1:17" ht="18.75" x14ac:dyDescent="0.25">
      <c r="A105" s="794"/>
      <c r="B105" s="799" t="s">
        <v>20</v>
      </c>
      <c r="C105" s="1153">
        <v>3</v>
      </c>
      <c r="D105" s="1153">
        <v>3</v>
      </c>
      <c r="E105" s="814"/>
      <c r="F105" s="794"/>
      <c r="G105" s="794"/>
      <c r="H105" s="794"/>
      <c r="I105" s="794"/>
      <c r="J105" s="794"/>
      <c r="K105" s="794"/>
      <c r="L105" s="794"/>
      <c r="M105" s="810" t="s">
        <v>20</v>
      </c>
      <c r="N105" s="797">
        <f>G75*C105/3</f>
        <v>2.9999999999999996</v>
      </c>
      <c r="O105" s="797">
        <f>G75*D105/3</f>
        <v>2.9999999999999996</v>
      </c>
      <c r="P105" s="797"/>
      <c r="Q105" s="794"/>
    </row>
    <row r="106" spans="1:17" ht="18.75" x14ac:dyDescent="0.25">
      <c r="A106" s="794"/>
      <c r="B106" s="796" t="s">
        <v>21</v>
      </c>
      <c r="C106" s="1153">
        <v>3</v>
      </c>
      <c r="D106" s="1153">
        <v>3</v>
      </c>
      <c r="E106" s="814"/>
      <c r="F106" s="794"/>
      <c r="G106" s="794"/>
      <c r="H106" s="794"/>
      <c r="I106" s="794"/>
      <c r="J106" s="794"/>
      <c r="K106" s="794"/>
      <c r="L106" s="794"/>
      <c r="M106" s="811" t="s">
        <v>21</v>
      </c>
      <c r="N106" s="797">
        <f>G76*C106/3</f>
        <v>2.6999999999999997</v>
      </c>
      <c r="O106" s="797">
        <f>G76*D106/3</f>
        <v>2.6999999999999997</v>
      </c>
      <c r="P106" s="797"/>
      <c r="Q106" s="794"/>
    </row>
    <row r="107" spans="1:17" ht="18.75" x14ac:dyDescent="0.25">
      <c r="A107" s="794"/>
      <c r="B107" s="796" t="s">
        <v>23</v>
      </c>
      <c r="C107" s="1153">
        <v>3</v>
      </c>
      <c r="D107" s="1153">
        <v>3</v>
      </c>
      <c r="E107" s="814"/>
      <c r="F107" s="794"/>
      <c r="G107" s="794"/>
      <c r="H107" s="794"/>
      <c r="I107" s="794"/>
      <c r="J107" s="794"/>
      <c r="K107" s="794"/>
      <c r="L107" s="794"/>
      <c r="M107" s="811" t="s">
        <v>23</v>
      </c>
      <c r="N107" s="797">
        <f>G77*C107/3</f>
        <v>2.3999999999999995</v>
      </c>
      <c r="O107" s="797">
        <f>G77*D107/3</f>
        <v>2.3999999999999995</v>
      </c>
      <c r="P107" s="797"/>
      <c r="Q107" s="794"/>
    </row>
    <row r="108" spans="1:17" ht="18.75" x14ac:dyDescent="0.25">
      <c r="A108" s="794"/>
      <c r="B108" s="796" t="s">
        <v>25</v>
      </c>
      <c r="C108" s="1153">
        <v>3</v>
      </c>
      <c r="D108" s="1153">
        <v>3</v>
      </c>
      <c r="E108" s="814"/>
      <c r="F108" s="794"/>
      <c r="G108" s="794"/>
      <c r="H108" s="794"/>
      <c r="I108" s="794"/>
      <c r="J108" s="794"/>
      <c r="K108" s="794"/>
      <c r="L108" s="794"/>
      <c r="M108" s="811" t="s">
        <v>25</v>
      </c>
      <c r="N108" s="797">
        <f>G78*C108/3</f>
        <v>2.6999999999999997</v>
      </c>
      <c r="O108" s="797">
        <f>G78*D108/3</f>
        <v>2.6999999999999997</v>
      </c>
      <c r="P108" s="797"/>
      <c r="Q108" s="794"/>
    </row>
    <row r="109" spans="1:17" x14ac:dyDescent="0.25">
      <c r="A109" s="794"/>
      <c r="B109" s="2542" t="s">
        <v>10</v>
      </c>
      <c r="C109" s="804">
        <f>AVERAGE(C105:C108)</f>
        <v>3</v>
      </c>
      <c r="D109" s="804">
        <f>AVERAGE(D105:D108)</f>
        <v>3</v>
      </c>
      <c r="E109" s="804"/>
      <c r="F109" s="794"/>
      <c r="G109" s="794"/>
      <c r="H109" s="794"/>
      <c r="I109" s="794"/>
      <c r="J109" s="794"/>
      <c r="K109" s="794"/>
      <c r="L109" s="794"/>
      <c r="M109" s="812" t="s">
        <v>10</v>
      </c>
      <c r="N109" s="797">
        <f>AVERAGE(N105:N108)</f>
        <v>2.6999999999999993</v>
      </c>
      <c r="O109" s="797">
        <f>AVERAGE(O105:O108)</f>
        <v>2.6999999999999993</v>
      </c>
      <c r="P109" s="797"/>
      <c r="Q109" s="794"/>
    </row>
    <row r="110" spans="1:17" ht="25.5" x14ac:dyDescent="0.25">
      <c r="A110" s="2549"/>
      <c r="B110" s="2546" t="s">
        <v>58</v>
      </c>
      <c r="C110" s="3105">
        <f>AVERAGE(C109:E109)</f>
        <v>3</v>
      </c>
      <c r="D110" s="3105"/>
      <c r="E110" s="3105"/>
      <c r="F110" s="2549"/>
      <c r="G110" s="2549"/>
      <c r="H110" s="2549"/>
      <c r="I110" s="2549"/>
      <c r="J110" s="2549"/>
      <c r="K110" s="2549"/>
      <c r="L110" s="2549"/>
      <c r="M110" s="828" t="s">
        <v>58</v>
      </c>
      <c r="N110" s="3105">
        <f>AVERAGE(N109:P109)</f>
        <v>2.6999999999999993</v>
      </c>
      <c r="O110" s="3105"/>
      <c r="P110" s="3105"/>
      <c r="Q110" s="2549"/>
    </row>
    <row r="111" spans="1:17" x14ac:dyDescent="0.25">
      <c r="A111" s="794"/>
      <c r="B111" s="794"/>
      <c r="C111" s="794"/>
      <c r="D111" s="794"/>
      <c r="E111" s="794"/>
      <c r="F111" s="794"/>
      <c r="G111" s="794"/>
      <c r="H111" s="794"/>
      <c r="I111" s="794"/>
      <c r="J111" s="794"/>
      <c r="K111" s="794"/>
      <c r="L111" s="794"/>
      <c r="M111" s="807"/>
      <c r="N111" s="794"/>
      <c r="O111" s="794"/>
      <c r="P111" s="794"/>
      <c r="Q111" s="794"/>
    </row>
    <row r="113" spans="1:17" x14ac:dyDescent="0.25">
      <c r="A113" s="3054"/>
      <c r="B113" s="3054"/>
      <c r="C113" s="3054"/>
      <c r="D113" s="3054"/>
      <c r="E113" s="3054"/>
      <c r="F113" s="3054"/>
      <c r="G113" s="3054"/>
      <c r="H113" s="3054"/>
      <c r="I113" s="3054"/>
      <c r="J113" s="3054"/>
      <c r="K113" s="3054"/>
      <c r="L113" s="3054"/>
      <c r="M113" s="3054"/>
      <c r="N113" s="3054"/>
      <c r="O113" s="3054"/>
      <c r="P113" s="3054"/>
      <c r="Q113" s="3054"/>
    </row>
    <row r="114" spans="1:17" x14ac:dyDescent="0.25">
      <c r="A114" s="2540"/>
      <c r="B114" s="2540"/>
      <c r="C114" s="2540"/>
      <c r="D114" s="2540"/>
      <c r="E114" s="2540"/>
      <c r="F114" s="2540"/>
      <c r="G114" s="2540"/>
      <c r="H114" s="2540"/>
      <c r="I114" s="2540"/>
      <c r="J114" s="2540"/>
      <c r="K114" s="2540"/>
      <c r="L114" s="2540"/>
      <c r="M114" s="2540"/>
      <c r="N114" s="2540"/>
      <c r="O114" s="2540"/>
      <c r="P114" s="2540"/>
      <c r="Q114" s="2540"/>
    </row>
    <row r="115" spans="1:17" x14ac:dyDescent="0.25">
      <c r="A115" s="3053"/>
      <c r="B115" s="3053"/>
      <c r="C115" s="3053"/>
      <c r="D115" s="3053"/>
      <c r="E115" s="3053"/>
      <c r="F115" s="3053"/>
      <c r="G115" s="3053"/>
      <c r="H115" s="3053"/>
      <c r="I115" s="3053"/>
      <c r="J115" s="3053"/>
      <c r="K115" s="3053"/>
      <c r="L115" s="3053"/>
      <c r="M115" s="3053"/>
      <c r="N115" s="3053"/>
      <c r="O115" s="3053"/>
      <c r="P115" s="3053"/>
      <c r="Q115" s="3053"/>
    </row>
    <row r="116" spans="1:17" x14ac:dyDescent="0.25">
      <c r="A116" s="3053"/>
      <c r="B116" s="3053"/>
      <c r="C116" s="3053"/>
      <c r="D116" s="3053"/>
      <c r="E116" s="3053"/>
      <c r="F116" s="3053"/>
      <c r="G116" s="3053"/>
      <c r="H116" s="3053"/>
      <c r="I116" s="3053"/>
      <c r="J116" s="3053"/>
      <c r="K116" s="3053"/>
      <c r="L116" s="3053"/>
      <c r="M116" s="3053"/>
      <c r="N116" s="3053"/>
      <c r="O116" s="3053"/>
      <c r="P116" s="3053"/>
      <c r="Q116" s="3053"/>
    </row>
    <row r="117" spans="1:17" x14ac:dyDescent="0.25">
      <c r="A117" s="3053"/>
      <c r="B117" s="3053"/>
      <c r="C117" s="3053"/>
      <c r="D117" s="3053"/>
      <c r="E117" s="3053"/>
      <c r="F117" s="3053"/>
      <c r="G117" s="3053"/>
      <c r="H117" s="3053"/>
      <c r="I117" s="3053"/>
      <c r="J117" s="3053"/>
      <c r="K117" s="3053"/>
      <c r="L117" s="3053"/>
      <c r="M117" s="3053"/>
      <c r="N117" s="3053"/>
      <c r="O117" s="3053"/>
      <c r="P117" s="3053"/>
      <c r="Q117" s="3053"/>
    </row>
    <row r="118" spans="1:17" x14ac:dyDescent="0.25">
      <c r="A118" s="3053"/>
      <c r="B118" s="3053"/>
      <c r="C118" s="3053"/>
      <c r="D118" s="3053"/>
      <c r="E118" s="3053"/>
      <c r="F118" s="3053"/>
      <c r="G118" s="3053"/>
      <c r="H118" s="3053"/>
      <c r="I118" s="3053"/>
      <c r="J118" s="3053"/>
      <c r="K118" s="3053"/>
      <c r="L118" s="3053"/>
      <c r="M118" s="3053"/>
      <c r="N118" s="3053"/>
      <c r="O118" s="3053"/>
      <c r="P118" s="3053"/>
      <c r="Q118" s="3053"/>
    </row>
    <row r="119" spans="1:17" x14ac:dyDescent="0.25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  <c r="P119" s="3053"/>
      <c r="Q119" s="3053"/>
    </row>
    <row r="120" spans="1:17" x14ac:dyDescent="0.25">
      <c r="A120" s="3053"/>
      <c r="B120" s="3053"/>
      <c r="C120" s="3053"/>
      <c r="D120" s="3053"/>
      <c r="E120" s="3053"/>
      <c r="F120" s="3053"/>
      <c r="G120" s="3053"/>
      <c r="H120" s="3053"/>
      <c r="I120" s="3053"/>
      <c r="J120" s="3053"/>
      <c r="K120" s="3053"/>
      <c r="L120" s="3053"/>
      <c r="M120" s="3053"/>
      <c r="N120" s="3053"/>
      <c r="O120" s="3053"/>
      <c r="P120" s="3053"/>
      <c r="Q120" s="3053"/>
    </row>
    <row r="121" spans="1:17" x14ac:dyDescent="0.25">
      <c r="A121" s="3054"/>
      <c r="B121" s="3054"/>
      <c r="C121" s="3054"/>
      <c r="D121" s="3054"/>
      <c r="E121" s="3054"/>
      <c r="F121" s="3054"/>
      <c r="G121" s="3054"/>
      <c r="H121" s="3054"/>
      <c r="I121" s="3054"/>
      <c r="J121" s="3054"/>
      <c r="K121" s="3054"/>
      <c r="L121" s="3054"/>
      <c r="M121" s="3054"/>
      <c r="N121" s="3054"/>
      <c r="O121" s="3054"/>
      <c r="P121" s="3054"/>
      <c r="Q121" s="3054"/>
    </row>
    <row r="122" spans="1:17" x14ac:dyDescent="0.25">
      <c r="A122" s="3055"/>
      <c r="B122" s="3055"/>
      <c r="C122" s="3055"/>
      <c r="D122" s="3055"/>
      <c r="E122" s="3055"/>
      <c r="F122" s="3055"/>
      <c r="G122" s="3055"/>
      <c r="H122" s="3055"/>
      <c r="I122" s="3055"/>
      <c r="J122" s="3055"/>
      <c r="K122" s="3055"/>
      <c r="L122" s="3055"/>
      <c r="M122" s="3055"/>
      <c r="N122" s="3055"/>
      <c r="O122" s="3055"/>
      <c r="P122" s="3055"/>
      <c r="Q122" s="3055"/>
    </row>
    <row r="123" spans="1:17" x14ac:dyDescent="0.25">
      <c r="A123" s="2983"/>
      <c r="B123" s="2983"/>
      <c r="C123" s="2983"/>
      <c r="D123" s="2983"/>
      <c r="E123" s="2983"/>
      <c r="F123" s="2983"/>
      <c r="G123" s="2983"/>
      <c r="H123" s="2983"/>
      <c r="I123" s="2983"/>
      <c r="J123" s="2983"/>
      <c r="K123" s="2983"/>
      <c r="L123" s="2983"/>
      <c r="M123" s="2983"/>
      <c r="N123" s="2983"/>
      <c r="O123" s="2983"/>
      <c r="P123" s="2983"/>
      <c r="Q123" s="2983"/>
    </row>
    <row r="124" spans="1:17" x14ac:dyDescent="0.25">
      <c r="A124" s="3045"/>
      <c r="B124" s="3046"/>
      <c r="C124" s="3046"/>
      <c r="D124" s="3046"/>
      <c r="E124" s="3046"/>
      <c r="F124" s="3046"/>
      <c r="G124" s="3046"/>
      <c r="H124" s="3046"/>
      <c r="I124" s="3046"/>
      <c r="J124" s="3046"/>
      <c r="K124" s="3046"/>
      <c r="L124" s="3046"/>
      <c r="M124" s="3046"/>
      <c r="N124" s="3046"/>
      <c r="O124" s="3046"/>
      <c r="P124" s="3046"/>
      <c r="Q124" s="3046"/>
    </row>
    <row r="125" spans="1:17" x14ac:dyDescent="0.25">
      <c r="A125" s="3046"/>
      <c r="B125" s="3046"/>
      <c r="C125" s="3046"/>
      <c r="D125" s="3046"/>
      <c r="E125" s="3046"/>
      <c r="F125" s="3046"/>
      <c r="G125" s="3046"/>
      <c r="H125" s="3046"/>
      <c r="I125" s="3046"/>
      <c r="J125" s="3046"/>
      <c r="K125" s="3046"/>
      <c r="L125" s="3046"/>
      <c r="M125" s="3046"/>
      <c r="N125" s="3046"/>
      <c r="O125" s="3046"/>
      <c r="P125" s="3046"/>
      <c r="Q125" s="3046"/>
    </row>
    <row r="126" spans="1:17" x14ac:dyDescent="0.25">
      <c r="A126" s="3046"/>
      <c r="B126" s="3046"/>
      <c r="C126" s="3046"/>
      <c r="D126" s="3046"/>
      <c r="E126" s="3046"/>
      <c r="F126" s="3046"/>
      <c r="G126" s="3046"/>
      <c r="H126" s="3046"/>
      <c r="I126" s="3046"/>
      <c r="J126" s="3046"/>
      <c r="K126" s="3046"/>
      <c r="L126" s="3046"/>
      <c r="M126" s="3046"/>
      <c r="N126" s="3046"/>
      <c r="O126" s="3046"/>
      <c r="P126" s="3046"/>
      <c r="Q126" s="3046"/>
    </row>
    <row r="127" spans="1:17" x14ac:dyDescent="0.25">
      <c r="A127" s="2983"/>
      <c r="B127" s="2983"/>
      <c r="C127" s="2983"/>
      <c r="D127" s="2983"/>
      <c r="E127" s="2983"/>
      <c r="F127" s="2983"/>
      <c r="G127" s="2983"/>
      <c r="H127" s="2983"/>
      <c r="I127" s="2983"/>
      <c r="J127" s="2983"/>
      <c r="K127" s="2983"/>
      <c r="L127" s="2983"/>
      <c r="M127" s="2983"/>
      <c r="N127" s="2983"/>
      <c r="O127" s="2983"/>
      <c r="P127" s="2983"/>
      <c r="Q127" s="2983"/>
    </row>
  </sheetData>
  <mergeCells count="66">
    <mergeCell ref="A127:Q127"/>
    <mergeCell ref="A122:Q122"/>
    <mergeCell ref="A123:Q123"/>
    <mergeCell ref="A124:Q124"/>
    <mergeCell ref="A125:Q125"/>
    <mergeCell ref="A126:Q126"/>
    <mergeCell ref="A117:Q117"/>
    <mergeCell ref="A119:Q119"/>
    <mergeCell ref="A120:Q120"/>
    <mergeCell ref="A118:Q118"/>
    <mergeCell ref="A121:Q121"/>
    <mergeCell ref="A71:B71"/>
    <mergeCell ref="E74:F74"/>
    <mergeCell ref="G74:I74"/>
    <mergeCell ref="C74:D74"/>
    <mergeCell ref="A75:B75"/>
    <mergeCell ref="E75:F75"/>
    <mergeCell ref="G75:I75"/>
    <mergeCell ref="U6:U8"/>
    <mergeCell ref="V6:V8"/>
    <mergeCell ref="X6:X8"/>
    <mergeCell ref="Y6:Y8"/>
    <mergeCell ref="A70:B70"/>
    <mergeCell ref="M6:Q6"/>
    <mergeCell ref="J7:K7"/>
    <mergeCell ref="R6:R7"/>
    <mergeCell ref="S6:S7"/>
    <mergeCell ref="T6:T7"/>
    <mergeCell ref="A6:A8"/>
    <mergeCell ref="C6:G6"/>
    <mergeCell ref="J6:K6"/>
    <mergeCell ref="B6:B7"/>
    <mergeCell ref="L6:L8"/>
    <mergeCell ref="O2:V2"/>
    <mergeCell ref="C3:M3"/>
    <mergeCell ref="O3:V3"/>
    <mergeCell ref="O4:V4"/>
    <mergeCell ref="C5:L5"/>
    <mergeCell ref="M5:U5"/>
    <mergeCell ref="A2:B2"/>
    <mergeCell ref="A3:B3"/>
    <mergeCell ref="A5:B5"/>
    <mergeCell ref="C4:M4"/>
    <mergeCell ref="C2:M2"/>
    <mergeCell ref="E76:F76"/>
    <mergeCell ref="G76:I76"/>
    <mergeCell ref="A77:B77"/>
    <mergeCell ref="E77:F77"/>
    <mergeCell ref="G77:I77"/>
    <mergeCell ref="A76:B76"/>
    <mergeCell ref="A78:B78"/>
    <mergeCell ref="E78:F78"/>
    <mergeCell ref="G78:I78"/>
    <mergeCell ref="A79:F79"/>
    <mergeCell ref="G79:I79"/>
    <mergeCell ref="A81:B81"/>
    <mergeCell ref="C89:N89"/>
    <mergeCell ref="A92:B92"/>
    <mergeCell ref="C100:N100"/>
    <mergeCell ref="A102:B102"/>
    <mergeCell ref="K102:M102"/>
    <mergeCell ref="C110:E110"/>
    <mergeCell ref="N110:P110"/>
    <mergeCell ref="A113:Q113"/>
    <mergeCell ref="A115:Q115"/>
    <mergeCell ref="A116:Q116"/>
  </mergeCells>
  <conditionalFormatting sqref="X68:X77">
    <cfRule type="containsText" dxfId="103" priority="5" operator="containsText" text="F">
      <formula>NOT(ISERROR(SEARCH("F",X68)))</formula>
    </cfRule>
  </conditionalFormatting>
  <conditionalFormatting sqref="X50:X53 X10:X45">
    <cfRule type="containsText" dxfId="102" priority="4" operator="containsText" text="F">
      <formula>NOT(ISERROR(SEARCH("F",X10)))</formula>
    </cfRule>
  </conditionalFormatting>
  <conditionalFormatting sqref="X48">
    <cfRule type="containsText" dxfId="101" priority="1" operator="containsText" text="F">
      <formula>NOT(ISERROR(SEARCH("F",X48)))</formula>
    </cfRule>
  </conditionalFormatting>
  <conditionalFormatting sqref="X47 X56:X67">
    <cfRule type="containsText" dxfId="100" priority="3" operator="containsText" text="F">
      <formula>NOT(ISERROR(SEARCH("F",X47)))</formula>
    </cfRule>
  </conditionalFormatting>
  <conditionalFormatting sqref="X46 X49 X54:X55">
    <cfRule type="containsText" dxfId="99" priority="2" operator="containsText" text="F">
      <formula>NOT(ISERROR(SEARCH("F",X46)))</formula>
    </cfRule>
  </conditionalFormatting>
  <pageMargins left="0.7" right="0.7" top="0.75" bottom="0.75" header="0.3" footer="0.3"/>
  <pageSetup paperSize="8" scale="3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70" zoomScale="70" zoomScaleNormal="70" workbookViewId="0">
      <selection activeCell="A102" sqref="A102:J105"/>
    </sheetView>
  </sheetViews>
  <sheetFormatPr defaultColWidth="11.7109375" defaultRowHeight="15.75" x14ac:dyDescent="0.25"/>
  <cols>
    <col min="1" max="1" width="11.7109375" style="792"/>
    <col min="2" max="2" width="24.28515625" style="792" bestFit="1" customWidth="1"/>
    <col min="3" max="16384" width="11.710937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344</v>
      </c>
      <c r="D2" s="802" t="s">
        <v>63</v>
      </c>
      <c r="E2" s="765" t="s">
        <v>230</v>
      </c>
      <c r="F2" s="735"/>
      <c r="G2" s="735"/>
      <c r="H2" s="735"/>
    </row>
    <row r="3" spans="1:8" ht="60" x14ac:dyDescent="0.25">
      <c r="A3" s="3301" t="s">
        <v>1</v>
      </c>
      <c r="B3" s="3301"/>
      <c r="C3" s="894" t="s">
        <v>343</v>
      </c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346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814">
        <v>40</v>
      </c>
      <c r="D9" s="867" t="s">
        <v>32</v>
      </c>
      <c r="E9" s="866">
        <f>IF(D9="O",100,IF(D9="A+",90,IF(D9="A",80,IF(D9="B+",70,IF(D9="B",60,IF(D9="C",55,IF(D9="P",50,IF(D9="F",39))))))))</f>
        <v>70</v>
      </c>
    </row>
    <row r="10" spans="1:8" ht="18.75" x14ac:dyDescent="0.25">
      <c r="A10" s="839">
        <v>2</v>
      </c>
      <c r="B10" s="898">
        <v>5191421002</v>
      </c>
      <c r="C10" s="814">
        <v>47</v>
      </c>
      <c r="D10" s="867" t="s">
        <v>30</v>
      </c>
      <c r="E10" s="866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814">
        <v>48</v>
      </c>
      <c r="D11" s="867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814">
        <v>32</v>
      </c>
      <c r="D12" s="867" t="s">
        <v>33</v>
      </c>
      <c r="E12" s="866">
        <f t="shared" si="0"/>
        <v>60</v>
      </c>
    </row>
    <row r="13" spans="1:8" ht="18.75" x14ac:dyDescent="0.25">
      <c r="A13" s="839">
        <v>5</v>
      </c>
      <c r="B13" s="899">
        <v>5191421005</v>
      </c>
      <c r="C13" s="814">
        <v>36</v>
      </c>
      <c r="D13" s="867" t="s">
        <v>33</v>
      </c>
      <c r="E13" s="866">
        <f t="shared" si="0"/>
        <v>60</v>
      </c>
    </row>
    <row r="14" spans="1:8" ht="18.75" x14ac:dyDescent="0.25">
      <c r="A14" s="839">
        <v>6</v>
      </c>
      <c r="B14" s="897">
        <v>5191421006</v>
      </c>
      <c r="C14" s="814">
        <v>45</v>
      </c>
      <c r="D14" s="867" t="s">
        <v>30</v>
      </c>
      <c r="E14" s="866">
        <f t="shared" si="0"/>
        <v>90</v>
      </c>
    </row>
    <row r="15" spans="1:8" ht="18.75" x14ac:dyDescent="0.25">
      <c r="A15" s="839">
        <v>7</v>
      </c>
      <c r="B15" s="897">
        <v>5191421007</v>
      </c>
      <c r="C15" s="814">
        <v>25</v>
      </c>
      <c r="D15" s="867" t="s">
        <v>32</v>
      </c>
      <c r="E15" s="866">
        <f t="shared" si="0"/>
        <v>70</v>
      </c>
    </row>
    <row r="16" spans="1:8" ht="18.75" x14ac:dyDescent="0.25">
      <c r="A16" s="839">
        <v>8</v>
      </c>
      <c r="B16" s="897">
        <v>5191421008</v>
      </c>
      <c r="C16" s="814">
        <v>47</v>
      </c>
      <c r="D16" s="867" t="s">
        <v>32</v>
      </c>
      <c r="E16" s="866">
        <f t="shared" si="0"/>
        <v>70</v>
      </c>
    </row>
    <row r="17" spans="1:5" ht="18.75" x14ac:dyDescent="0.25">
      <c r="A17" s="839">
        <v>9</v>
      </c>
      <c r="B17" s="897">
        <v>5191421009</v>
      </c>
      <c r="C17" s="814">
        <v>46</v>
      </c>
      <c r="D17" s="867" t="s">
        <v>27</v>
      </c>
      <c r="E17" s="866">
        <f t="shared" si="0"/>
        <v>80</v>
      </c>
    </row>
    <row r="18" spans="1:5" ht="18.75" x14ac:dyDescent="0.25">
      <c r="A18" s="839">
        <v>10</v>
      </c>
      <c r="B18" s="897">
        <v>5191421010</v>
      </c>
      <c r="C18" s="814">
        <v>46</v>
      </c>
      <c r="D18" s="867" t="s">
        <v>27</v>
      </c>
      <c r="E18" s="866">
        <f t="shared" si="0"/>
        <v>80</v>
      </c>
    </row>
    <row r="19" spans="1:5" ht="18.75" x14ac:dyDescent="0.25">
      <c r="A19" s="839">
        <v>11</v>
      </c>
      <c r="B19" s="897">
        <v>5191421011</v>
      </c>
      <c r="C19" s="814">
        <v>46</v>
      </c>
      <c r="D19" s="867" t="s">
        <v>82</v>
      </c>
      <c r="E19" s="866">
        <f t="shared" si="0"/>
        <v>100</v>
      </c>
    </row>
    <row r="20" spans="1:5" ht="18.75" x14ac:dyDescent="0.25">
      <c r="A20" s="839">
        <v>12</v>
      </c>
      <c r="B20" s="897">
        <v>5191421012</v>
      </c>
      <c r="C20" s="814">
        <v>36</v>
      </c>
      <c r="D20" s="867" t="s">
        <v>32</v>
      </c>
      <c r="E20" s="866">
        <f t="shared" si="0"/>
        <v>70</v>
      </c>
    </row>
    <row r="21" spans="1:5" ht="18.75" x14ac:dyDescent="0.25">
      <c r="A21" s="839">
        <v>13</v>
      </c>
      <c r="B21" s="897">
        <v>5191421013</v>
      </c>
      <c r="C21" s="814">
        <v>45</v>
      </c>
      <c r="D21" s="867" t="s">
        <v>30</v>
      </c>
      <c r="E21" s="866">
        <f t="shared" si="0"/>
        <v>90</v>
      </c>
    </row>
    <row r="22" spans="1:5" ht="18.75" x14ac:dyDescent="0.25">
      <c r="A22" s="839">
        <v>14</v>
      </c>
      <c r="B22" s="897">
        <v>5191421014</v>
      </c>
      <c r="C22" s="814">
        <v>39</v>
      </c>
      <c r="D22" s="867" t="s">
        <v>32</v>
      </c>
      <c r="E22" s="866">
        <f t="shared" si="0"/>
        <v>70</v>
      </c>
    </row>
    <row r="23" spans="1:5" ht="18.75" x14ac:dyDescent="0.25">
      <c r="A23" s="839">
        <v>15</v>
      </c>
      <c r="B23" s="897">
        <v>5191421015</v>
      </c>
      <c r="C23" s="814">
        <v>45</v>
      </c>
      <c r="D23" s="867" t="s">
        <v>27</v>
      </c>
      <c r="E23" s="866">
        <f t="shared" si="0"/>
        <v>80</v>
      </c>
    </row>
    <row r="24" spans="1:5" ht="18.75" x14ac:dyDescent="0.25">
      <c r="A24" s="839">
        <v>16</v>
      </c>
      <c r="B24" s="897">
        <v>5191421016</v>
      </c>
      <c r="C24" s="814">
        <v>36</v>
      </c>
      <c r="D24" s="867" t="s">
        <v>33</v>
      </c>
      <c r="E24" s="866">
        <f t="shared" si="0"/>
        <v>60</v>
      </c>
    </row>
    <row r="25" spans="1:5" ht="18.75" x14ac:dyDescent="0.25">
      <c r="A25" s="839">
        <v>17</v>
      </c>
      <c r="B25" s="897">
        <v>5191421017</v>
      </c>
      <c r="C25" s="814">
        <v>42</v>
      </c>
      <c r="D25" s="867" t="s">
        <v>27</v>
      </c>
      <c r="E25" s="866">
        <f t="shared" si="0"/>
        <v>80</v>
      </c>
    </row>
    <row r="26" spans="1:5" ht="18.75" x14ac:dyDescent="0.25">
      <c r="A26" s="839">
        <v>18</v>
      </c>
      <c r="B26" s="897">
        <v>5191421018</v>
      </c>
      <c r="C26" s="814">
        <v>34</v>
      </c>
      <c r="D26" s="867" t="s">
        <v>33</v>
      </c>
      <c r="E26" s="866">
        <f t="shared" si="0"/>
        <v>60</v>
      </c>
    </row>
    <row r="27" spans="1:5" ht="18.75" x14ac:dyDescent="0.25">
      <c r="A27" s="839">
        <v>19</v>
      </c>
      <c r="B27" s="897">
        <v>5191421019</v>
      </c>
      <c r="C27" s="814">
        <v>37</v>
      </c>
      <c r="D27" s="867" t="s">
        <v>82</v>
      </c>
      <c r="E27" s="866">
        <f t="shared" si="0"/>
        <v>100</v>
      </c>
    </row>
    <row r="28" spans="1:5" ht="18.75" x14ac:dyDescent="0.25">
      <c r="A28" s="839">
        <v>20</v>
      </c>
      <c r="B28" s="897">
        <v>5191421020</v>
      </c>
      <c r="C28" s="814">
        <v>42</v>
      </c>
      <c r="D28" s="867" t="s">
        <v>30</v>
      </c>
      <c r="E28" s="866">
        <f t="shared" si="0"/>
        <v>90</v>
      </c>
    </row>
    <row r="29" spans="1:5" ht="18.75" x14ac:dyDescent="0.25">
      <c r="A29" s="839">
        <v>21</v>
      </c>
      <c r="B29" s="897">
        <v>5191421021</v>
      </c>
      <c r="C29" s="814">
        <v>44</v>
      </c>
      <c r="D29" s="867" t="s">
        <v>30</v>
      </c>
      <c r="E29" s="866">
        <f t="shared" si="0"/>
        <v>90</v>
      </c>
    </row>
    <row r="30" spans="1:5" ht="18.75" x14ac:dyDescent="0.25">
      <c r="A30" s="839">
        <v>22</v>
      </c>
      <c r="B30" s="897">
        <v>5191421022</v>
      </c>
      <c r="C30" s="814">
        <v>38</v>
      </c>
      <c r="D30" s="867" t="s">
        <v>32</v>
      </c>
      <c r="E30" s="866">
        <f t="shared" si="0"/>
        <v>70</v>
      </c>
    </row>
    <row r="31" spans="1:5" ht="18.75" x14ac:dyDescent="0.25">
      <c r="A31" s="839">
        <v>23</v>
      </c>
      <c r="B31" s="897">
        <v>5191421023</v>
      </c>
      <c r="C31" s="814">
        <v>40</v>
      </c>
      <c r="D31" s="867" t="s">
        <v>32</v>
      </c>
      <c r="E31" s="866">
        <f t="shared" si="0"/>
        <v>70</v>
      </c>
    </row>
    <row r="32" spans="1:5" ht="18.75" x14ac:dyDescent="0.25">
      <c r="A32" s="839">
        <v>24</v>
      </c>
      <c r="B32" s="897">
        <v>5191421024</v>
      </c>
      <c r="C32" s="814">
        <v>35</v>
      </c>
      <c r="D32" s="867" t="s">
        <v>33</v>
      </c>
      <c r="E32" s="866">
        <f t="shared" si="0"/>
        <v>60</v>
      </c>
    </row>
    <row r="33" spans="1:5" ht="18.75" x14ac:dyDescent="0.25">
      <c r="A33" s="839">
        <v>25</v>
      </c>
      <c r="B33" s="897">
        <v>5191421025</v>
      </c>
      <c r="C33" s="814">
        <v>48</v>
      </c>
      <c r="D33" s="867" t="s">
        <v>82</v>
      </c>
      <c r="E33" s="866">
        <f t="shared" si="0"/>
        <v>100</v>
      </c>
    </row>
    <row r="34" spans="1:5" ht="18.75" x14ac:dyDescent="0.25">
      <c r="A34" s="839">
        <v>26</v>
      </c>
      <c r="B34" s="897">
        <v>5191421026</v>
      </c>
      <c r="C34" s="814">
        <v>41</v>
      </c>
      <c r="D34" s="867" t="s">
        <v>27</v>
      </c>
      <c r="E34" s="866">
        <f t="shared" si="0"/>
        <v>80</v>
      </c>
    </row>
    <row r="35" spans="1:5" ht="18.75" x14ac:dyDescent="0.25">
      <c r="A35" s="839">
        <v>27</v>
      </c>
      <c r="B35" s="897">
        <v>5191421027</v>
      </c>
      <c r="C35" s="814">
        <v>39</v>
      </c>
      <c r="D35" s="867" t="s">
        <v>30</v>
      </c>
      <c r="E35" s="866">
        <f t="shared" si="0"/>
        <v>90</v>
      </c>
    </row>
    <row r="36" spans="1:5" ht="18.75" x14ac:dyDescent="0.25">
      <c r="A36" s="839">
        <v>28</v>
      </c>
      <c r="B36" s="897">
        <v>5191421028</v>
      </c>
      <c r="C36" s="814">
        <v>47</v>
      </c>
      <c r="D36" s="870" t="s">
        <v>30</v>
      </c>
      <c r="E36" s="866">
        <f t="shared" si="0"/>
        <v>90</v>
      </c>
    </row>
    <row r="37" spans="1:5" ht="18.75" x14ac:dyDescent="0.25">
      <c r="A37" s="839">
        <v>29</v>
      </c>
      <c r="B37" s="897">
        <v>5191421029</v>
      </c>
      <c r="C37" s="814">
        <v>36</v>
      </c>
      <c r="D37" s="867" t="s">
        <v>27</v>
      </c>
      <c r="E37" s="866">
        <f t="shared" si="0"/>
        <v>80</v>
      </c>
    </row>
    <row r="38" spans="1:5" ht="18.75" x14ac:dyDescent="0.25">
      <c r="A38" s="839">
        <v>30</v>
      </c>
      <c r="B38" s="897">
        <v>5191421030</v>
      </c>
      <c r="C38" s="814">
        <v>33</v>
      </c>
      <c r="D38" s="867" t="s">
        <v>33</v>
      </c>
      <c r="E38" s="866">
        <f t="shared" si="0"/>
        <v>60</v>
      </c>
    </row>
    <row r="39" spans="1:5" ht="18.75" x14ac:dyDescent="0.25">
      <c r="A39" s="839">
        <v>31</v>
      </c>
      <c r="B39" s="897">
        <v>5191421031</v>
      </c>
      <c r="C39" s="814">
        <v>46</v>
      </c>
      <c r="D39" s="867" t="s">
        <v>32</v>
      </c>
      <c r="E39" s="866">
        <f t="shared" si="0"/>
        <v>70</v>
      </c>
    </row>
    <row r="40" spans="1:5" ht="18.75" x14ac:dyDescent="0.25">
      <c r="A40" s="839">
        <v>32</v>
      </c>
      <c r="B40" s="897">
        <v>5191421032</v>
      </c>
      <c r="C40" s="814">
        <v>35</v>
      </c>
      <c r="D40" s="867" t="s">
        <v>33</v>
      </c>
      <c r="E40" s="866">
        <f t="shared" si="0"/>
        <v>60</v>
      </c>
    </row>
    <row r="41" spans="1:5" ht="18.75" x14ac:dyDescent="0.25">
      <c r="A41" s="839">
        <v>33</v>
      </c>
      <c r="B41" s="897">
        <v>5191421033</v>
      </c>
      <c r="C41" s="814">
        <v>45</v>
      </c>
      <c r="D41" s="867" t="s">
        <v>82</v>
      </c>
      <c r="E41" s="866">
        <f t="shared" si="0"/>
        <v>100</v>
      </c>
    </row>
    <row r="42" spans="1:5" ht="18.75" x14ac:dyDescent="0.25">
      <c r="A42" s="839">
        <v>34</v>
      </c>
      <c r="B42" s="897">
        <v>5191421034</v>
      </c>
      <c r="C42" s="814">
        <v>46</v>
      </c>
      <c r="D42" s="867" t="s">
        <v>82</v>
      </c>
      <c r="E42" s="866">
        <f t="shared" si="0"/>
        <v>100</v>
      </c>
    </row>
    <row r="43" spans="1:5" ht="18.75" x14ac:dyDescent="0.25">
      <c r="A43" s="839">
        <v>35</v>
      </c>
      <c r="B43" s="897">
        <v>5191421035</v>
      </c>
      <c r="C43" s="814">
        <v>36</v>
      </c>
      <c r="D43" s="867" t="s">
        <v>32</v>
      </c>
      <c r="E43" s="866">
        <f t="shared" si="0"/>
        <v>70</v>
      </c>
    </row>
    <row r="44" spans="1:5" ht="18.75" x14ac:dyDescent="0.25">
      <c r="A44" s="839">
        <v>36</v>
      </c>
      <c r="B44" s="897">
        <v>5191421036</v>
      </c>
      <c r="C44" s="814">
        <v>48</v>
      </c>
      <c r="D44" s="867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814">
        <v>33</v>
      </c>
      <c r="D45" s="867" t="s">
        <v>32</v>
      </c>
      <c r="E45" s="866">
        <f t="shared" si="0"/>
        <v>70</v>
      </c>
    </row>
    <row r="46" spans="1:5" ht="18.75" x14ac:dyDescent="0.25">
      <c r="A46" s="839">
        <v>38</v>
      </c>
      <c r="B46" s="897">
        <v>5191421038</v>
      </c>
      <c r="C46" s="814">
        <v>33</v>
      </c>
      <c r="D46" s="867" t="s">
        <v>32</v>
      </c>
      <c r="E46" s="866">
        <f t="shared" si="0"/>
        <v>70</v>
      </c>
    </row>
    <row r="47" spans="1:5" ht="18.75" x14ac:dyDescent="0.25">
      <c r="A47" s="839">
        <v>39</v>
      </c>
      <c r="B47" s="897">
        <v>5191421039</v>
      </c>
      <c r="C47" s="814">
        <v>44</v>
      </c>
      <c r="D47" s="867" t="s">
        <v>30</v>
      </c>
      <c r="E47" s="866">
        <f t="shared" si="0"/>
        <v>90</v>
      </c>
    </row>
    <row r="48" spans="1:5" ht="18.75" x14ac:dyDescent="0.25">
      <c r="A48" s="839">
        <v>40</v>
      </c>
      <c r="B48" s="897">
        <v>5191421040</v>
      </c>
      <c r="C48" s="814">
        <v>45</v>
      </c>
      <c r="D48" s="867" t="s">
        <v>32</v>
      </c>
      <c r="E48" s="866">
        <f t="shared" si="0"/>
        <v>70</v>
      </c>
    </row>
    <row r="49" spans="1:5" ht="18.75" x14ac:dyDescent="0.25">
      <c r="A49" s="839">
        <v>41</v>
      </c>
      <c r="B49" s="897">
        <v>5191421041</v>
      </c>
      <c r="C49" s="814">
        <v>43</v>
      </c>
      <c r="D49" s="867" t="s">
        <v>29</v>
      </c>
      <c r="E49" s="866">
        <f t="shared" si="0"/>
        <v>39</v>
      </c>
    </row>
    <row r="50" spans="1:5" ht="18.75" x14ac:dyDescent="0.25">
      <c r="A50" s="839">
        <v>42</v>
      </c>
      <c r="B50" s="897">
        <v>5191421042</v>
      </c>
      <c r="C50" s="814">
        <v>30</v>
      </c>
      <c r="D50" s="867" t="s">
        <v>33</v>
      </c>
      <c r="E50" s="866">
        <f t="shared" si="0"/>
        <v>60</v>
      </c>
    </row>
    <row r="51" spans="1:5" ht="18.75" x14ac:dyDescent="0.25">
      <c r="A51" s="839">
        <v>43</v>
      </c>
      <c r="B51" s="897">
        <v>5191421043</v>
      </c>
      <c r="C51" s="814">
        <v>46</v>
      </c>
      <c r="D51" s="867" t="s">
        <v>30</v>
      </c>
      <c r="E51" s="866">
        <f t="shared" si="0"/>
        <v>90</v>
      </c>
    </row>
    <row r="52" spans="1:5" ht="18.75" x14ac:dyDescent="0.25">
      <c r="A52" s="839">
        <v>44</v>
      </c>
      <c r="B52" s="897">
        <v>5191421044</v>
      </c>
      <c r="C52" s="814">
        <v>47</v>
      </c>
      <c r="D52" s="867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814">
        <v>37</v>
      </c>
      <c r="D53" s="867" t="s">
        <v>32</v>
      </c>
      <c r="E53" s="866">
        <f t="shared" si="0"/>
        <v>70</v>
      </c>
    </row>
    <row r="54" spans="1:5" ht="18.75" x14ac:dyDescent="0.25">
      <c r="A54" s="839">
        <v>46</v>
      </c>
      <c r="B54" s="897">
        <v>5191421046</v>
      </c>
      <c r="C54" s="814">
        <v>41</v>
      </c>
      <c r="D54" s="867" t="s">
        <v>30</v>
      </c>
      <c r="E54" s="866">
        <f t="shared" si="0"/>
        <v>90</v>
      </c>
    </row>
    <row r="55" spans="1:5" ht="18.75" x14ac:dyDescent="0.25">
      <c r="A55" s="839">
        <v>47</v>
      </c>
      <c r="B55" s="897">
        <v>5191421047</v>
      </c>
      <c r="C55" s="814">
        <v>35</v>
      </c>
      <c r="D55" s="867" t="s">
        <v>32</v>
      </c>
      <c r="E55" s="866">
        <f t="shared" si="0"/>
        <v>70</v>
      </c>
    </row>
    <row r="56" spans="1:5" ht="18.75" x14ac:dyDescent="0.25">
      <c r="A56" s="839">
        <v>48</v>
      </c>
      <c r="B56" s="897">
        <v>5191421048</v>
      </c>
      <c r="C56" s="814">
        <v>42</v>
      </c>
      <c r="D56" s="867" t="s">
        <v>27</v>
      </c>
      <c r="E56" s="866">
        <f t="shared" si="0"/>
        <v>80</v>
      </c>
    </row>
    <row r="57" spans="1:5" ht="18.75" x14ac:dyDescent="0.25">
      <c r="A57" s="839">
        <v>49</v>
      </c>
      <c r="B57" s="897">
        <v>5191421049</v>
      </c>
      <c r="C57" s="814">
        <v>28</v>
      </c>
      <c r="D57" s="867" t="s">
        <v>27</v>
      </c>
      <c r="E57" s="866">
        <f t="shared" si="0"/>
        <v>80</v>
      </c>
    </row>
    <row r="58" spans="1:5" ht="18.75" x14ac:dyDescent="0.25">
      <c r="A58" s="839">
        <v>50</v>
      </c>
      <c r="B58" s="897">
        <v>5191421050</v>
      </c>
      <c r="C58" s="814">
        <v>38</v>
      </c>
      <c r="D58" s="867" t="s">
        <v>30</v>
      </c>
      <c r="E58" s="866">
        <f t="shared" si="0"/>
        <v>90</v>
      </c>
    </row>
    <row r="59" spans="1:5" ht="18.75" x14ac:dyDescent="0.25">
      <c r="A59" s="839">
        <v>51</v>
      </c>
      <c r="B59" s="897">
        <v>5191421051</v>
      </c>
      <c r="C59" s="814">
        <v>44</v>
      </c>
      <c r="D59" s="867" t="s">
        <v>30</v>
      </c>
      <c r="E59" s="866">
        <f t="shared" si="0"/>
        <v>90</v>
      </c>
    </row>
    <row r="60" spans="1:5" ht="18.75" x14ac:dyDescent="0.25">
      <c r="A60" s="839">
        <v>52</v>
      </c>
      <c r="B60" s="897">
        <v>5191421052</v>
      </c>
      <c r="C60" s="814">
        <v>47</v>
      </c>
      <c r="D60" s="867" t="s">
        <v>82</v>
      </c>
      <c r="E60" s="866">
        <f t="shared" si="0"/>
        <v>100</v>
      </c>
    </row>
    <row r="61" spans="1:5" ht="18.75" x14ac:dyDescent="0.25">
      <c r="A61" s="839">
        <v>53</v>
      </c>
      <c r="B61" s="897">
        <v>5191421053</v>
      </c>
      <c r="C61" s="814">
        <v>48</v>
      </c>
      <c r="D61" s="867" t="s">
        <v>30</v>
      </c>
      <c r="E61" s="866">
        <f t="shared" si="0"/>
        <v>90</v>
      </c>
    </row>
    <row r="62" spans="1:5" ht="18.75" x14ac:dyDescent="0.25">
      <c r="A62" s="839">
        <v>54</v>
      </c>
      <c r="B62" s="897">
        <v>5191421054</v>
      </c>
      <c r="C62" s="814">
        <v>46</v>
      </c>
      <c r="D62" s="867" t="s">
        <v>30</v>
      </c>
      <c r="E62" s="866">
        <f t="shared" si="0"/>
        <v>90</v>
      </c>
    </row>
    <row r="63" spans="1:5" ht="18.75" x14ac:dyDescent="0.25">
      <c r="A63" s="839">
        <v>55</v>
      </c>
      <c r="B63" s="897">
        <v>5191421055</v>
      </c>
      <c r="C63" s="814">
        <v>42</v>
      </c>
      <c r="D63" s="867" t="s">
        <v>30</v>
      </c>
      <c r="E63" s="866">
        <f t="shared" si="0"/>
        <v>90</v>
      </c>
    </row>
    <row r="64" spans="1:5" ht="18.75" x14ac:dyDescent="0.25">
      <c r="A64" s="839">
        <v>56</v>
      </c>
      <c r="B64" s="897">
        <v>5191421056</v>
      </c>
      <c r="C64" s="814">
        <v>46</v>
      </c>
      <c r="D64" s="867" t="s">
        <v>82</v>
      </c>
      <c r="E64" s="866">
        <f t="shared" si="0"/>
        <v>100</v>
      </c>
    </row>
    <row r="65" spans="1:14" ht="18.75" x14ac:dyDescent="0.25">
      <c r="A65" s="839">
        <v>57</v>
      </c>
      <c r="B65" s="897">
        <v>5191421057</v>
      </c>
      <c r="C65" s="814">
        <v>44</v>
      </c>
      <c r="D65" s="868" t="s">
        <v>82</v>
      </c>
      <c r="E65" s="866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814">
        <v>26</v>
      </c>
      <c r="D66" s="869" t="s">
        <v>27</v>
      </c>
      <c r="E66" s="866">
        <f t="shared" si="0"/>
        <v>80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53</v>
      </c>
      <c r="D69" s="793"/>
      <c r="E69" s="793">
        <f>COUNTIF(E9:E66,"&gt;="&amp;B68)</f>
        <v>49</v>
      </c>
    </row>
    <row r="70" spans="1:14" x14ac:dyDescent="0.25">
      <c r="A70" s="3306" t="s">
        <v>36</v>
      </c>
      <c r="B70" s="3306"/>
      <c r="C70" s="36">
        <f>C69/C67</f>
        <v>0.91379310344827591</v>
      </c>
      <c r="D70" s="793"/>
      <c r="E70" s="36">
        <f>(E69/A66)*100</f>
        <v>84.482758620689651</v>
      </c>
    </row>
    <row r="73" spans="1:14" x14ac:dyDescent="0.25">
      <c r="D73" s="805" t="s">
        <v>38</v>
      </c>
      <c r="E73" s="805" t="s">
        <v>39</v>
      </c>
      <c r="F73" s="805"/>
      <c r="G73" s="805" t="s">
        <v>37</v>
      </c>
      <c r="H73" s="13"/>
    </row>
    <row r="74" spans="1:14" x14ac:dyDescent="0.25">
      <c r="B74" s="805" t="s">
        <v>22</v>
      </c>
      <c r="C74" s="36">
        <f>AVERAGE(C70)*100</f>
        <v>91.379310344827587</v>
      </c>
      <c r="D74" s="793">
        <f>IF(C74&gt;=70,3,IF(AND(C74&gt;=60,C74&lt;70),2,IF(AND(C74&gt;=50,C74&lt;60),1)))</f>
        <v>3</v>
      </c>
      <c r="E74" s="793">
        <f>IF(E70&gt;=70,3,IF(AND(E70&gt;=60,E70&lt;70),2,IF(AND(E70&gt;=50,E70&lt;60),1)))</f>
        <v>3</v>
      </c>
      <c r="F74" s="793"/>
      <c r="G74" s="793">
        <f>(50/100)*E74+(50/100)*D74</f>
        <v>3</v>
      </c>
      <c r="H74" s="329"/>
    </row>
    <row r="75" spans="1:14" x14ac:dyDescent="0.25">
      <c r="B75" s="805" t="s">
        <v>40</v>
      </c>
      <c r="C75" s="36">
        <f>AVERAGE(C70)*100</f>
        <v>91.379310344827587</v>
      </c>
      <c r="D75" s="793">
        <f t="shared" ref="D75:D77" si="1">IF(C75&gt;=70,3,IF(AND(C75&gt;=60,C75&lt;70),2,IF(AND(C75&gt;=50,C75&lt;60),1)))</f>
        <v>3</v>
      </c>
      <c r="E75" s="793">
        <f>IF(E70&gt;=70,3,IF(AND(E70&gt;=60,E70&lt;70),2,IF(AND(E70&gt;=50,E70&lt;60),1)))</f>
        <v>3</v>
      </c>
      <c r="F75" s="793"/>
      <c r="G75" s="793">
        <f t="shared" ref="G75:G77" si="2">(50/100)*E75+(50/100)*D75</f>
        <v>3</v>
      </c>
      <c r="H75" s="329"/>
    </row>
    <row r="76" spans="1:14" x14ac:dyDescent="0.25">
      <c r="B76" s="805" t="s">
        <v>41</v>
      </c>
      <c r="C76" s="36">
        <f>AVERAGE(C70)*100</f>
        <v>91.379310344827587</v>
      </c>
      <c r="D76" s="793">
        <f t="shared" si="1"/>
        <v>3</v>
      </c>
      <c r="E76" s="793">
        <f>IF(E70&gt;=70,3,IF(AND(E70&gt;=60,E70&lt;70),2,IF(AND(E70&gt;=50,E70&lt;60),1)))</f>
        <v>3</v>
      </c>
      <c r="F76" s="793"/>
      <c r="G76" s="793">
        <f t="shared" si="2"/>
        <v>3</v>
      </c>
      <c r="H76" s="329"/>
    </row>
    <row r="77" spans="1:14" x14ac:dyDescent="0.25">
      <c r="B77" s="805" t="s">
        <v>42</v>
      </c>
      <c r="C77" s="36">
        <f>AVERAGE(C70)*100</f>
        <v>91.379310344827587</v>
      </c>
      <c r="D77" s="793">
        <f t="shared" si="1"/>
        <v>3</v>
      </c>
      <c r="E77" s="793">
        <f>IF(E70&gt;=70,3,IF(AND(E70&gt;=60,E70&lt;70),2,IF(AND(E70&gt;=50,E70&lt;60),1)))</f>
        <v>3</v>
      </c>
      <c r="F77" s="793"/>
      <c r="G77" s="793">
        <f t="shared" si="2"/>
        <v>3</v>
      </c>
      <c r="H77" s="329"/>
    </row>
    <row r="78" spans="1:14" x14ac:dyDescent="0.25">
      <c r="B78" s="2872" t="s">
        <v>44</v>
      </c>
      <c r="C78" s="2872"/>
      <c r="D78" s="2872"/>
      <c r="E78" s="2872"/>
      <c r="F78" s="2872"/>
      <c r="G78" s="793">
        <f>AVERAGE(G74:G74)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859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x14ac:dyDescent="0.25">
      <c r="B84" s="20" t="s">
        <v>22</v>
      </c>
      <c r="C84" s="745">
        <v>3</v>
      </c>
      <c r="D84" s="745">
        <v>2</v>
      </c>
      <c r="E84" s="745">
        <v>3</v>
      </c>
      <c r="F84" s="745">
        <v>3</v>
      </c>
      <c r="G84" s="745">
        <v>3</v>
      </c>
      <c r="H84" s="745">
        <v>2</v>
      </c>
      <c r="I84" s="745">
        <v>3</v>
      </c>
      <c r="J84" s="745"/>
      <c r="K84" s="745"/>
      <c r="L84" s="745"/>
      <c r="M84" s="745"/>
      <c r="N84" s="745">
        <v>3</v>
      </c>
    </row>
    <row r="85" spans="1:14" x14ac:dyDescent="0.25">
      <c r="B85" s="20" t="s">
        <v>40</v>
      </c>
      <c r="C85" s="745">
        <v>3</v>
      </c>
      <c r="D85" s="745">
        <v>2</v>
      </c>
      <c r="E85" s="745">
        <v>3</v>
      </c>
      <c r="F85" s="745">
        <v>3</v>
      </c>
      <c r="G85" s="745">
        <v>3</v>
      </c>
      <c r="H85" s="745">
        <v>2</v>
      </c>
      <c r="I85" s="745">
        <v>3</v>
      </c>
      <c r="J85" s="745"/>
      <c r="K85" s="745"/>
      <c r="L85" s="745"/>
      <c r="M85" s="745"/>
      <c r="N85" s="745">
        <v>3</v>
      </c>
    </row>
    <row r="86" spans="1:14" x14ac:dyDescent="0.25">
      <c r="B86" s="20" t="s">
        <v>41</v>
      </c>
      <c r="C86" s="745">
        <v>3</v>
      </c>
      <c r="D86" s="745">
        <v>2</v>
      </c>
      <c r="E86" s="745">
        <v>3</v>
      </c>
      <c r="F86" s="745">
        <v>3</v>
      </c>
      <c r="G86" s="745">
        <v>3</v>
      </c>
      <c r="H86" s="745">
        <v>2</v>
      </c>
      <c r="I86" s="745">
        <v>3</v>
      </c>
      <c r="J86" s="745"/>
      <c r="K86" s="745"/>
      <c r="L86" s="745"/>
      <c r="M86" s="745"/>
      <c r="N86" s="745">
        <v>3</v>
      </c>
    </row>
    <row r="87" spans="1:14" x14ac:dyDescent="0.25">
      <c r="B87" s="20" t="s">
        <v>42</v>
      </c>
      <c r="C87" s="745">
        <v>3</v>
      </c>
      <c r="D87" s="745">
        <v>2</v>
      </c>
      <c r="E87" s="745">
        <v>3</v>
      </c>
      <c r="F87" s="745">
        <v>3</v>
      </c>
      <c r="G87" s="745">
        <v>3</v>
      </c>
      <c r="H87" s="745">
        <v>2</v>
      </c>
      <c r="I87" s="745">
        <v>2</v>
      </c>
      <c r="J87" s="745"/>
      <c r="K87" s="745"/>
      <c r="L87" s="745"/>
      <c r="M87" s="745"/>
      <c r="N87" s="745">
        <v>2</v>
      </c>
    </row>
    <row r="88" spans="1:14" x14ac:dyDescent="0.25">
      <c r="B88" s="859" t="s">
        <v>10</v>
      </c>
      <c r="C88" s="745">
        <f>AVERAGE(C84:C87)</f>
        <v>3</v>
      </c>
      <c r="D88" s="745">
        <f t="shared" ref="D88:N88" si="3">AVERAGE(D84:D87)</f>
        <v>2</v>
      </c>
      <c r="E88" s="745">
        <f t="shared" si="3"/>
        <v>3</v>
      </c>
      <c r="F88" s="745">
        <f t="shared" si="3"/>
        <v>3</v>
      </c>
      <c r="G88" s="745">
        <f>AVERAGE(G84:G87)</f>
        <v>3</v>
      </c>
      <c r="H88" s="745">
        <f t="shared" si="3"/>
        <v>2</v>
      </c>
      <c r="I88" s="745">
        <f t="shared" si="3"/>
        <v>2.75</v>
      </c>
      <c r="J88" s="745"/>
      <c r="K88" s="745"/>
      <c r="L88" s="745"/>
      <c r="M88" s="745"/>
      <c r="N88" s="745">
        <f t="shared" si="3"/>
        <v>2.75</v>
      </c>
    </row>
    <row r="89" spans="1:14" x14ac:dyDescent="0.25">
      <c r="B89" s="859" t="s">
        <v>58</v>
      </c>
      <c r="C89" s="3311">
        <f>AVERAGE(C88:N88)</f>
        <v>2.6875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859" t="s">
        <v>45</v>
      </c>
      <c r="C93" s="906" t="s">
        <v>68</v>
      </c>
      <c r="D93" s="906" t="s">
        <v>69</v>
      </c>
      <c r="E93" s="906" t="s">
        <v>70</v>
      </c>
      <c r="F93" s="906" t="s">
        <v>71</v>
      </c>
      <c r="G93" s="906" t="s">
        <v>72</v>
      </c>
      <c r="H93" s="906" t="s">
        <v>73</v>
      </c>
      <c r="I93" s="906" t="s">
        <v>74</v>
      </c>
      <c r="J93" s="906" t="s">
        <v>75</v>
      </c>
      <c r="K93" s="906" t="s">
        <v>76</v>
      </c>
      <c r="L93" s="906" t="s">
        <v>77</v>
      </c>
      <c r="M93" s="906" t="s">
        <v>78</v>
      </c>
      <c r="N93" s="906" t="s">
        <v>79</v>
      </c>
    </row>
    <row r="94" spans="1:14" x14ac:dyDescent="0.25">
      <c r="B94" s="763" t="s">
        <v>20</v>
      </c>
      <c r="C94" s="907">
        <f>G74*C84/3</f>
        <v>3</v>
      </c>
      <c r="D94" s="907">
        <f>G74*D84/3</f>
        <v>2</v>
      </c>
      <c r="E94" s="907">
        <f>G74*E84/3</f>
        <v>3</v>
      </c>
      <c r="F94" s="907">
        <f>G74*F84/3</f>
        <v>3</v>
      </c>
      <c r="G94" s="907">
        <f>G74*G84/3</f>
        <v>3</v>
      </c>
      <c r="H94" s="907">
        <f>G74*H84/3</f>
        <v>2</v>
      </c>
      <c r="I94" s="907">
        <f>G74*I84/3</f>
        <v>3</v>
      </c>
      <c r="J94" s="907"/>
      <c r="K94" s="907"/>
      <c r="L94" s="907"/>
      <c r="M94" s="907"/>
      <c r="N94" s="907">
        <f t="shared" ref="N94:N97" si="4">G74*N84/3</f>
        <v>3</v>
      </c>
    </row>
    <row r="95" spans="1:14" x14ac:dyDescent="0.25">
      <c r="B95" s="763" t="s">
        <v>21</v>
      </c>
      <c r="C95" s="907">
        <f t="shared" ref="C95:C97" si="5">G75*C85/3</f>
        <v>3</v>
      </c>
      <c r="D95" s="907">
        <f t="shared" ref="D95:D97" si="6">G75*D85/3</f>
        <v>2</v>
      </c>
      <c r="E95" s="907">
        <f t="shared" ref="E95:E97" si="7">G75*E85/3</f>
        <v>3</v>
      </c>
      <c r="F95" s="907">
        <f t="shared" ref="F95:F97" si="8">G75*F85/3</f>
        <v>3</v>
      </c>
      <c r="G95" s="907">
        <f t="shared" ref="G95:G97" si="9">G75*G85/3</f>
        <v>3</v>
      </c>
      <c r="H95" s="907">
        <f t="shared" ref="H95:H97" si="10">G75*H85/3</f>
        <v>2</v>
      </c>
      <c r="I95" s="907">
        <f>G75*I85/3</f>
        <v>3</v>
      </c>
      <c r="J95" s="907"/>
      <c r="K95" s="907"/>
      <c r="L95" s="907"/>
      <c r="M95" s="907"/>
      <c r="N95" s="907">
        <f t="shared" si="4"/>
        <v>3</v>
      </c>
    </row>
    <row r="96" spans="1:14" x14ac:dyDescent="0.25">
      <c r="B96" s="763" t="s">
        <v>23</v>
      </c>
      <c r="C96" s="907">
        <f t="shared" si="5"/>
        <v>3</v>
      </c>
      <c r="D96" s="907">
        <f t="shared" si="6"/>
        <v>2</v>
      </c>
      <c r="E96" s="907">
        <f t="shared" si="7"/>
        <v>3</v>
      </c>
      <c r="F96" s="907">
        <f t="shared" si="8"/>
        <v>3</v>
      </c>
      <c r="G96" s="907">
        <f t="shared" si="9"/>
        <v>3</v>
      </c>
      <c r="H96" s="907">
        <f t="shared" si="10"/>
        <v>2</v>
      </c>
      <c r="I96" s="907">
        <f t="shared" ref="I96:I97" si="11">G76*I86/3</f>
        <v>3</v>
      </c>
      <c r="J96" s="907"/>
      <c r="K96" s="907"/>
      <c r="L96" s="907"/>
      <c r="M96" s="907"/>
      <c r="N96" s="907">
        <f t="shared" si="4"/>
        <v>3</v>
      </c>
    </row>
    <row r="97" spans="1:14" x14ac:dyDescent="0.25">
      <c r="B97" s="763" t="s">
        <v>25</v>
      </c>
      <c r="C97" s="907">
        <f t="shared" si="5"/>
        <v>3</v>
      </c>
      <c r="D97" s="907">
        <f t="shared" si="6"/>
        <v>2</v>
      </c>
      <c r="E97" s="907">
        <f t="shared" si="7"/>
        <v>3</v>
      </c>
      <c r="F97" s="907">
        <f t="shared" si="8"/>
        <v>3</v>
      </c>
      <c r="G97" s="907">
        <f t="shared" si="9"/>
        <v>3</v>
      </c>
      <c r="H97" s="907">
        <f t="shared" si="10"/>
        <v>2</v>
      </c>
      <c r="I97" s="907">
        <f t="shared" si="11"/>
        <v>2</v>
      </c>
      <c r="J97" s="907"/>
      <c r="K97" s="907"/>
      <c r="L97" s="907"/>
      <c r="M97" s="907"/>
      <c r="N97" s="907">
        <f t="shared" si="4"/>
        <v>2</v>
      </c>
    </row>
    <row r="98" spans="1:14" x14ac:dyDescent="0.25">
      <c r="B98" s="859" t="s">
        <v>10</v>
      </c>
      <c r="C98" s="908">
        <f>AVERAGE(C94:C97)</f>
        <v>3</v>
      </c>
      <c r="D98" s="908">
        <f t="shared" ref="D98:N98" si="12">AVERAGE(D94:D97)</f>
        <v>2</v>
      </c>
      <c r="E98" s="908">
        <f t="shared" si="12"/>
        <v>3</v>
      </c>
      <c r="F98" s="908">
        <f t="shared" si="12"/>
        <v>3</v>
      </c>
      <c r="G98" s="908">
        <f t="shared" si="12"/>
        <v>3</v>
      </c>
      <c r="H98" s="908">
        <f t="shared" si="12"/>
        <v>2</v>
      </c>
      <c r="I98" s="908">
        <f t="shared" si="12"/>
        <v>2.75</v>
      </c>
      <c r="J98" s="908"/>
      <c r="K98" s="908"/>
      <c r="L98" s="908"/>
      <c r="M98" s="908"/>
      <c r="N98" s="908">
        <f t="shared" si="12"/>
        <v>2.75</v>
      </c>
    </row>
    <row r="99" spans="1:14" x14ac:dyDescent="0.25">
      <c r="B99" s="859" t="s">
        <v>58</v>
      </c>
      <c r="C99" s="3024">
        <f>AVERAGE(C98:N98)</f>
        <v>2.6875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859" t="s">
        <v>59</v>
      </c>
      <c r="C104" s="748" t="s">
        <v>87</v>
      </c>
      <c r="D104" s="748" t="s">
        <v>88</v>
      </c>
      <c r="E104" s="748" t="s">
        <v>85</v>
      </c>
      <c r="F104" s="756"/>
      <c r="G104" s="859" t="s">
        <v>59</v>
      </c>
      <c r="H104" s="906" t="s">
        <v>60</v>
      </c>
      <c r="I104" s="906" t="s">
        <v>61</v>
      </c>
      <c r="J104" s="906" t="s">
        <v>62</v>
      </c>
      <c r="L104" s="756"/>
      <c r="M104" s="756"/>
      <c r="N104" s="756"/>
    </row>
    <row r="105" spans="1:14" x14ac:dyDescent="0.25">
      <c r="B105" s="572" t="s">
        <v>22</v>
      </c>
      <c r="C105" s="856">
        <v>3</v>
      </c>
      <c r="D105" s="856">
        <v>3</v>
      </c>
      <c r="E105" s="856">
        <v>2</v>
      </c>
      <c r="F105" s="756"/>
      <c r="G105" s="860" t="s">
        <v>20</v>
      </c>
      <c r="H105" s="907">
        <f>G74*C105/3</f>
        <v>3</v>
      </c>
      <c r="I105" s="907">
        <f>G74*D105/3</f>
        <v>3</v>
      </c>
      <c r="J105" s="907">
        <f>G74*E105/3</f>
        <v>2</v>
      </c>
      <c r="L105" s="756"/>
      <c r="M105" s="756"/>
      <c r="N105" s="756"/>
    </row>
    <row r="106" spans="1:14" x14ac:dyDescent="0.25">
      <c r="B106" s="572" t="s">
        <v>40</v>
      </c>
      <c r="C106" s="856">
        <v>3</v>
      </c>
      <c r="D106" s="856">
        <v>3</v>
      </c>
      <c r="E106" s="856">
        <v>2</v>
      </c>
      <c r="F106" s="24"/>
      <c r="G106" s="860" t="s">
        <v>21</v>
      </c>
      <c r="H106" s="907">
        <f t="shared" ref="H106:H108" si="13">G75*C106/3</f>
        <v>3</v>
      </c>
      <c r="I106" s="907">
        <f t="shared" ref="I106:I108" si="14">G75*D106/3</f>
        <v>3</v>
      </c>
      <c r="J106" s="907">
        <f>G75*E106/3</f>
        <v>2</v>
      </c>
      <c r="L106" s="24"/>
      <c r="M106" s="24"/>
      <c r="N106" s="24"/>
    </row>
    <row r="107" spans="1:14" x14ac:dyDescent="0.25">
      <c r="B107" s="572" t="s">
        <v>41</v>
      </c>
      <c r="C107" s="856">
        <v>3</v>
      </c>
      <c r="D107" s="856">
        <v>3</v>
      </c>
      <c r="E107" s="856">
        <v>2</v>
      </c>
      <c r="F107" s="24"/>
      <c r="G107" s="860" t="s">
        <v>23</v>
      </c>
      <c r="H107" s="907">
        <f t="shared" si="13"/>
        <v>3</v>
      </c>
      <c r="I107" s="907">
        <f t="shared" si="14"/>
        <v>3</v>
      </c>
      <c r="J107" s="907">
        <f t="shared" ref="J107:J108" si="15">G76*E107/3</f>
        <v>2</v>
      </c>
      <c r="L107" s="24"/>
      <c r="M107" s="24"/>
      <c r="N107" s="24"/>
    </row>
    <row r="108" spans="1:14" x14ac:dyDescent="0.25">
      <c r="B108" s="572" t="s">
        <v>42</v>
      </c>
      <c r="C108" s="749">
        <v>3</v>
      </c>
      <c r="D108" s="856">
        <v>3</v>
      </c>
      <c r="E108" s="856">
        <v>2</v>
      </c>
      <c r="F108" s="24"/>
      <c r="G108" s="860" t="s">
        <v>25</v>
      </c>
      <c r="H108" s="907">
        <f t="shared" si="13"/>
        <v>3</v>
      </c>
      <c r="I108" s="907">
        <f t="shared" si="14"/>
        <v>3</v>
      </c>
      <c r="J108" s="907">
        <f t="shared" si="15"/>
        <v>2</v>
      </c>
      <c r="L108" s="24"/>
      <c r="M108" s="24"/>
      <c r="N108" s="24"/>
    </row>
    <row r="109" spans="1:14" x14ac:dyDescent="0.25">
      <c r="B109" s="859" t="s">
        <v>10</v>
      </c>
      <c r="C109" s="909">
        <f>AVERAGE(C105:C108)</f>
        <v>3</v>
      </c>
      <c r="D109" s="909">
        <f t="shared" ref="D109:E109" si="16">AVERAGE(D105:D108)</f>
        <v>3</v>
      </c>
      <c r="E109" s="909">
        <f t="shared" si="16"/>
        <v>2</v>
      </c>
      <c r="F109" s="910"/>
      <c r="G109" s="859" t="s">
        <v>10</v>
      </c>
      <c r="H109" s="911">
        <f>AVERAGE(H105:H108)</f>
        <v>3</v>
      </c>
      <c r="I109" s="911">
        <f t="shared" ref="I109:J109" si="17">AVERAGE(I105:I108)</f>
        <v>3</v>
      </c>
      <c r="J109" s="911">
        <f t="shared" si="17"/>
        <v>2</v>
      </c>
      <c r="L109" s="910"/>
      <c r="M109" s="910"/>
      <c r="N109" s="910"/>
    </row>
    <row r="110" spans="1:14" x14ac:dyDescent="0.25">
      <c r="B110" s="859" t="s">
        <v>58</v>
      </c>
      <c r="C110" s="3307">
        <f>AVERAGE(C109:E109)</f>
        <v>2.6666666666666665</v>
      </c>
      <c r="D110" s="3308"/>
      <c r="E110" s="3309"/>
      <c r="F110" s="912"/>
      <c r="G110" s="859" t="s">
        <v>58</v>
      </c>
      <c r="H110" s="3024">
        <f>AVERAGE(H109:J109)</f>
        <v>2.6666666666666665</v>
      </c>
      <c r="I110" s="3310"/>
      <c r="J110" s="3026"/>
      <c r="L110" s="912"/>
      <c r="M110" s="912"/>
      <c r="N110" s="912"/>
    </row>
  </sheetData>
  <mergeCells count="20">
    <mergeCell ref="C110:E110"/>
    <mergeCell ref="H110:J110"/>
    <mergeCell ref="C89:N89"/>
    <mergeCell ref="A91:B91"/>
    <mergeCell ref="C99:N99"/>
    <mergeCell ref="A102:B102"/>
    <mergeCell ref="G102:H102"/>
    <mergeCell ref="G103:H103"/>
    <mergeCell ref="D5:D7"/>
    <mergeCell ref="E5:E7"/>
    <mergeCell ref="A69:B69"/>
    <mergeCell ref="A70:B70"/>
    <mergeCell ref="B78:F78"/>
    <mergeCell ref="C5:C7"/>
    <mergeCell ref="A81:B81"/>
    <mergeCell ref="A2:B2"/>
    <mergeCell ref="A3:B3"/>
    <mergeCell ref="A4:B4"/>
    <mergeCell ref="A5:A7"/>
    <mergeCell ref="B5:B7"/>
  </mergeCells>
  <conditionalFormatting sqref="D49:D52 D9:D44">
    <cfRule type="containsText" dxfId="98" priority="4" operator="containsText" text="F">
      <formula>NOT(ISERROR(SEARCH("F",D9)))</formula>
    </cfRule>
  </conditionalFormatting>
  <conditionalFormatting sqref="D47">
    <cfRule type="containsText" dxfId="97" priority="1" operator="containsText" text="F">
      <formula>NOT(ISERROR(SEARCH("F",D47)))</formula>
    </cfRule>
  </conditionalFormatting>
  <conditionalFormatting sqref="D46 D55:D66">
    <cfRule type="containsText" dxfId="96" priority="3" operator="containsText" text="F">
      <formula>NOT(ISERROR(SEARCH("F",D46)))</formula>
    </cfRule>
  </conditionalFormatting>
  <conditionalFormatting sqref="D45 D48 D53:D54">
    <cfRule type="containsText" dxfId="95" priority="2" operator="containsText" text="F">
      <formula>NOT(ISERROR(SEARCH("F",D45)))</formula>
    </cfRule>
  </conditionalFormatting>
  <pageMargins left="0.7" right="0.7" top="0.75" bottom="0.75" header="0.3" footer="0.3"/>
  <pageSetup paperSize="8" scale="5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97" zoomScale="90" zoomScaleNormal="90" workbookViewId="0">
      <selection activeCell="G120" sqref="G120"/>
    </sheetView>
  </sheetViews>
  <sheetFormatPr defaultColWidth="11.7109375" defaultRowHeight="15.75" x14ac:dyDescent="0.25"/>
  <cols>
    <col min="1" max="1" width="11.7109375" style="792"/>
    <col min="2" max="2" width="24.28515625" style="792" bestFit="1" customWidth="1"/>
    <col min="3" max="16384" width="11.710937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344</v>
      </c>
      <c r="D2" s="802" t="s">
        <v>63</v>
      </c>
      <c r="E2" s="765" t="s">
        <v>230</v>
      </c>
      <c r="F2" s="735"/>
      <c r="G2" s="735"/>
      <c r="H2" s="735"/>
    </row>
    <row r="3" spans="1:8" ht="30" x14ac:dyDescent="0.25">
      <c r="A3" s="3301" t="s">
        <v>1</v>
      </c>
      <c r="B3" s="3301"/>
      <c r="C3" s="894" t="s">
        <v>345</v>
      </c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346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814">
        <v>40</v>
      </c>
      <c r="D9" s="867" t="s">
        <v>32</v>
      </c>
      <c r="E9" s="866">
        <f>IF(D9="O",100,IF(D9="A+",90,IF(D9="A",80,IF(D9="B+",70,IF(D9="B",60,IF(D9="C",55,IF(D9="P",50,IF(D9="F",39))))))))</f>
        <v>70</v>
      </c>
    </row>
    <row r="10" spans="1:8" ht="18.75" x14ac:dyDescent="0.25">
      <c r="A10" s="839">
        <v>2</v>
      </c>
      <c r="B10" s="898">
        <v>5191421002</v>
      </c>
      <c r="C10" s="814">
        <v>47</v>
      </c>
      <c r="D10" s="867" t="s">
        <v>30</v>
      </c>
      <c r="E10" s="866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814">
        <v>48</v>
      </c>
      <c r="D11" s="867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814">
        <v>32</v>
      </c>
      <c r="D12" s="867" t="s">
        <v>33</v>
      </c>
      <c r="E12" s="866">
        <f t="shared" si="0"/>
        <v>60</v>
      </c>
    </row>
    <row r="13" spans="1:8" ht="18.75" x14ac:dyDescent="0.25">
      <c r="A13" s="839">
        <v>5</v>
      </c>
      <c r="B13" s="899">
        <v>5191421005</v>
      </c>
      <c r="C13" s="814">
        <v>36</v>
      </c>
      <c r="D13" s="867" t="s">
        <v>33</v>
      </c>
      <c r="E13" s="866">
        <f t="shared" si="0"/>
        <v>60</v>
      </c>
    </row>
    <row r="14" spans="1:8" ht="18.75" x14ac:dyDescent="0.25">
      <c r="A14" s="839">
        <v>6</v>
      </c>
      <c r="B14" s="897">
        <v>5191421006</v>
      </c>
      <c r="C14" s="814">
        <v>45</v>
      </c>
      <c r="D14" s="867" t="s">
        <v>30</v>
      </c>
      <c r="E14" s="866">
        <f t="shared" si="0"/>
        <v>90</v>
      </c>
    </row>
    <row r="15" spans="1:8" ht="18.75" x14ac:dyDescent="0.25">
      <c r="A15" s="839">
        <v>7</v>
      </c>
      <c r="B15" s="897">
        <v>5191421007</v>
      </c>
      <c r="C15" s="814">
        <v>25</v>
      </c>
      <c r="D15" s="867" t="s">
        <v>31</v>
      </c>
      <c r="E15" s="866">
        <f t="shared" si="0"/>
        <v>55</v>
      </c>
    </row>
    <row r="16" spans="1:8" ht="18.75" x14ac:dyDescent="0.25">
      <c r="A16" s="839">
        <v>8</v>
      </c>
      <c r="B16" s="897">
        <v>5191421008</v>
      </c>
      <c r="C16" s="814">
        <v>47</v>
      </c>
      <c r="D16" s="867" t="s">
        <v>31</v>
      </c>
      <c r="E16" s="866">
        <f t="shared" si="0"/>
        <v>55</v>
      </c>
    </row>
    <row r="17" spans="1:5" ht="18.75" x14ac:dyDescent="0.25">
      <c r="A17" s="839">
        <v>9</v>
      </c>
      <c r="B17" s="897">
        <v>5191421009</v>
      </c>
      <c r="C17" s="814">
        <v>46</v>
      </c>
      <c r="D17" s="867" t="s">
        <v>30</v>
      </c>
      <c r="E17" s="866">
        <f t="shared" si="0"/>
        <v>90</v>
      </c>
    </row>
    <row r="18" spans="1:5" ht="18.75" x14ac:dyDescent="0.25">
      <c r="A18" s="839">
        <v>10</v>
      </c>
      <c r="B18" s="897">
        <v>5191421010</v>
      </c>
      <c r="C18" s="814">
        <v>46</v>
      </c>
      <c r="D18" s="867" t="s">
        <v>82</v>
      </c>
      <c r="E18" s="866">
        <f t="shared" si="0"/>
        <v>100</v>
      </c>
    </row>
    <row r="19" spans="1:5" ht="18.75" x14ac:dyDescent="0.25">
      <c r="A19" s="839">
        <v>11</v>
      </c>
      <c r="B19" s="897">
        <v>5191421011</v>
      </c>
      <c r="C19" s="814">
        <v>46</v>
      </c>
      <c r="D19" s="867" t="s">
        <v>82</v>
      </c>
      <c r="E19" s="866">
        <f t="shared" si="0"/>
        <v>100</v>
      </c>
    </row>
    <row r="20" spans="1:5" ht="18.75" x14ac:dyDescent="0.25">
      <c r="A20" s="839">
        <v>12</v>
      </c>
      <c r="B20" s="897">
        <v>5191421012</v>
      </c>
      <c r="C20" s="814">
        <v>36</v>
      </c>
      <c r="D20" s="867" t="s">
        <v>27</v>
      </c>
      <c r="E20" s="866">
        <f t="shared" si="0"/>
        <v>80</v>
      </c>
    </row>
    <row r="21" spans="1:5" ht="18.75" x14ac:dyDescent="0.25">
      <c r="A21" s="839">
        <v>13</v>
      </c>
      <c r="B21" s="897">
        <v>5191421013</v>
      </c>
      <c r="C21" s="814">
        <v>45</v>
      </c>
      <c r="D21" s="867" t="s">
        <v>30</v>
      </c>
      <c r="E21" s="866">
        <f t="shared" si="0"/>
        <v>90</v>
      </c>
    </row>
    <row r="22" spans="1:5" ht="18.75" x14ac:dyDescent="0.25">
      <c r="A22" s="839">
        <v>14</v>
      </c>
      <c r="B22" s="897">
        <v>5191421014</v>
      </c>
      <c r="C22" s="814">
        <v>39</v>
      </c>
      <c r="D22" s="867" t="s">
        <v>27</v>
      </c>
      <c r="E22" s="866">
        <f t="shared" si="0"/>
        <v>80</v>
      </c>
    </row>
    <row r="23" spans="1:5" ht="18.75" x14ac:dyDescent="0.25">
      <c r="A23" s="839">
        <v>15</v>
      </c>
      <c r="B23" s="897">
        <v>5191421015</v>
      </c>
      <c r="C23" s="814">
        <v>45</v>
      </c>
      <c r="D23" s="867" t="s">
        <v>32</v>
      </c>
      <c r="E23" s="866">
        <f t="shared" si="0"/>
        <v>70</v>
      </c>
    </row>
    <row r="24" spans="1:5" ht="18.75" x14ac:dyDescent="0.25">
      <c r="A24" s="839">
        <v>16</v>
      </c>
      <c r="B24" s="897">
        <v>5191421016</v>
      </c>
      <c r="C24" s="814">
        <v>36</v>
      </c>
      <c r="D24" s="867" t="s">
        <v>33</v>
      </c>
      <c r="E24" s="866">
        <f t="shared" si="0"/>
        <v>60</v>
      </c>
    </row>
    <row r="25" spans="1:5" ht="18.75" x14ac:dyDescent="0.25">
      <c r="A25" s="839">
        <v>17</v>
      </c>
      <c r="B25" s="897">
        <v>5191421017</v>
      </c>
      <c r="C25" s="814">
        <v>42</v>
      </c>
      <c r="D25" s="867" t="s">
        <v>27</v>
      </c>
      <c r="E25" s="866">
        <f t="shared" si="0"/>
        <v>80</v>
      </c>
    </row>
    <row r="26" spans="1:5" ht="18.75" x14ac:dyDescent="0.25">
      <c r="A26" s="839">
        <v>18</v>
      </c>
      <c r="B26" s="897">
        <v>5191421018</v>
      </c>
      <c r="C26" s="814">
        <v>34</v>
      </c>
      <c r="D26" s="867" t="s">
        <v>31</v>
      </c>
      <c r="E26" s="866">
        <f t="shared" si="0"/>
        <v>55</v>
      </c>
    </row>
    <row r="27" spans="1:5" ht="18.75" x14ac:dyDescent="0.25">
      <c r="A27" s="839">
        <v>19</v>
      </c>
      <c r="B27" s="897">
        <v>5191421019</v>
      </c>
      <c r="C27" s="814">
        <v>37</v>
      </c>
      <c r="D27" s="867" t="s">
        <v>30</v>
      </c>
      <c r="E27" s="866">
        <f t="shared" si="0"/>
        <v>90</v>
      </c>
    </row>
    <row r="28" spans="1:5" ht="18.75" x14ac:dyDescent="0.25">
      <c r="A28" s="839">
        <v>20</v>
      </c>
      <c r="B28" s="897">
        <v>5191421020</v>
      </c>
      <c r="C28" s="814">
        <v>42</v>
      </c>
      <c r="D28" s="867" t="s">
        <v>30</v>
      </c>
      <c r="E28" s="866">
        <f t="shared" si="0"/>
        <v>90</v>
      </c>
    </row>
    <row r="29" spans="1:5" ht="18.75" x14ac:dyDescent="0.25">
      <c r="A29" s="839">
        <v>21</v>
      </c>
      <c r="B29" s="897">
        <v>5191421021</v>
      </c>
      <c r="C29" s="814">
        <v>44</v>
      </c>
      <c r="D29" s="867" t="s">
        <v>30</v>
      </c>
      <c r="E29" s="866">
        <f t="shared" si="0"/>
        <v>90</v>
      </c>
    </row>
    <row r="30" spans="1:5" ht="18.75" x14ac:dyDescent="0.25">
      <c r="A30" s="839">
        <v>22</v>
      </c>
      <c r="B30" s="897">
        <v>5191421022</v>
      </c>
      <c r="C30" s="814">
        <v>38</v>
      </c>
      <c r="D30" s="867" t="s">
        <v>27</v>
      </c>
      <c r="E30" s="866">
        <f t="shared" si="0"/>
        <v>80</v>
      </c>
    </row>
    <row r="31" spans="1:5" ht="18.75" x14ac:dyDescent="0.25">
      <c r="A31" s="839">
        <v>23</v>
      </c>
      <c r="B31" s="897">
        <v>5191421023</v>
      </c>
      <c r="C31" s="814">
        <v>40</v>
      </c>
      <c r="D31" s="867" t="s">
        <v>27</v>
      </c>
      <c r="E31" s="866">
        <f t="shared" si="0"/>
        <v>80</v>
      </c>
    </row>
    <row r="32" spans="1:5" ht="18.75" x14ac:dyDescent="0.25">
      <c r="A32" s="839">
        <v>24</v>
      </c>
      <c r="B32" s="897">
        <v>5191421024</v>
      </c>
      <c r="C32" s="814">
        <v>35</v>
      </c>
      <c r="D32" s="867" t="s">
        <v>32</v>
      </c>
      <c r="E32" s="866">
        <f t="shared" si="0"/>
        <v>70</v>
      </c>
    </row>
    <row r="33" spans="1:5" ht="18.75" x14ac:dyDescent="0.25">
      <c r="A33" s="839">
        <v>25</v>
      </c>
      <c r="B33" s="897">
        <v>5191421025</v>
      </c>
      <c r="C33" s="814">
        <v>48</v>
      </c>
      <c r="D33" s="867" t="s">
        <v>30</v>
      </c>
      <c r="E33" s="866">
        <f t="shared" si="0"/>
        <v>90</v>
      </c>
    </row>
    <row r="34" spans="1:5" ht="18.75" x14ac:dyDescent="0.25">
      <c r="A34" s="839">
        <v>26</v>
      </c>
      <c r="B34" s="897">
        <v>5191421026</v>
      </c>
      <c r="C34" s="814">
        <v>41</v>
      </c>
      <c r="D34" s="867" t="s">
        <v>30</v>
      </c>
      <c r="E34" s="866">
        <f t="shared" si="0"/>
        <v>90</v>
      </c>
    </row>
    <row r="35" spans="1:5" ht="18.75" x14ac:dyDescent="0.25">
      <c r="A35" s="839">
        <v>27</v>
      </c>
      <c r="B35" s="897">
        <v>5191421027</v>
      </c>
      <c r="C35" s="814">
        <v>39</v>
      </c>
      <c r="D35" s="867" t="s">
        <v>30</v>
      </c>
      <c r="E35" s="866">
        <f t="shared" si="0"/>
        <v>90</v>
      </c>
    </row>
    <row r="36" spans="1:5" ht="18.75" x14ac:dyDescent="0.25">
      <c r="A36" s="839">
        <v>28</v>
      </c>
      <c r="B36" s="897">
        <v>5191421028</v>
      </c>
      <c r="C36" s="814">
        <v>47</v>
      </c>
      <c r="D36" s="870" t="s">
        <v>30</v>
      </c>
      <c r="E36" s="866">
        <f t="shared" si="0"/>
        <v>90</v>
      </c>
    </row>
    <row r="37" spans="1:5" ht="18.75" x14ac:dyDescent="0.25">
      <c r="A37" s="839">
        <v>29</v>
      </c>
      <c r="B37" s="897">
        <v>5191421029</v>
      </c>
      <c r="C37" s="814">
        <v>36</v>
      </c>
      <c r="D37" s="867" t="s">
        <v>27</v>
      </c>
      <c r="E37" s="866">
        <f t="shared" si="0"/>
        <v>80</v>
      </c>
    </row>
    <row r="38" spans="1:5" ht="18.75" x14ac:dyDescent="0.25">
      <c r="A38" s="839">
        <v>30</v>
      </c>
      <c r="B38" s="897">
        <v>5191421030</v>
      </c>
      <c r="C38" s="814">
        <v>33</v>
      </c>
      <c r="D38" s="867" t="s">
        <v>32</v>
      </c>
      <c r="E38" s="866">
        <f t="shared" si="0"/>
        <v>70</v>
      </c>
    </row>
    <row r="39" spans="1:5" ht="18.75" x14ac:dyDescent="0.25">
      <c r="A39" s="839">
        <v>31</v>
      </c>
      <c r="B39" s="897">
        <v>5191421031</v>
      </c>
      <c r="C39" s="814">
        <v>46</v>
      </c>
      <c r="D39" s="867" t="s">
        <v>27</v>
      </c>
      <c r="E39" s="866">
        <f t="shared" si="0"/>
        <v>80</v>
      </c>
    </row>
    <row r="40" spans="1:5" ht="18.75" x14ac:dyDescent="0.25">
      <c r="A40" s="839">
        <v>32</v>
      </c>
      <c r="B40" s="897">
        <v>5191421032</v>
      </c>
      <c r="C40" s="814">
        <v>35</v>
      </c>
      <c r="D40" s="867" t="s">
        <v>32</v>
      </c>
      <c r="E40" s="866">
        <f t="shared" si="0"/>
        <v>70</v>
      </c>
    </row>
    <row r="41" spans="1:5" ht="18.75" x14ac:dyDescent="0.25">
      <c r="A41" s="839">
        <v>33</v>
      </c>
      <c r="B41" s="897">
        <v>5191421033</v>
      </c>
      <c r="C41" s="814">
        <v>45</v>
      </c>
      <c r="D41" s="867" t="s">
        <v>30</v>
      </c>
      <c r="E41" s="866">
        <f t="shared" si="0"/>
        <v>90</v>
      </c>
    </row>
    <row r="42" spans="1:5" ht="18.75" x14ac:dyDescent="0.25">
      <c r="A42" s="839">
        <v>34</v>
      </c>
      <c r="B42" s="897">
        <v>5191421034</v>
      </c>
      <c r="C42" s="814">
        <v>46</v>
      </c>
      <c r="D42" s="867" t="s">
        <v>82</v>
      </c>
      <c r="E42" s="866">
        <f t="shared" si="0"/>
        <v>100</v>
      </c>
    </row>
    <row r="43" spans="1:5" ht="18.75" x14ac:dyDescent="0.25">
      <c r="A43" s="839">
        <v>35</v>
      </c>
      <c r="B43" s="897">
        <v>5191421035</v>
      </c>
      <c r="C43" s="814">
        <v>36</v>
      </c>
      <c r="D43" s="867" t="s">
        <v>27</v>
      </c>
      <c r="E43" s="866">
        <f t="shared" si="0"/>
        <v>80</v>
      </c>
    </row>
    <row r="44" spans="1:5" ht="18.75" x14ac:dyDescent="0.25">
      <c r="A44" s="839">
        <v>36</v>
      </c>
      <c r="B44" s="897">
        <v>5191421036</v>
      </c>
      <c r="C44" s="814">
        <v>48</v>
      </c>
      <c r="D44" s="867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814">
        <v>33</v>
      </c>
      <c r="D45" s="867" t="s">
        <v>27</v>
      </c>
      <c r="E45" s="866">
        <f t="shared" si="0"/>
        <v>80</v>
      </c>
    </row>
    <row r="46" spans="1:5" ht="18.75" x14ac:dyDescent="0.25">
      <c r="A46" s="839">
        <v>38</v>
      </c>
      <c r="B46" s="897">
        <v>5191421038</v>
      </c>
      <c r="C46" s="814">
        <v>33</v>
      </c>
      <c r="D46" s="867" t="s">
        <v>27</v>
      </c>
      <c r="E46" s="866">
        <f t="shared" si="0"/>
        <v>80</v>
      </c>
    </row>
    <row r="47" spans="1:5" ht="18.75" x14ac:dyDescent="0.25">
      <c r="A47" s="839">
        <v>39</v>
      </c>
      <c r="B47" s="897">
        <v>5191421039</v>
      </c>
      <c r="C47" s="814">
        <v>44</v>
      </c>
      <c r="D47" s="867" t="s">
        <v>27</v>
      </c>
      <c r="E47" s="866">
        <f t="shared" si="0"/>
        <v>80</v>
      </c>
    </row>
    <row r="48" spans="1:5" ht="18.75" x14ac:dyDescent="0.25">
      <c r="A48" s="839">
        <v>40</v>
      </c>
      <c r="B48" s="897">
        <v>5191421040</v>
      </c>
      <c r="C48" s="814">
        <v>45</v>
      </c>
      <c r="D48" s="867" t="s">
        <v>27</v>
      </c>
      <c r="E48" s="866">
        <f t="shared" si="0"/>
        <v>80</v>
      </c>
    </row>
    <row r="49" spans="1:5" ht="18.75" x14ac:dyDescent="0.25">
      <c r="A49" s="839">
        <v>41</v>
      </c>
      <c r="B49" s="897">
        <v>5191421041</v>
      </c>
      <c r="C49" s="814">
        <v>43</v>
      </c>
      <c r="D49" s="867" t="s">
        <v>32</v>
      </c>
      <c r="E49" s="866">
        <f t="shared" si="0"/>
        <v>70</v>
      </c>
    </row>
    <row r="50" spans="1:5" ht="18.75" x14ac:dyDescent="0.25">
      <c r="A50" s="839">
        <v>42</v>
      </c>
      <c r="B50" s="897">
        <v>5191421042</v>
      </c>
      <c r="C50" s="814">
        <v>30</v>
      </c>
      <c r="D50" s="867" t="s">
        <v>32</v>
      </c>
      <c r="E50" s="866">
        <f t="shared" si="0"/>
        <v>70</v>
      </c>
    </row>
    <row r="51" spans="1:5" ht="18.75" x14ac:dyDescent="0.25">
      <c r="A51" s="839">
        <v>43</v>
      </c>
      <c r="B51" s="897">
        <v>5191421043</v>
      </c>
      <c r="C51" s="814">
        <v>46</v>
      </c>
      <c r="D51" s="867" t="s">
        <v>30</v>
      </c>
      <c r="E51" s="866">
        <f t="shared" si="0"/>
        <v>90</v>
      </c>
    </row>
    <row r="52" spans="1:5" ht="18.75" x14ac:dyDescent="0.25">
      <c r="A52" s="839">
        <v>44</v>
      </c>
      <c r="B52" s="897">
        <v>5191421044</v>
      </c>
      <c r="C52" s="814">
        <v>47</v>
      </c>
      <c r="D52" s="867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814">
        <v>37</v>
      </c>
      <c r="D53" s="867" t="s">
        <v>32</v>
      </c>
      <c r="E53" s="866">
        <f t="shared" si="0"/>
        <v>70</v>
      </c>
    </row>
    <row r="54" spans="1:5" ht="18.75" x14ac:dyDescent="0.25">
      <c r="A54" s="839">
        <v>46</v>
      </c>
      <c r="B54" s="897">
        <v>5191421046</v>
      </c>
      <c r="C54" s="814">
        <v>41</v>
      </c>
      <c r="D54" s="867" t="s">
        <v>27</v>
      </c>
      <c r="E54" s="866">
        <f t="shared" si="0"/>
        <v>80</v>
      </c>
    </row>
    <row r="55" spans="1:5" ht="18.75" x14ac:dyDescent="0.25">
      <c r="A55" s="839">
        <v>47</v>
      </c>
      <c r="B55" s="897">
        <v>5191421047</v>
      </c>
      <c r="C55" s="814">
        <v>35</v>
      </c>
      <c r="D55" s="867" t="s">
        <v>27</v>
      </c>
      <c r="E55" s="866">
        <f t="shared" si="0"/>
        <v>80</v>
      </c>
    </row>
    <row r="56" spans="1:5" ht="18.75" x14ac:dyDescent="0.25">
      <c r="A56" s="839">
        <v>48</v>
      </c>
      <c r="B56" s="897">
        <v>5191421048</v>
      </c>
      <c r="C56" s="814">
        <v>42</v>
      </c>
      <c r="D56" s="867" t="s">
        <v>27</v>
      </c>
      <c r="E56" s="866">
        <f t="shared" si="0"/>
        <v>80</v>
      </c>
    </row>
    <row r="57" spans="1:5" ht="18.75" x14ac:dyDescent="0.25">
      <c r="A57" s="839">
        <v>49</v>
      </c>
      <c r="B57" s="897">
        <v>5191421049</v>
      </c>
      <c r="C57" s="814">
        <v>28</v>
      </c>
      <c r="D57" s="867" t="s">
        <v>32</v>
      </c>
      <c r="E57" s="866">
        <f t="shared" si="0"/>
        <v>70</v>
      </c>
    </row>
    <row r="58" spans="1:5" ht="18.75" x14ac:dyDescent="0.25">
      <c r="A58" s="839">
        <v>50</v>
      </c>
      <c r="B58" s="897">
        <v>5191421050</v>
      </c>
      <c r="C58" s="814">
        <v>38</v>
      </c>
      <c r="D58" s="867" t="s">
        <v>27</v>
      </c>
      <c r="E58" s="866">
        <f t="shared" si="0"/>
        <v>80</v>
      </c>
    </row>
    <row r="59" spans="1:5" ht="18.75" x14ac:dyDescent="0.25">
      <c r="A59" s="839">
        <v>51</v>
      </c>
      <c r="B59" s="897">
        <v>5191421051</v>
      </c>
      <c r="C59" s="814">
        <v>44</v>
      </c>
      <c r="D59" s="867" t="s">
        <v>30</v>
      </c>
      <c r="E59" s="866">
        <f t="shared" si="0"/>
        <v>90</v>
      </c>
    </row>
    <row r="60" spans="1:5" ht="18.75" x14ac:dyDescent="0.25">
      <c r="A60" s="839">
        <v>52</v>
      </c>
      <c r="B60" s="897">
        <v>5191421052</v>
      </c>
      <c r="C60" s="814">
        <v>47</v>
      </c>
      <c r="D60" s="867" t="s">
        <v>30</v>
      </c>
      <c r="E60" s="866">
        <f t="shared" si="0"/>
        <v>90</v>
      </c>
    </row>
    <row r="61" spans="1:5" ht="18.75" x14ac:dyDescent="0.25">
      <c r="A61" s="839">
        <v>53</v>
      </c>
      <c r="B61" s="897">
        <v>5191421053</v>
      </c>
      <c r="C61" s="814">
        <v>48</v>
      </c>
      <c r="D61" s="867" t="s">
        <v>82</v>
      </c>
      <c r="E61" s="866">
        <f t="shared" si="0"/>
        <v>100</v>
      </c>
    </row>
    <row r="62" spans="1:5" ht="18.75" x14ac:dyDescent="0.25">
      <c r="A62" s="839">
        <v>54</v>
      </c>
      <c r="B62" s="897">
        <v>5191421054</v>
      </c>
      <c r="C62" s="814">
        <v>46</v>
      </c>
      <c r="D62" s="867" t="s">
        <v>27</v>
      </c>
      <c r="E62" s="866">
        <f t="shared" si="0"/>
        <v>80</v>
      </c>
    </row>
    <row r="63" spans="1:5" ht="18.75" x14ac:dyDescent="0.25">
      <c r="A63" s="839">
        <v>55</v>
      </c>
      <c r="B63" s="897">
        <v>5191421055</v>
      </c>
      <c r="C63" s="814">
        <v>42</v>
      </c>
      <c r="D63" s="867" t="s">
        <v>30</v>
      </c>
      <c r="E63" s="866">
        <f t="shared" si="0"/>
        <v>90</v>
      </c>
    </row>
    <row r="64" spans="1:5" ht="18.75" x14ac:dyDescent="0.25">
      <c r="A64" s="839">
        <v>56</v>
      </c>
      <c r="B64" s="897">
        <v>5191421056</v>
      </c>
      <c r="C64" s="814">
        <v>46</v>
      </c>
      <c r="D64" s="867" t="s">
        <v>30</v>
      </c>
      <c r="E64" s="866">
        <f t="shared" si="0"/>
        <v>90</v>
      </c>
    </row>
    <row r="65" spans="1:14" ht="18.75" x14ac:dyDescent="0.25">
      <c r="A65" s="839">
        <v>57</v>
      </c>
      <c r="B65" s="897">
        <v>5191421057</v>
      </c>
      <c r="C65" s="814">
        <v>44</v>
      </c>
      <c r="D65" s="868" t="s">
        <v>82</v>
      </c>
      <c r="E65" s="866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814">
        <v>26</v>
      </c>
      <c r="D66" s="869" t="s">
        <v>30</v>
      </c>
      <c r="E66" s="866">
        <f t="shared" si="0"/>
        <v>90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53</v>
      </c>
      <c r="D69" s="793"/>
      <c r="E69" s="793">
        <f>COUNTIF(E9:E66,"&gt;="&amp;B68)</f>
        <v>52</v>
      </c>
    </row>
    <row r="70" spans="1:14" x14ac:dyDescent="0.25">
      <c r="A70" s="3306" t="s">
        <v>36</v>
      </c>
      <c r="B70" s="3306"/>
      <c r="C70" s="36">
        <f>C69/C67</f>
        <v>0.91379310344827591</v>
      </c>
      <c r="D70" s="793"/>
      <c r="E70" s="36">
        <f>(E69/A66)*100</f>
        <v>89.65517241379311</v>
      </c>
    </row>
    <row r="73" spans="1:14" x14ac:dyDescent="0.25">
      <c r="D73" s="805" t="s">
        <v>38</v>
      </c>
      <c r="E73" s="805" t="s">
        <v>39</v>
      </c>
      <c r="F73" s="805"/>
      <c r="G73" s="805" t="s">
        <v>37</v>
      </c>
      <c r="H73" s="13"/>
    </row>
    <row r="74" spans="1:14" x14ac:dyDescent="0.25">
      <c r="B74" s="805" t="s">
        <v>22</v>
      </c>
      <c r="C74" s="36">
        <f>AVERAGE(C70)*100</f>
        <v>91.379310344827587</v>
      </c>
      <c r="D74" s="793">
        <f>IF(C74&gt;=70,3,IF(AND(C74&gt;=60,C74&lt;70),2,IF(AND(C74&gt;=50,C74&lt;60),1)))</f>
        <v>3</v>
      </c>
      <c r="E74" s="793">
        <f>IF(E70&gt;=70,3,IF(AND(E70&gt;=60,E70&lt;70),2,IF(AND(E70&gt;=50,E70&lt;60),1)))</f>
        <v>3</v>
      </c>
      <c r="F74" s="793"/>
      <c r="G74" s="793">
        <f>(50/100)*E74+(50/100)*D74</f>
        <v>3</v>
      </c>
      <c r="H74" s="329"/>
    </row>
    <row r="75" spans="1:14" x14ac:dyDescent="0.25">
      <c r="B75" s="805" t="s">
        <v>40</v>
      </c>
      <c r="C75" s="36">
        <f>AVERAGE(C70)*100</f>
        <v>91.379310344827587</v>
      </c>
      <c r="D75" s="793">
        <f t="shared" ref="D75:D77" si="1">IF(C75&gt;=70,3,IF(AND(C75&gt;=60,C75&lt;70),2,IF(AND(C75&gt;=50,C75&lt;60),1)))</f>
        <v>3</v>
      </c>
      <c r="E75" s="793">
        <f>IF(E70&gt;=70,3,IF(AND(E70&gt;=60,E70&lt;70),2,IF(AND(E70&gt;=50,E70&lt;60),1)))</f>
        <v>3</v>
      </c>
      <c r="F75" s="793"/>
      <c r="G75" s="793">
        <f t="shared" ref="G75:G77" si="2">(50/100)*E75+(50/100)*D75</f>
        <v>3</v>
      </c>
      <c r="H75" s="329"/>
    </row>
    <row r="76" spans="1:14" x14ac:dyDescent="0.25">
      <c r="B76" s="805" t="s">
        <v>41</v>
      </c>
      <c r="C76" s="36">
        <f>AVERAGE(C70)*100</f>
        <v>91.379310344827587</v>
      </c>
      <c r="D76" s="793">
        <f t="shared" si="1"/>
        <v>3</v>
      </c>
      <c r="E76" s="793">
        <f>IF(E70&gt;=70,3,IF(AND(E70&gt;=60,E70&lt;70),2,IF(AND(E70&gt;=50,E70&lt;60),1)))</f>
        <v>3</v>
      </c>
      <c r="F76" s="793"/>
      <c r="G76" s="793">
        <f t="shared" si="2"/>
        <v>3</v>
      </c>
      <c r="H76" s="329"/>
    </row>
    <row r="77" spans="1:14" x14ac:dyDescent="0.25">
      <c r="B77" s="805" t="s">
        <v>42</v>
      </c>
      <c r="C77" s="36">
        <f>AVERAGE(C70)*100</f>
        <v>91.379310344827587</v>
      </c>
      <c r="D77" s="793">
        <f t="shared" si="1"/>
        <v>3</v>
      </c>
      <c r="E77" s="793">
        <f>IF(E70&gt;=70,3,IF(AND(E70&gt;=60,E70&lt;70),2,IF(AND(E70&gt;=50,E70&lt;60),1)))</f>
        <v>3</v>
      </c>
      <c r="F77" s="793"/>
      <c r="G77" s="793">
        <f t="shared" si="2"/>
        <v>3</v>
      </c>
      <c r="H77" s="329"/>
    </row>
    <row r="78" spans="1:14" x14ac:dyDescent="0.25">
      <c r="B78" s="2872" t="s">
        <v>44</v>
      </c>
      <c r="C78" s="2872"/>
      <c r="D78" s="2872"/>
      <c r="E78" s="2872"/>
      <c r="F78" s="2872"/>
      <c r="G78" s="793">
        <f>AVERAGE(G74:G74)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859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x14ac:dyDescent="0.25">
      <c r="B84" s="20" t="s">
        <v>22</v>
      </c>
      <c r="C84" s="745">
        <v>3</v>
      </c>
      <c r="D84" s="745">
        <v>3</v>
      </c>
      <c r="E84" s="745">
        <v>3</v>
      </c>
      <c r="F84" s="745">
        <v>2</v>
      </c>
      <c r="G84" s="745">
        <v>1</v>
      </c>
      <c r="H84" s="745"/>
      <c r="I84" s="745">
        <v>2</v>
      </c>
      <c r="J84" s="745">
        <v>2</v>
      </c>
      <c r="K84" s="745">
        <v>3</v>
      </c>
      <c r="L84" s="745">
        <v>3</v>
      </c>
      <c r="M84" s="745"/>
      <c r="N84" s="745">
        <v>3</v>
      </c>
    </row>
    <row r="85" spans="1:14" x14ac:dyDescent="0.25">
      <c r="B85" s="20" t="s">
        <v>40</v>
      </c>
      <c r="C85" s="745">
        <v>3</v>
      </c>
      <c r="D85" s="745">
        <v>3</v>
      </c>
      <c r="E85" s="745">
        <v>3</v>
      </c>
      <c r="F85" s="745">
        <v>2</v>
      </c>
      <c r="G85" s="745">
        <v>1</v>
      </c>
      <c r="H85" s="745"/>
      <c r="I85" s="745">
        <v>2</v>
      </c>
      <c r="J85" s="745">
        <v>2</v>
      </c>
      <c r="K85" s="745">
        <v>3</v>
      </c>
      <c r="L85" s="745">
        <v>3</v>
      </c>
      <c r="M85" s="745">
        <v>1</v>
      </c>
      <c r="N85" s="745">
        <v>3</v>
      </c>
    </row>
    <row r="86" spans="1:14" x14ac:dyDescent="0.25">
      <c r="B86" s="20" t="s">
        <v>41</v>
      </c>
      <c r="C86" s="745">
        <v>3</v>
      </c>
      <c r="D86" s="745">
        <v>3</v>
      </c>
      <c r="E86" s="745">
        <v>3</v>
      </c>
      <c r="F86" s="745">
        <v>2</v>
      </c>
      <c r="G86" s="745">
        <v>1</v>
      </c>
      <c r="H86" s="745"/>
      <c r="I86" s="745">
        <v>2</v>
      </c>
      <c r="J86" s="745">
        <v>2</v>
      </c>
      <c r="K86" s="745">
        <v>3</v>
      </c>
      <c r="L86" s="745">
        <v>3</v>
      </c>
      <c r="M86" s="745">
        <v>1</v>
      </c>
      <c r="N86" s="745">
        <v>3</v>
      </c>
    </row>
    <row r="87" spans="1:14" x14ac:dyDescent="0.25">
      <c r="B87" s="20" t="s">
        <v>42</v>
      </c>
      <c r="C87" s="745">
        <v>3</v>
      </c>
      <c r="D87" s="745">
        <v>3</v>
      </c>
      <c r="E87" s="745">
        <v>3</v>
      </c>
      <c r="F87" s="745">
        <v>2</v>
      </c>
      <c r="G87" s="745">
        <v>1</v>
      </c>
      <c r="H87" s="745"/>
      <c r="I87" s="745">
        <v>2</v>
      </c>
      <c r="J87" s="745">
        <v>2</v>
      </c>
      <c r="K87" s="745">
        <v>3</v>
      </c>
      <c r="L87" s="745">
        <v>3</v>
      </c>
      <c r="M87" s="745">
        <v>1</v>
      </c>
      <c r="N87" s="745">
        <v>3</v>
      </c>
    </row>
    <row r="88" spans="1:14" x14ac:dyDescent="0.25">
      <c r="B88" s="859" t="s">
        <v>10</v>
      </c>
      <c r="C88" s="745">
        <f>AVERAGE(C84:C87)</f>
        <v>3</v>
      </c>
      <c r="D88" s="745">
        <f t="shared" ref="D88:N88" si="3">AVERAGE(D84:D87)</f>
        <v>3</v>
      </c>
      <c r="E88" s="745">
        <f t="shared" si="3"/>
        <v>3</v>
      </c>
      <c r="F88" s="745">
        <f t="shared" si="3"/>
        <v>2</v>
      </c>
      <c r="G88" s="745">
        <f>AVERAGE(G84:G87)</f>
        <v>1</v>
      </c>
      <c r="H88" s="745"/>
      <c r="I88" s="745">
        <f t="shared" si="3"/>
        <v>2</v>
      </c>
      <c r="J88" s="745">
        <f t="shared" si="3"/>
        <v>2</v>
      </c>
      <c r="K88" s="745">
        <f t="shared" si="3"/>
        <v>3</v>
      </c>
      <c r="L88" s="745">
        <f t="shared" si="3"/>
        <v>3</v>
      </c>
      <c r="M88" s="745">
        <f t="shared" si="3"/>
        <v>1</v>
      </c>
      <c r="N88" s="745">
        <f t="shared" si="3"/>
        <v>3</v>
      </c>
    </row>
    <row r="89" spans="1:14" x14ac:dyDescent="0.25">
      <c r="B89" s="859" t="s">
        <v>58</v>
      </c>
      <c r="C89" s="3311">
        <f>AVERAGE(C88:N88)</f>
        <v>2.3636363636363638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859" t="s">
        <v>45</v>
      </c>
      <c r="C93" s="906" t="s">
        <v>68</v>
      </c>
      <c r="D93" s="906" t="s">
        <v>69</v>
      </c>
      <c r="E93" s="906" t="s">
        <v>70</v>
      </c>
      <c r="F93" s="906" t="s">
        <v>71</v>
      </c>
      <c r="G93" s="906" t="s">
        <v>72</v>
      </c>
      <c r="H93" s="906" t="s">
        <v>73</v>
      </c>
      <c r="I93" s="906" t="s">
        <v>74</v>
      </c>
      <c r="J93" s="906" t="s">
        <v>75</v>
      </c>
      <c r="K93" s="906" t="s">
        <v>76</v>
      </c>
      <c r="L93" s="906" t="s">
        <v>77</v>
      </c>
      <c r="M93" s="906" t="s">
        <v>78</v>
      </c>
      <c r="N93" s="906" t="s">
        <v>79</v>
      </c>
    </row>
    <row r="94" spans="1:14" x14ac:dyDescent="0.25">
      <c r="B94" s="763" t="s">
        <v>20</v>
      </c>
      <c r="C94" s="907">
        <f>G74*C84/3</f>
        <v>3</v>
      </c>
      <c r="D94" s="907">
        <f>G74*D84/3</f>
        <v>3</v>
      </c>
      <c r="E94" s="907">
        <f>G74*E84/3</f>
        <v>3</v>
      </c>
      <c r="F94" s="907">
        <f>G74*F84/3</f>
        <v>2</v>
      </c>
      <c r="G94" s="907">
        <f>G74*G84/3</f>
        <v>1</v>
      </c>
      <c r="H94" s="907"/>
      <c r="I94" s="907">
        <f>G74*I84/3</f>
        <v>2</v>
      </c>
      <c r="J94" s="907">
        <f>G74*J84/3</f>
        <v>2</v>
      </c>
      <c r="K94" s="907">
        <f>G74*K84/3</f>
        <v>3</v>
      </c>
      <c r="L94" s="907">
        <f>G74*L84/3</f>
        <v>3</v>
      </c>
      <c r="M94" s="907"/>
      <c r="N94" s="907">
        <f t="shared" ref="N94:N97" si="4">G74*N84/3</f>
        <v>3</v>
      </c>
    </row>
    <row r="95" spans="1:14" x14ac:dyDescent="0.25">
      <c r="B95" s="763" t="s">
        <v>21</v>
      </c>
      <c r="C95" s="907">
        <f t="shared" ref="C95:C97" si="5">G75*C85/3</f>
        <v>3</v>
      </c>
      <c r="D95" s="907">
        <f t="shared" ref="D95:D97" si="6">G75*D85/3</f>
        <v>3</v>
      </c>
      <c r="E95" s="907">
        <f t="shared" ref="E95:E97" si="7">G75*E85/3</f>
        <v>3</v>
      </c>
      <c r="F95" s="907">
        <f t="shared" ref="F95:F97" si="8">G75*F85/3</f>
        <v>2</v>
      </c>
      <c r="G95" s="907">
        <f t="shared" ref="G95:G97" si="9">G75*G85/3</f>
        <v>1</v>
      </c>
      <c r="H95" s="907"/>
      <c r="I95" s="907">
        <f>G75*I85/3</f>
        <v>2</v>
      </c>
      <c r="J95" s="907">
        <f t="shared" ref="J95:J97" si="10">G75*J85/3</f>
        <v>2</v>
      </c>
      <c r="K95" s="907">
        <f t="shared" ref="K95:K97" si="11">G75*K85/3</f>
        <v>3</v>
      </c>
      <c r="L95" s="907">
        <f t="shared" ref="L95:L97" si="12">G75*L85/3</f>
        <v>3</v>
      </c>
      <c r="M95" s="907">
        <f t="shared" ref="M95:M97" si="13">G75*M85/3</f>
        <v>1</v>
      </c>
      <c r="N95" s="907">
        <f t="shared" si="4"/>
        <v>3</v>
      </c>
    </row>
    <row r="96" spans="1:14" x14ac:dyDescent="0.25">
      <c r="B96" s="763" t="s">
        <v>23</v>
      </c>
      <c r="C96" s="907">
        <f t="shared" si="5"/>
        <v>3</v>
      </c>
      <c r="D96" s="907">
        <f t="shared" si="6"/>
        <v>3</v>
      </c>
      <c r="E96" s="907">
        <f t="shared" si="7"/>
        <v>3</v>
      </c>
      <c r="F96" s="907">
        <f t="shared" si="8"/>
        <v>2</v>
      </c>
      <c r="G96" s="907">
        <f t="shared" si="9"/>
        <v>1</v>
      </c>
      <c r="H96" s="907"/>
      <c r="I96" s="907">
        <f t="shared" ref="I96:I97" si="14">G76*I86/3</f>
        <v>2</v>
      </c>
      <c r="J96" s="907">
        <f t="shared" si="10"/>
        <v>2</v>
      </c>
      <c r="K96" s="907">
        <f t="shared" si="11"/>
        <v>3</v>
      </c>
      <c r="L96" s="907">
        <f t="shared" si="12"/>
        <v>3</v>
      </c>
      <c r="M96" s="907">
        <f t="shared" si="13"/>
        <v>1</v>
      </c>
      <c r="N96" s="907">
        <f t="shared" si="4"/>
        <v>3</v>
      </c>
    </row>
    <row r="97" spans="1:14" x14ac:dyDescent="0.25">
      <c r="B97" s="763" t="s">
        <v>25</v>
      </c>
      <c r="C97" s="907">
        <f t="shared" si="5"/>
        <v>3</v>
      </c>
      <c r="D97" s="907">
        <f t="shared" si="6"/>
        <v>3</v>
      </c>
      <c r="E97" s="907">
        <f t="shared" si="7"/>
        <v>3</v>
      </c>
      <c r="F97" s="907">
        <f t="shared" si="8"/>
        <v>2</v>
      </c>
      <c r="G97" s="907">
        <f t="shared" si="9"/>
        <v>1</v>
      </c>
      <c r="H97" s="907"/>
      <c r="I97" s="907">
        <f t="shared" si="14"/>
        <v>2</v>
      </c>
      <c r="J97" s="907">
        <f t="shared" si="10"/>
        <v>2</v>
      </c>
      <c r="K97" s="907">
        <f t="shared" si="11"/>
        <v>3</v>
      </c>
      <c r="L97" s="907">
        <f t="shared" si="12"/>
        <v>3</v>
      </c>
      <c r="M97" s="907">
        <f t="shared" si="13"/>
        <v>1</v>
      </c>
      <c r="N97" s="907">
        <f t="shared" si="4"/>
        <v>3</v>
      </c>
    </row>
    <row r="98" spans="1:14" x14ac:dyDescent="0.25">
      <c r="B98" s="859" t="s">
        <v>10</v>
      </c>
      <c r="C98" s="908">
        <f>AVERAGE(C94:C97)</f>
        <v>3</v>
      </c>
      <c r="D98" s="908">
        <f t="shared" ref="D98:N98" si="15">AVERAGE(D94:D97)</f>
        <v>3</v>
      </c>
      <c r="E98" s="908">
        <f t="shared" si="15"/>
        <v>3</v>
      </c>
      <c r="F98" s="908">
        <f t="shared" si="15"/>
        <v>2</v>
      </c>
      <c r="G98" s="908">
        <f t="shared" si="15"/>
        <v>1</v>
      </c>
      <c r="H98" s="908"/>
      <c r="I98" s="908">
        <f t="shared" si="15"/>
        <v>2</v>
      </c>
      <c r="J98" s="908">
        <f t="shared" si="15"/>
        <v>2</v>
      </c>
      <c r="K98" s="908">
        <f t="shared" si="15"/>
        <v>3</v>
      </c>
      <c r="L98" s="908">
        <f t="shared" si="15"/>
        <v>3</v>
      </c>
      <c r="M98" s="908">
        <f t="shared" si="15"/>
        <v>1</v>
      </c>
      <c r="N98" s="908">
        <f t="shared" si="15"/>
        <v>3</v>
      </c>
    </row>
    <row r="99" spans="1:14" x14ac:dyDescent="0.25">
      <c r="B99" s="859" t="s">
        <v>58</v>
      </c>
      <c r="C99" s="3024">
        <f>AVERAGE(C98:N98)</f>
        <v>2.3636363636363638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859" t="s">
        <v>59</v>
      </c>
      <c r="C104" s="748" t="s">
        <v>87</v>
      </c>
      <c r="D104" s="748" t="s">
        <v>88</v>
      </c>
      <c r="E104" s="748" t="s">
        <v>85</v>
      </c>
      <c r="F104" s="756"/>
      <c r="G104" s="859" t="s">
        <v>59</v>
      </c>
      <c r="H104" s="906" t="s">
        <v>60</v>
      </c>
      <c r="I104" s="906" t="s">
        <v>61</v>
      </c>
      <c r="J104" s="906" t="s">
        <v>62</v>
      </c>
      <c r="L104" s="756"/>
      <c r="M104" s="756"/>
      <c r="N104" s="756"/>
    </row>
    <row r="105" spans="1:14" x14ac:dyDescent="0.25">
      <c r="B105" s="572" t="s">
        <v>22</v>
      </c>
      <c r="C105" s="856">
        <v>3</v>
      </c>
      <c r="D105" s="856">
        <v>3</v>
      </c>
      <c r="E105" s="856">
        <v>2</v>
      </c>
      <c r="F105" s="756"/>
      <c r="G105" s="860" t="s">
        <v>20</v>
      </c>
      <c r="H105" s="907">
        <f>G74*C105/3</f>
        <v>3</v>
      </c>
      <c r="I105" s="907">
        <f>G74*D105/3</f>
        <v>3</v>
      </c>
      <c r="J105" s="907">
        <f>G74*E105/3</f>
        <v>2</v>
      </c>
      <c r="L105" s="756"/>
      <c r="M105" s="756"/>
      <c r="N105" s="756"/>
    </row>
    <row r="106" spans="1:14" x14ac:dyDescent="0.25">
      <c r="B106" s="572" t="s">
        <v>40</v>
      </c>
      <c r="C106" s="856">
        <v>3</v>
      </c>
      <c r="D106" s="856">
        <v>3</v>
      </c>
      <c r="E106" s="856">
        <v>2</v>
      </c>
      <c r="F106" s="24"/>
      <c r="G106" s="860" t="s">
        <v>21</v>
      </c>
      <c r="H106" s="907">
        <f t="shared" ref="H106:H108" si="16">G75*C106/3</f>
        <v>3</v>
      </c>
      <c r="I106" s="907">
        <f t="shared" ref="I106:I108" si="17">G75*D106/3</f>
        <v>3</v>
      </c>
      <c r="J106" s="907">
        <f>G75*E106/3</f>
        <v>2</v>
      </c>
      <c r="L106" s="24"/>
      <c r="M106" s="24"/>
      <c r="N106" s="24"/>
    </row>
    <row r="107" spans="1:14" x14ac:dyDescent="0.25">
      <c r="B107" s="572" t="s">
        <v>41</v>
      </c>
      <c r="C107" s="856">
        <v>3</v>
      </c>
      <c r="D107" s="856">
        <v>1</v>
      </c>
      <c r="E107" s="856"/>
      <c r="F107" s="24"/>
      <c r="G107" s="860" t="s">
        <v>23</v>
      </c>
      <c r="H107" s="907">
        <f t="shared" si="16"/>
        <v>3</v>
      </c>
      <c r="I107" s="907">
        <f t="shared" si="17"/>
        <v>1</v>
      </c>
      <c r="J107" s="907"/>
      <c r="L107" s="24"/>
      <c r="M107" s="24"/>
      <c r="N107" s="24"/>
    </row>
    <row r="108" spans="1:14" x14ac:dyDescent="0.25">
      <c r="B108" s="572" t="s">
        <v>42</v>
      </c>
      <c r="C108" s="749">
        <v>3</v>
      </c>
      <c r="D108" s="856">
        <v>1</v>
      </c>
      <c r="E108" s="856"/>
      <c r="F108" s="24"/>
      <c r="G108" s="860" t="s">
        <v>25</v>
      </c>
      <c r="H108" s="907">
        <f t="shared" si="16"/>
        <v>3</v>
      </c>
      <c r="I108" s="907">
        <f t="shared" si="17"/>
        <v>1</v>
      </c>
      <c r="J108" s="907"/>
      <c r="L108" s="24"/>
      <c r="M108" s="24"/>
      <c r="N108" s="24"/>
    </row>
    <row r="109" spans="1:14" x14ac:dyDescent="0.25">
      <c r="B109" s="859" t="s">
        <v>10</v>
      </c>
      <c r="C109" s="909">
        <f>AVERAGE(C105:C108)</f>
        <v>3</v>
      </c>
      <c r="D109" s="909">
        <f t="shared" ref="D109:E109" si="18">AVERAGE(D105:D108)</f>
        <v>2</v>
      </c>
      <c r="E109" s="909">
        <f t="shared" si="18"/>
        <v>2</v>
      </c>
      <c r="F109" s="910"/>
      <c r="G109" s="859" t="s">
        <v>10</v>
      </c>
      <c r="H109" s="911">
        <f>AVERAGE(H105:H108)</f>
        <v>3</v>
      </c>
      <c r="I109" s="911">
        <f t="shared" ref="I109:J109" si="19">AVERAGE(I105:I108)</f>
        <v>2</v>
      </c>
      <c r="J109" s="911">
        <f t="shared" si="19"/>
        <v>2</v>
      </c>
      <c r="L109" s="910"/>
      <c r="M109" s="910"/>
      <c r="N109" s="910"/>
    </row>
    <row r="110" spans="1:14" x14ac:dyDescent="0.25">
      <c r="B110" s="859" t="s">
        <v>58</v>
      </c>
      <c r="C110" s="3307">
        <f>AVERAGE(C109:E109)</f>
        <v>2.3333333333333335</v>
      </c>
      <c r="D110" s="3308"/>
      <c r="E110" s="3309"/>
      <c r="F110" s="912"/>
      <c r="G110" s="859" t="s">
        <v>58</v>
      </c>
      <c r="H110" s="3024">
        <f>AVERAGE(H109:J109)</f>
        <v>2.3333333333333335</v>
      </c>
      <c r="I110" s="3310"/>
      <c r="J110" s="3026"/>
      <c r="L110" s="912"/>
      <c r="M110" s="912"/>
      <c r="N110" s="912"/>
    </row>
  </sheetData>
  <mergeCells count="20">
    <mergeCell ref="C110:E110"/>
    <mergeCell ref="H110:J110"/>
    <mergeCell ref="C89:N89"/>
    <mergeCell ref="A91:B91"/>
    <mergeCell ref="C99:N99"/>
    <mergeCell ref="A102:B102"/>
    <mergeCell ref="G102:H102"/>
    <mergeCell ref="G103:H103"/>
    <mergeCell ref="D5:D7"/>
    <mergeCell ref="E5:E7"/>
    <mergeCell ref="A69:B69"/>
    <mergeCell ref="A70:B70"/>
    <mergeCell ref="B78:F78"/>
    <mergeCell ref="C5:C7"/>
    <mergeCell ref="A81:B81"/>
    <mergeCell ref="A2:B2"/>
    <mergeCell ref="A3:B3"/>
    <mergeCell ref="A4:B4"/>
    <mergeCell ref="A5:A7"/>
    <mergeCell ref="B5:B7"/>
  </mergeCells>
  <conditionalFormatting sqref="D49:D52 D9:D44">
    <cfRule type="containsText" dxfId="94" priority="4" operator="containsText" text="F">
      <formula>NOT(ISERROR(SEARCH("F",D9)))</formula>
    </cfRule>
  </conditionalFormatting>
  <conditionalFormatting sqref="D47">
    <cfRule type="containsText" dxfId="93" priority="1" operator="containsText" text="F">
      <formula>NOT(ISERROR(SEARCH("F",D47)))</formula>
    </cfRule>
  </conditionalFormatting>
  <conditionalFormatting sqref="D46 D55:D66">
    <cfRule type="containsText" dxfId="92" priority="3" operator="containsText" text="F">
      <formula>NOT(ISERROR(SEARCH("F",D46)))</formula>
    </cfRule>
  </conditionalFormatting>
  <conditionalFormatting sqref="D45 D48 D53:D54">
    <cfRule type="containsText" dxfId="91" priority="2" operator="containsText" text="F">
      <formula>NOT(ISERROR(SEARCH("F",D45)))</formula>
    </cfRule>
  </conditionalFormatting>
  <pageMargins left="0.7" right="0.7" top="0.75" bottom="0.75" header="0.3" footer="0.3"/>
  <pageSetup paperSize="8" scale="5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7"/>
  <sheetViews>
    <sheetView topLeftCell="A91" zoomScale="87" zoomScaleNormal="87" workbookViewId="0">
      <selection activeCell="L109" sqref="L109"/>
    </sheetView>
  </sheetViews>
  <sheetFormatPr defaultRowHeight="15.75" x14ac:dyDescent="0.25"/>
  <cols>
    <col min="1" max="1" width="15.140625" style="2271" bestFit="1" customWidth="1"/>
    <col min="2" max="2" width="18.28515625" style="2271" bestFit="1" customWidth="1"/>
    <col min="3" max="3" width="16.5703125" style="2271" bestFit="1" customWidth="1"/>
    <col min="4" max="5" width="9.140625" style="2271"/>
    <col min="6" max="6" width="12.7109375" style="2271" customWidth="1"/>
    <col min="7" max="7" width="13" style="2271" customWidth="1"/>
    <col min="8" max="8" width="12.5703125" style="2271" customWidth="1"/>
    <col min="9" max="9" width="9.85546875" style="2271" customWidth="1"/>
    <col min="10" max="10" width="10.5703125" style="2271" customWidth="1"/>
    <col min="11" max="11" width="10.5703125" style="806" customWidth="1"/>
    <col min="12" max="12" width="10.5703125" style="2271" customWidth="1"/>
    <col min="13" max="15" width="11.140625" style="2271" bestFit="1" customWidth="1"/>
    <col min="16" max="17" width="9.140625" style="2271"/>
    <col min="18" max="18" width="10.42578125" style="2271" customWidth="1"/>
    <col min="19" max="20" width="10.5703125" style="2271" customWidth="1"/>
    <col min="21" max="23" width="9.140625" style="2271"/>
    <col min="24" max="24" width="8" style="2271" customWidth="1"/>
    <col min="25" max="25" width="7.42578125" style="2271" customWidth="1"/>
    <col min="26" max="16384" width="9.140625" style="2271"/>
  </cols>
  <sheetData>
    <row r="1" spans="1:21" x14ac:dyDescent="0.25">
      <c r="A1" s="333"/>
      <c r="K1" s="2271"/>
    </row>
    <row r="2" spans="1:21" x14ac:dyDescent="0.25">
      <c r="A2" s="2875" t="s">
        <v>0</v>
      </c>
      <c r="B2" s="2876"/>
      <c r="C2" s="2527" t="s">
        <v>402</v>
      </c>
      <c r="D2" s="2528"/>
      <c r="E2" s="2528"/>
      <c r="F2" s="2528"/>
      <c r="G2" s="2528"/>
      <c r="H2" s="380" t="s">
        <v>63</v>
      </c>
      <c r="I2" s="3073" t="s">
        <v>155</v>
      </c>
      <c r="J2" s="3074"/>
      <c r="K2" s="3074"/>
      <c r="L2" s="3074"/>
      <c r="M2" s="3074"/>
      <c r="N2" s="3074"/>
      <c r="O2" s="3074"/>
      <c r="P2" s="3074"/>
      <c r="Q2" s="735"/>
      <c r="R2" s="735"/>
      <c r="S2" s="735"/>
      <c r="T2" s="735"/>
      <c r="U2" s="735"/>
    </row>
    <row r="3" spans="1:21" x14ac:dyDescent="0.25">
      <c r="A3" s="2875" t="s">
        <v>1</v>
      </c>
      <c r="B3" s="2876"/>
      <c r="C3" s="2527" t="s">
        <v>403</v>
      </c>
      <c r="D3" s="2528"/>
      <c r="E3" s="2528"/>
      <c r="F3" s="2528"/>
      <c r="G3" s="2528"/>
      <c r="H3" s="344" t="s">
        <v>64</v>
      </c>
      <c r="I3" s="3073" t="s">
        <v>226</v>
      </c>
      <c r="J3" s="3074"/>
      <c r="K3" s="3074"/>
      <c r="L3" s="3074"/>
      <c r="M3" s="3074"/>
      <c r="N3" s="3074"/>
      <c r="O3" s="3074"/>
      <c r="P3" s="3074"/>
      <c r="Q3" s="735"/>
      <c r="R3" s="735"/>
      <c r="S3" s="735"/>
      <c r="T3" s="735"/>
      <c r="U3" s="735"/>
    </row>
    <row r="4" spans="1:21" ht="16.5" thickBot="1" x14ac:dyDescent="0.3">
      <c r="A4" s="4"/>
      <c r="B4" s="5" t="s">
        <v>2</v>
      </c>
      <c r="C4" s="2529" t="s">
        <v>133</v>
      </c>
      <c r="D4" s="2530"/>
      <c r="E4" s="2530"/>
      <c r="F4" s="2530"/>
      <c r="G4" s="2530"/>
      <c r="H4" s="5" t="s">
        <v>65</v>
      </c>
      <c r="I4" s="3062" t="s">
        <v>66</v>
      </c>
      <c r="J4" s="3063"/>
      <c r="K4" s="3063"/>
      <c r="L4" s="3063"/>
      <c r="M4" s="3063"/>
      <c r="N4" s="3063"/>
      <c r="O4" s="3063"/>
      <c r="P4" s="3063"/>
      <c r="Q4" s="735"/>
      <c r="R4" s="735"/>
      <c r="S4" s="735"/>
      <c r="T4" s="735"/>
      <c r="U4" s="735"/>
    </row>
    <row r="5" spans="1:21" ht="16.5" thickBot="1" x14ac:dyDescent="0.3">
      <c r="A5" s="3064"/>
      <c r="B5" s="3065"/>
      <c r="C5" s="3070"/>
      <c r="D5" s="3071"/>
      <c r="E5" s="3071"/>
      <c r="F5" s="3071"/>
      <c r="G5" s="3071"/>
      <c r="H5" s="3072"/>
      <c r="K5" s="2271"/>
    </row>
    <row r="6" spans="1:21" ht="15" customHeight="1" x14ac:dyDescent="0.25">
      <c r="A6" s="3066"/>
      <c r="B6" s="3069" t="s">
        <v>5</v>
      </c>
      <c r="C6" s="2525" t="s">
        <v>6</v>
      </c>
      <c r="D6" s="2526"/>
      <c r="E6" s="2526"/>
      <c r="F6" s="3049" t="s">
        <v>11</v>
      </c>
      <c r="G6" s="3052" t="s">
        <v>12</v>
      </c>
      <c r="K6" s="2271"/>
    </row>
    <row r="7" spans="1:21" ht="15.75" customHeight="1" x14ac:dyDescent="0.25">
      <c r="A7" s="3067"/>
      <c r="B7" s="2632"/>
      <c r="C7" s="2477" t="s">
        <v>404</v>
      </c>
      <c r="D7" s="2477" t="s">
        <v>405</v>
      </c>
      <c r="E7" s="3047" t="s">
        <v>233</v>
      </c>
      <c r="F7" s="3050"/>
      <c r="G7" s="3052"/>
      <c r="K7" s="2271"/>
    </row>
    <row r="8" spans="1:21" x14ac:dyDescent="0.25">
      <c r="A8" s="3068"/>
      <c r="B8" s="2481" t="s">
        <v>19</v>
      </c>
      <c r="C8" s="2477" t="s">
        <v>292</v>
      </c>
      <c r="D8" s="2477" t="s">
        <v>406</v>
      </c>
      <c r="E8" s="3048"/>
      <c r="F8" s="3051"/>
      <c r="G8" s="3052"/>
      <c r="K8" s="2271"/>
    </row>
    <row r="9" spans="1:21" x14ac:dyDescent="0.25">
      <c r="A9" s="2484" t="s">
        <v>18</v>
      </c>
      <c r="B9" s="2474" t="s">
        <v>26</v>
      </c>
      <c r="C9" s="2477">
        <v>30</v>
      </c>
      <c r="D9" s="2477">
        <v>30</v>
      </c>
      <c r="E9" s="2487">
        <v>10</v>
      </c>
      <c r="F9" s="2484"/>
      <c r="G9" s="2479"/>
      <c r="H9" s="2479"/>
      <c r="I9" s="330"/>
      <c r="K9" s="2271"/>
    </row>
    <row r="10" spans="1:21" ht="18.75" x14ac:dyDescent="0.25">
      <c r="A10" s="2484">
        <v>1</v>
      </c>
      <c r="B10" s="395">
        <v>5191421001</v>
      </c>
      <c r="C10" s="2524">
        <v>26</v>
      </c>
      <c r="D10" s="2524">
        <v>21</v>
      </c>
      <c r="E10" s="383">
        <v>10</v>
      </c>
      <c r="F10" s="2281" t="s">
        <v>32</v>
      </c>
      <c r="G10" s="2480">
        <f>IF(F10="O",100,IF(F10="A+",90,IF(F10="A",80,IF(F10="B+",70,IF(F10="B",60,IF(F10="C",55,IF(F10="P",50,IF(F10="F",39))))))))</f>
        <v>70</v>
      </c>
      <c r="K10" s="2271"/>
    </row>
    <row r="11" spans="1:21" ht="18.75" x14ac:dyDescent="0.25">
      <c r="A11" s="2484">
        <v>2</v>
      </c>
      <c r="B11" s="395">
        <v>5191421002</v>
      </c>
      <c r="C11" s="2524">
        <v>20</v>
      </c>
      <c r="D11" s="2524">
        <v>12</v>
      </c>
      <c r="E11" s="383">
        <v>10</v>
      </c>
      <c r="F11" s="2281" t="s">
        <v>32</v>
      </c>
      <c r="G11" s="2480">
        <f t="shared" ref="G11:G67" si="0">IF(F11="O",100,IF(F11="A+",90,IF(F11="A",80,IF(F11="B+",70,IF(F11="B",60,IF(F11="C",55,IF(F11="P",50,IF(F11="F",39))))))))</f>
        <v>70</v>
      </c>
      <c r="K11" s="2271"/>
    </row>
    <row r="12" spans="1:21" ht="18.75" x14ac:dyDescent="0.25">
      <c r="A12" s="2484">
        <v>3</v>
      </c>
      <c r="B12" s="395">
        <v>5191421003</v>
      </c>
      <c r="C12" s="2524">
        <v>30</v>
      </c>
      <c r="D12" s="2524">
        <v>30</v>
      </c>
      <c r="E12" s="383">
        <v>10</v>
      </c>
      <c r="F12" s="2281" t="s">
        <v>30</v>
      </c>
      <c r="G12" s="2480">
        <f t="shared" si="0"/>
        <v>90</v>
      </c>
      <c r="K12" s="2271"/>
    </row>
    <row r="13" spans="1:21" ht="18.75" x14ac:dyDescent="0.25">
      <c r="A13" s="2484">
        <v>4</v>
      </c>
      <c r="B13" s="395">
        <v>5191421004</v>
      </c>
      <c r="C13" s="2524">
        <v>19</v>
      </c>
      <c r="D13" s="2524">
        <v>16</v>
      </c>
      <c r="E13" s="383">
        <v>10</v>
      </c>
      <c r="F13" s="2281" t="s">
        <v>32</v>
      </c>
      <c r="G13" s="2480">
        <f t="shared" si="0"/>
        <v>70</v>
      </c>
      <c r="K13" s="2271"/>
    </row>
    <row r="14" spans="1:21" ht="18.75" x14ac:dyDescent="0.25">
      <c r="A14" s="2484">
        <v>5</v>
      </c>
      <c r="B14" s="395">
        <v>5191421005</v>
      </c>
      <c r="C14" s="2524">
        <v>14</v>
      </c>
      <c r="D14" s="2524">
        <v>19</v>
      </c>
      <c r="E14" s="383">
        <v>10</v>
      </c>
      <c r="F14" s="2281" t="s">
        <v>33</v>
      </c>
      <c r="G14" s="2480">
        <f t="shared" si="0"/>
        <v>60</v>
      </c>
      <c r="K14" s="2271"/>
    </row>
    <row r="15" spans="1:21" ht="18.75" x14ac:dyDescent="0.25">
      <c r="A15" s="2484">
        <v>6</v>
      </c>
      <c r="B15" s="395">
        <v>5191421006</v>
      </c>
      <c r="C15" s="2524">
        <v>27</v>
      </c>
      <c r="D15" s="2524">
        <v>29</v>
      </c>
      <c r="E15" s="383">
        <v>10</v>
      </c>
      <c r="F15" s="2281" t="s">
        <v>32</v>
      </c>
      <c r="G15" s="2480">
        <f t="shared" si="0"/>
        <v>70</v>
      </c>
      <c r="K15" s="2271"/>
    </row>
    <row r="16" spans="1:21" ht="18.75" x14ac:dyDescent="0.25">
      <c r="A16" s="2484">
        <v>7</v>
      </c>
      <c r="B16" s="395">
        <v>5191421007</v>
      </c>
      <c r="C16" s="2524">
        <v>28</v>
      </c>
      <c r="D16" s="2524">
        <v>0</v>
      </c>
      <c r="E16" s="383">
        <v>10</v>
      </c>
      <c r="F16" s="2281" t="s">
        <v>32</v>
      </c>
      <c r="G16" s="2480">
        <f t="shared" si="0"/>
        <v>70</v>
      </c>
      <c r="K16" s="2271"/>
    </row>
    <row r="17" spans="1:11" ht="18.75" x14ac:dyDescent="0.25">
      <c r="A17" s="2484">
        <v>8</v>
      </c>
      <c r="B17" s="395">
        <v>5191421008</v>
      </c>
      <c r="C17" s="2524">
        <v>19</v>
      </c>
      <c r="D17" s="2524">
        <v>16</v>
      </c>
      <c r="E17" s="383">
        <v>10</v>
      </c>
      <c r="F17" s="2281" t="s">
        <v>32</v>
      </c>
      <c r="G17" s="2480">
        <f t="shared" si="0"/>
        <v>70</v>
      </c>
      <c r="K17" s="2271"/>
    </row>
    <row r="18" spans="1:11" ht="18.75" x14ac:dyDescent="0.25">
      <c r="A18" s="2484">
        <v>9</v>
      </c>
      <c r="B18" s="395">
        <v>5191421009</v>
      </c>
      <c r="C18" s="2524">
        <v>29</v>
      </c>
      <c r="D18" s="2524">
        <v>12</v>
      </c>
      <c r="E18" s="383">
        <v>10</v>
      </c>
      <c r="F18" s="2281" t="s">
        <v>32</v>
      </c>
      <c r="G18" s="2480">
        <f t="shared" si="0"/>
        <v>70</v>
      </c>
      <c r="K18" s="2271"/>
    </row>
    <row r="19" spans="1:11" ht="18.75" x14ac:dyDescent="0.25">
      <c r="A19" s="2484">
        <v>10</v>
      </c>
      <c r="B19" s="395">
        <v>5191421010</v>
      </c>
      <c r="C19" s="2524">
        <v>28</v>
      </c>
      <c r="D19" s="2524">
        <v>15</v>
      </c>
      <c r="E19" s="383">
        <v>10</v>
      </c>
      <c r="F19" s="2281" t="s">
        <v>32</v>
      </c>
      <c r="G19" s="2480">
        <f t="shared" si="0"/>
        <v>70</v>
      </c>
      <c r="K19" s="2271"/>
    </row>
    <row r="20" spans="1:11" ht="18.75" x14ac:dyDescent="0.25">
      <c r="A20" s="2484">
        <v>11</v>
      </c>
      <c r="B20" s="395">
        <v>5191421011</v>
      </c>
      <c r="C20" s="2524">
        <v>28</v>
      </c>
      <c r="D20" s="2524">
        <v>28</v>
      </c>
      <c r="E20" s="383">
        <v>10</v>
      </c>
      <c r="F20" s="2281" t="s">
        <v>30</v>
      </c>
      <c r="G20" s="2480">
        <f t="shared" si="0"/>
        <v>90</v>
      </c>
      <c r="K20" s="2271"/>
    </row>
    <row r="21" spans="1:11" ht="18.75" x14ac:dyDescent="0.25">
      <c r="A21" s="2484">
        <v>12</v>
      </c>
      <c r="B21" s="395">
        <v>5191421012</v>
      </c>
      <c r="C21" s="2524">
        <v>14</v>
      </c>
      <c r="D21" s="2524">
        <v>12</v>
      </c>
      <c r="E21" s="383">
        <v>10</v>
      </c>
      <c r="F21" s="2281" t="s">
        <v>28</v>
      </c>
      <c r="G21" s="2480">
        <f t="shared" si="0"/>
        <v>50</v>
      </c>
      <c r="K21" s="2271"/>
    </row>
    <row r="22" spans="1:11" ht="18.75" x14ac:dyDescent="0.25">
      <c r="A22" s="2484">
        <v>13</v>
      </c>
      <c r="B22" s="395">
        <v>5191421013</v>
      </c>
      <c r="C22" s="2524">
        <v>28</v>
      </c>
      <c r="D22" s="2524">
        <v>30</v>
      </c>
      <c r="E22" s="383">
        <v>10</v>
      </c>
      <c r="F22" s="2281" t="s">
        <v>30</v>
      </c>
      <c r="G22" s="2480">
        <f t="shared" si="0"/>
        <v>90</v>
      </c>
      <c r="K22" s="2271"/>
    </row>
    <row r="23" spans="1:11" ht="18.75" x14ac:dyDescent="0.25">
      <c r="A23" s="2484">
        <v>14</v>
      </c>
      <c r="B23" s="395">
        <v>5191421014</v>
      </c>
      <c r="C23" s="2524">
        <v>27</v>
      </c>
      <c r="D23" s="2524">
        <v>20</v>
      </c>
      <c r="E23" s="383">
        <v>10</v>
      </c>
      <c r="F23" s="2281" t="s">
        <v>30</v>
      </c>
      <c r="G23" s="2480">
        <f t="shared" si="0"/>
        <v>90</v>
      </c>
      <c r="K23" s="2271"/>
    </row>
    <row r="24" spans="1:11" ht="18.75" x14ac:dyDescent="0.25">
      <c r="A24" s="2484">
        <v>15</v>
      </c>
      <c r="B24" s="395">
        <v>5191421015</v>
      </c>
      <c r="C24" s="2524">
        <v>21</v>
      </c>
      <c r="D24" s="2524">
        <v>14</v>
      </c>
      <c r="E24" s="383">
        <v>10</v>
      </c>
      <c r="F24" s="2281" t="s">
        <v>30</v>
      </c>
      <c r="G24" s="2480">
        <f t="shared" si="0"/>
        <v>90</v>
      </c>
      <c r="K24" s="2271"/>
    </row>
    <row r="25" spans="1:11" ht="18.75" x14ac:dyDescent="0.25">
      <c r="A25" s="2484">
        <v>16</v>
      </c>
      <c r="B25" s="395">
        <v>5191421016</v>
      </c>
      <c r="C25" s="2524">
        <v>21</v>
      </c>
      <c r="D25" s="2524">
        <v>14</v>
      </c>
      <c r="E25" s="383">
        <v>10</v>
      </c>
      <c r="F25" s="2281" t="s">
        <v>32</v>
      </c>
      <c r="G25" s="2480">
        <f t="shared" si="0"/>
        <v>70</v>
      </c>
      <c r="K25" s="2271"/>
    </row>
    <row r="26" spans="1:11" ht="18.75" x14ac:dyDescent="0.25">
      <c r="A26" s="2484">
        <v>17</v>
      </c>
      <c r="B26" s="395">
        <v>5191421017</v>
      </c>
      <c r="C26" s="2524">
        <v>24</v>
      </c>
      <c r="D26" s="2524">
        <v>14</v>
      </c>
      <c r="E26" s="383">
        <v>10</v>
      </c>
      <c r="F26" s="2281" t="s">
        <v>30</v>
      </c>
      <c r="G26" s="2480">
        <f t="shared" si="0"/>
        <v>90</v>
      </c>
      <c r="K26" s="2271"/>
    </row>
    <row r="27" spans="1:11" ht="18.75" x14ac:dyDescent="0.25">
      <c r="A27" s="2484">
        <v>18</v>
      </c>
      <c r="B27" s="395">
        <v>5191421018</v>
      </c>
      <c r="C27" s="2524">
        <v>12</v>
      </c>
      <c r="D27" s="2524">
        <v>12</v>
      </c>
      <c r="E27" s="383">
        <v>10</v>
      </c>
      <c r="F27" s="2281" t="s">
        <v>31</v>
      </c>
      <c r="G27" s="2480">
        <f t="shared" si="0"/>
        <v>55</v>
      </c>
      <c r="K27" s="2271"/>
    </row>
    <row r="28" spans="1:11" ht="18.75" x14ac:dyDescent="0.25">
      <c r="A28" s="2484">
        <v>19</v>
      </c>
      <c r="B28" s="395">
        <v>5191421019</v>
      </c>
      <c r="C28" s="2524">
        <v>28</v>
      </c>
      <c r="D28" s="2524">
        <v>24</v>
      </c>
      <c r="E28" s="383">
        <v>10</v>
      </c>
      <c r="F28" s="2281" t="s">
        <v>82</v>
      </c>
      <c r="G28" s="2480">
        <f t="shared" si="0"/>
        <v>100</v>
      </c>
      <c r="K28" s="2271"/>
    </row>
    <row r="29" spans="1:11" ht="18.75" x14ac:dyDescent="0.25">
      <c r="A29" s="2484">
        <v>20</v>
      </c>
      <c r="B29" s="395">
        <v>5191421020</v>
      </c>
      <c r="C29" s="2524">
        <v>29</v>
      </c>
      <c r="D29" s="2524">
        <v>28</v>
      </c>
      <c r="E29" s="383">
        <v>10</v>
      </c>
      <c r="F29" s="2281" t="s">
        <v>30</v>
      </c>
      <c r="G29" s="2480">
        <f t="shared" si="0"/>
        <v>90</v>
      </c>
      <c r="K29" s="2271"/>
    </row>
    <row r="30" spans="1:11" ht="18.75" x14ac:dyDescent="0.25">
      <c r="A30" s="2484">
        <v>21</v>
      </c>
      <c r="B30" s="395">
        <v>5191421021</v>
      </c>
      <c r="C30" s="2524">
        <v>22</v>
      </c>
      <c r="D30" s="2524">
        <v>21</v>
      </c>
      <c r="E30" s="383">
        <v>10</v>
      </c>
      <c r="F30" s="2281" t="s">
        <v>27</v>
      </c>
      <c r="G30" s="2480">
        <f t="shared" si="0"/>
        <v>80</v>
      </c>
      <c r="K30" s="2271"/>
    </row>
    <row r="31" spans="1:11" ht="18.75" x14ac:dyDescent="0.25">
      <c r="A31" s="2484">
        <v>22</v>
      </c>
      <c r="B31" s="395">
        <v>5191421022</v>
      </c>
      <c r="C31" s="2524">
        <v>0</v>
      </c>
      <c r="D31" s="2524">
        <v>18</v>
      </c>
      <c r="E31" s="383">
        <v>10</v>
      </c>
      <c r="F31" s="2281" t="s">
        <v>27</v>
      </c>
      <c r="G31" s="2480">
        <f t="shared" si="0"/>
        <v>80</v>
      </c>
      <c r="K31" s="2271"/>
    </row>
    <row r="32" spans="1:11" ht="18.75" x14ac:dyDescent="0.25">
      <c r="A32" s="2484">
        <v>23</v>
      </c>
      <c r="B32" s="395">
        <v>5191421023</v>
      </c>
      <c r="C32" s="2524">
        <v>21</v>
      </c>
      <c r="D32" s="2524">
        <v>12</v>
      </c>
      <c r="E32" s="383">
        <v>10</v>
      </c>
      <c r="F32" s="2281" t="s">
        <v>32</v>
      </c>
      <c r="G32" s="2480">
        <f t="shared" si="0"/>
        <v>70</v>
      </c>
      <c r="K32" s="2271"/>
    </row>
    <row r="33" spans="1:11" ht="18.75" x14ac:dyDescent="0.25">
      <c r="A33" s="2484">
        <v>24</v>
      </c>
      <c r="B33" s="395">
        <v>5191421024</v>
      </c>
      <c r="C33" s="2524">
        <v>12</v>
      </c>
      <c r="D33" s="2524">
        <v>17</v>
      </c>
      <c r="E33" s="383">
        <v>10</v>
      </c>
      <c r="F33" s="2281" t="s">
        <v>27</v>
      </c>
      <c r="G33" s="2480">
        <f t="shared" si="0"/>
        <v>80</v>
      </c>
      <c r="K33" s="2271"/>
    </row>
    <row r="34" spans="1:11" ht="18.75" x14ac:dyDescent="0.25">
      <c r="A34" s="2484">
        <v>25</v>
      </c>
      <c r="B34" s="395">
        <v>5191421025</v>
      </c>
      <c r="C34" s="2524">
        <v>30</v>
      </c>
      <c r="D34" s="2524">
        <v>18</v>
      </c>
      <c r="E34" s="383">
        <v>10</v>
      </c>
      <c r="F34" s="2281" t="s">
        <v>30</v>
      </c>
      <c r="G34" s="2480">
        <f t="shared" si="0"/>
        <v>90</v>
      </c>
      <c r="K34" s="2271"/>
    </row>
    <row r="35" spans="1:11" ht="18.75" x14ac:dyDescent="0.25">
      <c r="A35" s="2484">
        <v>26</v>
      </c>
      <c r="B35" s="395">
        <v>5191421026</v>
      </c>
      <c r="C35" s="2524">
        <v>29</v>
      </c>
      <c r="D35" s="2524">
        <v>25</v>
      </c>
      <c r="E35" s="383">
        <v>10</v>
      </c>
      <c r="F35" s="2281" t="s">
        <v>30</v>
      </c>
      <c r="G35" s="2480">
        <f t="shared" si="0"/>
        <v>90</v>
      </c>
      <c r="K35" s="2271"/>
    </row>
    <row r="36" spans="1:11" ht="18.75" x14ac:dyDescent="0.25">
      <c r="A36" s="2484">
        <v>27</v>
      </c>
      <c r="B36" s="395">
        <v>5191421027</v>
      </c>
      <c r="C36" s="2524">
        <v>25</v>
      </c>
      <c r="D36" s="2524">
        <v>12</v>
      </c>
      <c r="E36" s="383">
        <v>10</v>
      </c>
      <c r="F36" s="2281" t="s">
        <v>30</v>
      </c>
      <c r="G36" s="2480">
        <f t="shared" si="0"/>
        <v>90</v>
      </c>
      <c r="K36" s="2271"/>
    </row>
    <row r="37" spans="1:11" ht="18.75" x14ac:dyDescent="0.25">
      <c r="A37" s="2484">
        <v>28</v>
      </c>
      <c r="B37" s="395">
        <v>5191421028</v>
      </c>
      <c r="C37" s="2524">
        <v>29</v>
      </c>
      <c r="D37" s="2524">
        <v>26</v>
      </c>
      <c r="E37" s="383">
        <v>10</v>
      </c>
      <c r="F37" s="2284" t="s">
        <v>82</v>
      </c>
      <c r="G37" s="2480">
        <f t="shared" si="0"/>
        <v>100</v>
      </c>
      <c r="K37" s="2271"/>
    </row>
    <row r="38" spans="1:11" ht="18.75" x14ac:dyDescent="0.25">
      <c r="A38" s="2484">
        <v>29</v>
      </c>
      <c r="B38" s="395">
        <v>5191421029</v>
      </c>
      <c r="C38" s="2524">
        <v>27</v>
      </c>
      <c r="D38" s="2524">
        <v>28</v>
      </c>
      <c r="E38" s="383">
        <v>10</v>
      </c>
      <c r="F38" s="2281" t="s">
        <v>30</v>
      </c>
      <c r="G38" s="2480">
        <f t="shared" si="0"/>
        <v>90</v>
      </c>
      <c r="K38" s="2271"/>
    </row>
    <row r="39" spans="1:11" ht="18.75" x14ac:dyDescent="0.25">
      <c r="A39" s="2484">
        <v>30</v>
      </c>
      <c r="B39" s="395">
        <v>5191421030</v>
      </c>
      <c r="C39" s="2524">
        <v>12</v>
      </c>
      <c r="D39" s="2524">
        <v>12</v>
      </c>
      <c r="E39" s="383">
        <v>10</v>
      </c>
      <c r="F39" s="2281" t="s">
        <v>33</v>
      </c>
      <c r="G39" s="2480">
        <f t="shared" si="0"/>
        <v>60</v>
      </c>
      <c r="K39" s="2271"/>
    </row>
    <row r="40" spans="1:11" ht="18.75" x14ac:dyDescent="0.25">
      <c r="A40" s="2484">
        <v>31</v>
      </c>
      <c r="B40" s="395">
        <v>5191421031</v>
      </c>
      <c r="C40" s="2524">
        <v>26</v>
      </c>
      <c r="D40" s="2524">
        <v>22</v>
      </c>
      <c r="E40" s="383">
        <v>10</v>
      </c>
      <c r="F40" s="2281" t="s">
        <v>27</v>
      </c>
      <c r="G40" s="2480">
        <f t="shared" si="0"/>
        <v>80</v>
      </c>
      <c r="K40" s="2271"/>
    </row>
    <row r="41" spans="1:11" ht="18.75" x14ac:dyDescent="0.25">
      <c r="A41" s="2484">
        <v>32</v>
      </c>
      <c r="B41" s="395">
        <v>5191421032</v>
      </c>
      <c r="C41" s="2524">
        <v>29</v>
      </c>
      <c r="D41" s="2524">
        <v>14</v>
      </c>
      <c r="E41" s="383">
        <v>10</v>
      </c>
      <c r="F41" s="2281" t="s">
        <v>32</v>
      </c>
      <c r="G41" s="2480">
        <f t="shared" si="0"/>
        <v>70</v>
      </c>
      <c r="K41" s="2271"/>
    </row>
    <row r="42" spans="1:11" ht="18.75" x14ac:dyDescent="0.25">
      <c r="A42" s="2484">
        <v>33</v>
      </c>
      <c r="B42" s="395">
        <v>5191421033</v>
      </c>
      <c r="C42" s="2524">
        <v>24</v>
      </c>
      <c r="D42" s="2524">
        <v>28</v>
      </c>
      <c r="E42" s="383">
        <v>10</v>
      </c>
      <c r="F42" s="2281" t="s">
        <v>32</v>
      </c>
      <c r="G42" s="2480">
        <f t="shared" si="0"/>
        <v>70</v>
      </c>
      <c r="K42" s="2271"/>
    </row>
    <row r="43" spans="1:11" ht="18.75" x14ac:dyDescent="0.25">
      <c r="A43" s="2484">
        <v>34</v>
      </c>
      <c r="B43" s="395">
        <v>5191421034</v>
      </c>
      <c r="C43" s="2524">
        <v>30</v>
      </c>
      <c r="D43" s="2524">
        <v>30</v>
      </c>
      <c r="E43" s="383">
        <v>10</v>
      </c>
      <c r="F43" s="2281" t="s">
        <v>30</v>
      </c>
      <c r="G43" s="2480">
        <f t="shared" si="0"/>
        <v>90</v>
      </c>
      <c r="K43" s="2271"/>
    </row>
    <row r="44" spans="1:11" ht="18.75" x14ac:dyDescent="0.25">
      <c r="A44" s="2484">
        <v>35</v>
      </c>
      <c r="B44" s="395">
        <v>5191421035</v>
      </c>
      <c r="C44" s="2524">
        <v>13</v>
      </c>
      <c r="D44" s="2524">
        <v>4</v>
      </c>
      <c r="E44" s="383">
        <v>10</v>
      </c>
      <c r="F44" s="2281" t="s">
        <v>31</v>
      </c>
      <c r="G44" s="2480">
        <f t="shared" si="0"/>
        <v>55</v>
      </c>
      <c r="K44" s="2271"/>
    </row>
    <row r="45" spans="1:11" ht="18.75" x14ac:dyDescent="0.25">
      <c r="A45" s="2484">
        <v>36</v>
      </c>
      <c r="B45" s="395">
        <v>5191421036</v>
      </c>
      <c r="C45" s="2524">
        <v>27</v>
      </c>
      <c r="D45" s="2524">
        <v>24</v>
      </c>
      <c r="E45" s="383">
        <v>10</v>
      </c>
      <c r="F45" s="2281" t="s">
        <v>27</v>
      </c>
      <c r="G45" s="2480">
        <f t="shared" si="0"/>
        <v>80</v>
      </c>
      <c r="K45" s="2271"/>
    </row>
    <row r="46" spans="1:11" ht="18.75" x14ac:dyDescent="0.25">
      <c r="A46" s="2484">
        <v>37</v>
      </c>
      <c r="B46" s="395">
        <v>5191421037</v>
      </c>
      <c r="C46" s="2524">
        <v>24</v>
      </c>
      <c r="D46" s="2524">
        <v>12</v>
      </c>
      <c r="E46" s="383">
        <v>10</v>
      </c>
      <c r="F46" s="2281" t="s">
        <v>32</v>
      </c>
      <c r="G46" s="2480">
        <f t="shared" si="0"/>
        <v>70</v>
      </c>
      <c r="K46" s="2271"/>
    </row>
    <row r="47" spans="1:11" ht="18.75" x14ac:dyDescent="0.25">
      <c r="A47" s="2484">
        <v>38</v>
      </c>
      <c r="B47" s="395">
        <v>5191421038</v>
      </c>
      <c r="C47" s="2524">
        <v>20</v>
      </c>
      <c r="D47" s="2524">
        <v>16</v>
      </c>
      <c r="E47" s="383">
        <v>10</v>
      </c>
      <c r="F47" s="2281" t="s">
        <v>32</v>
      </c>
      <c r="G47" s="2480">
        <f t="shared" si="0"/>
        <v>70</v>
      </c>
      <c r="K47" s="2271"/>
    </row>
    <row r="48" spans="1:11" ht="18.75" x14ac:dyDescent="0.25">
      <c r="A48" s="2484">
        <v>39</v>
      </c>
      <c r="B48" s="395">
        <v>5191421039</v>
      </c>
      <c r="C48" s="2524">
        <v>23</v>
      </c>
      <c r="D48" s="2524">
        <v>25</v>
      </c>
      <c r="E48" s="383">
        <v>10</v>
      </c>
      <c r="F48" s="2281" t="s">
        <v>30</v>
      </c>
      <c r="G48" s="2480">
        <f t="shared" si="0"/>
        <v>90</v>
      </c>
      <c r="K48" s="2271"/>
    </row>
    <row r="49" spans="1:11" ht="18.75" x14ac:dyDescent="0.25">
      <c r="A49" s="2484">
        <v>40</v>
      </c>
      <c r="B49" s="395">
        <v>5191421040</v>
      </c>
      <c r="C49" s="2524">
        <v>0</v>
      </c>
      <c r="D49" s="2524">
        <v>14</v>
      </c>
      <c r="E49" s="383">
        <v>10</v>
      </c>
      <c r="F49" s="2281" t="s">
        <v>32</v>
      </c>
      <c r="G49" s="2480">
        <f t="shared" si="0"/>
        <v>70</v>
      </c>
      <c r="K49" s="2271"/>
    </row>
    <row r="50" spans="1:11" ht="18.75" x14ac:dyDescent="0.25">
      <c r="A50" s="2484">
        <v>41</v>
      </c>
      <c r="B50" s="395">
        <v>5191421041</v>
      </c>
      <c r="C50" s="2524">
        <v>30</v>
      </c>
      <c r="D50" s="2524">
        <v>12</v>
      </c>
      <c r="E50" s="383">
        <v>10</v>
      </c>
      <c r="F50" s="2281" t="s">
        <v>32</v>
      </c>
      <c r="G50" s="2480">
        <f t="shared" si="0"/>
        <v>70</v>
      </c>
      <c r="K50" s="2271"/>
    </row>
    <row r="51" spans="1:11" ht="18.75" x14ac:dyDescent="0.25">
      <c r="A51" s="2484">
        <v>42</v>
      </c>
      <c r="B51" s="395">
        <v>5191421042</v>
      </c>
      <c r="C51" s="2524">
        <v>19</v>
      </c>
      <c r="D51" s="2524">
        <v>14</v>
      </c>
      <c r="E51" s="383">
        <v>10</v>
      </c>
      <c r="F51" s="2281" t="s">
        <v>33</v>
      </c>
      <c r="G51" s="2480">
        <f t="shared" si="0"/>
        <v>60</v>
      </c>
      <c r="K51" s="2271"/>
    </row>
    <row r="52" spans="1:11" ht="18.75" x14ac:dyDescent="0.25">
      <c r="A52" s="2484">
        <v>43</v>
      </c>
      <c r="B52" s="395">
        <v>5191421043</v>
      </c>
      <c r="C52" s="2524">
        <v>30</v>
      </c>
      <c r="D52" s="2524">
        <v>28</v>
      </c>
      <c r="E52" s="383">
        <v>10</v>
      </c>
      <c r="F52" s="2281" t="s">
        <v>27</v>
      </c>
      <c r="G52" s="2480">
        <f t="shared" si="0"/>
        <v>80</v>
      </c>
      <c r="K52" s="2271"/>
    </row>
    <row r="53" spans="1:11" ht="18.75" x14ac:dyDescent="0.25">
      <c r="A53" s="2484">
        <v>44</v>
      </c>
      <c r="B53" s="395">
        <v>5191421044</v>
      </c>
      <c r="C53" s="2524">
        <v>30</v>
      </c>
      <c r="D53" s="2524">
        <v>30</v>
      </c>
      <c r="E53" s="383">
        <v>10</v>
      </c>
      <c r="F53" s="2281" t="s">
        <v>30</v>
      </c>
      <c r="G53" s="2480">
        <f t="shared" si="0"/>
        <v>90</v>
      </c>
      <c r="K53" s="2271"/>
    </row>
    <row r="54" spans="1:11" ht="18.75" x14ac:dyDescent="0.25">
      <c r="A54" s="2484">
        <v>45</v>
      </c>
      <c r="B54" s="395">
        <v>5191421045</v>
      </c>
      <c r="C54" s="2524">
        <v>26</v>
      </c>
      <c r="D54" s="2524">
        <v>14</v>
      </c>
      <c r="E54" s="383">
        <v>10</v>
      </c>
      <c r="F54" s="2281" t="s">
        <v>32</v>
      </c>
      <c r="G54" s="2480">
        <f t="shared" si="0"/>
        <v>70</v>
      </c>
      <c r="K54" s="2271"/>
    </row>
    <row r="55" spans="1:11" ht="18.75" x14ac:dyDescent="0.25">
      <c r="A55" s="2484">
        <v>46</v>
      </c>
      <c r="B55" s="395">
        <v>5191421046</v>
      </c>
      <c r="C55" s="2524">
        <v>27</v>
      </c>
      <c r="D55" s="2524">
        <v>17</v>
      </c>
      <c r="E55" s="383">
        <v>10</v>
      </c>
      <c r="F55" s="2281" t="s">
        <v>30</v>
      </c>
      <c r="G55" s="2480">
        <f t="shared" si="0"/>
        <v>90</v>
      </c>
      <c r="K55" s="2271"/>
    </row>
    <row r="56" spans="1:11" ht="18.75" x14ac:dyDescent="0.25">
      <c r="A56" s="2484">
        <v>47</v>
      </c>
      <c r="B56" s="395">
        <v>5191421047</v>
      </c>
      <c r="C56" s="2524">
        <v>12</v>
      </c>
      <c r="D56" s="2524">
        <v>12</v>
      </c>
      <c r="E56" s="383">
        <v>10</v>
      </c>
      <c r="F56" s="2281" t="s">
        <v>31</v>
      </c>
      <c r="G56" s="2480">
        <f t="shared" si="0"/>
        <v>55</v>
      </c>
      <c r="K56" s="2271"/>
    </row>
    <row r="57" spans="1:11" ht="18.75" x14ac:dyDescent="0.25">
      <c r="A57" s="2484">
        <v>48</v>
      </c>
      <c r="B57" s="395">
        <v>5191421048</v>
      </c>
      <c r="C57" s="2524">
        <v>27</v>
      </c>
      <c r="D57" s="2524">
        <v>10</v>
      </c>
      <c r="E57" s="383">
        <v>10</v>
      </c>
      <c r="F57" s="2281" t="s">
        <v>32</v>
      </c>
      <c r="G57" s="2480">
        <f t="shared" si="0"/>
        <v>70</v>
      </c>
      <c r="K57" s="2271"/>
    </row>
    <row r="58" spans="1:11" ht="18.75" x14ac:dyDescent="0.25">
      <c r="A58" s="2484">
        <v>49</v>
      </c>
      <c r="B58" s="395">
        <v>5191421049</v>
      </c>
      <c r="C58" s="2524">
        <v>0</v>
      </c>
      <c r="D58" s="2524">
        <v>16</v>
      </c>
      <c r="E58" s="383">
        <v>10</v>
      </c>
      <c r="F58" s="2281" t="s">
        <v>27</v>
      </c>
      <c r="G58" s="2480">
        <f t="shared" si="0"/>
        <v>80</v>
      </c>
      <c r="K58" s="2271"/>
    </row>
    <row r="59" spans="1:11" ht="18.75" x14ac:dyDescent="0.25">
      <c r="A59" s="2484">
        <v>50</v>
      </c>
      <c r="B59" s="395">
        <v>5191421050</v>
      </c>
      <c r="C59" s="2524">
        <v>12</v>
      </c>
      <c r="D59" s="2524">
        <v>14</v>
      </c>
      <c r="E59" s="383">
        <v>10</v>
      </c>
      <c r="F59" s="2281" t="s">
        <v>32</v>
      </c>
      <c r="G59" s="2480">
        <f t="shared" si="0"/>
        <v>70</v>
      </c>
      <c r="K59" s="2271"/>
    </row>
    <row r="60" spans="1:11" ht="18.75" x14ac:dyDescent="0.25">
      <c r="A60" s="2484">
        <v>51</v>
      </c>
      <c r="B60" s="395">
        <v>5191421051</v>
      </c>
      <c r="C60" s="2524">
        <v>17</v>
      </c>
      <c r="D60" s="2524">
        <v>17</v>
      </c>
      <c r="E60" s="383">
        <v>10</v>
      </c>
      <c r="F60" s="2281" t="s">
        <v>32</v>
      </c>
      <c r="G60" s="2480">
        <f t="shared" si="0"/>
        <v>70</v>
      </c>
      <c r="K60" s="2271"/>
    </row>
    <row r="61" spans="1:11" ht="18.75" x14ac:dyDescent="0.25">
      <c r="A61" s="2484">
        <v>52</v>
      </c>
      <c r="B61" s="395">
        <v>5191421052</v>
      </c>
      <c r="C61" s="2524">
        <v>22</v>
      </c>
      <c r="D61" s="2524">
        <v>14</v>
      </c>
      <c r="E61" s="383">
        <v>10</v>
      </c>
      <c r="F61" s="2281" t="s">
        <v>32</v>
      </c>
      <c r="G61" s="2480">
        <f t="shared" si="0"/>
        <v>70</v>
      </c>
      <c r="K61" s="2271"/>
    </row>
    <row r="62" spans="1:11" ht="18.75" x14ac:dyDescent="0.25">
      <c r="A62" s="2484">
        <v>53</v>
      </c>
      <c r="B62" s="395">
        <v>5191421053</v>
      </c>
      <c r="C62" s="2524">
        <v>23</v>
      </c>
      <c r="D62" s="2524">
        <v>15</v>
      </c>
      <c r="E62" s="383">
        <v>10</v>
      </c>
      <c r="F62" s="2281" t="s">
        <v>32</v>
      </c>
      <c r="G62" s="2480">
        <f t="shared" si="0"/>
        <v>70</v>
      </c>
      <c r="K62" s="2271"/>
    </row>
    <row r="63" spans="1:11" ht="18.75" x14ac:dyDescent="0.25">
      <c r="A63" s="2484">
        <v>54</v>
      </c>
      <c r="B63" s="395">
        <v>5191421054</v>
      </c>
      <c r="C63" s="2524">
        <v>12</v>
      </c>
      <c r="D63" s="2524">
        <v>18</v>
      </c>
      <c r="E63" s="383">
        <v>10</v>
      </c>
      <c r="F63" s="2281" t="s">
        <v>30</v>
      </c>
      <c r="G63" s="2480">
        <f t="shared" si="0"/>
        <v>90</v>
      </c>
      <c r="K63" s="2271"/>
    </row>
    <row r="64" spans="1:11" ht="18.75" x14ac:dyDescent="0.25">
      <c r="A64" s="2484">
        <v>55</v>
      </c>
      <c r="B64" s="395">
        <v>5191421055</v>
      </c>
      <c r="C64" s="2524">
        <v>20</v>
      </c>
      <c r="D64" s="2524">
        <v>12</v>
      </c>
      <c r="E64" s="383">
        <v>10</v>
      </c>
      <c r="F64" s="2281" t="s">
        <v>33</v>
      </c>
      <c r="G64" s="2480">
        <f t="shared" si="0"/>
        <v>60</v>
      </c>
      <c r="K64" s="2271"/>
    </row>
    <row r="65" spans="1:11" ht="18.75" x14ac:dyDescent="0.25">
      <c r="A65" s="2484">
        <v>56</v>
      </c>
      <c r="B65" s="395">
        <v>5191421056</v>
      </c>
      <c r="C65" s="2524">
        <v>26</v>
      </c>
      <c r="D65" s="2524">
        <v>17</v>
      </c>
      <c r="E65" s="383">
        <v>10</v>
      </c>
      <c r="F65" s="2281" t="s">
        <v>32</v>
      </c>
      <c r="G65" s="2480">
        <f t="shared" si="0"/>
        <v>70</v>
      </c>
      <c r="K65" s="2271"/>
    </row>
    <row r="66" spans="1:11" ht="18.75" x14ac:dyDescent="0.25">
      <c r="A66" s="2484">
        <v>57</v>
      </c>
      <c r="B66" s="395">
        <v>5191421057</v>
      </c>
      <c r="C66" s="2524">
        <v>21</v>
      </c>
      <c r="D66" s="2524">
        <v>16</v>
      </c>
      <c r="E66" s="383">
        <v>10</v>
      </c>
      <c r="F66" s="2282" t="s">
        <v>27</v>
      </c>
      <c r="G66" s="2480">
        <f t="shared" si="0"/>
        <v>80</v>
      </c>
      <c r="K66" s="2271"/>
    </row>
    <row r="67" spans="1:11" ht="18.75" x14ac:dyDescent="0.25">
      <c r="A67" s="2484">
        <v>58</v>
      </c>
      <c r="B67" s="395">
        <v>5191421058</v>
      </c>
      <c r="C67" s="2524">
        <v>20</v>
      </c>
      <c r="D67" s="2524">
        <v>14</v>
      </c>
      <c r="E67" s="383">
        <v>10</v>
      </c>
      <c r="F67" s="2283" t="s">
        <v>29</v>
      </c>
      <c r="G67" s="2480">
        <f t="shared" si="0"/>
        <v>39</v>
      </c>
      <c r="K67" s="2271"/>
    </row>
    <row r="68" spans="1:11" x14ac:dyDescent="0.25">
      <c r="C68" s="2490">
        <f t="shared" ref="C68:D68" si="1">COUNT(C11:C67)</f>
        <v>57</v>
      </c>
      <c r="D68" s="2490">
        <f t="shared" si="1"/>
        <v>57</v>
      </c>
      <c r="E68" s="2490">
        <f t="shared" ref="E68" si="2">COUNT(E10:E67)</f>
        <v>58</v>
      </c>
      <c r="K68" s="2271"/>
    </row>
    <row r="69" spans="1:11" ht="19.5" customHeight="1" x14ac:dyDescent="0.25">
      <c r="A69" s="328" t="s">
        <v>34</v>
      </c>
      <c r="B69" s="2479">
        <v>50</v>
      </c>
      <c r="C69" s="2491">
        <f>C9*(B69/100)</f>
        <v>15</v>
      </c>
      <c r="D69" s="2491">
        <f>D9*(B69/100)</f>
        <v>15</v>
      </c>
      <c r="E69" s="2491">
        <f>E9*(B69/100)</f>
        <v>5</v>
      </c>
      <c r="K69" s="2271"/>
    </row>
    <row r="70" spans="1:11" ht="32.25" customHeight="1" x14ac:dyDescent="0.25">
      <c r="A70" s="3075" t="s">
        <v>35</v>
      </c>
      <c r="B70" s="3075"/>
      <c r="C70" s="2490">
        <f t="shared" ref="C70:E70" si="3">COUNTIF(C11:C67,"&gt;=" &amp;C69)</f>
        <v>45</v>
      </c>
      <c r="D70" s="2490">
        <f t="shared" si="3"/>
        <v>33</v>
      </c>
      <c r="E70" s="2490">
        <f t="shared" si="3"/>
        <v>57</v>
      </c>
      <c r="F70" s="2490"/>
      <c r="G70" s="2490">
        <f>COUNTIF(G10:G67,"&gt;="&amp;B69)</f>
        <v>57</v>
      </c>
      <c r="K70" s="2271"/>
    </row>
    <row r="71" spans="1:11" ht="30" customHeight="1" x14ac:dyDescent="0.25">
      <c r="A71" s="3061" t="s">
        <v>36</v>
      </c>
      <c r="B71" s="3061"/>
      <c r="C71" s="2490">
        <f t="shared" ref="C71:E71" si="4">C70/C68</f>
        <v>0.78947368421052633</v>
      </c>
      <c r="D71" s="2490">
        <f t="shared" si="4"/>
        <v>0.57894736842105265</v>
      </c>
      <c r="E71" s="2490">
        <f t="shared" si="4"/>
        <v>0.98275862068965514</v>
      </c>
      <c r="F71" s="2490"/>
      <c r="G71" s="2490">
        <f>(G70/A67)*100</f>
        <v>98.275862068965509</v>
      </c>
      <c r="K71" s="2271"/>
    </row>
    <row r="72" spans="1:11" x14ac:dyDescent="0.25">
      <c r="C72" s="818" t="s">
        <v>407</v>
      </c>
      <c r="D72" s="2487" t="s">
        <v>408</v>
      </c>
      <c r="E72" s="818" t="s">
        <v>409</v>
      </c>
      <c r="F72" s="2490"/>
      <c r="G72" s="2490"/>
      <c r="K72" s="2271"/>
    </row>
    <row r="74" spans="1:11" x14ac:dyDescent="0.25">
      <c r="D74" s="2479" t="s">
        <v>38</v>
      </c>
      <c r="E74" s="2837" t="s">
        <v>39</v>
      </c>
      <c r="F74" s="2837"/>
      <c r="G74" s="2837" t="s">
        <v>37</v>
      </c>
      <c r="H74" s="2837"/>
      <c r="I74" s="2479"/>
    </row>
    <row r="75" spans="1:11" x14ac:dyDescent="0.25">
      <c r="B75" s="2479" t="s">
        <v>22</v>
      </c>
      <c r="C75" s="2490">
        <f>AVERAGE(C71,E71)*100</f>
        <v>88.611615245009062</v>
      </c>
      <c r="D75" s="2490">
        <f t="shared" ref="D75:D78" si="5">IF(C75&gt;=70,3,IF(AND(C75&gt;=60,C75&lt;70),2,IF(AND(C75&gt;=50,C75&lt;60),1)))</f>
        <v>3</v>
      </c>
      <c r="E75" s="2286">
        <f>IF(G71&gt;=70,3,IF(AND(G71&gt;=60,G71&lt;70),2,IF(AND(G71&gt;=50,G71&lt;60),1)))</f>
        <v>3</v>
      </c>
      <c r="F75" s="2286"/>
      <c r="G75" s="2286">
        <f>(70/100)*E75+(30/100)*D75</f>
        <v>2.9999999999999996</v>
      </c>
      <c r="H75" s="2286"/>
      <c r="I75" s="2286"/>
    </row>
    <row r="76" spans="1:11" x14ac:dyDescent="0.25">
      <c r="B76" s="2479" t="s">
        <v>40</v>
      </c>
      <c r="C76" s="2490">
        <f>AVERAGE(C71,E71)*100</f>
        <v>88.611615245009062</v>
      </c>
      <c r="D76" s="2490">
        <f t="shared" si="5"/>
        <v>3</v>
      </c>
      <c r="E76" s="2286">
        <f>IF(G71&gt;=70,3,IF(AND(G71&gt;=60,G71&lt;70),2,IF(AND(G71&gt;=50,G71&lt;60),1)))</f>
        <v>3</v>
      </c>
      <c r="F76" s="2286"/>
      <c r="G76" s="2286">
        <f t="shared" ref="G76:G78" si="6">(70/100)*E76+(30/100)*D76</f>
        <v>2.9999999999999996</v>
      </c>
      <c r="H76" s="2286"/>
      <c r="I76" s="2286"/>
    </row>
    <row r="77" spans="1:11" x14ac:dyDescent="0.25">
      <c r="B77" s="2479" t="s">
        <v>41</v>
      </c>
      <c r="C77" s="2490">
        <f>AVERAGE(C71,D71,E71)*100</f>
        <v>78.372655777374462</v>
      </c>
      <c r="D77" s="2490">
        <f t="shared" si="5"/>
        <v>3</v>
      </c>
      <c r="E77" s="2286">
        <f>IF(G71&gt;=70,3,IF(AND(G71&gt;=60,G71&lt;70),2,IF(AND(G71&gt;=50,G71&lt;60),1)))</f>
        <v>3</v>
      </c>
      <c r="F77" s="2286"/>
      <c r="G77" s="2286">
        <f t="shared" si="6"/>
        <v>2.9999999999999996</v>
      </c>
      <c r="H77" s="2286"/>
      <c r="I77" s="2286"/>
    </row>
    <row r="78" spans="1:11" x14ac:dyDescent="0.25">
      <c r="B78" s="2479" t="s">
        <v>42</v>
      </c>
      <c r="C78" s="2490">
        <f>AVERAGE(D71,E71)*100</f>
        <v>78.085299455535392</v>
      </c>
      <c r="D78" s="2490">
        <f t="shared" si="5"/>
        <v>3</v>
      </c>
      <c r="E78" s="2286">
        <f>IF(G71&gt;=70,3,IF(AND(G71&gt;=60,G71&lt;70),2,IF(AND(G71&gt;=50,G71&lt;60),1)))</f>
        <v>3</v>
      </c>
      <c r="F78" s="2286"/>
      <c r="G78" s="2286">
        <f t="shared" si="6"/>
        <v>2.9999999999999996</v>
      </c>
      <c r="H78" s="2286"/>
      <c r="I78" s="2286"/>
    </row>
    <row r="79" spans="1:11" x14ac:dyDescent="0.25">
      <c r="B79" s="2872" t="s">
        <v>44</v>
      </c>
      <c r="C79" s="2872"/>
      <c r="D79" s="2872"/>
      <c r="E79" s="2872"/>
      <c r="F79" s="2872"/>
      <c r="G79" s="342">
        <f>AVERAGE(G75:G78)</f>
        <v>2.9999999999999996</v>
      </c>
      <c r="H79" s="342"/>
      <c r="I79" s="342"/>
    </row>
    <row r="81" spans="1:15" x14ac:dyDescent="0.25">
      <c r="A81" s="3041" t="s">
        <v>134</v>
      </c>
      <c r="B81" s="3041"/>
      <c r="C81" s="794"/>
      <c r="D81" s="794"/>
      <c r="E81" s="794"/>
      <c r="F81" s="794"/>
      <c r="G81" s="794"/>
      <c r="H81" s="794"/>
      <c r="I81" s="794"/>
      <c r="J81" s="794"/>
      <c r="K81" s="807"/>
      <c r="L81" s="794"/>
      <c r="M81" s="794"/>
      <c r="N81" s="794"/>
      <c r="O81" s="794"/>
    </row>
    <row r="82" spans="1:15" x14ac:dyDescent="0.25">
      <c r="A82" s="794"/>
      <c r="B82" s="794"/>
      <c r="C82" s="794"/>
      <c r="D82" s="794"/>
      <c r="E82" s="794"/>
      <c r="F82" s="794"/>
      <c r="G82" s="794"/>
      <c r="H82" s="794"/>
      <c r="I82" s="794"/>
      <c r="J82" s="794"/>
      <c r="K82" s="807"/>
      <c r="L82" s="794"/>
      <c r="M82" s="794"/>
      <c r="N82" s="794"/>
      <c r="O82" s="794"/>
    </row>
    <row r="83" spans="1:15" x14ac:dyDescent="0.25">
      <c r="A83" s="794"/>
      <c r="B83" s="317" t="s">
        <v>45</v>
      </c>
      <c r="C83" s="313" t="s">
        <v>68</v>
      </c>
      <c r="D83" s="313" t="s">
        <v>69</v>
      </c>
      <c r="E83" s="313" t="s">
        <v>70</v>
      </c>
      <c r="F83" s="313" t="s">
        <v>71</v>
      </c>
      <c r="G83" s="313" t="s">
        <v>72</v>
      </c>
      <c r="H83" s="313" t="s">
        <v>73</v>
      </c>
      <c r="I83" s="313" t="s">
        <v>74</v>
      </c>
      <c r="J83" s="315" t="s">
        <v>75</v>
      </c>
      <c r="K83" s="313" t="s">
        <v>76</v>
      </c>
      <c r="L83" s="313" t="s">
        <v>77</v>
      </c>
      <c r="M83" s="313" t="s">
        <v>78</v>
      </c>
      <c r="N83" s="313" t="s">
        <v>79</v>
      </c>
    </row>
    <row r="84" spans="1:15" x14ac:dyDescent="0.25">
      <c r="A84" s="794"/>
      <c r="B84" s="314" t="s">
        <v>20</v>
      </c>
      <c r="C84" s="2270">
        <v>3</v>
      </c>
      <c r="D84" s="2270">
        <v>3</v>
      </c>
      <c r="E84" s="2270">
        <v>2</v>
      </c>
      <c r="F84" s="2270">
        <v>2</v>
      </c>
      <c r="G84" s="2270">
        <v>1</v>
      </c>
      <c r="H84" s="2270"/>
      <c r="I84" s="2270"/>
      <c r="J84" s="2270"/>
      <c r="K84" s="2270"/>
      <c r="L84" s="2270"/>
      <c r="M84" s="2270"/>
      <c r="N84" s="2270">
        <v>2</v>
      </c>
    </row>
    <row r="85" spans="1:15" x14ac:dyDescent="0.25">
      <c r="A85" s="794"/>
      <c r="B85" s="314" t="s">
        <v>21</v>
      </c>
      <c r="C85" s="2270">
        <v>3</v>
      </c>
      <c r="D85" s="2270">
        <v>3</v>
      </c>
      <c r="E85" s="2270">
        <v>2</v>
      </c>
      <c r="F85" s="2270">
        <v>3</v>
      </c>
      <c r="G85" s="2270">
        <v>1</v>
      </c>
      <c r="H85" s="2270"/>
      <c r="I85" s="2270"/>
      <c r="J85" s="2270"/>
      <c r="K85" s="2270"/>
      <c r="L85" s="2270"/>
      <c r="M85" s="2270"/>
      <c r="N85" s="2270">
        <v>2</v>
      </c>
    </row>
    <row r="86" spans="1:15" x14ac:dyDescent="0.25">
      <c r="A86" s="794"/>
      <c r="B86" s="314" t="s">
        <v>23</v>
      </c>
      <c r="C86" s="2270">
        <v>3</v>
      </c>
      <c r="D86" s="2270">
        <v>3</v>
      </c>
      <c r="E86" s="2270">
        <v>2</v>
      </c>
      <c r="F86" s="2270">
        <v>3</v>
      </c>
      <c r="G86" s="2270">
        <v>2</v>
      </c>
      <c r="H86" s="2270"/>
      <c r="I86" s="2270"/>
      <c r="J86" s="2270"/>
      <c r="K86" s="2270"/>
      <c r="L86" s="2270"/>
      <c r="M86" s="2270"/>
      <c r="N86" s="2270">
        <v>2</v>
      </c>
    </row>
    <row r="87" spans="1:15" x14ac:dyDescent="0.25">
      <c r="A87" s="794"/>
      <c r="B87" s="314" t="s">
        <v>25</v>
      </c>
      <c r="C87" s="2270">
        <v>3</v>
      </c>
      <c r="D87" s="2270">
        <v>3</v>
      </c>
      <c r="E87" s="2270">
        <v>1</v>
      </c>
      <c r="F87" s="2270">
        <v>2</v>
      </c>
      <c r="G87" s="2270">
        <v>1</v>
      </c>
      <c r="H87" s="2270"/>
      <c r="I87" s="2270"/>
      <c r="J87" s="2270"/>
      <c r="K87" s="2270"/>
      <c r="L87" s="2270"/>
      <c r="M87" s="2270"/>
      <c r="N87" s="2270">
        <v>2</v>
      </c>
    </row>
    <row r="88" spans="1:15" x14ac:dyDescent="0.25">
      <c r="A88" s="794"/>
      <c r="B88" s="2483" t="s">
        <v>10</v>
      </c>
      <c r="C88" s="724">
        <f t="shared" ref="C88:G88" si="7">AVERAGE(C84:C87)</f>
        <v>3</v>
      </c>
      <c r="D88" s="724">
        <f t="shared" si="7"/>
        <v>3</v>
      </c>
      <c r="E88" s="724">
        <f t="shared" si="7"/>
        <v>1.75</v>
      </c>
      <c r="F88" s="724">
        <f t="shared" si="7"/>
        <v>2.5</v>
      </c>
      <c r="G88" s="724">
        <f t="shared" si="7"/>
        <v>1.25</v>
      </c>
      <c r="H88" s="724"/>
      <c r="I88" s="724"/>
      <c r="J88" s="724"/>
      <c r="K88" s="724"/>
      <c r="L88" s="724"/>
      <c r="M88" s="724"/>
      <c r="N88" s="724">
        <f>AVERAGE(N84:N87)</f>
        <v>2</v>
      </c>
    </row>
    <row r="89" spans="1:15" x14ac:dyDescent="0.25">
      <c r="A89" s="794"/>
      <c r="B89" s="2483" t="s">
        <v>58</v>
      </c>
      <c r="C89" s="3057">
        <f>AVERAGE(C88:N88)</f>
        <v>2.25</v>
      </c>
      <c r="D89" s="3058"/>
      <c r="E89" s="3058"/>
      <c r="F89" s="3058"/>
      <c r="G89" s="3058"/>
      <c r="H89" s="3058"/>
      <c r="I89" s="3058"/>
      <c r="J89" s="3058"/>
      <c r="K89" s="3058"/>
      <c r="L89" s="3058"/>
      <c r="M89" s="3058"/>
      <c r="N89" s="3058"/>
      <c r="O89" s="323"/>
    </row>
    <row r="90" spans="1:15" x14ac:dyDescent="0.25">
      <c r="A90" s="794"/>
      <c r="B90" s="794"/>
      <c r="C90" s="336"/>
      <c r="D90" s="794"/>
      <c r="E90" s="794"/>
      <c r="F90" s="794"/>
      <c r="G90" s="794"/>
      <c r="H90" s="794"/>
      <c r="I90" s="794"/>
      <c r="J90" s="794"/>
      <c r="K90" s="807"/>
      <c r="L90" s="794"/>
      <c r="M90" s="794"/>
      <c r="N90" s="794"/>
      <c r="O90" s="794"/>
    </row>
    <row r="91" spans="1:15" x14ac:dyDescent="0.25">
      <c r="A91" s="794"/>
      <c r="B91" s="794"/>
      <c r="C91" s="794"/>
      <c r="D91" s="794"/>
      <c r="E91" s="794"/>
      <c r="F91" s="794"/>
      <c r="G91" s="794"/>
      <c r="H91" s="794"/>
      <c r="I91" s="794"/>
      <c r="J91" s="794"/>
      <c r="K91" s="807"/>
      <c r="L91" s="794"/>
      <c r="M91" s="794"/>
      <c r="N91" s="794"/>
      <c r="O91" s="794"/>
    </row>
    <row r="92" spans="1:15" x14ac:dyDescent="0.25">
      <c r="A92" s="3041" t="s">
        <v>148</v>
      </c>
      <c r="B92" s="3041"/>
      <c r="C92" s="794"/>
      <c r="D92" s="794"/>
      <c r="E92" s="794"/>
      <c r="F92" s="794"/>
      <c r="G92" s="794"/>
      <c r="H92" s="794"/>
      <c r="I92" s="794"/>
      <c r="J92" s="794"/>
      <c r="K92" s="807"/>
      <c r="L92" s="794"/>
      <c r="M92" s="794"/>
      <c r="N92" s="794"/>
      <c r="O92" s="794"/>
    </row>
    <row r="93" spans="1:15" x14ac:dyDescent="0.25">
      <c r="A93" s="794"/>
      <c r="B93" s="794"/>
      <c r="C93" s="794"/>
      <c r="D93" s="794"/>
      <c r="E93" s="794"/>
      <c r="F93" s="794"/>
      <c r="G93" s="794"/>
      <c r="H93" s="794"/>
      <c r="I93" s="794"/>
      <c r="J93" s="794"/>
      <c r="K93" s="807"/>
      <c r="L93" s="794"/>
      <c r="M93" s="794"/>
      <c r="N93" s="794"/>
      <c r="O93" s="794"/>
    </row>
    <row r="94" spans="1:15" x14ac:dyDescent="0.25">
      <c r="A94" s="794"/>
      <c r="B94" s="317" t="s">
        <v>45</v>
      </c>
      <c r="C94" s="313" t="s">
        <v>68</v>
      </c>
      <c r="D94" s="313" t="s">
        <v>69</v>
      </c>
      <c r="E94" s="313" t="s">
        <v>70</v>
      </c>
      <c r="F94" s="313" t="s">
        <v>71</v>
      </c>
      <c r="G94" s="313" t="s">
        <v>72</v>
      </c>
      <c r="H94" s="313" t="s">
        <v>73</v>
      </c>
      <c r="I94" s="313" t="s">
        <v>74</v>
      </c>
      <c r="J94" s="315" t="s">
        <v>75</v>
      </c>
      <c r="K94" s="313" t="s">
        <v>76</v>
      </c>
      <c r="L94" s="313" t="s">
        <v>77</v>
      </c>
      <c r="M94" s="313" t="s">
        <v>78</v>
      </c>
      <c r="N94" s="313" t="s">
        <v>79</v>
      </c>
    </row>
    <row r="95" spans="1:15" x14ac:dyDescent="0.25">
      <c r="A95" s="794"/>
      <c r="B95" s="314" t="s">
        <v>20</v>
      </c>
      <c r="C95" s="318">
        <f>G75*C84/3</f>
        <v>2.9999999999999996</v>
      </c>
      <c r="D95" s="318">
        <f>G75*D84/3</f>
        <v>2.9999999999999996</v>
      </c>
      <c r="E95" s="318">
        <f>G75*E84/3</f>
        <v>1.9999999999999998</v>
      </c>
      <c r="F95" s="318">
        <f>G75*F84/3</f>
        <v>1.9999999999999998</v>
      </c>
      <c r="G95" s="318">
        <f>G75*G84/3</f>
        <v>0.99999999999999989</v>
      </c>
      <c r="H95" s="318"/>
      <c r="I95" s="318"/>
      <c r="J95" s="318"/>
      <c r="K95" s="318"/>
      <c r="L95" s="318"/>
      <c r="M95" s="318"/>
      <c r="N95" s="318">
        <f>G75*N84/3</f>
        <v>1.9999999999999998</v>
      </c>
    </row>
    <row r="96" spans="1:15" x14ac:dyDescent="0.25">
      <c r="A96" s="794"/>
      <c r="B96" s="314" t="s">
        <v>21</v>
      </c>
      <c r="C96" s="318">
        <f>G76*C85/3</f>
        <v>2.9999999999999996</v>
      </c>
      <c r="D96" s="318">
        <f>G76*D85/3</f>
        <v>2.9999999999999996</v>
      </c>
      <c r="E96" s="318">
        <f>G76*E85/3</f>
        <v>1.9999999999999998</v>
      </c>
      <c r="F96" s="318">
        <f>G76*F85/3</f>
        <v>2.9999999999999996</v>
      </c>
      <c r="G96" s="318">
        <f>G76*G85/3</f>
        <v>0.99999999999999989</v>
      </c>
      <c r="H96" s="318"/>
      <c r="I96" s="318"/>
      <c r="J96" s="318"/>
      <c r="K96" s="318"/>
      <c r="L96" s="318"/>
      <c r="M96" s="318"/>
      <c r="N96" s="318">
        <f>G76*N85/3</f>
        <v>1.9999999999999998</v>
      </c>
    </row>
    <row r="97" spans="1:15" x14ac:dyDescent="0.25">
      <c r="A97" s="794"/>
      <c r="B97" s="314" t="s">
        <v>23</v>
      </c>
      <c r="C97" s="318">
        <f>G77*C86/3</f>
        <v>2.9999999999999996</v>
      </c>
      <c r="D97" s="318">
        <f>G77*D86/3</f>
        <v>2.9999999999999996</v>
      </c>
      <c r="E97" s="318">
        <f>G77*E86/3</f>
        <v>1.9999999999999998</v>
      </c>
      <c r="F97" s="318">
        <f>G77*F86/3</f>
        <v>2.9999999999999996</v>
      </c>
      <c r="G97" s="318">
        <f>G77*G86/3</f>
        <v>1.9999999999999998</v>
      </c>
      <c r="H97" s="318"/>
      <c r="I97" s="318"/>
      <c r="J97" s="318"/>
      <c r="K97" s="318"/>
      <c r="L97" s="318"/>
      <c r="M97" s="318"/>
      <c r="N97" s="318">
        <f>G77*N86/3</f>
        <v>1.9999999999999998</v>
      </c>
    </row>
    <row r="98" spans="1:15" x14ac:dyDescent="0.25">
      <c r="A98" s="794"/>
      <c r="B98" s="314" t="s">
        <v>25</v>
      </c>
      <c r="C98" s="318">
        <f>G78*C87/3</f>
        <v>2.9999999999999996</v>
      </c>
      <c r="D98" s="318">
        <f>G78*D87/3</f>
        <v>2.9999999999999996</v>
      </c>
      <c r="E98" s="318">
        <f>G78*E87/3</f>
        <v>0.99999999999999989</v>
      </c>
      <c r="F98" s="318">
        <f>G78*F87/3</f>
        <v>1.9999999999999998</v>
      </c>
      <c r="G98" s="318">
        <f>G78*G87/3</f>
        <v>0.99999999999999989</v>
      </c>
      <c r="H98" s="318"/>
      <c r="I98" s="318"/>
      <c r="J98" s="318"/>
      <c r="K98" s="318"/>
      <c r="L98" s="318"/>
      <c r="M98" s="318"/>
      <c r="N98" s="318">
        <f>G78*N87/3</f>
        <v>1.9999999999999998</v>
      </c>
    </row>
    <row r="99" spans="1:15" x14ac:dyDescent="0.25">
      <c r="A99" s="794"/>
      <c r="B99" s="2483" t="s">
        <v>10</v>
      </c>
      <c r="C99" s="339">
        <f t="shared" ref="C99:G99" si="8">AVERAGE(C95:C98)</f>
        <v>2.9999999999999996</v>
      </c>
      <c r="D99" s="339">
        <f t="shared" si="8"/>
        <v>2.9999999999999996</v>
      </c>
      <c r="E99" s="339">
        <f t="shared" si="8"/>
        <v>1.7499999999999998</v>
      </c>
      <c r="F99" s="339">
        <f t="shared" si="8"/>
        <v>2.4999999999999996</v>
      </c>
      <c r="G99" s="339">
        <f t="shared" si="8"/>
        <v>1.2499999999999998</v>
      </c>
      <c r="H99" s="339"/>
      <c r="I99" s="339"/>
      <c r="J99" s="339"/>
      <c r="K99" s="339"/>
      <c r="L99" s="339"/>
      <c r="M99" s="339"/>
      <c r="N99" s="339">
        <f>AVERAGE(N95:N98)</f>
        <v>1.9999999999999998</v>
      </c>
    </row>
    <row r="100" spans="1:15" x14ac:dyDescent="0.25">
      <c r="A100" s="794"/>
      <c r="B100" s="2483" t="s">
        <v>58</v>
      </c>
      <c r="C100" s="3059">
        <f>AVERAGE(C99:N99)</f>
        <v>2.2499999999999996</v>
      </c>
      <c r="D100" s="3060"/>
      <c r="E100" s="3060"/>
      <c r="F100" s="3060"/>
      <c r="G100" s="3060"/>
      <c r="H100" s="3060"/>
      <c r="I100" s="3060"/>
      <c r="J100" s="3060"/>
      <c r="K100" s="3060"/>
      <c r="L100" s="3060"/>
      <c r="M100" s="3060"/>
      <c r="N100" s="3060"/>
      <c r="O100" s="350"/>
    </row>
    <row r="101" spans="1:15" x14ac:dyDescent="0.25">
      <c r="A101" s="794"/>
      <c r="B101" s="794"/>
      <c r="C101" s="794"/>
      <c r="D101" s="794"/>
      <c r="E101" s="794"/>
      <c r="F101" s="794"/>
      <c r="G101" s="794"/>
      <c r="H101" s="794"/>
      <c r="I101" s="794"/>
      <c r="J101" s="794"/>
      <c r="K101" s="807"/>
      <c r="L101" s="794"/>
      <c r="M101" s="794"/>
      <c r="N101" s="794"/>
      <c r="O101" s="794"/>
    </row>
    <row r="102" spans="1:15" x14ac:dyDescent="0.25">
      <c r="A102" s="3041" t="s">
        <v>137</v>
      </c>
      <c r="B102" s="3041"/>
      <c r="C102" s="732"/>
      <c r="D102" s="732"/>
      <c r="E102" s="794"/>
      <c r="F102" s="794"/>
      <c r="G102" s="794"/>
      <c r="H102" s="794"/>
      <c r="I102" s="794"/>
      <c r="J102" s="3041" t="s">
        <v>149</v>
      </c>
      <c r="K102" s="3041"/>
      <c r="L102" s="732"/>
      <c r="M102" s="732"/>
      <c r="N102" s="794"/>
      <c r="O102" s="794"/>
    </row>
    <row r="103" spans="1:15" x14ac:dyDescent="0.25">
      <c r="A103" s="798"/>
      <c r="B103" s="798"/>
      <c r="C103" s="732"/>
      <c r="D103" s="732"/>
      <c r="E103" s="794"/>
      <c r="F103" s="794"/>
      <c r="G103" s="794"/>
      <c r="H103" s="794"/>
      <c r="I103" s="794"/>
      <c r="J103" s="798"/>
      <c r="K103" s="808"/>
      <c r="L103" s="732"/>
      <c r="M103" s="732"/>
      <c r="N103" s="794"/>
      <c r="O103" s="794"/>
    </row>
    <row r="104" spans="1:15" x14ac:dyDescent="0.25">
      <c r="A104" s="794"/>
      <c r="B104" s="317" t="s">
        <v>59</v>
      </c>
      <c r="C104" s="313" t="s">
        <v>60</v>
      </c>
      <c r="D104" s="313" t="s">
        <v>61</v>
      </c>
      <c r="E104" s="313" t="s">
        <v>62</v>
      </c>
      <c r="F104" s="794"/>
      <c r="G104" s="794"/>
      <c r="H104" s="794"/>
      <c r="I104" s="794"/>
      <c r="J104" s="794"/>
      <c r="K104" s="95" t="s">
        <v>59</v>
      </c>
      <c r="L104" s="313" t="s">
        <v>60</v>
      </c>
      <c r="M104" s="313" t="s">
        <v>61</v>
      </c>
      <c r="N104" s="313" t="s">
        <v>62</v>
      </c>
      <c r="O104" s="794"/>
    </row>
    <row r="105" spans="1:15" x14ac:dyDescent="0.25">
      <c r="A105" s="794"/>
      <c r="B105" s="799" t="s">
        <v>20</v>
      </c>
      <c r="C105" s="2270">
        <v>3</v>
      </c>
      <c r="D105" s="2270">
        <v>2</v>
      </c>
      <c r="E105" s="2270">
        <v>1</v>
      </c>
      <c r="F105" s="794"/>
      <c r="G105" s="794"/>
      <c r="H105" s="794"/>
      <c r="I105" s="794"/>
      <c r="J105" s="794"/>
      <c r="K105" s="810" t="s">
        <v>20</v>
      </c>
      <c r="L105" s="318">
        <f>G75*C105/3</f>
        <v>2.9999999999999996</v>
      </c>
      <c r="M105" s="318">
        <f>G75*D105/3</f>
        <v>1.9999999999999998</v>
      </c>
      <c r="N105" s="318">
        <f>G75*E105/3</f>
        <v>0.99999999999999989</v>
      </c>
      <c r="O105" s="794"/>
    </row>
    <row r="106" spans="1:15" x14ac:dyDescent="0.25">
      <c r="A106" s="794"/>
      <c r="B106" s="314" t="s">
        <v>21</v>
      </c>
      <c r="C106" s="2270">
        <v>3</v>
      </c>
      <c r="D106" s="2270">
        <v>2</v>
      </c>
      <c r="E106" s="2270">
        <v>1</v>
      </c>
      <c r="F106" s="794"/>
      <c r="G106" s="794"/>
      <c r="H106" s="794"/>
      <c r="I106" s="794"/>
      <c r="J106" s="794"/>
      <c r="K106" s="96" t="s">
        <v>21</v>
      </c>
      <c r="L106" s="318">
        <f>G76*C106/3</f>
        <v>2.9999999999999996</v>
      </c>
      <c r="M106" s="318">
        <f>G76*D106/3</f>
        <v>1.9999999999999998</v>
      </c>
      <c r="N106" s="318">
        <f>G76*E106/3</f>
        <v>0.99999999999999989</v>
      </c>
      <c r="O106" s="794"/>
    </row>
    <row r="107" spans="1:15" x14ac:dyDescent="0.25">
      <c r="A107" s="794"/>
      <c r="B107" s="314" t="s">
        <v>23</v>
      </c>
      <c r="C107" s="2270">
        <v>3</v>
      </c>
      <c r="D107" s="2270">
        <v>3</v>
      </c>
      <c r="E107" s="2270">
        <v>1</v>
      </c>
      <c r="F107" s="794"/>
      <c r="G107" s="794"/>
      <c r="H107" s="794"/>
      <c r="I107" s="794"/>
      <c r="J107" s="794"/>
      <c r="K107" s="96" t="s">
        <v>23</v>
      </c>
      <c r="L107" s="318">
        <f>G77*C107/3</f>
        <v>2.9999999999999996</v>
      </c>
      <c r="M107" s="318">
        <f>G77*D107/3</f>
        <v>2.9999999999999996</v>
      </c>
      <c r="N107" s="318">
        <f>G77*E107/3</f>
        <v>0.99999999999999989</v>
      </c>
      <c r="O107" s="794"/>
    </row>
    <row r="108" spans="1:15" x14ac:dyDescent="0.25">
      <c r="A108" s="794"/>
      <c r="B108" s="314" t="s">
        <v>25</v>
      </c>
      <c r="C108" s="2270">
        <v>2</v>
      </c>
      <c r="D108" s="2270">
        <v>2</v>
      </c>
      <c r="E108" s="2270">
        <v>1</v>
      </c>
      <c r="F108" s="794"/>
      <c r="G108" s="794"/>
      <c r="H108" s="794"/>
      <c r="I108" s="794"/>
      <c r="J108" s="794"/>
      <c r="K108" s="96" t="s">
        <v>25</v>
      </c>
      <c r="L108" s="318">
        <f>G78*C108/3</f>
        <v>1.9999999999999998</v>
      </c>
      <c r="M108" s="318">
        <f>G78*D108/3</f>
        <v>1.9999999999999998</v>
      </c>
      <c r="N108" s="318">
        <f>G78*E108/3</f>
        <v>0.99999999999999989</v>
      </c>
      <c r="O108" s="794"/>
    </row>
    <row r="109" spans="1:15" x14ac:dyDescent="0.25">
      <c r="A109" s="794"/>
      <c r="B109" s="2486" t="s">
        <v>10</v>
      </c>
      <c r="C109" s="804">
        <f>AVERAGE(C105:C108)</f>
        <v>2.75</v>
      </c>
      <c r="D109" s="804">
        <f>AVERAGE(D105:D108)</f>
        <v>2.25</v>
      </c>
      <c r="E109" s="804">
        <f>AVERAGE(E105:E108)</f>
        <v>1</v>
      </c>
      <c r="F109" s="794"/>
      <c r="G109" s="794"/>
      <c r="H109" s="794"/>
      <c r="I109" s="794"/>
      <c r="J109" s="794"/>
      <c r="K109" s="79" t="s">
        <v>10</v>
      </c>
      <c r="L109" s="318">
        <f>AVERAGE(L105:L108)</f>
        <v>2.7499999999999996</v>
      </c>
      <c r="M109" s="318">
        <f>AVERAGE(M105:M108)</f>
        <v>2.2499999999999996</v>
      </c>
      <c r="N109" s="318">
        <f>AVERAGE(N105:N108)</f>
        <v>0.99999999999999989</v>
      </c>
      <c r="O109" s="794"/>
    </row>
    <row r="110" spans="1:15" ht="25.5" x14ac:dyDescent="0.25">
      <c r="A110" s="2489"/>
      <c r="B110" s="2485" t="s">
        <v>58</v>
      </c>
      <c r="C110" s="3056">
        <f>AVERAGE(C109:E109)</f>
        <v>2</v>
      </c>
      <c r="D110" s="3056"/>
      <c r="E110" s="3056"/>
      <c r="F110" s="2489"/>
      <c r="G110" s="2489"/>
      <c r="H110" s="2489"/>
      <c r="I110" s="2489"/>
      <c r="J110" s="2489"/>
      <c r="K110" s="376" t="s">
        <v>58</v>
      </c>
      <c r="L110" s="3056">
        <f>AVERAGE(L109:N109)</f>
        <v>1.9999999999999998</v>
      </c>
      <c r="M110" s="3056"/>
      <c r="N110" s="3056"/>
      <c r="O110" s="2489"/>
    </row>
    <row r="111" spans="1:15" x14ac:dyDescent="0.25">
      <c r="A111" s="794"/>
      <c r="B111" s="794"/>
      <c r="C111" s="794"/>
      <c r="D111" s="794"/>
      <c r="E111" s="794"/>
      <c r="F111" s="794"/>
      <c r="G111" s="794"/>
      <c r="H111" s="794"/>
      <c r="I111" s="794"/>
      <c r="J111" s="794"/>
      <c r="K111" s="807"/>
      <c r="L111" s="794"/>
      <c r="M111" s="794"/>
      <c r="N111" s="794"/>
      <c r="O111" s="794"/>
    </row>
    <row r="113" spans="1:15" x14ac:dyDescent="0.25">
      <c r="A113" s="3054"/>
      <c r="B113" s="3054"/>
      <c r="C113" s="3054"/>
      <c r="D113" s="3054"/>
      <c r="E113" s="3054"/>
      <c r="F113" s="3054"/>
      <c r="G113" s="3054"/>
      <c r="H113" s="3054"/>
      <c r="I113" s="3054"/>
      <c r="J113" s="3054"/>
      <c r="K113" s="3054"/>
      <c r="L113" s="3054"/>
      <c r="M113" s="3054"/>
      <c r="N113" s="3054"/>
      <c r="O113" s="3054"/>
    </row>
    <row r="114" spans="1:15" x14ac:dyDescent="0.25">
      <c r="A114" s="2488"/>
      <c r="B114" s="2488"/>
      <c r="C114" s="2488"/>
      <c r="D114" s="2488"/>
      <c r="E114" s="2488"/>
      <c r="F114" s="2488"/>
      <c r="G114" s="2488"/>
      <c r="H114" s="2488"/>
      <c r="I114" s="2488"/>
      <c r="J114" s="2488"/>
      <c r="K114" s="2488"/>
      <c r="L114" s="2488"/>
      <c r="M114" s="2488"/>
      <c r="N114" s="2488"/>
      <c r="O114" s="2488"/>
    </row>
    <row r="115" spans="1:15" x14ac:dyDescent="0.25">
      <c r="A115" s="3053"/>
      <c r="B115" s="3053"/>
      <c r="C115" s="3053"/>
      <c r="D115" s="3053"/>
      <c r="E115" s="3053"/>
      <c r="F115" s="3053"/>
      <c r="G115" s="3053"/>
      <c r="H115" s="3053"/>
      <c r="I115" s="3053"/>
      <c r="J115" s="3053"/>
      <c r="K115" s="3053"/>
      <c r="L115" s="3053"/>
      <c r="M115" s="3053"/>
      <c r="N115" s="3053"/>
      <c r="O115" s="3053"/>
    </row>
    <row r="116" spans="1:15" x14ac:dyDescent="0.25">
      <c r="A116" s="3053"/>
      <c r="B116" s="3053"/>
      <c r="C116" s="3053"/>
      <c r="D116" s="3053"/>
      <c r="E116" s="3053"/>
      <c r="F116" s="3053"/>
      <c r="G116" s="3053"/>
      <c r="H116" s="3053"/>
      <c r="I116" s="3053"/>
      <c r="J116" s="3053"/>
      <c r="K116" s="3053"/>
      <c r="L116" s="3053"/>
      <c r="M116" s="3053"/>
      <c r="N116" s="3053"/>
      <c r="O116" s="3053"/>
    </row>
    <row r="117" spans="1:15" x14ac:dyDescent="0.25">
      <c r="A117" s="3053"/>
      <c r="B117" s="3053"/>
      <c r="C117" s="3053"/>
      <c r="D117" s="3053"/>
      <c r="E117" s="3053"/>
      <c r="F117" s="3053"/>
      <c r="G117" s="3053"/>
      <c r="H117" s="3053"/>
      <c r="I117" s="3053"/>
      <c r="J117" s="3053"/>
      <c r="K117" s="3053"/>
      <c r="L117" s="3053"/>
      <c r="M117" s="3053"/>
      <c r="N117" s="3053"/>
      <c r="O117" s="3053"/>
    </row>
    <row r="118" spans="1:15" x14ac:dyDescent="0.25">
      <c r="A118" s="3053"/>
      <c r="B118" s="3053"/>
      <c r="C118" s="3053"/>
      <c r="D118" s="3053"/>
      <c r="E118" s="3053"/>
      <c r="F118" s="3053"/>
      <c r="G118" s="3053"/>
      <c r="H118" s="3053"/>
      <c r="I118" s="3053"/>
      <c r="J118" s="3053"/>
      <c r="K118" s="3053"/>
      <c r="L118" s="3053"/>
      <c r="M118" s="3053"/>
      <c r="N118" s="3053"/>
      <c r="O118" s="3053"/>
    </row>
    <row r="119" spans="1:15" x14ac:dyDescent="0.25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</row>
    <row r="120" spans="1:15" x14ac:dyDescent="0.25">
      <c r="A120" s="3053"/>
      <c r="B120" s="3053"/>
      <c r="C120" s="3053"/>
      <c r="D120" s="3053"/>
      <c r="E120" s="3053"/>
      <c r="F120" s="3053"/>
      <c r="G120" s="3053"/>
      <c r="H120" s="3053"/>
      <c r="I120" s="3053"/>
      <c r="J120" s="3053"/>
      <c r="K120" s="3053"/>
      <c r="L120" s="3053"/>
      <c r="M120" s="3053"/>
      <c r="N120" s="3053"/>
      <c r="O120" s="3053"/>
    </row>
    <row r="121" spans="1:15" x14ac:dyDescent="0.25">
      <c r="A121" s="3054"/>
      <c r="B121" s="3054"/>
      <c r="C121" s="3054"/>
      <c r="D121" s="3054"/>
      <c r="E121" s="3054"/>
      <c r="F121" s="3054"/>
      <c r="G121" s="3054"/>
      <c r="H121" s="3054"/>
      <c r="I121" s="3054"/>
      <c r="J121" s="3054"/>
      <c r="K121" s="3054"/>
      <c r="L121" s="3054"/>
      <c r="M121" s="3054"/>
      <c r="N121" s="3054"/>
      <c r="O121" s="3054"/>
    </row>
    <row r="122" spans="1:15" x14ac:dyDescent="0.25">
      <c r="A122" s="3055"/>
      <c r="B122" s="3055"/>
      <c r="C122" s="3055"/>
      <c r="D122" s="3055"/>
      <c r="E122" s="3055"/>
      <c r="F122" s="3055"/>
      <c r="G122" s="3055"/>
      <c r="H122" s="3055"/>
      <c r="I122" s="3055"/>
      <c r="J122" s="3055"/>
      <c r="K122" s="3055"/>
      <c r="L122" s="3055"/>
      <c r="M122" s="3055"/>
      <c r="N122" s="3055"/>
      <c r="O122" s="3055"/>
    </row>
    <row r="123" spans="1:15" x14ac:dyDescent="0.25">
      <c r="A123" s="2983"/>
      <c r="B123" s="2983"/>
      <c r="C123" s="2983"/>
      <c r="D123" s="2983"/>
      <c r="E123" s="2983"/>
      <c r="F123" s="2983"/>
      <c r="G123" s="2983"/>
      <c r="H123" s="2983"/>
      <c r="I123" s="2983"/>
      <c r="J123" s="2983"/>
      <c r="K123" s="2983"/>
      <c r="L123" s="2983"/>
      <c r="M123" s="2983"/>
      <c r="N123" s="2983"/>
      <c r="O123" s="2983"/>
    </row>
    <row r="124" spans="1:15" x14ac:dyDescent="0.25">
      <c r="A124" s="3045"/>
      <c r="B124" s="3046"/>
      <c r="C124" s="3046"/>
      <c r="D124" s="3046"/>
      <c r="E124" s="3046"/>
      <c r="F124" s="3046"/>
      <c r="G124" s="3046"/>
      <c r="H124" s="3046"/>
      <c r="I124" s="3046"/>
      <c r="J124" s="3046"/>
      <c r="K124" s="3046"/>
      <c r="L124" s="3046"/>
      <c r="M124" s="3046"/>
      <c r="N124" s="3046"/>
      <c r="O124" s="3046"/>
    </row>
    <row r="125" spans="1:15" x14ac:dyDescent="0.25">
      <c r="A125" s="3046"/>
      <c r="B125" s="3046"/>
      <c r="C125" s="3046"/>
      <c r="D125" s="3046"/>
      <c r="E125" s="3046"/>
      <c r="F125" s="3046"/>
      <c r="G125" s="3046"/>
      <c r="H125" s="3046"/>
      <c r="I125" s="3046"/>
      <c r="J125" s="3046"/>
      <c r="K125" s="3046"/>
      <c r="L125" s="3046"/>
      <c r="M125" s="3046"/>
      <c r="N125" s="3046"/>
      <c r="O125" s="3046"/>
    </row>
    <row r="126" spans="1:15" x14ac:dyDescent="0.25">
      <c r="A126" s="3046"/>
      <c r="B126" s="3046"/>
      <c r="C126" s="3046"/>
      <c r="D126" s="3046"/>
      <c r="E126" s="3046"/>
      <c r="F126" s="3046"/>
      <c r="G126" s="3046"/>
      <c r="H126" s="3046"/>
      <c r="I126" s="3046"/>
      <c r="J126" s="3046"/>
      <c r="K126" s="3046"/>
      <c r="L126" s="3046"/>
      <c r="M126" s="3046"/>
      <c r="N126" s="3046"/>
      <c r="O126" s="3046"/>
    </row>
    <row r="127" spans="1:15" x14ac:dyDescent="0.25">
      <c r="A127" s="2983"/>
      <c r="B127" s="2983"/>
      <c r="C127" s="2983"/>
      <c r="D127" s="2983"/>
      <c r="E127" s="2983"/>
      <c r="F127" s="2983"/>
      <c r="G127" s="2983"/>
      <c r="H127" s="2983"/>
      <c r="I127" s="2983"/>
      <c r="J127" s="2983"/>
      <c r="K127" s="2983"/>
      <c r="L127" s="2983"/>
      <c r="M127" s="2983"/>
      <c r="N127" s="2983"/>
      <c r="O127" s="2983"/>
    </row>
  </sheetData>
  <mergeCells count="39">
    <mergeCell ref="A5:B5"/>
    <mergeCell ref="C5:H5"/>
    <mergeCell ref="A2:B2"/>
    <mergeCell ref="I2:P2"/>
    <mergeCell ref="A3:B3"/>
    <mergeCell ref="I3:P3"/>
    <mergeCell ref="I4:P4"/>
    <mergeCell ref="C89:N89"/>
    <mergeCell ref="A6:A8"/>
    <mergeCell ref="B6:B7"/>
    <mergeCell ref="F6:F8"/>
    <mergeCell ref="G6:G8"/>
    <mergeCell ref="E7:E8"/>
    <mergeCell ref="A70:B70"/>
    <mergeCell ref="A71:B71"/>
    <mergeCell ref="E74:F74"/>
    <mergeCell ref="G74:H74"/>
    <mergeCell ref="B79:F79"/>
    <mergeCell ref="A81:B81"/>
    <mergeCell ref="A119:O119"/>
    <mergeCell ref="A92:B92"/>
    <mergeCell ref="C100:N100"/>
    <mergeCell ref="A102:B102"/>
    <mergeCell ref="J102:K102"/>
    <mergeCell ref="C110:E110"/>
    <mergeCell ref="L110:N110"/>
    <mergeCell ref="A113:O113"/>
    <mergeCell ref="A115:O115"/>
    <mergeCell ref="A116:O116"/>
    <mergeCell ref="A117:O117"/>
    <mergeCell ref="A118:O118"/>
    <mergeCell ref="A126:O126"/>
    <mergeCell ref="A127:O127"/>
    <mergeCell ref="A120:O120"/>
    <mergeCell ref="A121:O121"/>
    <mergeCell ref="A122:O122"/>
    <mergeCell ref="A123:O123"/>
    <mergeCell ref="A124:O124"/>
    <mergeCell ref="A125:O125"/>
  </mergeCells>
  <conditionalFormatting sqref="F10:F67">
    <cfRule type="containsText" dxfId="90" priority="1" operator="containsText" text="F">
      <formula>NOT(ISERROR(SEARCH("F",F10)))</formula>
    </cfRule>
  </conditionalFormatting>
  <pageMargins left="0.7" right="0.7" top="0.75" bottom="0.75" header="0.3" footer="0.3"/>
  <pageSetup paperSize="8" scale="50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17"/>
  <sheetViews>
    <sheetView topLeftCell="A64" zoomScale="72" zoomScaleNormal="69" workbookViewId="0">
      <selection activeCell="C98" sqref="C98"/>
    </sheetView>
  </sheetViews>
  <sheetFormatPr defaultColWidth="9.140625" defaultRowHeight="15.75" x14ac:dyDescent="0.25"/>
  <cols>
    <col min="1" max="1" width="15.140625" style="354" bestFit="1" customWidth="1"/>
    <col min="2" max="2" width="18.28515625" style="354" bestFit="1" customWidth="1"/>
    <col min="3" max="3" width="13.7109375" style="354" bestFit="1" customWidth="1"/>
    <col min="4" max="4" width="9.140625" style="354"/>
    <col min="5" max="5" width="11.28515625" style="354" customWidth="1"/>
    <col min="6" max="6" width="9.140625" style="354"/>
    <col min="7" max="7" width="11.140625" style="354" bestFit="1" customWidth="1"/>
    <col min="8" max="8" width="11.140625" style="354" customWidth="1"/>
    <col min="9" max="9" width="11.42578125" style="354" customWidth="1"/>
    <col min="10" max="11" width="9.85546875" style="354" customWidth="1"/>
    <col min="12" max="13" width="10.5703125" style="354" customWidth="1"/>
    <col min="14" max="14" width="10.5703125" style="332" customWidth="1"/>
    <col min="15" max="15" width="10.5703125" style="354" customWidth="1"/>
    <col min="16" max="18" width="11.140625" style="354" bestFit="1" customWidth="1"/>
    <col min="19" max="19" width="9.140625" style="354"/>
    <col min="20" max="20" width="10.28515625" style="403" customWidth="1"/>
    <col min="21" max="23" width="9" style="354" customWidth="1"/>
    <col min="24" max="24" width="10.5703125" style="354" customWidth="1"/>
    <col min="25" max="25" width="9" style="354" customWidth="1"/>
    <col min="26" max="26" width="10.5703125" style="354" customWidth="1"/>
    <col min="27" max="28" width="10.85546875" style="332" customWidth="1"/>
    <col min="29" max="29" width="10.28515625" style="354" customWidth="1"/>
    <col min="30" max="30" width="11.85546875" style="354" customWidth="1"/>
    <col min="31" max="31" width="11" style="354" customWidth="1"/>
    <col min="32" max="16384" width="9.140625" style="354"/>
  </cols>
  <sheetData>
    <row r="1" spans="1:31" x14ac:dyDescent="0.25">
      <c r="A1" s="333"/>
    </row>
    <row r="2" spans="1:31" s="1116" customFormat="1" ht="23.25" customHeight="1" x14ac:dyDescent="0.3">
      <c r="A2" s="3314" t="s">
        <v>0</v>
      </c>
      <c r="B2" s="3315"/>
      <c r="C2" s="3316" t="s">
        <v>234</v>
      </c>
      <c r="D2" s="3317"/>
      <c r="E2" s="3317"/>
      <c r="F2" s="3317"/>
      <c r="G2" s="3317"/>
      <c r="H2" s="3317"/>
      <c r="I2" s="3317"/>
      <c r="J2" s="3317"/>
      <c r="K2" s="3317"/>
      <c r="L2" s="3317"/>
      <c r="M2" s="3317"/>
      <c r="N2" s="3318"/>
      <c r="O2" s="1115" t="s">
        <v>63</v>
      </c>
      <c r="P2" s="3319" t="s">
        <v>155</v>
      </c>
      <c r="Q2" s="3320"/>
      <c r="R2" s="3320"/>
      <c r="S2" s="3320"/>
      <c r="T2" s="3320"/>
      <c r="U2" s="3320"/>
      <c r="V2" s="3320"/>
      <c r="W2" s="3320"/>
      <c r="X2" s="3320"/>
      <c r="Y2" s="3320"/>
      <c r="Z2" s="3320"/>
      <c r="AA2" s="3320"/>
      <c r="AB2" s="1183"/>
      <c r="AC2" s="1183"/>
      <c r="AD2" s="1183"/>
      <c r="AE2" s="1183"/>
    </row>
    <row r="3" spans="1:31" s="1116" customFormat="1" ht="23.25" customHeight="1" x14ac:dyDescent="0.3">
      <c r="A3" s="3314" t="s">
        <v>1</v>
      </c>
      <c r="B3" s="3315"/>
      <c r="C3" s="3316" t="s">
        <v>235</v>
      </c>
      <c r="D3" s="3317"/>
      <c r="E3" s="3317"/>
      <c r="F3" s="3317"/>
      <c r="G3" s="3317"/>
      <c r="H3" s="3317"/>
      <c r="I3" s="3317"/>
      <c r="J3" s="3317"/>
      <c r="K3" s="3317"/>
      <c r="L3" s="3317"/>
      <c r="M3" s="3317"/>
      <c r="N3" s="3318"/>
      <c r="O3" s="1117" t="s">
        <v>64</v>
      </c>
      <c r="P3" s="3319" t="s">
        <v>232</v>
      </c>
      <c r="Q3" s="3320"/>
      <c r="R3" s="3320"/>
      <c r="S3" s="3320"/>
      <c r="T3" s="3320"/>
      <c r="U3" s="3320"/>
      <c r="V3" s="3320"/>
      <c r="W3" s="3320"/>
      <c r="X3" s="3320"/>
      <c r="Y3" s="3320"/>
      <c r="Z3" s="3320"/>
      <c r="AA3" s="3320"/>
      <c r="AB3" s="1183"/>
      <c r="AC3" s="1183"/>
      <c r="AD3" s="1183"/>
      <c r="AE3" s="1183"/>
    </row>
    <row r="4" spans="1:31" s="1116" customFormat="1" ht="23.25" customHeight="1" thickBot="1" x14ac:dyDescent="0.35">
      <c r="A4" s="1263"/>
      <c r="B4" s="1264" t="s">
        <v>2</v>
      </c>
      <c r="C4" s="3331" t="s">
        <v>139</v>
      </c>
      <c r="D4" s="3332"/>
      <c r="E4" s="3332"/>
      <c r="F4" s="3332"/>
      <c r="G4" s="3332"/>
      <c r="H4" s="3332"/>
      <c r="I4" s="3332"/>
      <c r="J4" s="3332"/>
      <c r="K4" s="3332"/>
      <c r="L4" s="3332"/>
      <c r="M4" s="3332"/>
      <c r="N4" s="3333"/>
      <c r="O4" s="1264" t="s">
        <v>65</v>
      </c>
      <c r="P4" s="3334" t="s">
        <v>66</v>
      </c>
      <c r="Q4" s="3335"/>
      <c r="R4" s="3335"/>
      <c r="S4" s="3335"/>
      <c r="T4" s="3335"/>
      <c r="U4" s="3335"/>
      <c r="V4" s="3335"/>
      <c r="W4" s="3335"/>
      <c r="X4" s="3335"/>
      <c r="Y4" s="3335"/>
      <c r="Z4" s="3335"/>
      <c r="AA4" s="3335"/>
      <c r="AB4" s="1183"/>
      <c r="AC4" s="1183"/>
      <c r="AD4" s="1183"/>
      <c r="AE4" s="1183"/>
    </row>
    <row r="5" spans="1:31" s="1116" customFormat="1" ht="23.25" customHeight="1" thickBot="1" x14ac:dyDescent="0.35">
      <c r="A5" s="3336"/>
      <c r="B5" s="3337"/>
      <c r="C5" s="3338" t="s">
        <v>3</v>
      </c>
      <c r="D5" s="3339"/>
      <c r="E5" s="3339"/>
      <c r="F5" s="3339"/>
      <c r="G5" s="3339"/>
      <c r="H5" s="3339"/>
      <c r="I5" s="3339"/>
      <c r="J5" s="3339"/>
      <c r="K5" s="3339"/>
      <c r="L5" s="3339"/>
      <c r="M5" s="3339"/>
      <c r="N5" s="3339"/>
      <c r="O5" s="3340"/>
      <c r="P5" s="3341" t="s">
        <v>4</v>
      </c>
      <c r="Q5" s="3342"/>
      <c r="R5" s="3342"/>
      <c r="S5" s="3342"/>
      <c r="T5" s="3342"/>
      <c r="U5" s="3342"/>
      <c r="V5" s="3343"/>
      <c r="W5" s="3343"/>
      <c r="X5" s="3342"/>
      <c r="Y5" s="3342"/>
      <c r="Z5" s="3342"/>
      <c r="AA5" s="3342"/>
      <c r="AB5" s="3342"/>
      <c r="AC5" s="3342"/>
      <c r="AD5" s="1265"/>
      <c r="AE5" s="1266"/>
    </row>
    <row r="6" spans="1:31" s="1116" customFormat="1" ht="23.25" customHeight="1" thickBot="1" x14ac:dyDescent="0.35">
      <c r="A6" s="3321"/>
      <c r="B6" s="3324" t="s">
        <v>5</v>
      </c>
      <c r="C6" s="3326" t="s">
        <v>6</v>
      </c>
      <c r="D6" s="3327"/>
      <c r="E6" s="3328"/>
      <c r="F6" s="3329" t="s">
        <v>7</v>
      </c>
      <c r="G6" s="3330"/>
      <c r="H6" s="3329" t="s">
        <v>8</v>
      </c>
      <c r="I6" s="3330"/>
      <c r="J6" s="3345" t="s">
        <v>9</v>
      </c>
      <c r="K6" s="3346"/>
      <c r="L6" s="3345" t="s">
        <v>236</v>
      </c>
      <c r="M6" s="3347"/>
      <c r="N6" s="1267" t="s">
        <v>146</v>
      </c>
      <c r="O6" s="3326" t="s">
        <v>6</v>
      </c>
      <c r="P6" s="3327"/>
      <c r="Q6" s="3328"/>
      <c r="R6" s="3348" t="s">
        <v>7</v>
      </c>
      <c r="S6" s="3330"/>
      <c r="T6" s="3329" t="s">
        <v>8</v>
      </c>
      <c r="U6" s="3330"/>
      <c r="V6" s="3329" t="s">
        <v>9</v>
      </c>
      <c r="W6" s="3330"/>
      <c r="X6" s="3348" t="s">
        <v>236</v>
      </c>
      <c r="Y6" s="3330"/>
      <c r="Z6" s="1268" t="s">
        <v>147</v>
      </c>
      <c r="AA6" s="3350" t="s">
        <v>151</v>
      </c>
      <c r="AB6" s="3350" t="s">
        <v>152</v>
      </c>
      <c r="AC6" s="3350" t="s">
        <v>153</v>
      </c>
      <c r="AD6" s="3344" t="s">
        <v>11</v>
      </c>
      <c r="AE6" s="3344" t="s">
        <v>12</v>
      </c>
    </row>
    <row r="7" spans="1:31" s="1116" customFormat="1" ht="23.25" customHeight="1" x14ac:dyDescent="0.3">
      <c r="A7" s="3322"/>
      <c r="B7" s="3325"/>
      <c r="C7" s="1269" t="s">
        <v>13</v>
      </c>
      <c r="D7" s="1270" t="s">
        <v>14</v>
      </c>
      <c r="E7" s="1271" t="s">
        <v>15</v>
      </c>
      <c r="F7" s="1269" t="s">
        <v>13</v>
      </c>
      <c r="G7" s="1271" t="s">
        <v>14</v>
      </c>
      <c r="H7" s="1269" t="s">
        <v>13</v>
      </c>
      <c r="I7" s="1271" t="s">
        <v>14</v>
      </c>
      <c r="J7" s="1269" t="s">
        <v>13</v>
      </c>
      <c r="K7" s="1272" t="s">
        <v>14</v>
      </c>
      <c r="L7" s="1273" t="s">
        <v>13</v>
      </c>
      <c r="M7" s="1271" t="s">
        <v>14</v>
      </c>
      <c r="N7" s="1274"/>
      <c r="O7" s="1269" t="s">
        <v>13</v>
      </c>
      <c r="P7" s="1270" t="s">
        <v>14</v>
      </c>
      <c r="Q7" s="1271" t="s">
        <v>15</v>
      </c>
      <c r="R7" s="1269" t="s">
        <v>13</v>
      </c>
      <c r="S7" s="1271" t="s">
        <v>14</v>
      </c>
      <c r="T7" s="1269" t="s">
        <v>13</v>
      </c>
      <c r="U7" s="1271" t="s">
        <v>14</v>
      </c>
      <c r="V7" s="1269" t="s">
        <v>13</v>
      </c>
      <c r="W7" s="1271" t="s">
        <v>14</v>
      </c>
      <c r="X7" s="1275" t="s">
        <v>13</v>
      </c>
      <c r="Y7" s="1271" t="s">
        <v>14</v>
      </c>
      <c r="Z7" s="1276"/>
      <c r="AA7" s="3351"/>
      <c r="AB7" s="3351"/>
      <c r="AC7" s="3351"/>
      <c r="AD7" s="3344"/>
      <c r="AE7" s="3344"/>
    </row>
    <row r="8" spans="1:31" s="1116" customFormat="1" ht="23.25" customHeight="1" x14ac:dyDescent="0.3">
      <c r="A8" s="3323"/>
      <c r="B8" s="1277" t="s">
        <v>19</v>
      </c>
      <c r="C8" s="1122" t="s">
        <v>20</v>
      </c>
      <c r="D8" s="1123" t="s">
        <v>20</v>
      </c>
      <c r="E8" s="1123" t="s">
        <v>21</v>
      </c>
      <c r="F8" s="1123" t="s">
        <v>20</v>
      </c>
      <c r="G8" s="1123" t="s">
        <v>20</v>
      </c>
      <c r="H8" s="1123" t="s">
        <v>20</v>
      </c>
      <c r="I8" s="1123" t="s">
        <v>20</v>
      </c>
      <c r="J8" s="1123" t="s">
        <v>21</v>
      </c>
      <c r="K8" s="1123" t="s">
        <v>21</v>
      </c>
      <c r="L8" s="1123" t="s">
        <v>21</v>
      </c>
      <c r="M8" s="1123" t="s">
        <v>21</v>
      </c>
      <c r="N8" s="1278"/>
      <c r="O8" s="1122" t="s">
        <v>41</v>
      </c>
      <c r="P8" s="1123" t="s">
        <v>42</v>
      </c>
      <c r="Q8" s="1123" t="s">
        <v>42</v>
      </c>
      <c r="R8" s="1122" t="s">
        <v>41</v>
      </c>
      <c r="S8" s="1122" t="s">
        <v>41</v>
      </c>
      <c r="T8" s="1122" t="s">
        <v>41</v>
      </c>
      <c r="U8" s="1122" t="s">
        <v>42</v>
      </c>
      <c r="V8" s="1123" t="s">
        <v>42</v>
      </c>
      <c r="W8" s="1123" t="s">
        <v>42</v>
      </c>
      <c r="X8" s="1123" t="s">
        <v>42</v>
      </c>
      <c r="Y8" s="1123" t="s">
        <v>42</v>
      </c>
      <c r="Z8" s="1276" t="s">
        <v>237</v>
      </c>
      <c r="AA8" s="3352"/>
      <c r="AB8" s="3351"/>
      <c r="AC8" s="3352"/>
      <c r="AD8" s="3344"/>
      <c r="AE8" s="3344"/>
    </row>
    <row r="9" spans="1:31" s="1116" customFormat="1" ht="23.25" customHeight="1" x14ac:dyDescent="0.3">
      <c r="A9" s="1123" t="s">
        <v>18</v>
      </c>
      <c r="B9" s="1279" t="s">
        <v>26</v>
      </c>
      <c r="C9" s="1122">
        <v>2</v>
      </c>
      <c r="D9" s="1123">
        <v>2</v>
      </c>
      <c r="E9" s="1279">
        <v>2</v>
      </c>
      <c r="F9" s="1123">
        <v>6</v>
      </c>
      <c r="G9" s="1123">
        <v>6</v>
      </c>
      <c r="H9" s="1123">
        <v>6</v>
      </c>
      <c r="I9" s="1123">
        <v>6</v>
      </c>
      <c r="J9" s="1280">
        <v>6</v>
      </c>
      <c r="K9" s="1280">
        <v>6</v>
      </c>
      <c r="L9" s="1277">
        <v>6</v>
      </c>
      <c r="M9" s="1281">
        <v>6</v>
      </c>
      <c r="N9" s="1278">
        <v>30</v>
      </c>
      <c r="O9" s="1122">
        <v>2</v>
      </c>
      <c r="P9" s="1123">
        <v>2</v>
      </c>
      <c r="Q9" s="1123">
        <v>2</v>
      </c>
      <c r="R9" s="1123">
        <v>8</v>
      </c>
      <c r="S9" s="1123">
        <v>4</v>
      </c>
      <c r="T9" s="1123">
        <v>6</v>
      </c>
      <c r="U9" s="1123">
        <v>6</v>
      </c>
      <c r="V9" s="1123">
        <v>6</v>
      </c>
      <c r="W9" s="1123">
        <v>6</v>
      </c>
      <c r="X9" s="1123">
        <v>6</v>
      </c>
      <c r="Y9" s="1282">
        <v>6</v>
      </c>
      <c r="Z9" s="1276">
        <v>30</v>
      </c>
      <c r="AA9" s="1123">
        <v>10</v>
      </c>
      <c r="AB9" s="1123">
        <v>10</v>
      </c>
      <c r="AC9" s="1123">
        <v>10</v>
      </c>
      <c r="AD9" s="3344"/>
      <c r="AE9" s="3344"/>
    </row>
    <row r="10" spans="1:31" s="1116" customFormat="1" ht="23.25" customHeight="1" x14ac:dyDescent="0.3">
      <c r="A10" s="1123">
        <v>1</v>
      </c>
      <c r="B10" s="1283">
        <v>5191421001</v>
      </c>
      <c r="C10" s="1133">
        <v>2</v>
      </c>
      <c r="D10" s="1154">
        <v>2</v>
      </c>
      <c r="E10" s="1154"/>
      <c r="F10" s="1154">
        <v>6</v>
      </c>
      <c r="G10" s="1134">
        <v>6</v>
      </c>
      <c r="H10" s="1134"/>
      <c r="I10" s="1134"/>
      <c r="J10" s="1134">
        <v>3</v>
      </c>
      <c r="K10" s="1134"/>
      <c r="L10" s="1134"/>
      <c r="M10" s="1134"/>
      <c r="N10" s="1284">
        <f>SUM(C10:M10)</f>
        <v>19</v>
      </c>
      <c r="O10" s="1133">
        <v>2</v>
      </c>
      <c r="P10" s="1154"/>
      <c r="Q10" s="1154"/>
      <c r="R10" s="1154">
        <v>6</v>
      </c>
      <c r="S10" s="1134">
        <v>1</v>
      </c>
      <c r="T10" s="1134"/>
      <c r="U10" s="1134"/>
      <c r="V10" s="1134"/>
      <c r="W10" s="1134"/>
      <c r="X10" s="1134"/>
      <c r="Y10" s="1134"/>
      <c r="Z10" s="1285">
        <f>SUM(O10:Y10)</f>
        <v>9</v>
      </c>
      <c r="AA10" s="1134">
        <v>10</v>
      </c>
      <c r="AB10" s="1134">
        <v>10</v>
      </c>
      <c r="AC10" s="1134">
        <v>10</v>
      </c>
      <c r="AD10" s="940" t="s">
        <v>31</v>
      </c>
      <c r="AE10" s="1134">
        <f t="shared" ref="AE10:AE67" si="0">IF(AD10="O",100,IF(AD10="A+",90,IF(AD10="A",80,IF(AD10="B+",70,IF(AD10="B",60,IF(AD10="C",55,IF(AD10="P",50,IF(AD10="F",39))))))))</f>
        <v>55</v>
      </c>
    </row>
    <row r="11" spans="1:31" s="1116" customFormat="1" ht="23.25" customHeight="1" x14ac:dyDescent="0.3">
      <c r="A11" s="1286">
        <v>2</v>
      </c>
      <c r="B11" s="1283">
        <v>5191421002</v>
      </c>
      <c r="C11" s="1287">
        <v>2</v>
      </c>
      <c r="D11" s="1288">
        <v>2</v>
      </c>
      <c r="E11" s="1288"/>
      <c r="F11" s="1288"/>
      <c r="G11" s="1288"/>
      <c r="H11" s="1288">
        <v>6</v>
      </c>
      <c r="I11" s="1288">
        <v>5</v>
      </c>
      <c r="J11" s="1288"/>
      <c r="K11" s="1288"/>
      <c r="L11" s="1288"/>
      <c r="M11" s="1288"/>
      <c r="N11" s="1284">
        <f t="shared" ref="N11:N67" si="1">SUM(C11:M11)</f>
        <v>15</v>
      </c>
      <c r="O11" s="1287">
        <v>1</v>
      </c>
      <c r="P11" s="1288">
        <v>0</v>
      </c>
      <c r="Q11" s="1288"/>
      <c r="R11" s="1288">
        <v>1</v>
      </c>
      <c r="S11" s="1288">
        <v>4</v>
      </c>
      <c r="T11" s="1288"/>
      <c r="U11" s="1288"/>
      <c r="V11" s="1288"/>
      <c r="W11" s="1288"/>
      <c r="X11" s="1288"/>
      <c r="Y11" s="1288"/>
      <c r="Z11" s="1285">
        <f t="shared" ref="Z11:Z67" si="2">SUM(O11:Y11)</f>
        <v>6</v>
      </c>
      <c r="AA11" s="1134">
        <v>9</v>
      </c>
      <c r="AB11" s="1134">
        <v>9</v>
      </c>
      <c r="AC11" s="1134">
        <v>9</v>
      </c>
      <c r="AD11" s="940" t="s">
        <v>28</v>
      </c>
      <c r="AE11" s="1134">
        <f t="shared" si="0"/>
        <v>50</v>
      </c>
    </row>
    <row r="12" spans="1:31" s="1188" customFormat="1" ht="23.25" customHeight="1" x14ac:dyDescent="0.3">
      <c r="A12" s="1123">
        <v>3</v>
      </c>
      <c r="B12" s="1283">
        <v>5191421003</v>
      </c>
      <c r="C12" s="1136">
        <v>2</v>
      </c>
      <c r="D12" s="1136">
        <v>2</v>
      </c>
      <c r="E12" s="1136">
        <v>2</v>
      </c>
      <c r="F12" s="1285">
        <v>6</v>
      </c>
      <c r="G12" s="1134">
        <v>6</v>
      </c>
      <c r="H12" s="1134"/>
      <c r="I12" s="1134"/>
      <c r="J12" s="1134">
        <v>5</v>
      </c>
      <c r="K12" s="1134">
        <v>6</v>
      </c>
      <c r="L12" s="1134"/>
      <c r="M12" s="1134"/>
      <c r="N12" s="1284">
        <f t="shared" si="1"/>
        <v>29</v>
      </c>
      <c r="O12" s="1136">
        <v>2</v>
      </c>
      <c r="P12" s="1136">
        <v>1</v>
      </c>
      <c r="Q12" s="1136">
        <v>0</v>
      </c>
      <c r="R12" s="1285">
        <v>4</v>
      </c>
      <c r="S12" s="1134">
        <v>1</v>
      </c>
      <c r="T12" s="1134"/>
      <c r="U12" s="1134"/>
      <c r="V12" s="1134"/>
      <c r="W12" s="1134"/>
      <c r="X12" s="1134">
        <v>0</v>
      </c>
      <c r="Y12" s="1134">
        <v>1</v>
      </c>
      <c r="Z12" s="1285">
        <f t="shared" si="2"/>
        <v>9</v>
      </c>
      <c r="AA12" s="1134">
        <v>10</v>
      </c>
      <c r="AB12" s="1134">
        <v>10</v>
      </c>
      <c r="AC12" s="1134">
        <v>10</v>
      </c>
      <c r="AD12" s="940" t="s">
        <v>32</v>
      </c>
      <c r="AE12" s="1134">
        <f t="shared" si="0"/>
        <v>70</v>
      </c>
    </row>
    <row r="13" spans="1:31" s="1188" customFormat="1" ht="23.25" customHeight="1" x14ac:dyDescent="0.3">
      <c r="A13" s="1123">
        <v>4</v>
      </c>
      <c r="B13" s="1283">
        <v>5191421004</v>
      </c>
      <c r="C13" s="1133">
        <v>2</v>
      </c>
      <c r="D13" s="1137"/>
      <c r="E13" s="1137">
        <v>1</v>
      </c>
      <c r="F13" s="1137">
        <v>5</v>
      </c>
      <c r="G13" s="1134">
        <v>1</v>
      </c>
      <c r="H13" s="1134"/>
      <c r="I13" s="1134"/>
      <c r="J13" s="1134"/>
      <c r="K13" s="1134">
        <v>3</v>
      </c>
      <c r="L13" s="1289">
        <v>1</v>
      </c>
      <c r="M13" s="1134"/>
      <c r="N13" s="1284">
        <f t="shared" si="1"/>
        <v>13</v>
      </c>
      <c r="O13" s="1133">
        <v>1</v>
      </c>
      <c r="P13" s="1137">
        <v>1</v>
      </c>
      <c r="Q13" s="1137"/>
      <c r="R13" s="1137"/>
      <c r="S13" s="1134">
        <v>0</v>
      </c>
      <c r="T13" s="1134"/>
      <c r="U13" s="1134"/>
      <c r="V13" s="1134"/>
      <c r="W13" s="1134"/>
      <c r="X13" s="1289"/>
      <c r="Y13" s="1134"/>
      <c r="Z13" s="1285">
        <f t="shared" si="2"/>
        <v>2</v>
      </c>
      <c r="AA13" s="1134">
        <v>9</v>
      </c>
      <c r="AB13" s="1134">
        <v>9</v>
      </c>
      <c r="AC13" s="1134">
        <v>9</v>
      </c>
      <c r="AD13" s="940" t="s">
        <v>29</v>
      </c>
      <c r="AE13" s="1134">
        <f t="shared" si="0"/>
        <v>39</v>
      </c>
    </row>
    <row r="14" spans="1:31" s="1116" customFormat="1" ht="23.25" customHeight="1" x14ac:dyDescent="0.3">
      <c r="A14" s="1270">
        <v>5</v>
      </c>
      <c r="B14" s="1283">
        <v>5191421005</v>
      </c>
      <c r="C14" s="1290">
        <v>1</v>
      </c>
      <c r="D14" s="1291">
        <v>0</v>
      </c>
      <c r="E14" s="1291">
        <v>0</v>
      </c>
      <c r="F14" s="1291">
        <v>1</v>
      </c>
      <c r="G14" s="1288">
        <v>1</v>
      </c>
      <c r="H14" s="1288"/>
      <c r="I14" s="1288"/>
      <c r="J14" s="1288">
        <v>1</v>
      </c>
      <c r="K14" s="1288">
        <v>1</v>
      </c>
      <c r="L14" s="1288"/>
      <c r="M14" s="1288"/>
      <c r="N14" s="1284">
        <f t="shared" si="1"/>
        <v>5</v>
      </c>
      <c r="O14" s="1290">
        <v>2</v>
      </c>
      <c r="P14" s="1291">
        <v>0</v>
      </c>
      <c r="Q14" s="1291">
        <v>0</v>
      </c>
      <c r="R14" s="1291">
        <v>6</v>
      </c>
      <c r="S14" s="1288">
        <v>0</v>
      </c>
      <c r="T14" s="1288"/>
      <c r="U14" s="1288"/>
      <c r="V14" s="1288">
        <v>0</v>
      </c>
      <c r="W14" s="1288"/>
      <c r="X14" s="1288"/>
      <c r="Y14" s="1288"/>
      <c r="Z14" s="1285">
        <f t="shared" si="2"/>
        <v>8</v>
      </c>
      <c r="AA14" s="1134">
        <v>9</v>
      </c>
      <c r="AB14" s="1134">
        <v>9</v>
      </c>
      <c r="AC14" s="1134">
        <v>9</v>
      </c>
      <c r="AD14" s="940" t="s">
        <v>28</v>
      </c>
      <c r="AE14" s="1134">
        <f t="shared" si="0"/>
        <v>50</v>
      </c>
    </row>
    <row r="15" spans="1:31" s="1116" customFormat="1" ht="23.25" customHeight="1" x14ac:dyDescent="0.3">
      <c r="A15" s="1123">
        <v>6</v>
      </c>
      <c r="B15" s="1283">
        <v>5191421006</v>
      </c>
      <c r="C15" s="1136">
        <v>2</v>
      </c>
      <c r="D15" s="1137">
        <v>2</v>
      </c>
      <c r="E15" s="1137">
        <v>2</v>
      </c>
      <c r="F15" s="1137">
        <v>5</v>
      </c>
      <c r="G15" s="1134">
        <v>5</v>
      </c>
      <c r="H15" s="1134"/>
      <c r="I15" s="1134"/>
      <c r="J15" s="1134">
        <v>6</v>
      </c>
      <c r="K15" s="1134">
        <v>6</v>
      </c>
      <c r="L15" s="1134"/>
      <c r="M15" s="1134"/>
      <c r="N15" s="1284">
        <f t="shared" si="1"/>
        <v>28</v>
      </c>
      <c r="O15" s="1136">
        <v>2</v>
      </c>
      <c r="P15" s="1137">
        <v>1</v>
      </c>
      <c r="Q15" s="1137">
        <v>0</v>
      </c>
      <c r="R15" s="1137">
        <v>4</v>
      </c>
      <c r="S15" s="1134">
        <v>0</v>
      </c>
      <c r="T15" s="1134"/>
      <c r="U15" s="1134"/>
      <c r="V15" s="1134"/>
      <c r="W15" s="1134"/>
      <c r="X15" s="1134">
        <v>2</v>
      </c>
      <c r="Y15" s="1134"/>
      <c r="Z15" s="1285">
        <f t="shared" si="2"/>
        <v>9</v>
      </c>
      <c r="AA15" s="1134">
        <v>10</v>
      </c>
      <c r="AB15" s="1134">
        <v>10</v>
      </c>
      <c r="AC15" s="1134">
        <v>10</v>
      </c>
      <c r="AD15" s="940" t="s">
        <v>33</v>
      </c>
      <c r="AE15" s="1134">
        <f t="shared" si="0"/>
        <v>60</v>
      </c>
    </row>
    <row r="16" spans="1:31" s="1116" customFormat="1" ht="23.25" customHeight="1" x14ac:dyDescent="0.3">
      <c r="A16" s="1123">
        <v>7</v>
      </c>
      <c r="B16" s="1283">
        <v>5191421007</v>
      </c>
      <c r="C16" s="1136">
        <v>2</v>
      </c>
      <c r="D16" s="1137">
        <v>2</v>
      </c>
      <c r="E16" s="1137"/>
      <c r="F16" s="1137"/>
      <c r="G16" s="1134"/>
      <c r="H16" s="1134">
        <v>6</v>
      </c>
      <c r="I16" s="1134">
        <v>5</v>
      </c>
      <c r="J16" s="1134"/>
      <c r="K16" s="1134"/>
      <c r="L16" s="1134">
        <v>6</v>
      </c>
      <c r="M16" s="1134"/>
      <c r="N16" s="1284">
        <f t="shared" si="1"/>
        <v>21</v>
      </c>
      <c r="O16" s="1136"/>
      <c r="P16" s="1137"/>
      <c r="Q16" s="1137"/>
      <c r="R16" s="1137"/>
      <c r="S16" s="1134"/>
      <c r="T16" s="1134"/>
      <c r="U16" s="1134"/>
      <c r="V16" s="1134"/>
      <c r="W16" s="1134"/>
      <c r="X16" s="1134"/>
      <c r="Y16" s="1134"/>
      <c r="Z16" s="1285">
        <f t="shared" si="2"/>
        <v>0</v>
      </c>
      <c r="AA16" s="1134">
        <v>9</v>
      </c>
      <c r="AB16" s="1134">
        <v>9</v>
      </c>
      <c r="AC16" s="1134">
        <v>9</v>
      </c>
      <c r="AD16" s="940" t="s">
        <v>28</v>
      </c>
      <c r="AE16" s="1134">
        <f t="shared" si="0"/>
        <v>50</v>
      </c>
    </row>
    <row r="17" spans="1:31" s="1116" customFormat="1" ht="23.25" customHeight="1" x14ac:dyDescent="0.3">
      <c r="A17" s="1123">
        <v>8</v>
      </c>
      <c r="B17" s="1283">
        <v>5191421008</v>
      </c>
      <c r="C17" s="1136">
        <v>1</v>
      </c>
      <c r="D17" s="1137"/>
      <c r="E17" s="1137">
        <v>1</v>
      </c>
      <c r="F17" s="1137">
        <v>6</v>
      </c>
      <c r="G17" s="1134"/>
      <c r="H17" s="1134">
        <v>6</v>
      </c>
      <c r="I17" s="1134">
        <v>5</v>
      </c>
      <c r="J17" s="1289">
        <v>0</v>
      </c>
      <c r="K17" s="1289">
        <v>1</v>
      </c>
      <c r="L17" s="1134"/>
      <c r="M17" s="1134"/>
      <c r="N17" s="1284">
        <f t="shared" si="1"/>
        <v>20</v>
      </c>
      <c r="O17" s="1136">
        <v>1</v>
      </c>
      <c r="P17" s="1137">
        <v>0</v>
      </c>
      <c r="Q17" s="1137">
        <v>0</v>
      </c>
      <c r="R17" s="1137">
        <v>1</v>
      </c>
      <c r="S17" s="1134">
        <v>2</v>
      </c>
      <c r="T17" s="1134"/>
      <c r="U17" s="1134"/>
      <c r="V17" s="1289">
        <v>0</v>
      </c>
      <c r="W17" s="1289">
        <v>0</v>
      </c>
      <c r="X17" s="1134"/>
      <c r="Y17" s="1134"/>
      <c r="Z17" s="1285">
        <f t="shared" si="2"/>
        <v>4</v>
      </c>
      <c r="AA17" s="1134">
        <v>10</v>
      </c>
      <c r="AB17" s="1134">
        <v>10</v>
      </c>
      <c r="AC17" s="1134">
        <v>10</v>
      </c>
      <c r="AD17" s="940" t="s">
        <v>31</v>
      </c>
      <c r="AE17" s="1134">
        <f t="shared" si="0"/>
        <v>55</v>
      </c>
    </row>
    <row r="18" spans="1:31" s="1116" customFormat="1" ht="23.25" customHeight="1" x14ac:dyDescent="0.3">
      <c r="A18" s="1123">
        <v>9</v>
      </c>
      <c r="B18" s="1283">
        <v>5191421009</v>
      </c>
      <c r="C18" s="1138">
        <v>2</v>
      </c>
      <c r="D18" s="1134">
        <v>2</v>
      </c>
      <c r="E18" s="1134">
        <v>2</v>
      </c>
      <c r="F18" s="1134">
        <v>6</v>
      </c>
      <c r="G18" s="1134">
        <v>6</v>
      </c>
      <c r="H18" s="1134"/>
      <c r="I18" s="1134"/>
      <c r="J18" s="1134">
        <v>5</v>
      </c>
      <c r="K18" s="1134">
        <v>6</v>
      </c>
      <c r="L18" s="1134"/>
      <c r="M18" s="1134"/>
      <c r="N18" s="1284">
        <f t="shared" si="1"/>
        <v>29</v>
      </c>
      <c r="O18" s="1138">
        <v>2</v>
      </c>
      <c r="P18" s="1134">
        <v>0</v>
      </c>
      <c r="Q18" s="1134">
        <v>0</v>
      </c>
      <c r="R18" s="1134">
        <v>3</v>
      </c>
      <c r="S18" s="1134">
        <v>0</v>
      </c>
      <c r="T18" s="1134"/>
      <c r="U18" s="1134"/>
      <c r="V18" s="1134">
        <v>0</v>
      </c>
      <c r="W18" s="1134">
        <v>0</v>
      </c>
      <c r="X18" s="1134"/>
      <c r="Y18" s="1134"/>
      <c r="Z18" s="1285">
        <f t="shared" si="2"/>
        <v>5</v>
      </c>
      <c r="AA18" s="1134">
        <v>10</v>
      </c>
      <c r="AB18" s="1134">
        <v>10</v>
      </c>
      <c r="AC18" s="1134">
        <v>10</v>
      </c>
      <c r="AD18" s="940" t="s">
        <v>31</v>
      </c>
      <c r="AE18" s="1134">
        <f t="shared" si="0"/>
        <v>55</v>
      </c>
    </row>
    <row r="19" spans="1:31" s="1116" customFormat="1" ht="23.25" customHeight="1" x14ac:dyDescent="0.3">
      <c r="A19" s="1123">
        <v>10</v>
      </c>
      <c r="B19" s="1283">
        <v>5191421010</v>
      </c>
      <c r="C19" s="1290">
        <v>2</v>
      </c>
      <c r="D19" s="1291">
        <v>2</v>
      </c>
      <c r="E19" s="1291">
        <v>2</v>
      </c>
      <c r="F19" s="1291">
        <v>6</v>
      </c>
      <c r="G19" s="1288">
        <v>6</v>
      </c>
      <c r="H19" s="1288">
        <v>5</v>
      </c>
      <c r="I19" s="1288"/>
      <c r="J19" s="1292">
        <v>2</v>
      </c>
      <c r="K19" s="1288"/>
      <c r="L19" s="1288"/>
      <c r="M19" s="1288"/>
      <c r="N19" s="1284">
        <f t="shared" si="1"/>
        <v>25</v>
      </c>
      <c r="O19" s="1290">
        <v>2</v>
      </c>
      <c r="P19" s="1291">
        <v>0</v>
      </c>
      <c r="Q19" s="1291"/>
      <c r="R19" s="1291">
        <v>2</v>
      </c>
      <c r="S19" s="1288">
        <v>3</v>
      </c>
      <c r="T19" s="1288"/>
      <c r="U19" s="1288"/>
      <c r="V19" s="1292"/>
      <c r="W19" s="1288"/>
      <c r="X19" s="1288">
        <v>0</v>
      </c>
      <c r="Y19" s="1288"/>
      <c r="Z19" s="1285">
        <f t="shared" si="2"/>
        <v>7</v>
      </c>
      <c r="AA19" s="1134">
        <v>10</v>
      </c>
      <c r="AB19" s="1134">
        <v>10</v>
      </c>
      <c r="AC19" s="1134">
        <v>10</v>
      </c>
      <c r="AD19" s="940" t="s">
        <v>28</v>
      </c>
      <c r="AE19" s="1134">
        <f t="shared" si="0"/>
        <v>50</v>
      </c>
    </row>
    <row r="20" spans="1:31" s="1116" customFormat="1" ht="23.25" customHeight="1" x14ac:dyDescent="0.3">
      <c r="A20" s="1123">
        <v>11</v>
      </c>
      <c r="B20" s="1283">
        <v>5191421011</v>
      </c>
      <c r="C20" s="1136">
        <v>2</v>
      </c>
      <c r="D20" s="1137">
        <v>2</v>
      </c>
      <c r="E20" s="1137">
        <v>2</v>
      </c>
      <c r="F20" s="1137">
        <v>6</v>
      </c>
      <c r="G20" s="1134">
        <v>6</v>
      </c>
      <c r="H20" s="1289">
        <v>5</v>
      </c>
      <c r="I20" s="1134"/>
      <c r="J20" s="1134">
        <v>5</v>
      </c>
      <c r="K20" s="1134">
        <v>5</v>
      </c>
      <c r="L20" s="1134"/>
      <c r="M20" s="1134"/>
      <c r="N20" s="1284">
        <f t="shared" si="1"/>
        <v>33</v>
      </c>
      <c r="O20" s="1136">
        <v>2</v>
      </c>
      <c r="P20" s="1137"/>
      <c r="Q20" s="1137">
        <v>0</v>
      </c>
      <c r="R20" s="1137">
        <v>4</v>
      </c>
      <c r="S20" s="1134"/>
      <c r="T20" s="1289"/>
      <c r="U20" s="1134"/>
      <c r="V20" s="1134"/>
      <c r="W20" s="1134"/>
      <c r="X20" s="1134"/>
      <c r="Y20" s="1134"/>
      <c r="Z20" s="1285">
        <f t="shared" si="2"/>
        <v>6</v>
      </c>
      <c r="AA20" s="1134">
        <v>10</v>
      </c>
      <c r="AB20" s="1134">
        <v>10</v>
      </c>
      <c r="AC20" s="1134">
        <v>10</v>
      </c>
      <c r="AD20" s="940" t="s">
        <v>31</v>
      </c>
      <c r="AE20" s="1134">
        <f t="shared" si="0"/>
        <v>55</v>
      </c>
    </row>
    <row r="21" spans="1:31" s="1116" customFormat="1" ht="23.25" customHeight="1" x14ac:dyDescent="0.3">
      <c r="A21" s="1123">
        <v>12</v>
      </c>
      <c r="B21" s="1283">
        <v>5191421012</v>
      </c>
      <c r="C21" s="1136">
        <v>2</v>
      </c>
      <c r="D21" s="1137">
        <v>1</v>
      </c>
      <c r="E21" s="1137">
        <v>1</v>
      </c>
      <c r="F21" s="1137">
        <v>3</v>
      </c>
      <c r="G21" s="1134">
        <v>5</v>
      </c>
      <c r="H21" s="1134"/>
      <c r="I21" s="1134"/>
      <c r="J21" s="1134">
        <v>3</v>
      </c>
      <c r="K21" s="1134"/>
      <c r="L21" s="1134"/>
      <c r="M21" s="1134"/>
      <c r="N21" s="1284">
        <f t="shared" si="1"/>
        <v>15</v>
      </c>
      <c r="O21" s="1136">
        <v>1</v>
      </c>
      <c r="P21" s="1137"/>
      <c r="Q21" s="1137"/>
      <c r="R21" s="1137">
        <v>2</v>
      </c>
      <c r="S21" s="1134"/>
      <c r="T21" s="1134"/>
      <c r="U21" s="1134"/>
      <c r="V21" s="1134"/>
      <c r="W21" s="1134"/>
      <c r="X21" s="1134"/>
      <c r="Y21" s="1134"/>
      <c r="Z21" s="1285">
        <f t="shared" si="2"/>
        <v>3</v>
      </c>
      <c r="AA21" s="1134">
        <v>9</v>
      </c>
      <c r="AB21" s="1134">
        <v>9</v>
      </c>
      <c r="AC21" s="1134">
        <v>9</v>
      </c>
      <c r="AD21" s="940" t="s">
        <v>29</v>
      </c>
      <c r="AE21" s="1134">
        <f t="shared" si="0"/>
        <v>39</v>
      </c>
    </row>
    <row r="22" spans="1:31" s="1116" customFormat="1" ht="23.25" customHeight="1" x14ac:dyDescent="0.3">
      <c r="A22" s="1123">
        <v>13</v>
      </c>
      <c r="B22" s="1283">
        <v>5191421013</v>
      </c>
      <c r="C22" s="1136">
        <v>2</v>
      </c>
      <c r="D22" s="1137">
        <v>2</v>
      </c>
      <c r="E22" s="1137">
        <v>2</v>
      </c>
      <c r="F22" s="1137">
        <v>6</v>
      </c>
      <c r="G22" s="1134">
        <v>5</v>
      </c>
      <c r="H22" s="1134"/>
      <c r="I22" s="1134"/>
      <c r="J22" s="1134">
        <v>6</v>
      </c>
      <c r="K22" s="1134">
        <v>5</v>
      </c>
      <c r="L22" s="1134"/>
      <c r="M22" s="1134"/>
      <c r="N22" s="1284">
        <f t="shared" si="1"/>
        <v>28</v>
      </c>
      <c r="O22" s="1136">
        <v>2</v>
      </c>
      <c r="P22" s="1137">
        <v>2</v>
      </c>
      <c r="Q22" s="1137">
        <v>0</v>
      </c>
      <c r="R22" s="1137"/>
      <c r="S22" s="1134"/>
      <c r="T22" s="1134"/>
      <c r="U22" s="1134">
        <v>2</v>
      </c>
      <c r="V22" s="1134"/>
      <c r="W22" s="1134"/>
      <c r="X22" s="1134">
        <v>4</v>
      </c>
      <c r="Y22" s="1134">
        <v>2</v>
      </c>
      <c r="Z22" s="1285">
        <f t="shared" si="2"/>
        <v>12</v>
      </c>
      <c r="AA22" s="1134">
        <v>10</v>
      </c>
      <c r="AB22" s="1134">
        <v>10</v>
      </c>
      <c r="AC22" s="1134">
        <v>10</v>
      </c>
      <c r="AD22" s="940" t="s">
        <v>30</v>
      </c>
      <c r="AE22" s="1134">
        <f t="shared" si="0"/>
        <v>90</v>
      </c>
    </row>
    <row r="23" spans="1:31" s="1116" customFormat="1" ht="23.25" customHeight="1" x14ac:dyDescent="0.3">
      <c r="A23" s="1123">
        <v>14</v>
      </c>
      <c r="B23" s="1283">
        <v>5191421014</v>
      </c>
      <c r="C23" s="1136">
        <v>2</v>
      </c>
      <c r="D23" s="1137">
        <v>1</v>
      </c>
      <c r="E23" s="1137">
        <v>2</v>
      </c>
      <c r="F23" s="1137">
        <v>2</v>
      </c>
      <c r="G23" s="1134">
        <v>5</v>
      </c>
      <c r="H23" s="1134"/>
      <c r="I23" s="1134"/>
      <c r="J23" s="1134">
        <v>6</v>
      </c>
      <c r="K23" s="1134">
        <v>3</v>
      </c>
      <c r="L23" s="1134"/>
      <c r="M23" s="1134"/>
      <c r="N23" s="1284">
        <f t="shared" si="1"/>
        <v>21</v>
      </c>
      <c r="O23" s="1136">
        <v>2</v>
      </c>
      <c r="P23" s="1137">
        <v>0</v>
      </c>
      <c r="Q23" s="1137">
        <v>0</v>
      </c>
      <c r="R23" s="1137">
        <v>6</v>
      </c>
      <c r="S23" s="1134">
        <v>0</v>
      </c>
      <c r="T23" s="1134"/>
      <c r="U23" s="1134"/>
      <c r="V23" s="1134"/>
      <c r="W23" s="1134"/>
      <c r="X23" s="1134">
        <v>4</v>
      </c>
      <c r="Y23" s="1134"/>
      <c r="Z23" s="1285">
        <f t="shared" si="2"/>
        <v>12</v>
      </c>
      <c r="AA23" s="1134">
        <v>10</v>
      </c>
      <c r="AB23" s="1134">
        <v>10</v>
      </c>
      <c r="AC23" s="1134">
        <v>10</v>
      </c>
      <c r="AD23" s="940" t="s">
        <v>28</v>
      </c>
      <c r="AE23" s="1134">
        <f t="shared" si="0"/>
        <v>50</v>
      </c>
    </row>
    <row r="24" spans="1:31" s="1116" customFormat="1" ht="23.25" customHeight="1" x14ac:dyDescent="0.3">
      <c r="A24" s="1123">
        <v>15</v>
      </c>
      <c r="B24" s="1283">
        <v>5191421015</v>
      </c>
      <c r="C24" s="1290">
        <v>2</v>
      </c>
      <c r="D24" s="1291">
        <v>2</v>
      </c>
      <c r="E24" s="1291">
        <v>1</v>
      </c>
      <c r="F24" s="1291">
        <v>6</v>
      </c>
      <c r="G24" s="1288"/>
      <c r="H24" s="1288">
        <v>6</v>
      </c>
      <c r="I24" s="1288">
        <v>6</v>
      </c>
      <c r="J24" s="1288"/>
      <c r="K24" s="1292">
        <v>2</v>
      </c>
      <c r="L24" s="1288"/>
      <c r="M24" s="1288"/>
      <c r="N24" s="1284">
        <f t="shared" si="1"/>
        <v>25</v>
      </c>
      <c r="O24" s="1290">
        <v>2</v>
      </c>
      <c r="P24" s="1291"/>
      <c r="Q24" s="1291"/>
      <c r="R24" s="1291">
        <v>4</v>
      </c>
      <c r="S24" s="1288">
        <v>0</v>
      </c>
      <c r="T24" s="1288">
        <v>0</v>
      </c>
      <c r="U24" s="1288"/>
      <c r="V24" s="1288">
        <v>0</v>
      </c>
      <c r="W24" s="1292">
        <v>0</v>
      </c>
      <c r="X24" s="1288"/>
      <c r="Y24" s="1288">
        <v>0</v>
      </c>
      <c r="Z24" s="1285">
        <f t="shared" si="2"/>
        <v>6</v>
      </c>
      <c r="AA24" s="1134">
        <v>10</v>
      </c>
      <c r="AB24" s="1134">
        <v>10</v>
      </c>
      <c r="AC24" s="1134">
        <v>10</v>
      </c>
      <c r="AD24" s="940" t="s">
        <v>28</v>
      </c>
      <c r="AE24" s="1134">
        <f t="shared" si="0"/>
        <v>50</v>
      </c>
    </row>
    <row r="25" spans="1:31" s="1116" customFormat="1" ht="23.25" customHeight="1" x14ac:dyDescent="0.3">
      <c r="A25" s="1123">
        <v>16</v>
      </c>
      <c r="B25" s="1283">
        <v>5191421016</v>
      </c>
      <c r="C25" s="1136">
        <v>2</v>
      </c>
      <c r="D25" s="1137"/>
      <c r="E25" s="1137">
        <v>2</v>
      </c>
      <c r="F25" s="1293">
        <v>6</v>
      </c>
      <c r="G25" s="1294">
        <v>6</v>
      </c>
      <c r="H25" s="1294">
        <v>6</v>
      </c>
      <c r="I25" s="1294"/>
      <c r="J25" s="1295">
        <v>4</v>
      </c>
      <c r="K25" s="1294"/>
      <c r="L25" s="1294"/>
      <c r="M25" s="1134"/>
      <c r="N25" s="1284">
        <f t="shared" si="1"/>
        <v>26</v>
      </c>
      <c r="O25" s="1136">
        <v>1</v>
      </c>
      <c r="P25" s="1137">
        <v>0</v>
      </c>
      <c r="Q25" s="1137"/>
      <c r="R25" s="1293">
        <v>2</v>
      </c>
      <c r="S25" s="1294"/>
      <c r="T25" s="1294"/>
      <c r="U25" s="1294"/>
      <c r="V25" s="1295"/>
      <c r="W25" s="1294"/>
      <c r="X25" s="1294"/>
      <c r="Y25" s="1134"/>
      <c r="Z25" s="1285">
        <f t="shared" si="2"/>
        <v>3</v>
      </c>
      <c r="AA25" s="1134">
        <v>10</v>
      </c>
      <c r="AB25" s="1134">
        <v>10</v>
      </c>
      <c r="AC25" s="1134">
        <v>10</v>
      </c>
      <c r="AD25" s="940" t="s">
        <v>29</v>
      </c>
      <c r="AE25" s="1134">
        <f t="shared" si="0"/>
        <v>39</v>
      </c>
    </row>
    <row r="26" spans="1:31" s="1116" customFormat="1" ht="23.25" customHeight="1" x14ac:dyDescent="0.3">
      <c r="A26" s="1123">
        <v>17</v>
      </c>
      <c r="B26" s="1283">
        <v>5191421017</v>
      </c>
      <c r="C26" s="1136">
        <v>2</v>
      </c>
      <c r="D26" s="1137">
        <v>2</v>
      </c>
      <c r="E26" s="1137">
        <v>2</v>
      </c>
      <c r="F26" s="1293"/>
      <c r="G26" s="1294"/>
      <c r="H26" s="1294">
        <v>6</v>
      </c>
      <c r="I26" s="1294"/>
      <c r="J26" s="1294">
        <v>6</v>
      </c>
      <c r="K26" s="1294">
        <v>6</v>
      </c>
      <c r="L26" s="1294"/>
      <c r="M26" s="1134"/>
      <c r="N26" s="1284">
        <f t="shared" si="1"/>
        <v>24</v>
      </c>
      <c r="O26" s="1136">
        <v>2</v>
      </c>
      <c r="P26" s="1137">
        <v>1</v>
      </c>
      <c r="Q26" s="1137">
        <v>1</v>
      </c>
      <c r="R26" s="1293">
        <v>2</v>
      </c>
      <c r="S26" s="1294"/>
      <c r="T26" s="1294"/>
      <c r="U26" s="1294"/>
      <c r="V26" s="1294"/>
      <c r="W26" s="1294"/>
      <c r="X26" s="1294"/>
      <c r="Y26" s="1134"/>
      <c r="Z26" s="1285">
        <f t="shared" si="2"/>
        <v>6</v>
      </c>
      <c r="AA26" s="1134">
        <v>10</v>
      </c>
      <c r="AB26" s="1134">
        <v>10</v>
      </c>
      <c r="AC26" s="1134">
        <v>10</v>
      </c>
      <c r="AD26" s="940" t="s">
        <v>28</v>
      </c>
      <c r="AE26" s="1134">
        <f t="shared" si="0"/>
        <v>50</v>
      </c>
    </row>
    <row r="27" spans="1:31" s="1116" customFormat="1" ht="23.25" customHeight="1" x14ac:dyDescent="0.3">
      <c r="A27" s="1123">
        <v>18</v>
      </c>
      <c r="B27" s="1283">
        <v>5191421018</v>
      </c>
      <c r="C27" s="1219">
        <v>2</v>
      </c>
      <c r="D27" s="1296"/>
      <c r="E27" s="1296"/>
      <c r="F27" s="1296"/>
      <c r="G27" s="1225"/>
      <c r="H27" s="1225">
        <v>5</v>
      </c>
      <c r="I27" s="1225"/>
      <c r="J27" s="1225">
        <v>3</v>
      </c>
      <c r="K27" s="1225">
        <v>2</v>
      </c>
      <c r="L27" s="1225"/>
      <c r="M27" s="1225"/>
      <c r="N27" s="1284">
        <f t="shared" si="1"/>
        <v>12</v>
      </c>
      <c r="O27" s="1219">
        <v>0</v>
      </c>
      <c r="P27" s="1296">
        <v>0</v>
      </c>
      <c r="Q27" s="1296"/>
      <c r="R27" s="1296">
        <v>1</v>
      </c>
      <c r="S27" s="1225">
        <v>0</v>
      </c>
      <c r="T27" s="1225"/>
      <c r="U27" s="1225"/>
      <c r="V27" s="1225"/>
      <c r="W27" s="1225"/>
      <c r="X27" s="1225"/>
      <c r="Y27" s="1225"/>
      <c r="Z27" s="1285">
        <f t="shared" si="2"/>
        <v>1</v>
      </c>
      <c r="AA27" s="1134">
        <v>9</v>
      </c>
      <c r="AB27" s="1134">
        <v>9</v>
      </c>
      <c r="AC27" s="1134">
        <v>9</v>
      </c>
      <c r="AD27" s="940" t="s">
        <v>29</v>
      </c>
      <c r="AE27" s="1134">
        <f t="shared" si="0"/>
        <v>39</v>
      </c>
    </row>
    <row r="28" spans="1:31" s="1116" customFormat="1" ht="23.25" customHeight="1" x14ac:dyDescent="0.3">
      <c r="A28" s="1123">
        <v>19</v>
      </c>
      <c r="B28" s="1283">
        <v>5191421019</v>
      </c>
      <c r="C28" s="1136">
        <v>2</v>
      </c>
      <c r="D28" s="1134">
        <v>2</v>
      </c>
      <c r="E28" s="1134">
        <v>2</v>
      </c>
      <c r="F28" s="1134">
        <v>6</v>
      </c>
      <c r="G28" s="1134">
        <v>6</v>
      </c>
      <c r="H28" s="1134"/>
      <c r="I28" s="1134"/>
      <c r="J28" s="1134">
        <v>6</v>
      </c>
      <c r="K28" s="1134">
        <v>6</v>
      </c>
      <c r="L28" s="1134"/>
      <c r="M28" s="1134"/>
      <c r="N28" s="1284">
        <f t="shared" si="1"/>
        <v>30</v>
      </c>
      <c r="O28" s="1136">
        <v>2</v>
      </c>
      <c r="P28" s="1134">
        <v>1</v>
      </c>
      <c r="Q28" s="1134">
        <v>1</v>
      </c>
      <c r="R28" s="1134">
        <v>6</v>
      </c>
      <c r="S28" s="1134">
        <v>1</v>
      </c>
      <c r="T28" s="1134"/>
      <c r="U28" s="1134"/>
      <c r="V28" s="1134"/>
      <c r="W28" s="1134"/>
      <c r="X28" s="1134">
        <v>6</v>
      </c>
      <c r="Y28" s="1134"/>
      <c r="Z28" s="1285">
        <f t="shared" si="2"/>
        <v>17</v>
      </c>
      <c r="AA28" s="1134">
        <v>10</v>
      </c>
      <c r="AB28" s="1134">
        <v>10</v>
      </c>
      <c r="AC28" s="1134">
        <v>10</v>
      </c>
      <c r="AD28" s="940" t="s">
        <v>27</v>
      </c>
      <c r="AE28" s="1134">
        <f t="shared" si="0"/>
        <v>80</v>
      </c>
    </row>
    <row r="29" spans="1:31" s="1116" customFormat="1" ht="23.25" customHeight="1" x14ac:dyDescent="0.3">
      <c r="A29" s="1123">
        <v>20</v>
      </c>
      <c r="B29" s="1283">
        <v>5191421020</v>
      </c>
      <c r="C29" s="1287">
        <v>2</v>
      </c>
      <c r="D29" s="1288">
        <v>2</v>
      </c>
      <c r="E29" s="1288">
        <v>2</v>
      </c>
      <c r="F29" s="1288">
        <v>6</v>
      </c>
      <c r="G29" s="1288">
        <v>5</v>
      </c>
      <c r="H29" s="1288"/>
      <c r="I29" s="1288"/>
      <c r="J29" s="1288">
        <v>6</v>
      </c>
      <c r="K29" s="1288">
        <v>6</v>
      </c>
      <c r="L29" s="1288"/>
      <c r="M29" s="1288"/>
      <c r="N29" s="1284">
        <f t="shared" si="1"/>
        <v>29</v>
      </c>
      <c r="O29" s="1287">
        <v>1</v>
      </c>
      <c r="P29" s="1288">
        <v>1</v>
      </c>
      <c r="Q29" s="1288">
        <v>0</v>
      </c>
      <c r="R29" s="1288">
        <v>4</v>
      </c>
      <c r="S29" s="1288">
        <v>2</v>
      </c>
      <c r="T29" s="1288"/>
      <c r="U29" s="1288"/>
      <c r="V29" s="1288">
        <v>0</v>
      </c>
      <c r="W29" s="1288">
        <v>0</v>
      </c>
      <c r="X29" s="1288"/>
      <c r="Y29" s="1288"/>
      <c r="Z29" s="1285">
        <f t="shared" si="2"/>
        <v>8</v>
      </c>
      <c r="AA29" s="1134">
        <v>10</v>
      </c>
      <c r="AB29" s="1134">
        <v>10</v>
      </c>
      <c r="AC29" s="1134">
        <v>10</v>
      </c>
      <c r="AD29" s="940" t="s">
        <v>32</v>
      </c>
      <c r="AE29" s="1134">
        <f t="shared" si="0"/>
        <v>70</v>
      </c>
    </row>
    <row r="30" spans="1:31" s="1116" customFormat="1" ht="23.25" customHeight="1" x14ac:dyDescent="0.3">
      <c r="A30" s="1123">
        <v>21</v>
      </c>
      <c r="B30" s="1283">
        <v>5191421021</v>
      </c>
      <c r="C30" s="1136">
        <v>2</v>
      </c>
      <c r="D30" s="1134">
        <v>2</v>
      </c>
      <c r="E30" s="1134">
        <v>2</v>
      </c>
      <c r="F30" s="1134">
        <v>5</v>
      </c>
      <c r="G30" s="1134">
        <v>6</v>
      </c>
      <c r="H30" s="1134"/>
      <c r="I30" s="1134"/>
      <c r="J30" s="1134">
        <v>5</v>
      </c>
      <c r="K30" s="1134">
        <v>1</v>
      </c>
      <c r="L30" s="1134"/>
      <c r="M30" s="1134"/>
      <c r="N30" s="1284">
        <f t="shared" si="1"/>
        <v>23</v>
      </c>
      <c r="O30" s="1136">
        <v>2</v>
      </c>
      <c r="P30" s="1134">
        <v>1</v>
      </c>
      <c r="Q30" s="1134"/>
      <c r="R30" s="1134">
        <v>5</v>
      </c>
      <c r="S30" s="1134"/>
      <c r="T30" s="1134"/>
      <c r="U30" s="1134"/>
      <c r="V30" s="1134"/>
      <c r="W30" s="1134"/>
      <c r="X30" s="1134">
        <v>4</v>
      </c>
      <c r="Y30" s="1134">
        <v>0</v>
      </c>
      <c r="Z30" s="1285">
        <f t="shared" si="2"/>
        <v>12</v>
      </c>
      <c r="AA30" s="1134">
        <v>10</v>
      </c>
      <c r="AB30" s="1134">
        <v>10</v>
      </c>
      <c r="AC30" s="1134">
        <v>10</v>
      </c>
      <c r="AD30" s="940" t="s">
        <v>33</v>
      </c>
      <c r="AE30" s="1134">
        <f t="shared" si="0"/>
        <v>60</v>
      </c>
    </row>
    <row r="31" spans="1:31" s="1116" customFormat="1" ht="23.25" customHeight="1" x14ac:dyDescent="0.3">
      <c r="A31" s="1123">
        <v>22</v>
      </c>
      <c r="B31" s="1283">
        <v>5191421022</v>
      </c>
      <c r="C31" s="1297"/>
      <c r="D31" s="1298"/>
      <c r="E31" s="1298"/>
      <c r="F31" s="1298"/>
      <c r="G31" s="1298"/>
      <c r="H31" s="1298"/>
      <c r="I31" s="1298"/>
      <c r="J31" s="1298"/>
      <c r="K31" s="1298"/>
      <c r="L31" s="1298"/>
      <c r="M31" s="1298"/>
      <c r="N31" s="1284">
        <f t="shared" si="1"/>
        <v>0</v>
      </c>
      <c r="O31" s="1297">
        <v>2</v>
      </c>
      <c r="P31" s="1298">
        <v>0</v>
      </c>
      <c r="Q31" s="1298"/>
      <c r="R31" s="1298">
        <v>2</v>
      </c>
      <c r="S31" s="1298">
        <v>0</v>
      </c>
      <c r="T31" s="1298"/>
      <c r="U31" s="1298"/>
      <c r="V31" s="1298"/>
      <c r="W31" s="1298"/>
      <c r="X31" s="1298">
        <v>4</v>
      </c>
      <c r="Y31" s="1298">
        <v>0</v>
      </c>
      <c r="Z31" s="1285">
        <v>2</v>
      </c>
      <c r="AA31" s="1134">
        <v>9</v>
      </c>
      <c r="AB31" s="1134">
        <v>9</v>
      </c>
      <c r="AC31" s="1134">
        <v>9</v>
      </c>
      <c r="AD31" s="940" t="s">
        <v>28</v>
      </c>
      <c r="AE31" s="1134">
        <f t="shared" si="0"/>
        <v>50</v>
      </c>
    </row>
    <row r="32" spans="1:31" s="1116" customFormat="1" ht="23.25" customHeight="1" x14ac:dyDescent="0.3">
      <c r="A32" s="1123">
        <v>23</v>
      </c>
      <c r="B32" s="1283">
        <v>5191421023</v>
      </c>
      <c r="C32" s="1136">
        <v>2</v>
      </c>
      <c r="D32" s="1134">
        <v>0</v>
      </c>
      <c r="E32" s="1134">
        <v>2</v>
      </c>
      <c r="F32" s="1134">
        <v>5</v>
      </c>
      <c r="G32" s="1134">
        <v>4</v>
      </c>
      <c r="H32" s="1134"/>
      <c r="I32" s="1134"/>
      <c r="J32" s="1134"/>
      <c r="K32" s="1134">
        <v>2</v>
      </c>
      <c r="L32" s="1134"/>
      <c r="M32" s="1134"/>
      <c r="N32" s="1284">
        <f t="shared" si="1"/>
        <v>15</v>
      </c>
      <c r="O32" s="1136">
        <v>2</v>
      </c>
      <c r="P32" s="1134"/>
      <c r="Q32" s="1134"/>
      <c r="R32" s="1134"/>
      <c r="S32" s="1134"/>
      <c r="T32" s="1134"/>
      <c r="U32" s="1134"/>
      <c r="V32" s="1134"/>
      <c r="W32" s="1134">
        <v>0</v>
      </c>
      <c r="X32" s="1134">
        <v>5</v>
      </c>
      <c r="Y32" s="1134"/>
      <c r="Z32" s="1285">
        <f t="shared" si="2"/>
        <v>7</v>
      </c>
      <c r="AA32" s="1134">
        <v>10</v>
      </c>
      <c r="AB32" s="1134">
        <v>10</v>
      </c>
      <c r="AC32" s="1134">
        <v>10</v>
      </c>
      <c r="AD32" s="940" t="s">
        <v>28</v>
      </c>
      <c r="AE32" s="1134">
        <f t="shared" si="0"/>
        <v>50</v>
      </c>
    </row>
    <row r="33" spans="1:31" s="1116" customFormat="1" ht="23.25" customHeight="1" x14ac:dyDescent="0.3">
      <c r="A33" s="1123">
        <v>24</v>
      </c>
      <c r="B33" s="1283">
        <v>5191421024</v>
      </c>
      <c r="C33" s="1136">
        <v>2</v>
      </c>
      <c r="D33" s="1134">
        <v>2</v>
      </c>
      <c r="E33" s="1134">
        <v>1</v>
      </c>
      <c r="F33" s="1134">
        <v>6</v>
      </c>
      <c r="G33" s="1134">
        <v>6</v>
      </c>
      <c r="H33" s="1134"/>
      <c r="I33" s="1134"/>
      <c r="J33" s="1134">
        <v>2</v>
      </c>
      <c r="K33" s="1134">
        <v>2</v>
      </c>
      <c r="L33" s="1134"/>
      <c r="M33" s="1134"/>
      <c r="N33" s="1284">
        <f t="shared" si="1"/>
        <v>21</v>
      </c>
      <c r="O33" s="1136">
        <v>2</v>
      </c>
      <c r="P33" s="1134"/>
      <c r="Q33" s="1134"/>
      <c r="R33" s="1134">
        <v>2</v>
      </c>
      <c r="S33" s="1134">
        <v>0</v>
      </c>
      <c r="T33" s="1134"/>
      <c r="U33" s="1134"/>
      <c r="V33" s="1134"/>
      <c r="W33" s="1134"/>
      <c r="X33" s="1134">
        <v>4</v>
      </c>
      <c r="Y33" s="1134"/>
      <c r="Z33" s="1285">
        <f t="shared" si="2"/>
        <v>8</v>
      </c>
      <c r="AA33" s="1134">
        <v>10</v>
      </c>
      <c r="AB33" s="1134">
        <v>10</v>
      </c>
      <c r="AC33" s="1134">
        <v>10</v>
      </c>
      <c r="AD33" s="940" t="s">
        <v>28</v>
      </c>
      <c r="AE33" s="1134">
        <f t="shared" si="0"/>
        <v>50</v>
      </c>
    </row>
    <row r="34" spans="1:31" s="1116" customFormat="1" ht="23.25" customHeight="1" x14ac:dyDescent="0.3">
      <c r="A34" s="1123">
        <v>25</v>
      </c>
      <c r="B34" s="1283">
        <v>5191421025</v>
      </c>
      <c r="C34" s="1290">
        <v>2</v>
      </c>
      <c r="D34" s="1288">
        <v>2</v>
      </c>
      <c r="E34" s="1288">
        <v>2</v>
      </c>
      <c r="F34" s="1288">
        <v>6</v>
      </c>
      <c r="G34" s="1288">
        <v>6</v>
      </c>
      <c r="H34" s="1288"/>
      <c r="I34" s="1288"/>
      <c r="J34" s="1288">
        <v>5</v>
      </c>
      <c r="K34" s="1288">
        <v>6</v>
      </c>
      <c r="L34" s="1288"/>
      <c r="M34" s="1288"/>
      <c r="N34" s="1284">
        <f t="shared" si="1"/>
        <v>29</v>
      </c>
      <c r="O34" s="1290">
        <v>2</v>
      </c>
      <c r="P34" s="1288">
        <v>1</v>
      </c>
      <c r="Q34" s="1288">
        <v>0</v>
      </c>
      <c r="R34" s="1288">
        <v>3</v>
      </c>
      <c r="S34" s="1288">
        <v>2</v>
      </c>
      <c r="T34" s="1288"/>
      <c r="U34" s="1288"/>
      <c r="V34" s="1288">
        <v>0</v>
      </c>
      <c r="W34" s="1288">
        <v>0</v>
      </c>
      <c r="X34" s="1288"/>
      <c r="Y34" s="1288"/>
      <c r="Z34" s="1285">
        <f t="shared" si="2"/>
        <v>8</v>
      </c>
      <c r="AA34" s="1134">
        <v>10</v>
      </c>
      <c r="AB34" s="1134">
        <v>10</v>
      </c>
      <c r="AC34" s="1134">
        <v>10</v>
      </c>
      <c r="AD34" s="940" t="s">
        <v>30</v>
      </c>
      <c r="AE34" s="1134">
        <f t="shared" si="0"/>
        <v>90</v>
      </c>
    </row>
    <row r="35" spans="1:31" s="1116" customFormat="1" ht="23.25" customHeight="1" x14ac:dyDescent="0.3">
      <c r="A35" s="1123">
        <v>26</v>
      </c>
      <c r="B35" s="1283">
        <v>5191421026</v>
      </c>
      <c r="C35" s="1136">
        <v>2</v>
      </c>
      <c r="D35" s="1134">
        <v>2</v>
      </c>
      <c r="E35" s="1134">
        <v>2</v>
      </c>
      <c r="F35" s="1134">
        <v>6</v>
      </c>
      <c r="G35" s="1134">
        <v>6</v>
      </c>
      <c r="H35" s="1134"/>
      <c r="I35" s="1134"/>
      <c r="J35" s="1134">
        <v>4</v>
      </c>
      <c r="K35" s="1134">
        <v>4</v>
      </c>
      <c r="L35" s="1134"/>
      <c r="M35" s="1134"/>
      <c r="N35" s="1284">
        <f t="shared" si="1"/>
        <v>26</v>
      </c>
      <c r="O35" s="1136">
        <v>1</v>
      </c>
      <c r="P35" s="1134">
        <v>1</v>
      </c>
      <c r="Q35" s="1134">
        <v>0</v>
      </c>
      <c r="R35" s="1134">
        <v>2</v>
      </c>
      <c r="S35" s="1134">
        <v>1</v>
      </c>
      <c r="T35" s="1134"/>
      <c r="U35" s="1134"/>
      <c r="V35" s="1134"/>
      <c r="W35" s="1134"/>
      <c r="X35" s="1134"/>
      <c r="Y35" s="1134"/>
      <c r="Z35" s="1285">
        <f t="shared" si="2"/>
        <v>5</v>
      </c>
      <c r="AA35" s="1134">
        <v>10</v>
      </c>
      <c r="AB35" s="1134">
        <v>10</v>
      </c>
      <c r="AC35" s="1134">
        <v>10</v>
      </c>
      <c r="AD35" s="940" t="s">
        <v>31</v>
      </c>
      <c r="AE35" s="1134">
        <f t="shared" si="0"/>
        <v>55</v>
      </c>
    </row>
    <row r="36" spans="1:31" s="1116" customFormat="1" ht="23.25" customHeight="1" x14ac:dyDescent="0.3">
      <c r="A36" s="1123">
        <v>27</v>
      </c>
      <c r="B36" s="1283">
        <v>5191421027</v>
      </c>
      <c r="C36" s="1136">
        <v>2</v>
      </c>
      <c r="D36" s="1134"/>
      <c r="E36" s="1134">
        <v>1</v>
      </c>
      <c r="F36" s="1134"/>
      <c r="G36" s="1134"/>
      <c r="H36" s="1134">
        <v>6</v>
      </c>
      <c r="I36" s="1134"/>
      <c r="J36" s="1134">
        <v>6</v>
      </c>
      <c r="K36" s="1134">
        <v>4</v>
      </c>
      <c r="L36" s="1134"/>
      <c r="M36" s="1134"/>
      <c r="N36" s="1284">
        <f t="shared" si="1"/>
        <v>19</v>
      </c>
      <c r="O36" s="1136">
        <v>2</v>
      </c>
      <c r="P36" s="1134">
        <v>2</v>
      </c>
      <c r="Q36" s="1134"/>
      <c r="R36" s="1134">
        <v>6</v>
      </c>
      <c r="S36" s="1134"/>
      <c r="T36" s="1134"/>
      <c r="U36" s="1134"/>
      <c r="V36" s="1134"/>
      <c r="W36" s="1134"/>
      <c r="X36" s="1134">
        <v>5</v>
      </c>
      <c r="Y36" s="1134"/>
      <c r="Z36" s="1285">
        <f t="shared" si="2"/>
        <v>15</v>
      </c>
      <c r="AA36" s="1134">
        <v>10</v>
      </c>
      <c r="AB36" s="1134">
        <v>10</v>
      </c>
      <c r="AC36" s="1134">
        <v>10</v>
      </c>
      <c r="AD36" s="940" t="s">
        <v>31</v>
      </c>
      <c r="AE36" s="1134">
        <f t="shared" si="0"/>
        <v>55</v>
      </c>
    </row>
    <row r="37" spans="1:31" s="1116" customFormat="1" ht="23.25" customHeight="1" x14ac:dyDescent="0.3">
      <c r="A37" s="1123">
        <v>28</v>
      </c>
      <c r="B37" s="1283">
        <v>5191421028</v>
      </c>
      <c r="C37" s="1136">
        <v>2</v>
      </c>
      <c r="D37" s="1134">
        <v>2</v>
      </c>
      <c r="E37" s="1134">
        <v>2</v>
      </c>
      <c r="F37" s="1134">
        <v>6</v>
      </c>
      <c r="G37" s="1134">
        <v>6</v>
      </c>
      <c r="H37" s="1134"/>
      <c r="I37" s="1134"/>
      <c r="J37" s="1134">
        <v>6</v>
      </c>
      <c r="K37" s="1134">
        <v>6</v>
      </c>
      <c r="L37" s="1134"/>
      <c r="M37" s="1134"/>
      <c r="N37" s="1284">
        <f t="shared" si="1"/>
        <v>30</v>
      </c>
      <c r="O37" s="1136">
        <v>2</v>
      </c>
      <c r="P37" s="1134">
        <v>1</v>
      </c>
      <c r="Q37" s="1134">
        <v>0</v>
      </c>
      <c r="R37" s="1134">
        <v>2</v>
      </c>
      <c r="S37" s="1134">
        <v>3</v>
      </c>
      <c r="T37" s="1134"/>
      <c r="U37" s="1134"/>
      <c r="V37" s="1134">
        <v>0</v>
      </c>
      <c r="W37" s="1134">
        <v>3</v>
      </c>
      <c r="X37" s="1134"/>
      <c r="Y37" s="1134"/>
      <c r="Z37" s="1285">
        <f t="shared" si="2"/>
        <v>11</v>
      </c>
      <c r="AA37" s="1134">
        <v>10</v>
      </c>
      <c r="AB37" s="1134">
        <v>10</v>
      </c>
      <c r="AC37" s="1134">
        <v>10</v>
      </c>
      <c r="AD37" s="943" t="s">
        <v>32</v>
      </c>
      <c r="AE37" s="1134">
        <f t="shared" si="0"/>
        <v>70</v>
      </c>
    </row>
    <row r="38" spans="1:31" s="1116" customFormat="1" ht="23.25" customHeight="1" x14ac:dyDescent="0.3">
      <c r="A38" s="1123">
        <v>29</v>
      </c>
      <c r="B38" s="1283">
        <v>5191421029</v>
      </c>
      <c r="C38" s="1136">
        <v>2</v>
      </c>
      <c r="D38" s="1134">
        <v>2</v>
      </c>
      <c r="E38" s="1134">
        <v>2</v>
      </c>
      <c r="F38" s="1134">
        <v>6</v>
      </c>
      <c r="G38" s="1134">
        <v>6</v>
      </c>
      <c r="H38" s="1134"/>
      <c r="I38" s="1134"/>
      <c r="J38" s="1134"/>
      <c r="K38" s="1134"/>
      <c r="L38" s="1134">
        <v>2</v>
      </c>
      <c r="M38" s="1134"/>
      <c r="N38" s="1284">
        <f t="shared" si="1"/>
        <v>20</v>
      </c>
      <c r="O38" s="1136">
        <v>2</v>
      </c>
      <c r="P38" s="1134"/>
      <c r="Q38" s="1134"/>
      <c r="R38" s="1134">
        <v>4</v>
      </c>
      <c r="S38" s="1134">
        <v>1</v>
      </c>
      <c r="T38" s="1134">
        <v>1</v>
      </c>
      <c r="U38" s="1134"/>
      <c r="V38" s="1134">
        <v>0</v>
      </c>
      <c r="W38" s="1134">
        <v>0</v>
      </c>
      <c r="X38" s="1134"/>
      <c r="Y38" s="1134"/>
      <c r="Z38" s="1285">
        <f t="shared" si="2"/>
        <v>8</v>
      </c>
      <c r="AA38" s="1134">
        <v>10</v>
      </c>
      <c r="AB38" s="1134">
        <v>10</v>
      </c>
      <c r="AC38" s="1134">
        <v>10</v>
      </c>
      <c r="AD38" s="940" t="s">
        <v>31</v>
      </c>
      <c r="AE38" s="1134">
        <f t="shared" si="0"/>
        <v>55</v>
      </c>
    </row>
    <row r="39" spans="1:31" s="1116" customFormat="1" ht="23.25" customHeight="1" x14ac:dyDescent="0.3">
      <c r="A39" s="1123">
        <v>30</v>
      </c>
      <c r="B39" s="1283">
        <v>5191421030</v>
      </c>
      <c r="C39" s="1290">
        <v>2</v>
      </c>
      <c r="D39" s="1288"/>
      <c r="E39" s="1288">
        <v>2</v>
      </c>
      <c r="F39" s="1288">
        <v>5</v>
      </c>
      <c r="G39" s="1288">
        <v>6</v>
      </c>
      <c r="H39" s="1288"/>
      <c r="I39" s="1288"/>
      <c r="J39" s="1288">
        <v>2</v>
      </c>
      <c r="K39" s="1288">
        <v>4</v>
      </c>
      <c r="L39" s="1288"/>
      <c r="M39" s="1288"/>
      <c r="N39" s="1284">
        <f t="shared" si="1"/>
        <v>21</v>
      </c>
      <c r="O39" s="1290">
        <v>1</v>
      </c>
      <c r="P39" s="1288">
        <v>1</v>
      </c>
      <c r="Q39" s="1288"/>
      <c r="R39" s="1288">
        <v>1</v>
      </c>
      <c r="S39" s="1288"/>
      <c r="T39" s="1288"/>
      <c r="U39" s="1288"/>
      <c r="V39" s="1288"/>
      <c r="W39" s="1288"/>
      <c r="X39" s="1288">
        <v>1</v>
      </c>
      <c r="Y39" s="1288"/>
      <c r="Z39" s="1285">
        <f t="shared" si="2"/>
        <v>4</v>
      </c>
      <c r="AA39" s="1134">
        <v>10</v>
      </c>
      <c r="AB39" s="1134">
        <v>10</v>
      </c>
      <c r="AC39" s="1134">
        <v>10</v>
      </c>
      <c r="AD39" s="940" t="s">
        <v>29</v>
      </c>
      <c r="AE39" s="1134">
        <f t="shared" si="0"/>
        <v>39</v>
      </c>
    </row>
    <row r="40" spans="1:31" s="1116" customFormat="1" ht="23.25" customHeight="1" x14ac:dyDescent="0.3">
      <c r="A40" s="1123">
        <v>31</v>
      </c>
      <c r="B40" s="1283">
        <v>5191421031</v>
      </c>
      <c r="C40" s="1219">
        <v>2</v>
      </c>
      <c r="D40" s="1134">
        <v>2</v>
      </c>
      <c r="E40" s="1134">
        <v>2</v>
      </c>
      <c r="F40" s="1134">
        <v>6</v>
      </c>
      <c r="G40" s="1134">
        <v>6</v>
      </c>
      <c r="H40" s="1134"/>
      <c r="I40" s="1134"/>
      <c r="J40" s="1134">
        <v>2</v>
      </c>
      <c r="K40" s="1134">
        <v>2</v>
      </c>
      <c r="L40" s="1134"/>
      <c r="M40" s="1134"/>
      <c r="N40" s="1284">
        <f t="shared" si="1"/>
        <v>22</v>
      </c>
      <c r="O40" s="1219">
        <v>2</v>
      </c>
      <c r="P40" s="1134">
        <v>1</v>
      </c>
      <c r="Q40" s="1134"/>
      <c r="R40" s="1134">
        <v>4</v>
      </c>
      <c r="S40" s="1134">
        <v>0</v>
      </c>
      <c r="T40" s="1134"/>
      <c r="U40" s="1134">
        <v>0</v>
      </c>
      <c r="V40" s="1134">
        <v>0</v>
      </c>
      <c r="W40" s="1134"/>
      <c r="X40" s="1134"/>
      <c r="Y40" s="1134"/>
      <c r="Z40" s="1285">
        <f t="shared" si="2"/>
        <v>7</v>
      </c>
      <c r="AA40" s="1134">
        <v>10</v>
      </c>
      <c r="AB40" s="1134">
        <v>10</v>
      </c>
      <c r="AC40" s="1134">
        <v>10</v>
      </c>
      <c r="AD40" s="940" t="s">
        <v>28</v>
      </c>
      <c r="AE40" s="1134">
        <f t="shared" si="0"/>
        <v>50</v>
      </c>
    </row>
    <row r="41" spans="1:31" s="1116" customFormat="1" ht="23.25" customHeight="1" x14ac:dyDescent="0.3">
      <c r="A41" s="1123">
        <v>32</v>
      </c>
      <c r="B41" s="1283">
        <v>5191421032</v>
      </c>
      <c r="C41" s="1138">
        <v>2</v>
      </c>
      <c r="D41" s="1134">
        <v>2</v>
      </c>
      <c r="E41" s="1134">
        <v>2</v>
      </c>
      <c r="F41" s="1134">
        <v>6</v>
      </c>
      <c r="G41" s="1134">
        <v>2</v>
      </c>
      <c r="H41" s="1134">
        <v>6</v>
      </c>
      <c r="I41" s="1134">
        <v>0</v>
      </c>
      <c r="J41" s="1134"/>
      <c r="K41" s="1134"/>
      <c r="L41" s="1134"/>
      <c r="M41" s="1134"/>
      <c r="N41" s="1284">
        <f t="shared" si="1"/>
        <v>20</v>
      </c>
      <c r="O41" s="1138">
        <v>2</v>
      </c>
      <c r="P41" s="1134">
        <v>0</v>
      </c>
      <c r="Q41" s="1134">
        <v>0</v>
      </c>
      <c r="R41" s="1134">
        <v>2</v>
      </c>
      <c r="S41" s="1134">
        <v>0</v>
      </c>
      <c r="T41" s="1134"/>
      <c r="U41" s="1134"/>
      <c r="V41" s="1134">
        <v>0</v>
      </c>
      <c r="W41" s="1134"/>
      <c r="X41" s="1134"/>
      <c r="Y41" s="1134"/>
      <c r="Z41" s="1285">
        <f t="shared" si="2"/>
        <v>4</v>
      </c>
      <c r="AA41" s="1134">
        <v>9</v>
      </c>
      <c r="AB41" s="1134">
        <v>9</v>
      </c>
      <c r="AC41" s="1134">
        <v>9</v>
      </c>
      <c r="AD41" s="940" t="s">
        <v>29</v>
      </c>
      <c r="AE41" s="1134">
        <f t="shared" si="0"/>
        <v>39</v>
      </c>
    </row>
    <row r="42" spans="1:31" s="1116" customFormat="1" ht="23.25" customHeight="1" x14ac:dyDescent="0.3">
      <c r="A42" s="1123">
        <v>33</v>
      </c>
      <c r="B42" s="1283">
        <v>5191421033</v>
      </c>
      <c r="C42" s="1136">
        <v>2</v>
      </c>
      <c r="D42" s="1134">
        <v>2</v>
      </c>
      <c r="E42" s="1134">
        <v>2</v>
      </c>
      <c r="F42" s="1134">
        <v>6</v>
      </c>
      <c r="G42" s="1134">
        <v>6</v>
      </c>
      <c r="H42" s="1134"/>
      <c r="I42" s="1134"/>
      <c r="J42" s="1134">
        <v>6</v>
      </c>
      <c r="K42" s="1134">
        <v>5</v>
      </c>
      <c r="L42" s="1134"/>
      <c r="M42" s="1134"/>
      <c r="N42" s="1284">
        <f t="shared" si="1"/>
        <v>29</v>
      </c>
      <c r="O42" s="1136">
        <v>2</v>
      </c>
      <c r="P42" s="1134">
        <v>1</v>
      </c>
      <c r="Q42" s="1134"/>
      <c r="R42" s="1134">
        <v>7</v>
      </c>
      <c r="S42" s="1134">
        <v>4</v>
      </c>
      <c r="T42" s="1134"/>
      <c r="U42" s="1134"/>
      <c r="V42" s="1134"/>
      <c r="W42" s="1134"/>
      <c r="X42" s="1134"/>
      <c r="Y42" s="1134"/>
      <c r="Z42" s="1285">
        <f t="shared" si="2"/>
        <v>14</v>
      </c>
      <c r="AA42" s="1134">
        <v>10</v>
      </c>
      <c r="AB42" s="1134">
        <v>10</v>
      </c>
      <c r="AC42" s="1134">
        <v>10</v>
      </c>
      <c r="AD42" s="940" t="s">
        <v>27</v>
      </c>
      <c r="AE42" s="1134">
        <f t="shared" si="0"/>
        <v>80</v>
      </c>
    </row>
    <row r="43" spans="1:31" s="1116" customFormat="1" ht="23.25" customHeight="1" x14ac:dyDescent="0.3">
      <c r="A43" s="1123">
        <v>34</v>
      </c>
      <c r="B43" s="1283">
        <v>5191421034</v>
      </c>
      <c r="C43" s="1136">
        <v>2</v>
      </c>
      <c r="D43" s="1134">
        <v>2</v>
      </c>
      <c r="E43" s="1134">
        <v>2</v>
      </c>
      <c r="F43" s="1134"/>
      <c r="G43" s="1134"/>
      <c r="H43" s="1134">
        <v>6</v>
      </c>
      <c r="I43" s="1134">
        <v>6</v>
      </c>
      <c r="J43" s="1134">
        <v>6</v>
      </c>
      <c r="K43" s="1134">
        <v>5</v>
      </c>
      <c r="L43" s="1134"/>
      <c r="M43" s="1134"/>
      <c r="N43" s="1284">
        <f t="shared" si="1"/>
        <v>29</v>
      </c>
      <c r="O43" s="1136">
        <v>2</v>
      </c>
      <c r="P43" s="1134">
        <v>1</v>
      </c>
      <c r="Q43" s="1134"/>
      <c r="R43" s="1134">
        <v>6</v>
      </c>
      <c r="S43" s="1134">
        <v>3</v>
      </c>
      <c r="T43" s="1134"/>
      <c r="U43" s="1134"/>
      <c r="V43" s="1134"/>
      <c r="W43" s="1134"/>
      <c r="X43" s="1134">
        <v>5</v>
      </c>
      <c r="Y43" s="1134"/>
      <c r="Z43" s="1285">
        <f t="shared" si="2"/>
        <v>17</v>
      </c>
      <c r="AA43" s="1134">
        <v>10</v>
      </c>
      <c r="AB43" s="1134">
        <v>10</v>
      </c>
      <c r="AC43" s="1134">
        <v>10</v>
      </c>
      <c r="AD43" s="940" t="s">
        <v>27</v>
      </c>
      <c r="AE43" s="1134">
        <f t="shared" si="0"/>
        <v>80</v>
      </c>
    </row>
    <row r="44" spans="1:31" s="1116" customFormat="1" ht="23.25" customHeight="1" x14ac:dyDescent="0.3">
      <c r="A44" s="1123">
        <v>35</v>
      </c>
      <c r="B44" s="1283">
        <v>5191421035</v>
      </c>
      <c r="C44" s="1290">
        <v>2</v>
      </c>
      <c r="D44" s="1288">
        <v>1</v>
      </c>
      <c r="E44" s="1288">
        <v>1</v>
      </c>
      <c r="F44" s="1288">
        <v>6</v>
      </c>
      <c r="G44" s="1288">
        <v>6</v>
      </c>
      <c r="H44" s="1288"/>
      <c r="I44" s="1288"/>
      <c r="J44" s="1288"/>
      <c r="K44" s="1288"/>
      <c r="L44" s="1288">
        <v>2</v>
      </c>
      <c r="M44" s="1288"/>
      <c r="N44" s="1284">
        <f t="shared" si="1"/>
        <v>18</v>
      </c>
      <c r="O44" s="1290">
        <v>2</v>
      </c>
      <c r="P44" s="1288"/>
      <c r="Q44" s="1288"/>
      <c r="R44" s="1288">
        <v>6</v>
      </c>
      <c r="S44" s="1288">
        <v>3</v>
      </c>
      <c r="T44" s="1288"/>
      <c r="U44" s="1288"/>
      <c r="V44" s="1288"/>
      <c r="W44" s="1288"/>
      <c r="X44" s="1288"/>
      <c r="Y44" s="1288"/>
      <c r="Z44" s="1285">
        <f t="shared" si="2"/>
        <v>11</v>
      </c>
      <c r="AA44" s="1134">
        <v>10</v>
      </c>
      <c r="AB44" s="1134">
        <v>10</v>
      </c>
      <c r="AC44" s="1134">
        <v>10</v>
      </c>
      <c r="AD44" s="940" t="s">
        <v>28</v>
      </c>
      <c r="AE44" s="1134">
        <f t="shared" si="0"/>
        <v>50</v>
      </c>
    </row>
    <row r="45" spans="1:31" s="1116" customFormat="1" ht="23.25" customHeight="1" x14ac:dyDescent="0.3">
      <c r="A45" s="1123">
        <v>36</v>
      </c>
      <c r="B45" s="1283">
        <v>5191421036</v>
      </c>
      <c r="C45" s="1136">
        <v>2</v>
      </c>
      <c r="D45" s="1134">
        <v>1</v>
      </c>
      <c r="E45" s="1134">
        <v>2</v>
      </c>
      <c r="F45" s="1134">
        <v>6</v>
      </c>
      <c r="G45" s="1134">
        <v>6</v>
      </c>
      <c r="H45" s="1134"/>
      <c r="I45" s="1134"/>
      <c r="J45" s="1134">
        <v>6</v>
      </c>
      <c r="K45" s="1134">
        <v>6</v>
      </c>
      <c r="L45" s="1134"/>
      <c r="M45" s="1134"/>
      <c r="N45" s="1284">
        <f t="shared" si="1"/>
        <v>29</v>
      </c>
      <c r="O45" s="1136">
        <v>2</v>
      </c>
      <c r="P45" s="1134"/>
      <c r="Q45" s="1134"/>
      <c r="R45" s="1134">
        <v>6</v>
      </c>
      <c r="S45" s="1134">
        <v>0</v>
      </c>
      <c r="T45" s="1134"/>
      <c r="U45" s="1134"/>
      <c r="V45" s="1134"/>
      <c r="W45" s="1134"/>
      <c r="X45" s="1134"/>
      <c r="Y45" s="1134"/>
      <c r="Z45" s="1285">
        <f t="shared" si="2"/>
        <v>8</v>
      </c>
      <c r="AA45" s="1134">
        <v>10</v>
      </c>
      <c r="AB45" s="1134">
        <v>10</v>
      </c>
      <c r="AC45" s="1134">
        <v>10</v>
      </c>
      <c r="AD45" s="940" t="s">
        <v>28</v>
      </c>
      <c r="AE45" s="1134">
        <f t="shared" si="0"/>
        <v>50</v>
      </c>
    </row>
    <row r="46" spans="1:31" s="1116" customFormat="1" ht="23.25" customHeight="1" x14ac:dyDescent="0.3">
      <c r="A46" s="1123">
        <v>37</v>
      </c>
      <c r="B46" s="1283">
        <v>5191421037</v>
      </c>
      <c r="C46" s="1136">
        <v>2</v>
      </c>
      <c r="D46" s="1134">
        <v>2</v>
      </c>
      <c r="E46" s="1134">
        <v>2</v>
      </c>
      <c r="F46" s="1134">
        <v>6</v>
      </c>
      <c r="G46" s="1134">
        <v>6</v>
      </c>
      <c r="H46" s="1134"/>
      <c r="I46" s="1134"/>
      <c r="J46" s="1134">
        <v>2</v>
      </c>
      <c r="K46" s="1134">
        <v>4</v>
      </c>
      <c r="L46" s="1134"/>
      <c r="M46" s="1134"/>
      <c r="N46" s="1284">
        <f t="shared" si="1"/>
        <v>24</v>
      </c>
      <c r="O46" s="1136"/>
      <c r="P46" s="1134"/>
      <c r="Q46" s="1134"/>
      <c r="R46" s="1134">
        <v>2</v>
      </c>
      <c r="S46" s="1134">
        <v>3</v>
      </c>
      <c r="T46" s="1134"/>
      <c r="U46" s="1134"/>
      <c r="V46" s="1134"/>
      <c r="W46" s="1134"/>
      <c r="X46" s="1134"/>
      <c r="Y46" s="1134"/>
      <c r="Z46" s="1285">
        <f t="shared" si="2"/>
        <v>5</v>
      </c>
      <c r="AA46" s="1134">
        <v>10</v>
      </c>
      <c r="AB46" s="1134">
        <v>10</v>
      </c>
      <c r="AC46" s="1134">
        <v>10</v>
      </c>
      <c r="AD46" s="940" t="s">
        <v>29</v>
      </c>
      <c r="AE46" s="1134">
        <f t="shared" si="0"/>
        <v>39</v>
      </c>
    </row>
    <row r="47" spans="1:31" s="1116" customFormat="1" ht="23.25" customHeight="1" x14ac:dyDescent="0.3">
      <c r="A47" s="1123">
        <v>38</v>
      </c>
      <c r="B47" s="1283">
        <v>5191421038</v>
      </c>
      <c r="C47" s="1136">
        <v>2</v>
      </c>
      <c r="D47" s="1134">
        <v>1</v>
      </c>
      <c r="E47" s="1134">
        <v>2</v>
      </c>
      <c r="F47" s="1134">
        <v>6</v>
      </c>
      <c r="G47" s="1134">
        <v>5</v>
      </c>
      <c r="H47" s="1134"/>
      <c r="I47" s="1134"/>
      <c r="J47" s="1134">
        <v>6</v>
      </c>
      <c r="K47" s="1134"/>
      <c r="L47" s="1134"/>
      <c r="M47" s="1134"/>
      <c r="N47" s="1284">
        <f t="shared" si="1"/>
        <v>22</v>
      </c>
      <c r="O47" s="1136">
        <v>2</v>
      </c>
      <c r="P47" s="1134"/>
      <c r="Q47" s="1134"/>
      <c r="R47" s="1134">
        <v>5</v>
      </c>
      <c r="S47" s="1134"/>
      <c r="T47" s="1134"/>
      <c r="U47" s="1134"/>
      <c r="V47" s="1134"/>
      <c r="W47" s="1134"/>
      <c r="X47" s="1134">
        <v>5</v>
      </c>
      <c r="Y47" s="1134"/>
      <c r="Z47" s="1285">
        <f t="shared" si="2"/>
        <v>12</v>
      </c>
      <c r="AA47" s="1134">
        <v>10</v>
      </c>
      <c r="AB47" s="1134">
        <v>10</v>
      </c>
      <c r="AC47" s="1134">
        <v>10</v>
      </c>
      <c r="AD47" s="940" t="s">
        <v>28</v>
      </c>
      <c r="AE47" s="1134">
        <f t="shared" si="0"/>
        <v>50</v>
      </c>
    </row>
    <row r="48" spans="1:31" s="1116" customFormat="1" ht="23.25" customHeight="1" x14ac:dyDescent="0.3">
      <c r="A48" s="1123">
        <v>39</v>
      </c>
      <c r="B48" s="1283">
        <v>5191421039</v>
      </c>
      <c r="C48" s="1136">
        <v>2</v>
      </c>
      <c r="D48" s="1134">
        <v>2</v>
      </c>
      <c r="E48" s="1134">
        <v>2</v>
      </c>
      <c r="F48" s="1134">
        <v>6</v>
      </c>
      <c r="G48" s="1134">
        <v>6</v>
      </c>
      <c r="H48" s="1134"/>
      <c r="I48" s="1134"/>
      <c r="J48" s="1134">
        <v>6</v>
      </c>
      <c r="K48" s="1134">
        <v>1</v>
      </c>
      <c r="L48" s="1134"/>
      <c r="M48" s="1134"/>
      <c r="N48" s="1284">
        <f t="shared" si="1"/>
        <v>25</v>
      </c>
      <c r="O48" s="1136">
        <v>2</v>
      </c>
      <c r="P48" s="1134">
        <v>2</v>
      </c>
      <c r="Q48" s="1134">
        <v>1</v>
      </c>
      <c r="R48" s="1134">
        <v>3</v>
      </c>
      <c r="S48" s="1134"/>
      <c r="T48" s="1134"/>
      <c r="U48" s="1134"/>
      <c r="V48" s="1134"/>
      <c r="W48" s="1134"/>
      <c r="X48" s="1134">
        <v>0</v>
      </c>
      <c r="Y48" s="1134"/>
      <c r="Z48" s="1285">
        <f t="shared" si="2"/>
        <v>8</v>
      </c>
      <c r="AA48" s="1134">
        <v>10</v>
      </c>
      <c r="AB48" s="1134">
        <v>10</v>
      </c>
      <c r="AC48" s="1134">
        <v>10</v>
      </c>
      <c r="AD48" s="940" t="s">
        <v>33</v>
      </c>
      <c r="AE48" s="1134">
        <f t="shared" si="0"/>
        <v>60</v>
      </c>
    </row>
    <row r="49" spans="1:31" s="1116" customFormat="1" ht="23.25" customHeight="1" x14ac:dyDescent="0.3">
      <c r="A49" s="1123">
        <v>40</v>
      </c>
      <c r="B49" s="1283">
        <v>5191421040</v>
      </c>
      <c r="C49" s="1299"/>
      <c r="D49" s="1300"/>
      <c r="E49" s="1300"/>
      <c r="F49" s="1300"/>
      <c r="G49" s="1300"/>
      <c r="H49" s="1300"/>
      <c r="I49" s="1300"/>
      <c r="J49" s="1300"/>
      <c r="K49" s="1300"/>
      <c r="L49" s="1300"/>
      <c r="M49" s="1300"/>
      <c r="N49" s="1284">
        <f t="shared" si="1"/>
        <v>0</v>
      </c>
      <c r="O49" s="1299">
        <v>2</v>
      </c>
      <c r="P49" s="1300">
        <v>1</v>
      </c>
      <c r="Q49" s="1300"/>
      <c r="R49" s="1300">
        <v>3</v>
      </c>
      <c r="S49" s="1300">
        <v>0</v>
      </c>
      <c r="T49" s="1300">
        <v>2</v>
      </c>
      <c r="U49" s="1300"/>
      <c r="V49" s="1300">
        <v>0</v>
      </c>
      <c r="W49" s="1300"/>
      <c r="X49" s="1300"/>
      <c r="Y49" s="1300"/>
      <c r="Z49" s="1285">
        <f t="shared" si="2"/>
        <v>8</v>
      </c>
      <c r="AA49" s="1134">
        <v>10</v>
      </c>
      <c r="AB49" s="1134">
        <v>10</v>
      </c>
      <c r="AC49" s="1134">
        <v>10</v>
      </c>
      <c r="AD49" s="940" t="s">
        <v>29</v>
      </c>
      <c r="AE49" s="1134">
        <f t="shared" si="0"/>
        <v>39</v>
      </c>
    </row>
    <row r="50" spans="1:31" s="1116" customFormat="1" ht="23.25" customHeight="1" x14ac:dyDescent="0.3">
      <c r="A50" s="1123">
        <v>41</v>
      </c>
      <c r="B50" s="1283">
        <v>5191421041</v>
      </c>
      <c r="C50" s="1136">
        <v>2</v>
      </c>
      <c r="D50" s="1134">
        <v>2</v>
      </c>
      <c r="E50" s="1134">
        <v>0</v>
      </c>
      <c r="F50" s="1134">
        <v>6</v>
      </c>
      <c r="G50" s="1134">
        <v>3</v>
      </c>
      <c r="H50" s="1134"/>
      <c r="I50" s="1134"/>
      <c r="J50" s="1134">
        <v>6</v>
      </c>
      <c r="K50" s="1134">
        <v>6</v>
      </c>
      <c r="L50" s="1134"/>
      <c r="M50" s="1134"/>
      <c r="N50" s="1284">
        <f t="shared" si="1"/>
        <v>25</v>
      </c>
      <c r="O50" s="1136">
        <v>2</v>
      </c>
      <c r="P50" s="1134">
        <v>2</v>
      </c>
      <c r="Q50" s="1134">
        <v>0</v>
      </c>
      <c r="R50" s="1134">
        <v>2</v>
      </c>
      <c r="S50" s="1134"/>
      <c r="T50" s="1134"/>
      <c r="U50" s="1134"/>
      <c r="V50" s="1134">
        <v>0</v>
      </c>
      <c r="W50" s="1134"/>
      <c r="X50" s="1134"/>
      <c r="Y50" s="1134"/>
      <c r="Z50" s="1285">
        <f t="shared" si="2"/>
        <v>6</v>
      </c>
      <c r="AA50" s="1134">
        <v>10</v>
      </c>
      <c r="AB50" s="1134">
        <v>10</v>
      </c>
      <c r="AC50" s="1134">
        <v>10</v>
      </c>
      <c r="AD50" s="940" t="s">
        <v>29</v>
      </c>
      <c r="AE50" s="1134">
        <f t="shared" si="0"/>
        <v>39</v>
      </c>
    </row>
    <row r="51" spans="1:31" s="1116" customFormat="1" ht="23.25" customHeight="1" x14ac:dyDescent="0.3">
      <c r="A51" s="1123">
        <v>42</v>
      </c>
      <c r="B51" s="1283">
        <v>5191421042</v>
      </c>
      <c r="C51" s="1136">
        <v>2</v>
      </c>
      <c r="D51" s="1134">
        <v>2</v>
      </c>
      <c r="E51" s="1134">
        <v>2</v>
      </c>
      <c r="F51" s="1134">
        <v>6</v>
      </c>
      <c r="G51" s="1134">
        <v>6</v>
      </c>
      <c r="H51" s="1134"/>
      <c r="I51" s="1134"/>
      <c r="J51" s="1134">
        <v>6</v>
      </c>
      <c r="K51" s="1134"/>
      <c r="L51" s="1134"/>
      <c r="M51" s="1134"/>
      <c r="N51" s="1284">
        <f t="shared" si="1"/>
        <v>24</v>
      </c>
      <c r="O51" s="1136">
        <v>2</v>
      </c>
      <c r="P51" s="1134"/>
      <c r="Q51" s="1134"/>
      <c r="R51" s="1134">
        <v>5</v>
      </c>
      <c r="S51" s="1134"/>
      <c r="T51" s="1134"/>
      <c r="U51" s="1134"/>
      <c r="V51" s="1134"/>
      <c r="W51" s="1134"/>
      <c r="X51" s="1134"/>
      <c r="Y51" s="1134"/>
      <c r="Z51" s="1285">
        <f t="shared" si="2"/>
        <v>7</v>
      </c>
      <c r="AA51" s="1134">
        <v>10</v>
      </c>
      <c r="AB51" s="1134">
        <v>10</v>
      </c>
      <c r="AC51" s="1134">
        <v>10</v>
      </c>
      <c r="AD51" s="529" t="s">
        <v>28</v>
      </c>
      <c r="AE51" s="1134">
        <f t="shared" si="0"/>
        <v>50</v>
      </c>
    </row>
    <row r="52" spans="1:31" s="1116" customFormat="1" ht="23.25" customHeight="1" x14ac:dyDescent="0.3">
      <c r="A52" s="1123">
        <v>43</v>
      </c>
      <c r="B52" s="1283">
        <v>5191421043</v>
      </c>
      <c r="C52" s="1136">
        <v>2</v>
      </c>
      <c r="D52" s="1134">
        <v>2</v>
      </c>
      <c r="E52" s="1134">
        <v>2</v>
      </c>
      <c r="F52" s="1134">
        <v>6</v>
      </c>
      <c r="G52" s="1134">
        <v>6</v>
      </c>
      <c r="H52" s="1134"/>
      <c r="I52" s="1134"/>
      <c r="J52" s="1134">
        <v>6</v>
      </c>
      <c r="K52" s="1134">
        <v>6</v>
      </c>
      <c r="L52" s="1134"/>
      <c r="M52" s="1134"/>
      <c r="N52" s="1284">
        <f t="shared" si="1"/>
        <v>30</v>
      </c>
      <c r="O52" s="1136">
        <v>2</v>
      </c>
      <c r="P52" s="1134">
        <v>1</v>
      </c>
      <c r="Q52" s="1134">
        <v>0</v>
      </c>
      <c r="R52" s="1134">
        <v>3</v>
      </c>
      <c r="S52" s="1134"/>
      <c r="T52" s="1134"/>
      <c r="U52" s="1134"/>
      <c r="V52" s="1134"/>
      <c r="W52" s="1134"/>
      <c r="X52" s="1134"/>
      <c r="Y52" s="1134"/>
      <c r="Z52" s="1285">
        <f t="shared" si="2"/>
        <v>6</v>
      </c>
      <c r="AA52" s="1134">
        <v>10</v>
      </c>
      <c r="AB52" s="1134">
        <v>10</v>
      </c>
      <c r="AC52" s="1134">
        <v>10</v>
      </c>
      <c r="AD52" s="940" t="s">
        <v>28</v>
      </c>
      <c r="AE52" s="1134">
        <f t="shared" si="0"/>
        <v>50</v>
      </c>
    </row>
    <row r="53" spans="1:31" s="1116" customFormat="1" ht="23.25" customHeight="1" x14ac:dyDescent="0.3">
      <c r="A53" s="1123">
        <v>44</v>
      </c>
      <c r="B53" s="1283">
        <v>5191421044</v>
      </c>
      <c r="C53" s="1136">
        <v>2</v>
      </c>
      <c r="D53" s="1134">
        <v>2</v>
      </c>
      <c r="E53" s="1134">
        <v>2</v>
      </c>
      <c r="F53" s="1134">
        <v>6</v>
      </c>
      <c r="G53" s="1134">
        <v>6</v>
      </c>
      <c r="H53" s="1134"/>
      <c r="I53" s="1134"/>
      <c r="J53" s="1134">
        <v>6</v>
      </c>
      <c r="K53" s="1134">
        <v>5</v>
      </c>
      <c r="L53" s="1134"/>
      <c r="M53" s="1134"/>
      <c r="N53" s="1284">
        <f t="shared" si="1"/>
        <v>29</v>
      </c>
      <c r="O53" s="1136">
        <v>2</v>
      </c>
      <c r="P53" s="1134">
        <v>2</v>
      </c>
      <c r="Q53" s="1134">
        <v>1</v>
      </c>
      <c r="R53" s="1134">
        <v>6</v>
      </c>
      <c r="S53" s="1134">
        <v>3</v>
      </c>
      <c r="T53" s="1134"/>
      <c r="U53" s="1134"/>
      <c r="V53" s="1134">
        <v>1</v>
      </c>
      <c r="W53" s="1134">
        <v>0</v>
      </c>
      <c r="X53" s="1134"/>
      <c r="Y53" s="1134"/>
      <c r="Z53" s="1285">
        <f t="shared" si="2"/>
        <v>15</v>
      </c>
      <c r="AA53" s="1134">
        <v>10</v>
      </c>
      <c r="AB53" s="1134">
        <v>10</v>
      </c>
      <c r="AC53" s="1134">
        <v>10</v>
      </c>
      <c r="AD53" s="940" t="s">
        <v>32</v>
      </c>
      <c r="AE53" s="1134">
        <f t="shared" si="0"/>
        <v>70</v>
      </c>
    </row>
    <row r="54" spans="1:31" s="1116" customFormat="1" ht="23.25" customHeight="1" x14ac:dyDescent="0.3">
      <c r="A54" s="1123">
        <v>45</v>
      </c>
      <c r="B54" s="1283">
        <v>5191421045</v>
      </c>
      <c r="C54" s="1301">
        <v>2</v>
      </c>
      <c r="D54" s="1288">
        <v>2</v>
      </c>
      <c r="E54" s="1288">
        <v>2</v>
      </c>
      <c r="F54" s="1288">
        <v>6</v>
      </c>
      <c r="G54" s="1288">
        <v>6</v>
      </c>
      <c r="H54" s="1288"/>
      <c r="I54" s="1288"/>
      <c r="J54" s="1288">
        <v>6</v>
      </c>
      <c r="K54" s="1288">
        <v>5</v>
      </c>
      <c r="L54" s="1288"/>
      <c r="M54" s="1288"/>
      <c r="N54" s="1284">
        <f t="shared" si="1"/>
        <v>29</v>
      </c>
      <c r="O54" s="1301">
        <v>2</v>
      </c>
      <c r="P54" s="1288">
        <v>2</v>
      </c>
      <c r="Q54" s="1288">
        <v>1</v>
      </c>
      <c r="R54" s="1288">
        <v>2</v>
      </c>
      <c r="S54" s="1288">
        <v>3</v>
      </c>
      <c r="T54" s="1288"/>
      <c r="U54" s="1288"/>
      <c r="V54" s="1288"/>
      <c r="W54" s="1288"/>
      <c r="X54" s="1288">
        <v>2</v>
      </c>
      <c r="Y54" s="1288"/>
      <c r="Z54" s="1285">
        <f t="shared" si="2"/>
        <v>12</v>
      </c>
      <c r="AA54" s="1134">
        <v>10</v>
      </c>
      <c r="AB54" s="1134">
        <v>10</v>
      </c>
      <c r="AC54" s="1134">
        <v>10</v>
      </c>
      <c r="AD54" s="940" t="s">
        <v>28</v>
      </c>
      <c r="AE54" s="1134">
        <f t="shared" si="0"/>
        <v>50</v>
      </c>
    </row>
    <row r="55" spans="1:31" s="1116" customFormat="1" ht="23.25" customHeight="1" x14ac:dyDescent="0.3">
      <c r="A55" s="1123">
        <v>46</v>
      </c>
      <c r="B55" s="1283">
        <v>5191421046</v>
      </c>
      <c r="C55" s="1136">
        <v>2</v>
      </c>
      <c r="D55" s="1134">
        <v>2</v>
      </c>
      <c r="E55" s="1134">
        <v>2</v>
      </c>
      <c r="F55" s="1134">
        <v>6</v>
      </c>
      <c r="G55" s="1134">
        <v>6</v>
      </c>
      <c r="H55" s="1134"/>
      <c r="I55" s="1134"/>
      <c r="J55" s="1134">
        <v>6</v>
      </c>
      <c r="K55" s="1134">
        <v>6</v>
      </c>
      <c r="L55" s="1134"/>
      <c r="M55" s="1134"/>
      <c r="N55" s="1284">
        <f t="shared" si="1"/>
        <v>30</v>
      </c>
      <c r="O55" s="1136">
        <v>2</v>
      </c>
      <c r="P55" s="1134">
        <v>1</v>
      </c>
      <c r="Q55" s="1134"/>
      <c r="R55" s="1134">
        <v>3</v>
      </c>
      <c r="S55" s="1134">
        <v>0</v>
      </c>
      <c r="T55" s="1134"/>
      <c r="U55" s="1134"/>
      <c r="V55" s="1134"/>
      <c r="W55" s="1134"/>
      <c r="X55" s="1134"/>
      <c r="Y55" s="1134"/>
      <c r="Z55" s="1285">
        <f t="shared" si="2"/>
        <v>6</v>
      </c>
      <c r="AA55" s="1134">
        <v>10</v>
      </c>
      <c r="AB55" s="1134">
        <v>10</v>
      </c>
      <c r="AC55" s="1134">
        <v>10</v>
      </c>
      <c r="AD55" s="940" t="s">
        <v>32</v>
      </c>
      <c r="AE55" s="1134">
        <f t="shared" si="0"/>
        <v>70</v>
      </c>
    </row>
    <row r="56" spans="1:31" s="1116" customFormat="1" ht="23.25" customHeight="1" x14ac:dyDescent="0.3">
      <c r="A56" s="1123">
        <v>47</v>
      </c>
      <c r="B56" s="1283">
        <v>5191421047</v>
      </c>
      <c r="C56" s="1136">
        <v>2</v>
      </c>
      <c r="D56" s="1134"/>
      <c r="E56" s="1134"/>
      <c r="F56" s="1134">
        <v>5</v>
      </c>
      <c r="G56" s="1134">
        <v>5</v>
      </c>
      <c r="H56" s="1134"/>
      <c r="I56" s="1134"/>
      <c r="J56" s="1134"/>
      <c r="K56" s="1134"/>
      <c r="L56" s="1134">
        <v>2</v>
      </c>
      <c r="M56" s="1134"/>
      <c r="N56" s="1284">
        <f t="shared" si="1"/>
        <v>14</v>
      </c>
      <c r="O56" s="1136">
        <v>1</v>
      </c>
      <c r="P56" s="1134">
        <v>0</v>
      </c>
      <c r="Q56" s="1134"/>
      <c r="R56" s="1134">
        <v>4</v>
      </c>
      <c r="S56" s="1134"/>
      <c r="T56" s="1134"/>
      <c r="U56" s="1134"/>
      <c r="V56" s="1134"/>
      <c r="W56" s="1134"/>
      <c r="X56" s="1134"/>
      <c r="Y56" s="1134"/>
      <c r="Z56" s="1285">
        <f t="shared" si="2"/>
        <v>5</v>
      </c>
      <c r="AA56" s="1134">
        <v>10</v>
      </c>
      <c r="AB56" s="1134">
        <v>10</v>
      </c>
      <c r="AC56" s="1134">
        <v>10</v>
      </c>
      <c r="AD56" s="940" t="s">
        <v>29</v>
      </c>
      <c r="AE56" s="1134">
        <f t="shared" si="0"/>
        <v>39</v>
      </c>
    </row>
    <row r="57" spans="1:31" s="1116" customFormat="1" ht="23.25" customHeight="1" x14ac:dyDescent="0.3">
      <c r="A57" s="1123">
        <v>48</v>
      </c>
      <c r="B57" s="1283">
        <v>5191421048</v>
      </c>
      <c r="C57" s="1136">
        <v>2</v>
      </c>
      <c r="D57" s="1134">
        <v>2</v>
      </c>
      <c r="E57" s="1134">
        <v>2</v>
      </c>
      <c r="F57" s="1134">
        <v>6</v>
      </c>
      <c r="G57" s="1134">
        <v>2</v>
      </c>
      <c r="H57" s="1134"/>
      <c r="I57" s="1134"/>
      <c r="J57" s="1134">
        <v>6</v>
      </c>
      <c r="K57" s="1134">
        <v>5</v>
      </c>
      <c r="L57" s="1134"/>
      <c r="M57" s="1134"/>
      <c r="N57" s="1284">
        <f t="shared" si="1"/>
        <v>25</v>
      </c>
      <c r="O57" s="1136">
        <v>1</v>
      </c>
      <c r="P57" s="1134">
        <v>0</v>
      </c>
      <c r="Q57" s="1134">
        <v>2</v>
      </c>
      <c r="R57" s="1134"/>
      <c r="S57" s="1134">
        <v>1</v>
      </c>
      <c r="T57" s="1134"/>
      <c r="U57" s="1134"/>
      <c r="V57" s="1134"/>
      <c r="W57" s="1134"/>
      <c r="X57" s="1134">
        <v>5</v>
      </c>
      <c r="Y57" s="1134">
        <v>0</v>
      </c>
      <c r="Z57" s="1285">
        <f t="shared" si="2"/>
        <v>9</v>
      </c>
      <c r="AA57" s="1134">
        <v>10</v>
      </c>
      <c r="AB57" s="1134">
        <v>10</v>
      </c>
      <c r="AC57" s="1134">
        <v>10</v>
      </c>
      <c r="AD57" s="940" t="s">
        <v>29</v>
      </c>
      <c r="AE57" s="1134">
        <f t="shared" si="0"/>
        <v>39</v>
      </c>
    </row>
    <row r="58" spans="1:31" s="1116" customFormat="1" ht="23.25" customHeight="1" x14ac:dyDescent="0.3">
      <c r="A58" s="1123">
        <v>49</v>
      </c>
      <c r="B58" s="1283">
        <v>5191421049</v>
      </c>
      <c r="C58" s="1302"/>
      <c r="D58" s="1300"/>
      <c r="E58" s="1300"/>
      <c r="F58" s="1300"/>
      <c r="G58" s="1300"/>
      <c r="H58" s="1300"/>
      <c r="I58" s="1300"/>
      <c r="J58" s="1300"/>
      <c r="K58" s="1300"/>
      <c r="L58" s="1300"/>
      <c r="M58" s="1300"/>
      <c r="N58" s="1284">
        <f t="shared" si="1"/>
        <v>0</v>
      </c>
      <c r="O58" s="1302">
        <v>2</v>
      </c>
      <c r="P58" s="1300">
        <v>1</v>
      </c>
      <c r="Q58" s="1300">
        <v>0</v>
      </c>
      <c r="R58" s="1300">
        <v>2</v>
      </c>
      <c r="S58" s="1300">
        <v>2</v>
      </c>
      <c r="T58" s="1300"/>
      <c r="U58" s="1300"/>
      <c r="V58" s="1300"/>
      <c r="W58" s="1300"/>
      <c r="X58" s="1300">
        <v>4</v>
      </c>
      <c r="Y58" s="1300">
        <v>0</v>
      </c>
      <c r="Z58" s="1285">
        <f t="shared" si="2"/>
        <v>11</v>
      </c>
      <c r="AA58" s="1134">
        <v>9</v>
      </c>
      <c r="AB58" s="1134">
        <v>9</v>
      </c>
      <c r="AC58" s="1134">
        <v>9</v>
      </c>
      <c r="AD58" s="940" t="s">
        <v>28</v>
      </c>
      <c r="AE58" s="1134">
        <f t="shared" si="0"/>
        <v>50</v>
      </c>
    </row>
    <row r="59" spans="1:31" s="1116" customFormat="1" ht="23.25" customHeight="1" x14ac:dyDescent="0.3">
      <c r="A59" s="1123">
        <v>50</v>
      </c>
      <c r="B59" s="1283">
        <v>5191421050</v>
      </c>
      <c r="C59" s="1303">
        <v>1</v>
      </c>
      <c r="D59" s="1304"/>
      <c r="E59" s="1304"/>
      <c r="F59" s="1304"/>
      <c r="G59" s="1304"/>
      <c r="H59" s="1304">
        <v>3</v>
      </c>
      <c r="I59" s="1304"/>
      <c r="J59" s="1304">
        <v>2</v>
      </c>
      <c r="K59" s="1304">
        <v>2</v>
      </c>
      <c r="L59" s="1304"/>
      <c r="M59" s="1304"/>
      <c r="N59" s="1284">
        <f t="shared" si="1"/>
        <v>8</v>
      </c>
      <c r="O59" s="1303">
        <v>2</v>
      </c>
      <c r="P59" s="1304">
        <v>1</v>
      </c>
      <c r="Q59" s="1304"/>
      <c r="R59" s="1304">
        <v>2</v>
      </c>
      <c r="S59" s="1304">
        <v>0</v>
      </c>
      <c r="T59" s="1304"/>
      <c r="U59" s="1304">
        <v>0</v>
      </c>
      <c r="V59" s="1304"/>
      <c r="W59" s="1304"/>
      <c r="X59" s="1304">
        <v>0</v>
      </c>
      <c r="Y59" s="1304"/>
      <c r="Z59" s="1285">
        <f t="shared" si="2"/>
        <v>5</v>
      </c>
      <c r="AA59" s="1134">
        <v>9</v>
      </c>
      <c r="AB59" s="1134">
        <v>9</v>
      </c>
      <c r="AC59" s="1134">
        <v>9</v>
      </c>
      <c r="AD59" s="940" t="s">
        <v>29</v>
      </c>
      <c r="AE59" s="1134">
        <f t="shared" si="0"/>
        <v>39</v>
      </c>
    </row>
    <row r="60" spans="1:31" s="1116" customFormat="1" ht="23.25" customHeight="1" x14ac:dyDescent="0.3">
      <c r="A60" s="1123">
        <v>51</v>
      </c>
      <c r="B60" s="1283">
        <v>5191421051</v>
      </c>
      <c r="C60" s="1305">
        <v>1</v>
      </c>
      <c r="D60" s="1306">
        <v>2</v>
      </c>
      <c r="E60" s="1306">
        <v>2</v>
      </c>
      <c r="F60" s="1306"/>
      <c r="G60" s="1288"/>
      <c r="H60" s="1288">
        <v>6</v>
      </c>
      <c r="I60" s="1288"/>
      <c r="J60" s="1288">
        <v>4</v>
      </c>
      <c r="K60" s="1288"/>
      <c r="L60" s="1288"/>
      <c r="M60" s="1288"/>
      <c r="N60" s="1284">
        <f t="shared" si="1"/>
        <v>15</v>
      </c>
      <c r="O60" s="1305">
        <v>2</v>
      </c>
      <c r="P60" s="1306">
        <v>1</v>
      </c>
      <c r="Q60" s="1306">
        <v>0</v>
      </c>
      <c r="R60" s="1306"/>
      <c r="S60" s="1288">
        <v>2</v>
      </c>
      <c r="T60" s="1288"/>
      <c r="U60" s="1288"/>
      <c r="V60" s="1288"/>
      <c r="W60" s="1288"/>
      <c r="X60" s="1288">
        <v>0</v>
      </c>
      <c r="Y60" s="1288">
        <v>0</v>
      </c>
      <c r="Z60" s="1285">
        <f t="shared" si="2"/>
        <v>5</v>
      </c>
      <c r="AA60" s="1134">
        <v>9</v>
      </c>
      <c r="AB60" s="1134">
        <v>9</v>
      </c>
      <c r="AC60" s="1134">
        <v>9</v>
      </c>
      <c r="AD60" s="940" t="s">
        <v>33</v>
      </c>
      <c r="AE60" s="1134">
        <f t="shared" si="0"/>
        <v>60</v>
      </c>
    </row>
    <row r="61" spans="1:31" s="1116" customFormat="1" ht="23.25" customHeight="1" x14ac:dyDescent="0.3">
      <c r="A61" s="1123">
        <v>52</v>
      </c>
      <c r="B61" s="1283">
        <v>5191421052</v>
      </c>
      <c r="C61" s="1307">
        <v>2</v>
      </c>
      <c r="D61" s="1308">
        <v>2</v>
      </c>
      <c r="E61" s="1308"/>
      <c r="F61" s="1308">
        <v>6</v>
      </c>
      <c r="G61" s="1134">
        <v>6</v>
      </c>
      <c r="H61" s="1134"/>
      <c r="I61" s="1134"/>
      <c r="J61" s="1134">
        <v>4</v>
      </c>
      <c r="K61" s="1134"/>
      <c r="L61" s="1134"/>
      <c r="M61" s="1134"/>
      <c r="N61" s="1284">
        <f t="shared" si="1"/>
        <v>20</v>
      </c>
      <c r="O61" s="1307">
        <v>2</v>
      </c>
      <c r="P61" s="1308">
        <v>2</v>
      </c>
      <c r="Q61" s="1308">
        <v>0</v>
      </c>
      <c r="R61" s="1308"/>
      <c r="S61" s="1134">
        <v>0</v>
      </c>
      <c r="T61" s="1134"/>
      <c r="U61" s="1134"/>
      <c r="V61" s="1134">
        <v>0</v>
      </c>
      <c r="W61" s="1134"/>
      <c r="X61" s="1134">
        <v>2</v>
      </c>
      <c r="Y61" s="1134"/>
      <c r="Z61" s="1285">
        <f t="shared" si="2"/>
        <v>6</v>
      </c>
      <c r="AA61" s="1134">
        <v>9</v>
      </c>
      <c r="AB61" s="1134">
        <v>9</v>
      </c>
      <c r="AC61" s="1134">
        <v>9</v>
      </c>
      <c r="AD61" s="940" t="s">
        <v>28</v>
      </c>
      <c r="AE61" s="1134">
        <f t="shared" si="0"/>
        <v>50</v>
      </c>
    </row>
    <row r="62" spans="1:31" s="1116" customFormat="1" ht="23.25" customHeight="1" x14ac:dyDescent="0.3">
      <c r="A62" s="1123">
        <v>53</v>
      </c>
      <c r="B62" s="1283">
        <v>5191421053</v>
      </c>
      <c r="C62" s="1307">
        <v>2</v>
      </c>
      <c r="D62" s="1308">
        <v>2</v>
      </c>
      <c r="E62" s="1308">
        <v>2</v>
      </c>
      <c r="F62" s="1308">
        <v>6</v>
      </c>
      <c r="G62" s="1134">
        <v>5</v>
      </c>
      <c r="H62" s="1134"/>
      <c r="I62" s="1134"/>
      <c r="J62" s="1134">
        <v>5</v>
      </c>
      <c r="K62" s="1134">
        <v>5</v>
      </c>
      <c r="L62" s="1134"/>
      <c r="M62" s="1134"/>
      <c r="N62" s="1284">
        <f t="shared" si="1"/>
        <v>27</v>
      </c>
      <c r="O62" s="1307">
        <v>2</v>
      </c>
      <c r="P62" s="1308">
        <v>1</v>
      </c>
      <c r="Q62" s="1308"/>
      <c r="R62" s="1308">
        <v>5</v>
      </c>
      <c r="S62" s="1134">
        <v>2</v>
      </c>
      <c r="T62" s="1134"/>
      <c r="U62" s="1134"/>
      <c r="V62" s="1134"/>
      <c r="W62" s="1134"/>
      <c r="X62" s="1134">
        <v>2</v>
      </c>
      <c r="Y62" s="1134">
        <v>0</v>
      </c>
      <c r="Z62" s="1285">
        <f t="shared" si="2"/>
        <v>12</v>
      </c>
      <c r="AA62" s="1134">
        <v>10</v>
      </c>
      <c r="AB62" s="1134">
        <v>10</v>
      </c>
      <c r="AC62" s="1134">
        <v>10</v>
      </c>
      <c r="AD62" s="529" t="s">
        <v>31</v>
      </c>
      <c r="AE62" s="1134">
        <f t="shared" si="0"/>
        <v>55</v>
      </c>
    </row>
    <row r="63" spans="1:31" s="1116" customFormat="1" ht="23.25" customHeight="1" x14ac:dyDescent="0.3">
      <c r="A63" s="1123">
        <v>54</v>
      </c>
      <c r="B63" s="1283">
        <v>5191421054</v>
      </c>
      <c r="C63" s="1305"/>
      <c r="D63" s="1306"/>
      <c r="E63" s="1306"/>
      <c r="F63" s="1306">
        <v>2</v>
      </c>
      <c r="G63" s="1288">
        <v>6</v>
      </c>
      <c r="H63" s="1292">
        <v>6</v>
      </c>
      <c r="I63" s="1288"/>
      <c r="J63" s="1288">
        <v>4</v>
      </c>
      <c r="K63" s="1288">
        <v>5</v>
      </c>
      <c r="L63" s="1288"/>
      <c r="M63" s="1288"/>
      <c r="N63" s="1284">
        <f t="shared" si="1"/>
        <v>23</v>
      </c>
      <c r="O63" s="1305">
        <v>2</v>
      </c>
      <c r="P63" s="1306"/>
      <c r="Q63" s="1306"/>
      <c r="R63" s="1306">
        <v>3</v>
      </c>
      <c r="S63" s="1288"/>
      <c r="T63" s="1292"/>
      <c r="U63" s="1288"/>
      <c r="V63" s="1288"/>
      <c r="W63" s="1288"/>
      <c r="X63" s="1288">
        <v>2</v>
      </c>
      <c r="Y63" s="1288"/>
      <c r="Z63" s="1285">
        <f t="shared" si="2"/>
        <v>7</v>
      </c>
      <c r="AA63" s="1134">
        <v>9</v>
      </c>
      <c r="AB63" s="1134">
        <v>9</v>
      </c>
      <c r="AC63" s="1134">
        <v>9</v>
      </c>
      <c r="AD63" s="940" t="s">
        <v>31</v>
      </c>
      <c r="AE63" s="1134">
        <f t="shared" si="0"/>
        <v>55</v>
      </c>
    </row>
    <row r="64" spans="1:31" s="1116" customFormat="1" ht="23.25" customHeight="1" x14ac:dyDescent="0.3">
      <c r="A64" s="1123">
        <v>55</v>
      </c>
      <c r="B64" s="1283">
        <v>5191421055</v>
      </c>
      <c r="C64" s="1309"/>
      <c r="D64" s="1310"/>
      <c r="E64" s="1310"/>
      <c r="F64" s="1310"/>
      <c r="G64" s="1300"/>
      <c r="H64" s="1300"/>
      <c r="I64" s="1300"/>
      <c r="J64" s="1300"/>
      <c r="K64" s="1300"/>
      <c r="L64" s="1300"/>
      <c r="M64" s="1300"/>
      <c r="N64" s="1284">
        <f t="shared" si="1"/>
        <v>0</v>
      </c>
      <c r="O64" s="1309">
        <v>2</v>
      </c>
      <c r="P64" s="1310">
        <v>0</v>
      </c>
      <c r="Q64" s="1310"/>
      <c r="R64" s="1310">
        <v>3</v>
      </c>
      <c r="S64" s="1300"/>
      <c r="T64" s="1300"/>
      <c r="U64" s="1300"/>
      <c r="V64" s="1300"/>
      <c r="W64" s="1300"/>
      <c r="X64" s="1300"/>
      <c r="Y64" s="1300"/>
      <c r="Z64" s="1285">
        <f t="shared" si="2"/>
        <v>5</v>
      </c>
      <c r="AA64" s="1134">
        <v>10</v>
      </c>
      <c r="AB64" s="1134">
        <v>10</v>
      </c>
      <c r="AC64" s="1134">
        <v>10</v>
      </c>
      <c r="AD64" s="940" t="s">
        <v>29</v>
      </c>
      <c r="AE64" s="1134">
        <f t="shared" si="0"/>
        <v>39</v>
      </c>
    </row>
    <row r="65" spans="1:31" s="1116" customFormat="1" ht="23.25" customHeight="1" x14ac:dyDescent="0.3">
      <c r="A65" s="1123">
        <v>56</v>
      </c>
      <c r="B65" s="1283">
        <v>5191421056</v>
      </c>
      <c r="C65" s="1305">
        <v>2</v>
      </c>
      <c r="D65" s="1306">
        <v>1</v>
      </c>
      <c r="E65" s="1306"/>
      <c r="F65" s="1306">
        <v>6</v>
      </c>
      <c r="G65" s="1288">
        <v>6</v>
      </c>
      <c r="H65" s="1288"/>
      <c r="I65" s="1288"/>
      <c r="J65" s="1288"/>
      <c r="K65" s="1288">
        <v>5</v>
      </c>
      <c r="L65" s="1292">
        <v>2</v>
      </c>
      <c r="M65" s="1288"/>
      <c r="N65" s="1284">
        <f t="shared" si="1"/>
        <v>22</v>
      </c>
      <c r="O65" s="1305">
        <v>1</v>
      </c>
      <c r="P65" s="1306">
        <v>0</v>
      </c>
      <c r="Q65" s="1306"/>
      <c r="R65" s="1306">
        <v>4</v>
      </c>
      <c r="S65" s="1288">
        <v>4</v>
      </c>
      <c r="T65" s="1288"/>
      <c r="U65" s="1288"/>
      <c r="V65" s="1288"/>
      <c r="W65" s="1288"/>
      <c r="X65" s="1292">
        <v>5</v>
      </c>
      <c r="Y65" s="1288"/>
      <c r="Z65" s="1285">
        <f t="shared" si="2"/>
        <v>14</v>
      </c>
      <c r="AA65" s="1134">
        <v>10</v>
      </c>
      <c r="AB65" s="1134">
        <v>10</v>
      </c>
      <c r="AC65" s="1134">
        <v>10</v>
      </c>
      <c r="AD65" s="940" t="s">
        <v>28</v>
      </c>
      <c r="AE65" s="1134">
        <f t="shared" si="0"/>
        <v>50</v>
      </c>
    </row>
    <row r="66" spans="1:31" s="1116" customFormat="1" ht="23.25" customHeight="1" x14ac:dyDescent="0.3">
      <c r="A66" s="1123">
        <v>57</v>
      </c>
      <c r="B66" s="1283">
        <v>5191421057</v>
      </c>
      <c r="C66" s="1307">
        <v>2</v>
      </c>
      <c r="D66" s="1308">
        <v>2</v>
      </c>
      <c r="E66" s="1308"/>
      <c r="F66" s="1308">
        <v>3</v>
      </c>
      <c r="G66" s="1134">
        <v>0</v>
      </c>
      <c r="H66" s="1134"/>
      <c r="I66" s="1134"/>
      <c r="J66" s="1134">
        <v>2</v>
      </c>
      <c r="K66" s="1134">
        <v>4</v>
      </c>
      <c r="L66" s="1134"/>
      <c r="M66" s="1134"/>
      <c r="N66" s="1284">
        <f t="shared" si="1"/>
        <v>13</v>
      </c>
      <c r="O66" s="1307">
        <v>2</v>
      </c>
      <c r="P66" s="1308">
        <v>1</v>
      </c>
      <c r="Q66" s="1308"/>
      <c r="R66" s="1308">
        <v>3</v>
      </c>
      <c r="S66" s="1134">
        <v>2</v>
      </c>
      <c r="T66" s="1134"/>
      <c r="U66" s="1134"/>
      <c r="V66" s="1134"/>
      <c r="W66" s="1134"/>
      <c r="X66" s="1134">
        <v>5</v>
      </c>
      <c r="Y66" s="1134">
        <v>1</v>
      </c>
      <c r="Z66" s="1285">
        <f t="shared" si="2"/>
        <v>14</v>
      </c>
      <c r="AA66" s="1134">
        <v>9</v>
      </c>
      <c r="AB66" s="1134">
        <v>9</v>
      </c>
      <c r="AC66" s="1134">
        <v>9</v>
      </c>
      <c r="AD66" s="941" t="s">
        <v>28</v>
      </c>
      <c r="AE66" s="1134">
        <f t="shared" si="0"/>
        <v>50</v>
      </c>
    </row>
    <row r="67" spans="1:31" s="1116" customFormat="1" ht="23.25" customHeight="1" x14ac:dyDescent="0.3">
      <c r="A67" s="1123">
        <v>58</v>
      </c>
      <c r="B67" s="1283">
        <v>5191421058</v>
      </c>
      <c r="C67" s="1305">
        <v>2</v>
      </c>
      <c r="D67" s="1306">
        <v>1</v>
      </c>
      <c r="E67" s="1306">
        <v>2</v>
      </c>
      <c r="F67" s="1306">
        <v>5</v>
      </c>
      <c r="G67" s="1288"/>
      <c r="H67" s="1288">
        <v>2</v>
      </c>
      <c r="I67" s="1288"/>
      <c r="J67" s="1288"/>
      <c r="K67" s="1288"/>
      <c r="L67" s="1288"/>
      <c r="M67" s="1288"/>
      <c r="N67" s="1284">
        <f t="shared" si="1"/>
        <v>12</v>
      </c>
      <c r="O67" s="1305">
        <v>0</v>
      </c>
      <c r="P67" s="1306">
        <v>0</v>
      </c>
      <c r="Q67" s="1306"/>
      <c r="R67" s="1306">
        <v>0</v>
      </c>
      <c r="S67" s="1288"/>
      <c r="T67" s="1288"/>
      <c r="U67" s="1288"/>
      <c r="V67" s="1288"/>
      <c r="W67" s="1288"/>
      <c r="X67" s="1288">
        <v>0</v>
      </c>
      <c r="Y67" s="1288"/>
      <c r="Z67" s="1285">
        <f t="shared" si="2"/>
        <v>0</v>
      </c>
      <c r="AA67" s="1134">
        <v>8</v>
      </c>
      <c r="AB67" s="1134">
        <v>8</v>
      </c>
      <c r="AC67" s="1134">
        <v>8</v>
      </c>
      <c r="AD67" s="942" t="s">
        <v>29</v>
      </c>
      <c r="AE67" s="1134">
        <f t="shared" si="0"/>
        <v>39</v>
      </c>
    </row>
    <row r="68" spans="1:31" s="1116" customFormat="1" ht="23.25" customHeight="1" x14ac:dyDescent="0.3">
      <c r="C68" s="1141">
        <f t="shared" ref="C68:M68" si="3">COUNT(C11:C67)</f>
        <v>52</v>
      </c>
      <c r="D68" s="1141">
        <f t="shared" si="3"/>
        <v>44</v>
      </c>
      <c r="E68" s="1141">
        <f t="shared" si="3"/>
        <v>44</v>
      </c>
      <c r="F68" s="1141">
        <f t="shared" si="3"/>
        <v>45</v>
      </c>
      <c r="G68" s="1141">
        <f t="shared" si="3"/>
        <v>42</v>
      </c>
      <c r="H68" s="1141">
        <f t="shared" si="3"/>
        <v>16</v>
      </c>
      <c r="I68" s="1141">
        <f t="shared" si="3"/>
        <v>6</v>
      </c>
      <c r="J68" s="1141">
        <f t="shared" si="3"/>
        <v>42</v>
      </c>
      <c r="K68" s="1141">
        <f t="shared" si="3"/>
        <v>39</v>
      </c>
      <c r="L68" s="1141">
        <f t="shared" si="3"/>
        <v>6</v>
      </c>
      <c r="M68" s="1141">
        <f t="shared" si="3"/>
        <v>0</v>
      </c>
      <c r="N68" s="1141"/>
      <c r="O68" s="1141">
        <f t="shared" ref="O68:Y68" si="4">COUNT(O10:O67)</f>
        <v>56</v>
      </c>
      <c r="P68" s="1141">
        <f t="shared" si="4"/>
        <v>44</v>
      </c>
      <c r="Q68" s="1141">
        <f t="shared" si="4"/>
        <v>24</v>
      </c>
      <c r="R68" s="1141">
        <f t="shared" si="4"/>
        <v>51</v>
      </c>
      <c r="S68" s="1141">
        <f t="shared" si="4"/>
        <v>39</v>
      </c>
      <c r="T68" s="1141">
        <f t="shared" si="4"/>
        <v>3</v>
      </c>
      <c r="U68" s="1141">
        <f t="shared" si="4"/>
        <v>3</v>
      </c>
      <c r="V68" s="1141">
        <f t="shared" si="4"/>
        <v>14</v>
      </c>
      <c r="W68" s="1141">
        <f t="shared" si="4"/>
        <v>9</v>
      </c>
      <c r="X68" s="1141">
        <f t="shared" si="4"/>
        <v>26</v>
      </c>
      <c r="Y68" s="1141">
        <f t="shared" si="4"/>
        <v>10</v>
      </c>
      <c r="Z68" s="1141"/>
      <c r="AA68" s="1141">
        <f>COUNT(AA10:AA67)</f>
        <v>58</v>
      </c>
      <c r="AB68" s="1141">
        <f t="shared" ref="AB68:AC68" si="5">COUNT(AB10:AB67)</f>
        <v>58</v>
      </c>
      <c r="AC68" s="1141">
        <f t="shared" si="5"/>
        <v>58</v>
      </c>
      <c r="AE68" s="1134"/>
    </row>
    <row r="69" spans="1:31" s="1116" customFormat="1" ht="23.25" customHeight="1" x14ac:dyDescent="0.3">
      <c r="A69" s="1149" t="s">
        <v>34</v>
      </c>
      <c r="B69" s="989">
        <v>50</v>
      </c>
      <c r="C69" s="1232">
        <f>C9*(B69/100)</f>
        <v>1</v>
      </c>
      <c r="D69" s="1232">
        <f>D9*(B69/100)</f>
        <v>1</v>
      </c>
      <c r="E69" s="1232">
        <f>E9*(B69/100)</f>
        <v>1</v>
      </c>
      <c r="F69" s="1232">
        <f>F9*(B69/100)</f>
        <v>3</v>
      </c>
      <c r="G69" s="1232">
        <v>3</v>
      </c>
      <c r="H69" s="1232">
        <v>3</v>
      </c>
      <c r="I69" s="1232">
        <v>3</v>
      </c>
      <c r="J69" s="1232">
        <v>3</v>
      </c>
      <c r="K69" s="1232">
        <v>3</v>
      </c>
      <c r="L69" s="1232">
        <v>3</v>
      </c>
      <c r="M69" s="1232">
        <v>3</v>
      </c>
      <c r="N69" s="1141"/>
      <c r="O69" s="1232">
        <f>O9*(B69/100)</f>
        <v>1</v>
      </c>
      <c r="P69" s="1232">
        <f>P9*(B69/100)</f>
        <v>1</v>
      </c>
      <c r="Q69" s="1232">
        <f>Q9*(B69/100)</f>
        <v>1</v>
      </c>
      <c r="R69" s="1232">
        <v>3</v>
      </c>
      <c r="S69" s="1232">
        <v>3</v>
      </c>
      <c r="T69" s="1232">
        <v>3</v>
      </c>
      <c r="U69" s="1232">
        <v>3</v>
      </c>
      <c r="V69" s="1232">
        <v>3</v>
      </c>
      <c r="W69" s="1232">
        <v>3</v>
      </c>
      <c r="X69" s="1232">
        <v>3</v>
      </c>
      <c r="Y69" s="1232">
        <v>3</v>
      </c>
      <c r="Z69" s="1232"/>
      <c r="AA69" s="1232">
        <v>5</v>
      </c>
      <c r="AB69" s="1232">
        <v>5</v>
      </c>
      <c r="AC69" s="1232">
        <v>5</v>
      </c>
      <c r="AE69" s="1134"/>
    </row>
    <row r="70" spans="1:31" s="1116" customFormat="1" ht="23.25" customHeight="1" x14ac:dyDescent="0.3">
      <c r="A70" s="2888" t="s">
        <v>35</v>
      </c>
      <c r="B70" s="2888"/>
      <c r="C70" s="1141">
        <f t="shared" ref="C70:M70" si="6">COUNTIF(C11:C67,"&gt;=" &amp;C69)</f>
        <v>52</v>
      </c>
      <c r="D70" s="1141">
        <f t="shared" si="6"/>
        <v>42</v>
      </c>
      <c r="E70" s="1141">
        <f t="shared" si="6"/>
        <v>42</v>
      </c>
      <c r="F70" s="1141">
        <f t="shared" si="6"/>
        <v>42</v>
      </c>
      <c r="G70" s="1141">
        <f t="shared" si="6"/>
        <v>37</v>
      </c>
      <c r="H70" s="1141">
        <f t="shared" si="6"/>
        <v>15</v>
      </c>
      <c r="I70" s="1141">
        <f t="shared" si="6"/>
        <v>5</v>
      </c>
      <c r="J70" s="1141">
        <f t="shared" si="6"/>
        <v>33</v>
      </c>
      <c r="K70" s="1141">
        <f t="shared" si="6"/>
        <v>29</v>
      </c>
      <c r="L70" s="1141">
        <f t="shared" si="6"/>
        <v>1</v>
      </c>
      <c r="M70" s="1141">
        <f t="shared" si="6"/>
        <v>0</v>
      </c>
      <c r="N70" s="1141"/>
      <c r="O70" s="1141">
        <f t="shared" ref="O70:Y70" si="7">COUNTIF(O10:O59,"&gt;=" &amp;O69)</f>
        <v>47</v>
      </c>
      <c r="P70" s="1141">
        <f t="shared" si="7"/>
        <v>25</v>
      </c>
      <c r="Q70" s="1141">
        <f t="shared" si="7"/>
        <v>6</v>
      </c>
      <c r="R70" s="1141">
        <f t="shared" si="7"/>
        <v>27</v>
      </c>
      <c r="S70" s="1141">
        <f t="shared" si="7"/>
        <v>9</v>
      </c>
      <c r="T70" s="1141">
        <f t="shared" si="7"/>
        <v>0</v>
      </c>
      <c r="U70" s="1141">
        <f t="shared" si="7"/>
        <v>0</v>
      </c>
      <c r="V70" s="1141">
        <f t="shared" si="7"/>
        <v>0</v>
      </c>
      <c r="W70" s="1141">
        <f t="shared" si="7"/>
        <v>1</v>
      </c>
      <c r="X70" s="1141">
        <f t="shared" si="7"/>
        <v>12</v>
      </c>
      <c r="Y70" s="1141">
        <f t="shared" si="7"/>
        <v>0</v>
      </c>
      <c r="Z70" s="1141"/>
      <c r="AA70" s="1141">
        <f>COUNTIF(AA10:AA67,"&gt;=" &amp;AA69)</f>
        <v>58</v>
      </c>
      <c r="AB70" s="1141">
        <f>COUNTIF(AB10:AB67,"&gt;=" &amp;AB69)</f>
        <v>58</v>
      </c>
      <c r="AC70" s="1141">
        <f>COUNTIF(AC10:AC67,"&gt;=" &amp;AC69)</f>
        <v>58</v>
      </c>
      <c r="AE70" s="1141">
        <f>COUNTIF(AE10:AE67,"&gt;="&amp;B69)</f>
        <v>44</v>
      </c>
    </row>
    <row r="71" spans="1:31" s="1116" customFormat="1" ht="23.25" customHeight="1" x14ac:dyDescent="0.3">
      <c r="A71" s="2877" t="s">
        <v>36</v>
      </c>
      <c r="B71" s="2877"/>
      <c r="C71" s="1141">
        <f t="shared" ref="C71:Y71" si="8">C70/C68</f>
        <v>1</v>
      </c>
      <c r="D71" s="1141">
        <f t="shared" si="8"/>
        <v>0.95454545454545459</v>
      </c>
      <c r="E71" s="1141">
        <f t="shared" si="8"/>
        <v>0.95454545454545459</v>
      </c>
      <c r="F71" s="1141">
        <f t="shared" si="8"/>
        <v>0.93333333333333335</v>
      </c>
      <c r="G71" s="1141">
        <f t="shared" si="8"/>
        <v>0.88095238095238093</v>
      </c>
      <c r="H71" s="1141">
        <f t="shared" si="8"/>
        <v>0.9375</v>
      </c>
      <c r="I71" s="1141">
        <f t="shared" si="8"/>
        <v>0.83333333333333337</v>
      </c>
      <c r="J71" s="1141">
        <f t="shared" si="8"/>
        <v>0.7857142857142857</v>
      </c>
      <c r="K71" s="1141">
        <f t="shared" si="8"/>
        <v>0.74358974358974361</v>
      </c>
      <c r="L71" s="1141">
        <f t="shared" si="8"/>
        <v>0.16666666666666666</v>
      </c>
      <c r="M71" s="1311">
        <v>0</v>
      </c>
      <c r="N71" s="1141"/>
      <c r="O71" s="1141">
        <f t="shared" si="8"/>
        <v>0.8392857142857143</v>
      </c>
      <c r="P71" s="1141">
        <f t="shared" si="8"/>
        <v>0.56818181818181823</v>
      </c>
      <c r="Q71" s="1141">
        <f t="shared" si="8"/>
        <v>0.25</v>
      </c>
      <c r="R71" s="1141">
        <f t="shared" si="8"/>
        <v>0.52941176470588236</v>
      </c>
      <c r="S71" s="1141">
        <f t="shared" si="8"/>
        <v>0.23076923076923078</v>
      </c>
      <c r="T71" s="1141">
        <f t="shared" si="8"/>
        <v>0</v>
      </c>
      <c r="U71" s="1141">
        <f t="shared" si="8"/>
        <v>0</v>
      </c>
      <c r="V71" s="1141">
        <f t="shared" si="8"/>
        <v>0</v>
      </c>
      <c r="W71" s="1141">
        <f t="shared" si="8"/>
        <v>0.1111111111111111</v>
      </c>
      <c r="X71" s="1141">
        <f t="shared" si="8"/>
        <v>0.46153846153846156</v>
      </c>
      <c r="Y71" s="1141">
        <f t="shared" si="8"/>
        <v>0</v>
      </c>
      <c r="Z71" s="1141"/>
      <c r="AA71" s="1141">
        <f t="shared" ref="AA71:AC71" si="9">AA70/AA68</f>
        <v>1</v>
      </c>
      <c r="AB71" s="1141">
        <f t="shared" si="9"/>
        <v>1</v>
      </c>
      <c r="AC71" s="1141">
        <f t="shared" si="9"/>
        <v>1</v>
      </c>
      <c r="AE71" s="1141">
        <f>(AE70/A67)*100</f>
        <v>75.862068965517238</v>
      </c>
    </row>
    <row r="72" spans="1:31" s="1116" customFormat="1" ht="23.25" customHeight="1" x14ac:dyDescent="0.3">
      <c r="C72" s="1122" t="s">
        <v>20</v>
      </c>
      <c r="D72" s="1123" t="s">
        <v>20</v>
      </c>
      <c r="E72" s="1123" t="s">
        <v>21</v>
      </c>
      <c r="F72" s="1123" t="s">
        <v>20</v>
      </c>
      <c r="G72" s="1123" t="s">
        <v>20</v>
      </c>
      <c r="H72" s="1123" t="s">
        <v>20</v>
      </c>
      <c r="I72" s="1123" t="s">
        <v>20</v>
      </c>
      <c r="J72" s="1123" t="s">
        <v>21</v>
      </c>
      <c r="K72" s="1123" t="s">
        <v>21</v>
      </c>
      <c r="L72" s="1123" t="s">
        <v>21</v>
      </c>
      <c r="M72" s="1123" t="s">
        <v>21</v>
      </c>
      <c r="N72" s="1141"/>
      <c r="O72" s="1122" t="s">
        <v>41</v>
      </c>
      <c r="P72" s="1123" t="s">
        <v>42</v>
      </c>
      <c r="Q72" s="1123" t="s">
        <v>42</v>
      </c>
      <c r="R72" s="1122" t="s">
        <v>41</v>
      </c>
      <c r="S72" s="1122" t="s">
        <v>41</v>
      </c>
      <c r="T72" s="1122" t="s">
        <v>41</v>
      </c>
      <c r="U72" s="1122" t="s">
        <v>42</v>
      </c>
      <c r="V72" s="1123" t="s">
        <v>42</v>
      </c>
      <c r="W72" s="1123" t="s">
        <v>42</v>
      </c>
      <c r="X72" s="1123" t="s">
        <v>42</v>
      </c>
      <c r="Y72" s="1123" t="s">
        <v>42</v>
      </c>
      <c r="Z72" s="1141"/>
      <c r="AA72" s="1141" t="s">
        <v>22</v>
      </c>
      <c r="AB72" s="1141" t="s">
        <v>40</v>
      </c>
      <c r="AC72" s="1141" t="s">
        <v>238</v>
      </c>
    </row>
    <row r="73" spans="1:31" s="1116" customFormat="1" ht="23.25" customHeight="1" x14ac:dyDescent="0.3">
      <c r="N73" s="1181"/>
      <c r="T73" s="1142"/>
      <c r="AA73" s="1181"/>
      <c r="AB73" s="1181"/>
    </row>
    <row r="74" spans="1:31" s="1116" customFormat="1" ht="23.25" customHeight="1" x14ac:dyDescent="0.3">
      <c r="D74" s="989" t="s">
        <v>38</v>
      </c>
      <c r="E74" s="2804" t="s">
        <v>39</v>
      </c>
      <c r="F74" s="2804"/>
      <c r="G74" s="2804" t="s">
        <v>37</v>
      </c>
      <c r="H74" s="2804"/>
      <c r="I74" s="2804"/>
      <c r="J74" s="194"/>
      <c r="K74" s="989"/>
      <c r="N74" s="1181"/>
      <c r="T74" s="1142"/>
      <c r="AA74" s="1181"/>
      <c r="AB74" s="1181"/>
    </row>
    <row r="75" spans="1:31" s="1116" customFormat="1" ht="23.25" customHeight="1" x14ac:dyDescent="0.3">
      <c r="B75" s="989" t="s">
        <v>22</v>
      </c>
      <c r="C75" s="1141">
        <f>AVERAGE(C71,D71,F71,G71,H71,I71,AA1)*100</f>
        <v>92.32774170274169</v>
      </c>
      <c r="D75" s="1141">
        <f t="shared" ref="D75:D77" si="10">IF(C75&gt;=70,3,IF(AND(C75&gt;=60,C75&lt;70),2,IF(AND(C75&gt;=50,C75&lt;60),1)))</f>
        <v>3</v>
      </c>
      <c r="E75" s="3349">
        <f>IF(AE71&gt;=70,3,IF(AND(AE71&gt;=60,AE71&lt;70),2,IF(AND(AE71&gt;=50,AE71&lt;60),1)))</f>
        <v>3</v>
      </c>
      <c r="F75" s="3349"/>
      <c r="G75" s="1150">
        <f>(70/100)*E75+(30/100)*D75</f>
        <v>2.9999999999999996</v>
      </c>
      <c r="H75" s="1150"/>
      <c r="I75" s="1150"/>
      <c r="J75" s="1150"/>
      <c r="K75" s="1150"/>
      <c r="N75" s="1181"/>
      <c r="T75" s="1142"/>
      <c r="AA75" s="1181"/>
      <c r="AB75" s="1181"/>
    </row>
    <row r="76" spans="1:31" s="1116" customFormat="1" ht="23.25" customHeight="1" x14ac:dyDescent="0.3">
      <c r="B76" s="989" t="s">
        <v>40</v>
      </c>
      <c r="C76" s="1141">
        <f>AVERAGE(E71,J71,K71,L71,AB71)*100</f>
        <v>73.010323010323006</v>
      </c>
      <c r="D76" s="1141">
        <f t="shared" si="10"/>
        <v>3</v>
      </c>
      <c r="E76" s="3349">
        <f>IF(AE71&gt;=70,3,IF(AND(AE71&gt;=60,AE71&lt;70),2,IF(AND(AE71&gt;=50,AE71&lt;60),1)))</f>
        <v>3</v>
      </c>
      <c r="F76" s="3349"/>
      <c r="G76" s="1150">
        <f t="shared" ref="G76:G78" si="11">(70/100)*E76+(30/100)*D76</f>
        <v>2.9999999999999996</v>
      </c>
      <c r="H76" s="1150"/>
      <c r="I76" s="1150"/>
      <c r="J76" s="1150"/>
      <c r="K76" s="1150"/>
      <c r="N76" s="1181"/>
      <c r="T76" s="1142"/>
      <c r="AA76" s="1181"/>
      <c r="AB76" s="1181"/>
    </row>
    <row r="77" spans="1:31" s="1116" customFormat="1" ht="23.25" customHeight="1" x14ac:dyDescent="0.3">
      <c r="B77" s="989" t="s">
        <v>41</v>
      </c>
      <c r="C77" s="1141">
        <f>AVERAGE(O71,R71,S71,T71,AC71)*100</f>
        <v>51.98933419521655</v>
      </c>
      <c r="D77" s="1141">
        <f t="shared" si="10"/>
        <v>1</v>
      </c>
      <c r="E77" s="3349">
        <f>IF(AE71&gt;=70,3,IF(AND(AE71&gt;=60,AE71&lt;70),2,IF(AND(AE71&gt;=50,AE71&lt;60),1)))</f>
        <v>3</v>
      </c>
      <c r="F77" s="3349"/>
      <c r="G77" s="1150">
        <f t="shared" si="11"/>
        <v>2.3999999999999995</v>
      </c>
      <c r="H77" s="1150"/>
      <c r="I77" s="1150"/>
      <c r="J77" s="1150"/>
      <c r="K77" s="1150"/>
      <c r="N77" s="1181"/>
      <c r="T77" s="1142"/>
      <c r="AA77" s="1181"/>
      <c r="AB77" s="1181"/>
    </row>
    <row r="78" spans="1:31" s="1116" customFormat="1" ht="23.25" customHeight="1" x14ac:dyDescent="0.3">
      <c r="B78" s="989" t="s">
        <v>42</v>
      </c>
      <c r="C78" s="1141">
        <f>AVERAGE(P71,Q71,U71,V71,W71,X71,AC71)*100</f>
        <v>34.15473415473415</v>
      </c>
      <c r="D78" s="1141">
        <v>0</v>
      </c>
      <c r="E78" s="3349">
        <f>IF(AE71&gt;=70,3,IF(AND(AE71&gt;=60,AE71&lt;70),2,IF(AND(AE71&gt;=50,AE71&lt;60),1)))</f>
        <v>3</v>
      </c>
      <c r="F78" s="3349"/>
      <c r="G78" s="1150">
        <f t="shared" si="11"/>
        <v>2.0999999999999996</v>
      </c>
      <c r="H78" s="1150"/>
      <c r="I78" s="1150"/>
      <c r="J78" s="1150"/>
      <c r="K78" s="1150"/>
      <c r="N78" s="1181"/>
      <c r="T78" s="1142"/>
      <c r="AA78" s="1181"/>
      <c r="AB78" s="1181"/>
    </row>
    <row r="79" spans="1:31" s="1116" customFormat="1" ht="23.25" customHeight="1" x14ac:dyDescent="0.3">
      <c r="B79" s="2715" t="s">
        <v>44</v>
      </c>
      <c r="C79" s="2715"/>
      <c r="D79" s="2715"/>
      <c r="E79" s="2715"/>
      <c r="F79" s="2715"/>
      <c r="G79" s="1240">
        <f>AVERAGE(G71:G78)</f>
        <v>2.2761904761904757</v>
      </c>
      <c r="H79" s="1240"/>
      <c r="I79" s="1240"/>
      <c r="J79" s="1240"/>
      <c r="K79" s="1240"/>
      <c r="N79" s="1181"/>
      <c r="T79" s="1142"/>
      <c r="AA79" s="1181"/>
      <c r="AB79" s="1181"/>
    </row>
    <row r="80" spans="1:31" s="1116" customFormat="1" ht="23.25" customHeight="1" x14ac:dyDescent="0.3">
      <c r="N80" s="1181"/>
      <c r="T80" s="1142"/>
      <c r="AA80" s="1181"/>
      <c r="AB80" s="1181"/>
    </row>
    <row r="81" spans="1:28" s="1116" customFormat="1" ht="23.25" customHeight="1" x14ac:dyDescent="0.3">
      <c r="A81" s="3353" t="s">
        <v>134</v>
      </c>
      <c r="B81" s="3353"/>
      <c r="C81" s="1313"/>
      <c r="D81" s="1313"/>
      <c r="E81" s="1313"/>
      <c r="F81" s="1313"/>
      <c r="G81" s="1313"/>
      <c r="H81" s="1313"/>
      <c r="I81" s="1313"/>
      <c r="J81" s="1313"/>
      <c r="K81" s="1313"/>
      <c r="L81" s="1313"/>
      <c r="M81" s="1313"/>
      <c r="N81" s="1314"/>
      <c r="O81" s="1313"/>
      <c r="P81" s="1313"/>
      <c r="Q81" s="1313"/>
      <c r="T81" s="1142"/>
      <c r="AA81" s="1181"/>
      <c r="AB81" s="1181"/>
    </row>
    <row r="82" spans="1:28" s="1116" customFormat="1" ht="23.25" customHeight="1" x14ac:dyDescent="0.3">
      <c r="A82" s="1313"/>
      <c r="B82" s="1313"/>
      <c r="C82" s="1313"/>
      <c r="D82" s="1313"/>
      <c r="E82" s="1313"/>
      <c r="F82" s="1313"/>
      <c r="G82" s="1313"/>
      <c r="H82" s="1313"/>
      <c r="I82" s="1313"/>
      <c r="J82" s="1313"/>
      <c r="K82" s="1313"/>
      <c r="L82" s="1313"/>
      <c r="M82" s="1313"/>
      <c r="N82" s="1314"/>
      <c r="O82" s="1313"/>
      <c r="P82" s="1313"/>
      <c r="Q82" s="1313"/>
      <c r="T82" s="1142"/>
      <c r="AA82" s="1181"/>
      <c r="AB82" s="1181"/>
    </row>
    <row r="83" spans="1:28" s="1116" customFormat="1" ht="23.25" customHeight="1" x14ac:dyDescent="0.3">
      <c r="A83" s="1313"/>
      <c r="B83" s="1315" t="s">
        <v>239</v>
      </c>
      <c r="C83" s="1316" t="s">
        <v>46</v>
      </c>
      <c r="D83" s="1316" t="s">
        <v>135</v>
      </c>
      <c r="E83" s="1316" t="s">
        <v>48</v>
      </c>
      <c r="F83" s="1316" t="s">
        <v>49</v>
      </c>
      <c r="G83" s="1316" t="s">
        <v>50</v>
      </c>
      <c r="H83" s="1316" t="s">
        <v>136</v>
      </c>
      <c r="I83" s="1316" t="s">
        <v>52</v>
      </c>
      <c r="J83" s="1317" t="s">
        <v>53</v>
      </c>
      <c r="K83" s="1316" t="s">
        <v>54</v>
      </c>
      <c r="L83" s="1316" t="s">
        <v>55</v>
      </c>
      <c r="M83" s="1316" t="s">
        <v>56</v>
      </c>
      <c r="N83" s="1316" t="s">
        <v>57</v>
      </c>
      <c r="O83" s="1313"/>
      <c r="P83" s="1313"/>
      <c r="Q83" s="1313"/>
      <c r="T83" s="1248"/>
    </row>
    <row r="84" spans="1:28" s="1116" customFormat="1" ht="23.25" customHeight="1" x14ac:dyDescent="0.3">
      <c r="A84" s="1313"/>
      <c r="B84" s="1318" t="s">
        <v>22</v>
      </c>
      <c r="C84" s="1225">
        <v>3</v>
      </c>
      <c r="D84" s="1225">
        <v>2</v>
      </c>
      <c r="E84" s="1225"/>
      <c r="F84" s="1225">
        <v>2</v>
      </c>
      <c r="G84" s="1225"/>
      <c r="H84" s="1225"/>
      <c r="I84" s="1225"/>
      <c r="J84" s="1225"/>
      <c r="K84" s="1225"/>
      <c r="L84" s="1225"/>
      <c r="M84" s="1225"/>
      <c r="N84" s="1225">
        <v>2</v>
      </c>
      <c r="O84" s="1313"/>
      <c r="P84" s="1313"/>
      <c r="Q84" s="1313"/>
      <c r="T84" s="1248"/>
    </row>
    <row r="85" spans="1:28" s="1116" customFormat="1" ht="23.25" customHeight="1" x14ac:dyDescent="0.3">
      <c r="A85" s="1313"/>
      <c r="B85" s="1318" t="s">
        <v>40</v>
      </c>
      <c r="C85" s="1225">
        <v>3</v>
      </c>
      <c r="D85" s="1225">
        <v>2</v>
      </c>
      <c r="E85" s="1225"/>
      <c r="F85" s="1225">
        <v>2</v>
      </c>
      <c r="G85" s="1225"/>
      <c r="H85" s="1225"/>
      <c r="I85" s="1225"/>
      <c r="J85" s="1225"/>
      <c r="K85" s="1225"/>
      <c r="L85" s="1225"/>
      <c r="M85" s="1225"/>
      <c r="N85" s="1225">
        <v>2</v>
      </c>
      <c r="O85" s="1313"/>
      <c r="P85" s="1313"/>
      <c r="Q85" s="1313"/>
      <c r="T85" s="1248"/>
    </row>
    <row r="86" spans="1:28" s="1116" customFormat="1" ht="23.25" customHeight="1" x14ac:dyDescent="0.3">
      <c r="A86" s="1313"/>
      <c r="B86" s="1318" t="s">
        <v>41</v>
      </c>
      <c r="C86" s="1225">
        <v>2</v>
      </c>
      <c r="D86" s="1225">
        <v>3</v>
      </c>
      <c r="E86" s="1225">
        <v>1</v>
      </c>
      <c r="F86" s="1225">
        <v>1</v>
      </c>
      <c r="G86" s="1225"/>
      <c r="H86" s="1225">
        <v>1</v>
      </c>
      <c r="I86" s="1225"/>
      <c r="J86" s="1225"/>
      <c r="K86" s="1225"/>
      <c r="L86" s="1225"/>
      <c r="M86" s="1225"/>
      <c r="N86" s="1225">
        <v>2</v>
      </c>
      <c r="O86" s="1313"/>
      <c r="P86" s="1313"/>
      <c r="Q86" s="1313"/>
      <c r="T86" s="1248"/>
    </row>
    <row r="87" spans="1:28" s="1116" customFormat="1" ht="23.25" customHeight="1" x14ac:dyDescent="0.3">
      <c r="A87" s="1313"/>
      <c r="B87" s="1318" t="s">
        <v>42</v>
      </c>
      <c r="C87" s="1225">
        <v>2</v>
      </c>
      <c r="D87" s="1225">
        <v>3</v>
      </c>
      <c r="E87" s="1225">
        <v>1</v>
      </c>
      <c r="F87" s="1225">
        <v>1</v>
      </c>
      <c r="G87" s="1225"/>
      <c r="H87" s="1225">
        <v>1</v>
      </c>
      <c r="I87" s="1225"/>
      <c r="J87" s="1225"/>
      <c r="K87" s="1225"/>
      <c r="L87" s="1225"/>
      <c r="M87" s="1225"/>
      <c r="N87" s="1225">
        <v>2</v>
      </c>
      <c r="O87" s="1313"/>
      <c r="P87" s="1313"/>
      <c r="Q87" s="1313"/>
      <c r="T87" s="1248"/>
    </row>
    <row r="88" spans="1:28" s="1116" customFormat="1" ht="23.25" customHeight="1" x14ac:dyDescent="0.3">
      <c r="A88" s="1313"/>
      <c r="B88" s="1319" t="s">
        <v>10</v>
      </c>
      <c r="C88" s="1225">
        <f>AVERAGE(C84:C87)</f>
        <v>2.5</v>
      </c>
      <c r="D88" s="1225">
        <f>AVERAGE(D84:D87)</f>
        <v>2.5</v>
      </c>
      <c r="E88" s="1225">
        <f>AVERAGE(E84:E87)</f>
        <v>1</v>
      </c>
      <c r="F88" s="1225">
        <f>AVERAGE(F84:F87)</f>
        <v>1.5</v>
      </c>
      <c r="G88" s="1225"/>
      <c r="H88" s="1225">
        <f>AVERAGE(H84:H87)</f>
        <v>1</v>
      </c>
      <c r="I88" s="1225"/>
      <c r="J88" s="1225"/>
      <c r="K88" s="1225"/>
      <c r="L88" s="1225"/>
      <c r="M88" s="1225"/>
      <c r="N88" s="1225">
        <f>AVERAGE(N84:N87)</f>
        <v>2</v>
      </c>
      <c r="O88" s="1313"/>
      <c r="P88" s="1313"/>
      <c r="Q88" s="1313"/>
      <c r="T88" s="1248"/>
    </row>
    <row r="89" spans="1:28" s="1116" customFormat="1" ht="23.25" customHeight="1" x14ac:dyDescent="0.3">
      <c r="A89" s="1313"/>
      <c r="B89" s="1320" t="s">
        <v>58</v>
      </c>
      <c r="C89" s="3358">
        <f>AVERAGE(C88:N88)</f>
        <v>1.75</v>
      </c>
      <c r="D89" s="3358"/>
      <c r="E89" s="3358"/>
      <c r="F89" s="3358"/>
      <c r="G89" s="3358"/>
      <c r="H89" s="3358"/>
      <c r="I89" s="3358"/>
      <c r="J89" s="3358"/>
      <c r="K89" s="3358"/>
      <c r="L89" s="3358"/>
      <c r="M89" s="3358"/>
      <c r="N89" s="3358"/>
      <c r="O89" s="1321"/>
      <c r="P89" s="1321"/>
      <c r="Q89" s="1321"/>
      <c r="R89" s="1322"/>
      <c r="T89" s="1142"/>
      <c r="AA89" s="1181"/>
      <c r="AB89" s="1181"/>
    </row>
    <row r="90" spans="1:28" s="1116" customFormat="1" ht="23.25" customHeight="1" x14ac:dyDescent="0.3">
      <c r="A90" s="1313"/>
      <c r="B90" s="1313"/>
      <c r="C90" s="1323"/>
      <c r="D90" s="1313"/>
      <c r="E90" s="1313"/>
      <c r="F90" s="1313"/>
      <c r="G90" s="1313"/>
      <c r="H90" s="1313"/>
      <c r="I90" s="1313"/>
      <c r="J90" s="1313"/>
      <c r="K90" s="1313"/>
      <c r="L90" s="1313"/>
      <c r="M90" s="1313"/>
      <c r="N90" s="1314"/>
      <c r="O90" s="1313"/>
      <c r="P90" s="1313"/>
      <c r="Q90" s="1313"/>
      <c r="T90" s="1142"/>
      <c r="AA90" s="1181"/>
      <c r="AB90" s="1181"/>
    </row>
    <row r="91" spans="1:28" s="1116" customFormat="1" ht="23.25" customHeight="1" x14ac:dyDescent="0.3">
      <c r="A91" s="3353" t="s">
        <v>148</v>
      </c>
      <c r="B91" s="3353"/>
      <c r="C91" s="1313"/>
      <c r="D91" s="1313"/>
      <c r="E91" s="1313"/>
      <c r="F91" s="1313"/>
      <c r="G91" s="1313"/>
      <c r="H91" s="1313"/>
      <c r="I91" s="1313"/>
      <c r="J91" s="1313"/>
      <c r="K91" s="1313"/>
      <c r="L91" s="1313"/>
      <c r="M91" s="1313"/>
      <c r="N91" s="1314"/>
      <c r="O91" s="1313"/>
      <c r="P91" s="1313"/>
      <c r="Q91" s="1313"/>
      <c r="T91" s="1142"/>
      <c r="AA91" s="1181"/>
      <c r="AB91" s="1181"/>
    </row>
    <row r="92" spans="1:28" s="1116" customFormat="1" ht="23.25" customHeight="1" x14ac:dyDescent="0.3">
      <c r="A92" s="1313"/>
      <c r="B92" s="1313"/>
      <c r="C92" s="1313"/>
      <c r="D92" s="1313"/>
      <c r="E92" s="1313"/>
      <c r="F92" s="1313"/>
      <c r="G92" s="1313"/>
      <c r="H92" s="1313"/>
      <c r="I92" s="1313"/>
      <c r="J92" s="1313"/>
      <c r="K92" s="1313"/>
      <c r="L92" s="1313"/>
      <c r="M92" s="1313"/>
      <c r="N92" s="1314"/>
      <c r="O92" s="1313"/>
      <c r="P92" s="1313"/>
      <c r="Q92" s="1313"/>
      <c r="T92" s="1142"/>
      <c r="AA92" s="1181"/>
      <c r="AB92" s="1181"/>
    </row>
    <row r="93" spans="1:28" s="1116" customFormat="1" ht="23.25" customHeight="1" x14ac:dyDescent="0.3">
      <c r="A93" s="1313"/>
      <c r="B93" s="1315" t="s">
        <v>45</v>
      </c>
      <c r="C93" s="1316" t="s">
        <v>68</v>
      </c>
      <c r="D93" s="1316" t="s">
        <v>69</v>
      </c>
      <c r="E93" s="1316" t="s">
        <v>70</v>
      </c>
      <c r="F93" s="1316" t="s">
        <v>71</v>
      </c>
      <c r="G93" s="1316" t="s">
        <v>72</v>
      </c>
      <c r="H93" s="1316" t="s">
        <v>73</v>
      </c>
      <c r="I93" s="1316" t="s">
        <v>74</v>
      </c>
      <c r="J93" s="1317" t="s">
        <v>75</v>
      </c>
      <c r="K93" s="1316" t="s">
        <v>76</v>
      </c>
      <c r="L93" s="1316" t="s">
        <v>77</v>
      </c>
      <c r="M93" s="1316" t="s">
        <v>78</v>
      </c>
      <c r="N93" s="1316" t="s">
        <v>79</v>
      </c>
      <c r="O93" s="1313"/>
      <c r="P93" s="1313"/>
      <c r="Q93" s="1313"/>
      <c r="S93" s="1142"/>
      <c r="T93" s="1181"/>
    </row>
    <row r="94" spans="1:28" s="1116" customFormat="1" ht="23.25" customHeight="1" x14ac:dyDescent="0.3">
      <c r="A94" s="1313"/>
      <c r="B94" s="1318" t="s">
        <v>20</v>
      </c>
      <c r="C94" s="1324">
        <f>G75*C84/3</f>
        <v>2.9999999999999996</v>
      </c>
      <c r="D94" s="1324">
        <f>G75*D84/3</f>
        <v>1.9999999999999998</v>
      </c>
      <c r="E94" s="1324"/>
      <c r="F94" s="1324">
        <f>G75*F84/3</f>
        <v>1.9999999999999998</v>
      </c>
      <c r="G94" s="1324"/>
      <c r="H94" s="1324"/>
      <c r="I94" s="1324"/>
      <c r="J94" s="1324"/>
      <c r="K94" s="1324"/>
      <c r="L94" s="1324"/>
      <c r="M94" s="1324"/>
      <c r="N94" s="1324">
        <f>G75*N84/3</f>
        <v>1.9999999999999998</v>
      </c>
      <c r="O94" s="1313"/>
      <c r="P94" s="1313"/>
      <c r="Q94" s="1313"/>
      <c r="S94" s="1142"/>
      <c r="T94" s="1181"/>
    </row>
    <row r="95" spans="1:28" s="1116" customFormat="1" ht="23.25" customHeight="1" x14ac:dyDescent="0.3">
      <c r="A95" s="1313"/>
      <c r="B95" s="1318" t="s">
        <v>21</v>
      </c>
      <c r="C95" s="1324">
        <f>G76*C85/3</f>
        <v>2.9999999999999996</v>
      </c>
      <c r="D95" s="1324">
        <f>G76*D85/3</f>
        <v>1.9999999999999998</v>
      </c>
      <c r="E95" s="1324"/>
      <c r="F95" s="1324">
        <f t="shared" ref="F95:F97" si="12">G76*F85/3</f>
        <v>1.9999999999999998</v>
      </c>
      <c r="G95" s="1324"/>
      <c r="H95" s="1324"/>
      <c r="I95" s="1324"/>
      <c r="J95" s="1324"/>
      <c r="K95" s="1324"/>
      <c r="L95" s="1324"/>
      <c r="M95" s="1324"/>
      <c r="N95" s="1324">
        <f>G76*N85/3</f>
        <v>1.9999999999999998</v>
      </c>
      <c r="O95" s="1313"/>
      <c r="P95" s="1313"/>
      <c r="Q95" s="1313"/>
      <c r="S95" s="1142"/>
      <c r="T95" s="1181"/>
    </row>
    <row r="96" spans="1:28" s="1116" customFormat="1" ht="23.25" customHeight="1" x14ac:dyDescent="0.3">
      <c r="A96" s="1313"/>
      <c r="B96" s="1318" t="s">
        <v>23</v>
      </c>
      <c r="C96" s="1324">
        <f>G77*C86/3</f>
        <v>1.5999999999999996</v>
      </c>
      <c r="D96" s="1324">
        <f>G77*D86/3</f>
        <v>2.3999999999999995</v>
      </c>
      <c r="E96" s="1324">
        <f t="shared" ref="E96:E97" si="13">G77*E86/3</f>
        <v>0.79999999999999982</v>
      </c>
      <c r="F96" s="1324">
        <f t="shared" si="12"/>
        <v>0.79999999999999982</v>
      </c>
      <c r="G96" s="1324"/>
      <c r="H96" s="1324">
        <f>G77*H86/3</f>
        <v>0.79999999999999982</v>
      </c>
      <c r="I96" s="1324"/>
      <c r="J96" s="1324"/>
      <c r="K96" s="1324"/>
      <c r="L96" s="1324"/>
      <c r="M96" s="1324"/>
      <c r="N96" s="1324">
        <f>G77*N86/3</f>
        <v>1.5999999999999996</v>
      </c>
      <c r="O96" s="1313"/>
      <c r="P96" s="1313"/>
      <c r="Q96" s="1313"/>
      <c r="S96" s="1142"/>
      <c r="T96" s="1181"/>
    </row>
    <row r="97" spans="1:28" s="1116" customFormat="1" ht="23.25" customHeight="1" x14ac:dyDescent="0.3">
      <c r="A97" s="1313"/>
      <c r="B97" s="1318" t="s">
        <v>25</v>
      </c>
      <c r="C97" s="1324">
        <f>G78*C87/3</f>
        <v>1.3999999999999997</v>
      </c>
      <c r="D97" s="1324">
        <f>G78*D87/3</f>
        <v>2.0999999999999996</v>
      </c>
      <c r="E97" s="1324">
        <f t="shared" si="13"/>
        <v>0.69999999999999984</v>
      </c>
      <c r="F97" s="1324">
        <f t="shared" si="12"/>
        <v>0.69999999999999984</v>
      </c>
      <c r="G97" s="1324"/>
      <c r="H97" s="1324">
        <f>G78*H87/3</f>
        <v>0.69999999999999984</v>
      </c>
      <c r="I97" s="1324"/>
      <c r="J97" s="1324"/>
      <c r="K97" s="1324"/>
      <c r="L97" s="1324"/>
      <c r="M97" s="1324"/>
      <c r="N97" s="1324">
        <f>G78*N87/3</f>
        <v>1.3999999999999997</v>
      </c>
      <c r="O97" s="1313"/>
      <c r="P97" s="1313"/>
      <c r="Q97" s="1313"/>
      <c r="S97" s="1142"/>
      <c r="T97" s="1181"/>
    </row>
    <row r="98" spans="1:28" s="1116" customFormat="1" ht="23.25" customHeight="1" x14ac:dyDescent="0.3">
      <c r="A98" s="1313"/>
      <c r="B98" s="1319" t="s">
        <v>10</v>
      </c>
      <c r="C98" s="1325">
        <f t="shared" ref="C98:N98" si="14">AVERAGE(C94:C97)</f>
        <v>2.2499999999999996</v>
      </c>
      <c r="D98" s="1325">
        <f t="shared" si="14"/>
        <v>2.1249999999999996</v>
      </c>
      <c r="E98" s="1325">
        <f t="shared" si="14"/>
        <v>0.74999999999999978</v>
      </c>
      <c r="F98" s="1325">
        <f t="shared" si="14"/>
        <v>1.3749999999999998</v>
      </c>
      <c r="G98" s="1325"/>
      <c r="H98" s="1325">
        <f t="shared" si="14"/>
        <v>0.74999999999999978</v>
      </c>
      <c r="I98" s="1325"/>
      <c r="J98" s="1325"/>
      <c r="K98" s="1325"/>
      <c r="L98" s="1325"/>
      <c r="M98" s="1325"/>
      <c r="N98" s="1325">
        <f t="shared" si="14"/>
        <v>1.7499999999999998</v>
      </c>
      <c r="O98" s="1313"/>
      <c r="P98" s="1313"/>
      <c r="Q98" s="1313"/>
      <c r="S98" s="1142"/>
      <c r="T98" s="1181"/>
    </row>
    <row r="99" spans="1:28" s="1116" customFormat="1" ht="23.25" customHeight="1" x14ac:dyDescent="0.3">
      <c r="A99" s="1313"/>
      <c r="B99" s="1320" t="s">
        <v>58</v>
      </c>
      <c r="C99" s="3354">
        <f>AVERAGE(C98:N98)</f>
        <v>1.4999999999999998</v>
      </c>
      <c r="D99" s="3354"/>
      <c r="E99" s="3354"/>
      <c r="F99" s="3354"/>
      <c r="G99" s="3354"/>
      <c r="H99" s="3354"/>
      <c r="I99" s="3354"/>
      <c r="J99" s="3354"/>
      <c r="K99" s="3354"/>
      <c r="L99" s="3354"/>
      <c r="M99" s="3354"/>
      <c r="N99" s="3354"/>
      <c r="O99" s="1326"/>
      <c r="P99" s="1326"/>
      <c r="Q99" s="1326"/>
      <c r="R99" s="1186"/>
      <c r="T99" s="1142"/>
      <c r="AA99" s="1181"/>
      <c r="AB99" s="1181"/>
    </row>
    <row r="100" spans="1:28" s="1116" customFormat="1" ht="23.25" customHeight="1" x14ac:dyDescent="0.3">
      <c r="A100" s="1313"/>
      <c r="B100" s="1313"/>
      <c r="C100" s="1313"/>
      <c r="D100" s="1313"/>
      <c r="E100" s="1313"/>
      <c r="F100" s="1313"/>
      <c r="G100" s="1313"/>
      <c r="H100" s="1313"/>
      <c r="I100" s="1313"/>
      <c r="J100" s="1313"/>
      <c r="K100" s="1313"/>
      <c r="L100" s="1313"/>
      <c r="M100" s="1313"/>
      <c r="N100" s="1314"/>
      <c r="O100" s="1313"/>
      <c r="P100" s="1313"/>
      <c r="Q100" s="1313"/>
      <c r="T100" s="1142"/>
      <c r="AA100" s="1181"/>
      <c r="AB100" s="1181"/>
    </row>
    <row r="101" spans="1:28" s="1116" customFormat="1" ht="23.25" customHeight="1" x14ac:dyDescent="0.3">
      <c r="A101" s="3353" t="s">
        <v>137</v>
      </c>
      <c r="B101" s="3353"/>
      <c r="C101" s="1327"/>
      <c r="D101" s="1327"/>
      <c r="E101" s="1313"/>
      <c r="F101" s="1313"/>
      <c r="G101" s="1313"/>
      <c r="H101" s="1313"/>
      <c r="I101" s="1313"/>
      <c r="J101" s="1313"/>
      <c r="K101" s="1313"/>
      <c r="L101" s="3353" t="s">
        <v>149</v>
      </c>
      <c r="M101" s="3353"/>
      <c r="N101" s="3353"/>
      <c r="O101" s="1327"/>
      <c r="P101" s="1327"/>
      <c r="Q101" s="1313"/>
      <c r="T101" s="1142"/>
      <c r="AA101" s="1181"/>
      <c r="AB101" s="1181"/>
    </row>
    <row r="102" spans="1:28" s="1116" customFormat="1" ht="23.25" customHeight="1" x14ac:dyDescent="0.3">
      <c r="A102" s="1328"/>
      <c r="B102" s="1328"/>
      <c r="C102" s="1327"/>
      <c r="D102" s="1327"/>
      <c r="E102" s="1313"/>
      <c r="F102" s="1313"/>
      <c r="G102" s="1313"/>
      <c r="H102" s="1313"/>
      <c r="I102" s="1313"/>
      <c r="J102" s="1313"/>
      <c r="K102" s="1313"/>
      <c r="L102" s="1328"/>
      <c r="M102" s="1328"/>
      <c r="N102" s="1329"/>
      <c r="O102" s="1327"/>
      <c r="P102" s="1327"/>
      <c r="Q102" s="1313"/>
      <c r="T102" s="1142"/>
      <c r="AA102" s="1181"/>
      <c r="AB102" s="1181"/>
    </row>
    <row r="103" spans="1:28" s="1116" customFormat="1" ht="23.25" customHeight="1" x14ac:dyDescent="0.3">
      <c r="A103" s="1313"/>
      <c r="B103" s="1315" t="s">
        <v>59</v>
      </c>
      <c r="C103" s="1316" t="s">
        <v>60</v>
      </c>
      <c r="D103" s="1316" t="s">
        <v>61</v>
      </c>
      <c r="E103" s="1316" t="s">
        <v>62</v>
      </c>
      <c r="F103" s="1313"/>
      <c r="G103" s="1313"/>
      <c r="H103" s="1313"/>
      <c r="I103" s="1313"/>
      <c r="J103" s="1313"/>
      <c r="K103" s="1313"/>
      <c r="L103" s="1313"/>
      <c r="M103" s="1313"/>
      <c r="N103" s="1330" t="s">
        <v>59</v>
      </c>
      <c r="O103" s="1316" t="s">
        <v>60</v>
      </c>
      <c r="P103" s="1316" t="s">
        <v>61</v>
      </c>
      <c r="Q103" s="1316" t="s">
        <v>62</v>
      </c>
      <c r="T103" s="1142"/>
      <c r="AA103" s="1181"/>
      <c r="AB103" s="1181"/>
    </row>
    <row r="104" spans="1:28" s="1116" customFormat="1" ht="23.25" customHeight="1" x14ac:dyDescent="0.3">
      <c r="A104" s="1313"/>
      <c r="B104" s="1331" t="s">
        <v>20</v>
      </c>
      <c r="C104" s="1225">
        <v>2</v>
      </c>
      <c r="D104" s="1225"/>
      <c r="E104" s="1225"/>
      <c r="F104" s="1313"/>
      <c r="G104" s="1313"/>
      <c r="H104" s="1313"/>
      <c r="I104" s="1313"/>
      <c r="J104" s="1313"/>
      <c r="K104" s="1313"/>
      <c r="L104" s="1313"/>
      <c r="M104" s="1313"/>
      <c r="N104" s="1332" t="s">
        <v>20</v>
      </c>
      <c r="O104" s="1324">
        <f>G75*C104/3</f>
        <v>1.9999999999999998</v>
      </c>
      <c r="P104" s="1324"/>
      <c r="Q104" s="1324"/>
      <c r="T104" s="1142"/>
      <c r="AA104" s="1181"/>
      <c r="AB104" s="1181"/>
    </row>
    <row r="105" spans="1:28" s="1116" customFormat="1" ht="23.25" customHeight="1" x14ac:dyDescent="0.3">
      <c r="A105" s="1313"/>
      <c r="B105" s="1318" t="s">
        <v>21</v>
      </c>
      <c r="C105" s="1225">
        <v>2</v>
      </c>
      <c r="D105" s="1225"/>
      <c r="E105" s="1225"/>
      <c r="F105" s="1313"/>
      <c r="G105" s="1313"/>
      <c r="H105" s="1313"/>
      <c r="I105" s="1313"/>
      <c r="J105" s="1313"/>
      <c r="K105" s="1313"/>
      <c r="L105" s="1313"/>
      <c r="M105" s="1313"/>
      <c r="N105" s="1333" t="s">
        <v>21</v>
      </c>
      <c r="O105" s="1324">
        <f>G76*C105/3</f>
        <v>1.9999999999999998</v>
      </c>
      <c r="P105" s="1324"/>
      <c r="Q105" s="1324"/>
      <c r="T105" s="1142"/>
      <c r="AA105" s="1181"/>
      <c r="AB105" s="1181"/>
    </row>
    <row r="106" spans="1:28" s="1116" customFormat="1" ht="23.25" customHeight="1" x14ac:dyDescent="0.3">
      <c r="A106" s="1313"/>
      <c r="B106" s="1318" t="s">
        <v>23</v>
      </c>
      <c r="C106" s="1225">
        <v>2</v>
      </c>
      <c r="D106" s="1225"/>
      <c r="E106" s="1225"/>
      <c r="F106" s="1313"/>
      <c r="G106" s="1313"/>
      <c r="H106" s="1313"/>
      <c r="I106" s="1313"/>
      <c r="J106" s="1313"/>
      <c r="K106" s="1313"/>
      <c r="L106" s="1313"/>
      <c r="M106" s="1313"/>
      <c r="N106" s="1333" t="s">
        <v>23</v>
      </c>
      <c r="O106" s="1324">
        <f>G77*C106/3</f>
        <v>1.5999999999999996</v>
      </c>
      <c r="P106" s="1324"/>
      <c r="Q106" s="1324"/>
      <c r="T106" s="1142"/>
      <c r="AA106" s="1181"/>
      <c r="AB106" s="1181"/>
    </row>
    <row r="107" spans="1:28" s="1116" customFormat="1" ht="23.25" customHeight="1" x14ac:dyDescent="0.3">
      <c r="A107" s="1313"/>
      <c r="B107" s="1318" t="s">
        <v>25</v>
      </c>
      <c r="C107" s="1225">
        <v>2</v>
      </c>
      <c r="D107" s="1225"/>
      <c r="E107" s="1225"/>
      <c r="F107" s="1313"/>
      <c r="G107" s="1313"/>
      <c r="H107" s="1313"/>
      <c r="I107" s="1313"/>
      <c r="J107" s="1313"/>
      <c r="K107" s="1313"/>
      <c r="L107" s="1313"/>
      <c r="M107" s="1313"/>
      <c r="N107" s="1333" t="s">
        <v>25</v>
      </c>
      <c r="O107" s="1324">
        <f>G78*C107/3</f>
        <v>1.3999999999999997</v>
      </c>
      <c r="P107" s="1324"/>
      <c r="Q107" s="1324"/>
      <c r="T107" s="1142"/>
      <c r="AA107" s="1181"/>
      <c r="AB107" s="1181"/>
    </row>
    <row r="108" spans="1:28" s="1116" customFormat="1" ht="23.25" customHeight="1" x14ac:dyDescent="0.3">
      <c r="A108" s="1313"/>
      <c r="B108" s="1334" t="s">
        <v>10</v>
      </c>
      <c r="C108" s="1335">
        <f>AVERAGE(C104:C107)</f>
        <v>2</v>
      </c>
      <c r="D108" s="1335"/>
      <c r="E108" s="1335"/>
      <c r="F108" s="1313"/>
      <c r="G108" s="1313"/>
      <c r="H108" s="1313"/>
      <c r="I108" s="1313"/>
      <c r="J108" s="1313"/>
      <c r="K108" s="1313"/>
      <c r="L108" s="1313"/>
      <c r="M108" s="1313"/>
      <c r="N108" s="1336" t="s">
        <v>10</v>
      </c>
      <c r="O108" s="1324">
        <f>AVERAGE(O104:O107)</f>
        <v>1.7499999999999998</v>
      </c>
      <c r="P108" s="1324"/>
      <c r="Q108" s="1324"/>
      <c r="T108" s="1142"/>
      <c r="AA108" s="1181"/>
      <c r="AB108" s="1181"/>
    </row>
    <row r="109" spans="1:28" s="1116" customFormat="1" ht="23.25" customHeight="1" x14ac:dyDescent="0.3">
      <c r="A109" s="1337"/>
      <c r="B109" s="1338" t="s">
        <v>58</v>
      </c>
      <c r="C109" s="3355">
        <f>AVERAGE(C108:E108)</f>
        <v>2</v>
      </c>
      <c r="D109" s="3356"/>
      <c r="E109" s="3357"/>
      <c r="F109" s="1337"/>
      <c r="G109" s="1337"/>
      <c r="H109" s="1337"/>
      <c r="I109" s="1337"/>
      <c r="J109" s="1337"/>
      <c r="K109" s="1337"/>
      <c r="L109" s="1337"/>
      <c r="M109" s="1337"/>
      <c r="N109" s="1339" t="s">
        <v>58</v>
      </c>
      <c r="O109" s="3355">
        <f>AVERAGE(O108:Q108)</f>
        <v>1.7499999999999998</v>
      </c>
      <c r="P109" s="3356"/>
      <c r="Q109" s="3357"/>
      <c r="R109" s="1141"/>
      <c r="T109" s="1142"/>
      <c r="AA109" s="1181"/>
      <c r="AB109" s="1181"/>
    </row>
    <row r="110" spans="1:28" s="1116" customFormat="1" ht="23.25" customHeight="1" x14ac:dyDescent="0.3">
      <c r="N110" s="1181"/>
      <c r="T110" s="1142"/>
      <c r="AA110" s="1181"/>
      <c r="AB110" s="1181"/>
    </row>
    <row r="111" spans="1:28" s="1116" customFormat="1" ht="23.25" customHeight="1" x14ac:dyDescent="0.3">
      <c r="N111" s="1181"/>
      <c r="T111" s="1142"/>
      <c r="AA111" s="1181"/>
      <c r="AB111" s="1181"/>
    </row>
    <row r="112" spans="1:28" s="1116" customFormat="1" ht="23.25" customHeight="1" x14ac:dyDescent="0.3">
      <c r="C112" s="988" t="s">
        <v>240</v>
      </c>
      <c r="D112" s="988" t="s">
        <v>241</v>
      </c>
      <c r="E112" s="988" t="s">
        <v>242</v>
      </c>
      <c r="F112" s="3344" t="s">
        <v>243</v>
      </c>
      <c r="G112" s="3344"/>
      <c r="H112" s="3344"/>
      <c r="I112" s="3344"/>
      <c r="J112" s="3344"/>
      <c r="K112" s="3344"/>
      <c r="L112" s="3344"/>
      <c r="M112" s="3344"/>
      <c r="N112" s="1181"/>
      <c r="T112" s="1142"/>
      <c r="AA112" s="1181"/>
      <c r="AB112" s="1181"/>
    </row>
    <row r="113" spans="2:28" s="1116" customFormat="1" ht="23.25" customHeight="1" x14ac:dyDescent="0.3">
      <c r="C113" s="1134">
        <v>1985402</v>
      </c>
      <c r="D113" s="3359" t="s">
        <v>244</v>
      </c>
      <c r="E113" s="988" t="s">
        <v>22</v>
      </c>
      <c r="F113" s="3362" t="s">
        <v>245</v>
      </c>
      <c r="G113" s="3363" t="s">
        <v>246</v>
      </c>
      <c r="H113" s="3363" t="s">
        <v>246</v>
      </c>
      <c r="I113" s="3363" t="s">
        <v>246</v>
      </c>
      <c r="J113" s="3363" t="s">
        <v>246</v>
      </c>
      <c r="K113" s="3363" t="s">
        <v>246</v>
      </c>
      <c r="L113" s="3363" t="s">
        <v>246</v>
      </c>
      <c r="M113" s="3364" t="s">
        <v>246</v>
      </c>
      <c r="N113" s="1181"/>
      <c r="T113" s="1142"/>
      <c r="AA113" s="1181"/>
      <c r="AB113" s="1181"/>
    </row>
    <row r="114" spans="2:28" s="1116" customFormat="1" ht="23.25" customHeight="1" x14ac:dyDescent="0.3">
      <c r="C114" s="1157"/>
      <c r="D114" s="3360"/>
      <c r="E114" s="988" t="s">
        <v>40</v>
      </c>
      <c r="F114" s="3365" t="s">
        <v>247</v>
      </c>
      <c r="G114" s="3366" t="s">
        <v>248</v>
      </c>
      <c r="H114" s="3366" t="s">
        <v>248</v>
      </c>
      <c r="I114" s="3366" t="s">
        <v>248</v>
      </c>
      <c r="J114" s="3366" t="s">
        <v>248</v>
      </c>
      <c r="K114" s="3366" t="s">
        <v>248</v>
      </c>
      <c r="L114" s="3366" t="s">
        <v>248</v>
      </c>
      <c r="M114" s="3367" t="s">
        <v>248</v>
      </c>
      <c r="N114" s="1181"/>
      <c r="T114" s="1142"/>
      <c r="AA114" s="1181"/>
      <c r="AB114" s="1181"/>
    </row>
    <row r="115" spans="2:28" s="1116" customFormat="1" ht="23.25" customHeight="1" x14ac:dyDescent="0.3">
      <c r="C115" s="1157"/>
      <c r="D115" s="3360"/>
      <c r="E115" s="988" t="s">
        <v>41</v>
      </c>
      <c r="F115" s="3365" t="s">
        <v>249</v>
      </c>
      <c r="G115" s="3366" t="s">
        <v>250</v>
      </c>
      <c r="H115" s="3366" t="s">
        <v>250</v>
      </c>
      <c r="I115" s="3366" t="s">
        <v>250</v>
      </c>
      <c r="J115" s="3366" t="s">
        <v>250</v>
      </c>
      <c r="K115" s="3366" t="s">
        <v>250</v>
      </c>
      <c r="L115" s="3366" t="s">
        <v>250</v>
      </c>
      <c r="M115" s="3367" t="s">
        <v>250</v>
      </c>
      <c r="N115" s="1181"/>
      <c r="T115" s="1142"/>
      <c r="AA115" s="1181"/>
      <c r="AB115" s="1181"/>
    </row>
    <row r="116" spans="2:28" s="1116" customFormat="1" ht="23.25" customHeight="1" x14ac:dyDescent="0.3">
      <c r="C116" s="1157"/>
      <c r="D116" s="3360"/>
      <c r="E116" s="988" t="s">
        <v>42</v>
      </c>
      <c r="F116" s="3365" t="s">
        <v>251</v>
      </c>
      <c r="G116" s="3366" t="s">
        <v>252</v>
      </c>
      <c r="H116" s="3366" t="s">
        <v>252</v>
      </c>
      <c r="I116" s="3366" t="s">
        <v>252</v>
      </c>
      <c r="J116" s="3366" t="s">
        <v>252</v>
      </c>
      <c r="K116" s="3366" t="s">
        <v>252</v>
      </c>
      <c r="L116" s="3366" t="s">
        <v>252</v>
      </c>
      <c r="M116" s="3367" t="s">
        <v>252</v>
      </c>
      <c r="N116" s="1181"/>
      <c r="T116" s="1142"/>
      <c r="AA116" s="1181"/>
      <c r="AB116" s="1181"/>
    </row>
    <row r="117" spans="2:28" s="1343" customFormat="1" ht="23.25" customHeight="1" x14ac:dyDescent="0.3">
      <c r="B117" s="1340" t="s">
        <v>253</v>
      </c>
      <c r="C117" s="1341"/>
      <c r="D117" s="3361"/>
      <c r="E117" s="1342" t="s">
        <v>43</v>
      </c>
      <c r="F117" s="3368" t="s">
        <v>254</v>
      </c>
      <c r="G117" s="3369" t="s">
        <v>255</v>
      </c>
      <c r="H117" s="3369" t="s">
        <v>255</v>
      </c>
      <c r="I117" s="3369" t="s">
        <v>255</v>
      </c>
      <c r="J117" s="3369" t="s">
        <v>255</v>
      </c>
      <c r="K117" s="3369" t="s">
        <v>255</v>
      </c>
      <c r="L117" s="3369" t="s">
        <v>255</v>
      </c>
      <c r="M117" s="3370" t="s">
        <v>255</v>
      </c>
      <c r="N117" s="1340"/>
      <c r="T117" s="1344"/>
      <c r="AA117" s="1340"/>
      <c r="AB117" s="1340"/>
    </row>
  </sheetData>
  <mergeCells count="52">
    <mergeCell ref="O109:Q109"/>
    <mergeCell ref="D113:D117"/>
    <mergeCell ref="F113:M113"/>
    <mergeCell ref="F114:M114"/>
    <mergeCell ref="F115:M115"/>
    <mergeCell ref="F116:M116"/>
    <mergeCell ref="F117:M117"/>
    <mergeCell ref="F112:M112"/>
    <mergeCell ref="E77:F77"/>
    <mergeCell ref="E78:F78"/>
    <mergeCell ref="B79:F79"/>
    <mergeCell ref="A81:B81"/>
    <mergeCell ref="C89:N89"/>
    <mergeCell ref="A91:B91"/>
    <mergeCell ref="C99:N99"/>
    <mergeCell ref="A101:B101"/>
    <mergeCell ref="L101:N101"/>
    <mergeCell ref="C109:E109"/>
    <mergeCell ref="A70:B70"/>
    <mergeCell ref="A71:B71"/>
    <mergeCell ref="E74:F74"/>
    <mergeCell ref="G74:I74"/>
    <mergeCell ref="E75:F75"/>
    <mergeCell ref="E76:F76"/>
    <mergeCell ref="X6:Y6"/>
    <mergeCell ref="AA6:AA8"/>
    <mergeCell ref="AB6:AB8"/>
    <mergeCell ref="AC6:AC8"/>
    <mergeCell ref="AD6:AD9"/>
    <mergeCell ref="AE6:AE9"/>
    <mergeCell ref="J6:K6"/>
    <mergeCell ref="L6:M6"/>
    <mergeCell ref="O6:Q6"/>
    <mergeCell ref="R6:S6"/>
    <mergeCell ref="T6:U6"/>
    <mergeCell ref="V6:W6"/>
    <mergeCell ref="C4:N4"/>
    <mergeCell ref="P4:AA4"/>
    <mergeCell ref="A5:B5"/>
    <mergeCell ref="C5:O5"/>
    <mergeCell ref="P5:AC5"/>
    <mergeCell ref="A6:A8"/>
    <mergeCell ref="B6:B7"/>
    <mergeCell ref="C6:E6"/>
    <mergeCell ref="F6:G6"/>
    <mergeCell ref="H6:I6"/>
    <mergeCell ref="A2:B2"/>
    <mergeCell ref="C2:N2"/>
    <mergeCell ref="P2:AA2"/>
    <mergeCell ref="A3:B3"/>
    <mergeCell ref="C3:N3"/>
    <mergeCell ref="P3:AA3"/>
  </mergeCells>
  <conditionalFormatting sqref="AD10:AD67">
    <cfRule type="containsText" dxfId="89" priority="3" operator="containsText" text="F">
      <formula>NOT(ISERROR(SEARCH("F",AD10)))</formula>
    </cfRule>
  </conditionalFormatting>
  <conditionalFormatting sqref="AD10:AD67">
    <cfRule type="cellIs" dxfId="88" priority="1" stopIfTrue="1" operator="equal">
      <formula>"AB"</formula>
    </cfRule>
    <cfRule type="containsText" dxfId="87" priority="2" operator="containsText" text="F">
      <formula>NOT(ISERROR(SEARCH("F",AD10)))</formula>
    </cfRule>
  </conditionalFormatting>
  <pageMargins left="0.7" right="0.7" top="0.75" bottom="0.75" header="0.3" footer="0.3"/>
  <pageSetup paperSize="8" scale="38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7"/>
  <sheetViews>
    <sheetView topLeftCell="A102" zoomScale="80" zoomScaleNormal="80" workbookViewId="0">
      <selection activeCell="O96" sqref="O96"/>
    </sheetView>
  </sheetViews>
  <sheetFormatPr defaultColWidth="10.28515625" defaultRowHeight="21.75" customHeight="1" x14ac:dyDescent="0.25"/>
  <cols>
    <col min="1" max="1" width="10.28515625" style="351"/>
    <col min="2" max="2" width="20" style="351" customWidth="1"/>
    <col min="3" max="16384" width="10.28515625" style="351"/>
  </cols>
  <sheetData>
    <row r="1" spans="1:40" ht="21.75" customHeight="1" x14ac:dyDescent="0.25">
      <c r="A1" s="3371" t="s">
        <v>0</v>
      </c>
      <c r="B1" s="3372"/>
      <c r="C1" s="3373" t="s">
        <v>256</v>
      </c>
      <c r="D1" s="3374"/>
      <c r="E1" s="3374"/>
      <c r="F1" s="3374"/>
      <c r="G1" s="3374"/>
      <c r="H1" s="3374"/>
      <c r="I1" s="3374"/>
      <c r="J1" s="3374"/>
      <c r="K1" s="3374"/>
      <c r="L1" s="532"/>
      <c r="M1" s="532"/>
      <c r="N1" s="412" t="s">
        <v>63</v>
      </c>
      <c r="O1" s="3375" t="s">
        <v>155</v>
      </c>
      <c r="P1" s="3375"/>
      <c r="Q1" s="3375"/>
      <c r="R1" s="3375"/>
      <c r="S1" s="3375"/>
      <c r="T1" s="3375"/>
      <c r="U1" s="3375"/>
      <c r="V1" s="340"/>
      <c r="W1" s="533"/>
      <c r="X1" s="533"/>
      <c r="Y1" s="533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</row>
    <row r="2" spans="1:40" ht="21.75" customHeight="1" x14ac:dyDescent="0.25">
      <c r="A2" s="3371" t="s">
        <v>1</v>
      </c>
      <c r="B2" s="3372"/>
      <c r="C2" s="3373" t="s">
        <v>257</v>
      </c>
      <c r="D2" s="3374"/>
      <c r="E2" s="3374"/>
      <c r="F2" s="3374"/>
      <c r="G2" s="3374"/>
      <c r="H2" s="3374"/>
      <c r="I2" s="3374"/>
      <c r="J2" s="3374"/>
      <c r="K2" s="3374"/>
      <c r="L2" s="532"/>
      <c r="M2" s="532"/>
      <c r="N2" s="413" t="s">
        <v>64</v>
      </c>
      <c r="O2" s="3375" t="s">
        <v>232</v>
      </c>
      <c r="P2" s="3375"/>
      <c r="Q2" s="3375"/>
      <c r="R2" s="3375"/>
      <c r="S2" s="3375"/>
      <c r="T2" s="3375"/>
      <c r="U2" s="3375"/>
      <c r="V2" s="340"/>
      <c r="W2" s="533"/>
      <c r="X2" s="533"/>
      <c r="Y2" s="533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</row>
    <row r="3" spans="1:40" ht="21.75" customHeight="1" thickBot="1" x14ac:dyDescent="0.3">
      <c r="A3" s="516"/>
      <c r="B3" s="517" t="s">
        <v>2</v>
      </c>
      <c r="C3" s="3376" t="s">
        <v>139</v>
      </c>
      <c r="D3" s="3377"/>
      <c r="E3" s="3377"/>
      <c r="F3" s="3377"/>
      <c r="G3" s="3377"/>
      <c r="H3" s="3377"/>
      <c r="I3" s="3377"/>
      <c r="J3" s="3377"/>
      <c r="K3" s="3377"/>
      <c r="L3" s="534"/>
      <c r="M3" s="534"/>
      <c r="N3" s="517" t="s">
        <v>65</v>
      </c>
      <c r="O3" s="3378" t="s">
        <v>66</v>
      </c>
      <c r="P3" s="3378"/>
      <c r="Q3" s="3378"/>
      <c r="R3" s="3378"/>
      <c r="S3" s="3378"/>
      <c r="T3" s="3378"/>
      <c r="U3" s="3378"/>
      <c r="V3" s="340"/>
      <c r="W3" s="535"/>
      <c r="X3" s="535"/>
      <c r="Y3" s="535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</row>
    <row r="4" spans="1:40" ht="21.75" customHeight="1" thickBot="1" x14ac:dyDescent="0.3">
      <c r="A4" s="536"/>
      <c r="B4" s="537"/>
      <c r="C4" s="3379" t="s">
        <v>3</v>
      </c>
      <c r="D4" s="3380"/>
      <c r="E4" s="3380"/>
      <c r="F4" s="3380"/>
      <c r="G4" s="3380"/>
      <c r="H4" s="3380"/>
      <c r="I4" s="3380"/>
      <c r="J4" s="3380"/>
      <c r="K4" s="3380"/>
      <c r="L4" s="538"/>
      <c r="M4" s="538"/>
      <c r="N4" s="3381" t="s">
        <v>4</v>
      </c>
      <c r="O4" s="3381"/>
      <c r="P4" s="3381"/>
      <c r="Q4" s="3381"/>
      <c r="R4" s="3381"/>
      <c r="S4" s="3381"/>
      <c r="T4" s="3381"/>
      <c r="U4" s="3381"/>
      <c r="V4" s="471"/>
      <c r="W4" s="471"/>
      <c r="X4" s="471"/>
      <c r="Y4" s="471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</row>
    <row r="5" spans="1:40" ht="21.75" customHeight="1" x14ac:dyDescent="0.25">
      <c r="A5" s="327"/>
      <c r="B5" s="3382" t="s">
        <v>5</v>
      </c>
      <c r="C5" s="3384" t="s">
        <v>6</v>
      </c>
      <c r="D5" s="3385"/>
      <c r="E5" s="3386"/>
      <c r="F5" s="3387" t="s">
        <v>7</v>
      </c>
      <c r="G5" s="3388"/>
      <c r="H5" s="3387" t="s">
        <v>8</v>
      </c>
      <c r="I5" s="3388" t="s">
        <v>9</v>
      </c>
      <c r="J5" s="3391"/>
      <c r="K5" s="3387" t="s">
        <v>236</v>
      </c>
      <c r="L5" s="3393" t="s">
        <v>237</v>
      </c>
      <c r="M5" s="3395" t="s">
        <v>5</v>
      </c>
      <c r="N5" s="3384" t="s">
        <v>6</v>
      </c>
      <c r="O5" s="3385"/>
      <c r="P5" s="3385"/>
      <c r="Q5" s="3387" t="s">
        <v>258</v>
      </c>
      <c r="R5" s="3391"/>
      <c r="S5" s="3387" t="s">
        <v>8</v>
      </c>
      <c r="T5" s="3387" t="s">
        <v>9</v>
      </c>
      <c r="U5" s="3387" t="s">
        <v>236</v>
      </c>
      <c r="V5" s="3393" t="s">
        <v>237</v>
      </c>
      <c r="W5" s="3383" t="s">
        <v>237</v>
      </c>
      <c r="X5" s="3383"/>
      <c r="Y5" s="3383"/>
      <c r="Z5" s="337"/>
      <c r="AA5" s="3383" t="s">
        <v>11</v>
      </c>
      <c r="AB5" s="3383" t="s">
        <v>12</v>
      </c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</row>
    <row r="6" spans="1:40" ht="21.75" customHeight="1" x14ac:dyDescent="0.25">
      <c r="A6" s="429"/>
      <c r="B6" s="3383"/>
      <c r="C6" s="464" t="s">
        <v>13</v>
      </c>
      <c r="D6" s="464" t="s">
        <v>14</v>
      </c>
      <c r="E6" s="464" t="s">
        <v>15</v>
      </c>
      <c r="F6" s="3389"/>
      <c r="G6" s="3390"/>
      <c r="H6" s="3389"/>
      <c r="I6" s="3390"/>
      <c r="J6" s="3392"/>
      <c r="K6" s="3389"/>
      <c r="L6" s="3394"/>
      <c r="M6" s="3105"/>
      <c r="N6" s="464" t="s">
        <v>13</v>
      </c>
      <c r="O6" s="464" t="s">
        <v>14</v>
      </c>
      <c r="P6" s="464" t="s">
        <v>15</v>
      </c>
      <c r="Q6" s="3389"/>
      <c r="R6" s="3392"/>
      <c r="S6" s="3389"/>
      <c r="T6" s="3389"/>
      <c r="U6" s="3389"/>
      <c r="V6" s="3394"/>
      <c r="W6" s="3383"/>
      <c r="X6" s="3383"/>
      <c r="Y6" s="3383"/>
      <c r="Z6" s="337"/>
      <c r="AA6" s="3383"/>
      <c r="AB6" s="3383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</row>
    <row r="7" spans="1:40" ht="21.75" customHeight="1" x14ac:dyDescent="0.25">
      <c r="A7" s="464"/>
      <c r="B7" s="464" t="s">
        <v>19</v>
      </c>
      <c r="C7" s="539" t="s">
        <v>20</v>
      </c>
      <c r="D7" s="539" t="s">
        <v>20</v>
      </c>
      <c r="E7" s="539" t="s">
        <v>21</v>
      </c>
      <c r="F7" s="539" t="s">
        <v>20</v>
      </c>
      <c r="G7" s="539" t="s">
        <v>20</v>
      </c>
      <c r="H7" s="539" t="s">
        <v>20</v>
      </c>
      <c r="I7" s="539" t="s">
        <v>21</v>
      </c>
      <c r="J7" s="539" t="s">
        <v>21</v>
      </c>
      <c r="K7" s="539" t="s">
        <v>21</v>
      </c>
      <c r="L7" s="3394"/>
      <c r="M7" s="464" t="s">
        <v>19</v>
      </c>
      <c r="N7" s="539" t="s">
        <v>23</v>
      </c>
      <c r="O7" s="539" t="s">
        <v>23</v>
      </c>
      <c r="P7" s="539" t="s">
        <v>25</v>
      </c>
      <c r="Q7" s="539" t="s">
        <v>23</v>
      </c>
      <c r="R7" s="539" t="s">
        <v>23</v>
      </c>
      <c r="S7" s="539" t="s">
        <v>23</v>
      </c>
      <c r="T7" s="539" t="s">
        <v>25</v>
      </c>
      <c r="U7" s="539" t="s">
        <v>25</v>
      </c>
      <c r="V7" s="3394"/>
      <c r="W7" s="3105" t="s">
        <v>259</v>
      </c>
      <c r="X7" s="3105" t="s">
        <v>260</v>
      </c>
      <c r="Y7" s="3105" t="s">
        <v>80</v>
      </c>
      <c r="Z7" s="337"/>
      <c r="AA7" s="3383"/>
      <c r="AB7" s="3383"/>
      <c r="AC7" s="337"/>
      <c r="AD7" s="337"/>
      <c r="AE7" s="337"/>
      <c r="AF7" s="337"/>
      <c r="AG7" s="337"/>
      <c r="AH7" s="337"/>
      <c r="AI7" s="337"/>
      <c r="AJ7" s="337"/>
      <c r="AK7" s="337"/>
      <c r="AL7" s="337"/>
      <c r="AM7" s="337"/>
      <c r="AN7" s="337"/>
    </row>
    <row r="8" spans="1:40" ht="21.75" customHeight="1" x14ac:dyDescent="0.25">
      <c r="A8" s="464" t="s">
        <v>18</v>
      </c>
      <c r="B8" s="464" t="s">
        <v>26</v>
      </c>
      <c r="C8" s="539">
        <v>2</v>
      </c>
      <c r="D8" s="539">
        <v>2</v>
      </c>
      <c r="E8" s="539">
        <v>2</v>
      </c>
      <c r="F8" s="539">
        <v>5</v>
      </c>
      <c r="G8" s="539">
        <v>7</v>
      </c>
      <c r="H8" s="539">
        <v>12</v>
      </c>
      <c r="I8" s="539">
        <v>7</v>
      </c>
      <c r="J8" s="539">
        <v>5</v>
      </c>
      <c r="K8" s="539">
        <v>12</v>
      </c>
      <c r="L8" s="3382"/>
      <c r="M8" s="464" t="s">
        <v>26</v>
      </c>
      <c r="N8" s="539">
        <v>2</v>
      </c>
      <c r="O8" s="539">
        <v>2</v>
      </c>
      <c r="P8" s="539">
        <v>2</v>
      </c>
      <c r="Q8" s="539">
        <v>7</v>
      </c>
      <c r="R8" s="539">
        <v>5</v>
      </c>
      <c r="S8" s="539">
        <v>12</v>
      </c>
      <c r="T8" s="539">
        <v>12</v>
      </c>
      <c r="U8" s="539">
        <v>12</v>
      </c>
      <c r="V8" s="3382"/>
      <c r="W8" s="3105"/>
      <c r="X8" s="3105"/>
      <c r="Y8" s="3105"/>
      <c r="Z8" s="337"/>
      <c r="AA8" s="3383"/>
      <c r="AB8" s="3383"/>
      <c r="AC8" s="337"/>
      <c r="AD8" s="337"/>
      <c r="AE8" s="337"/>
      <c r="AF8" s="337"/>
      <c r="AG8" s="337"/>
      <c r="AH8" s="337"/>
      <c r="AI8" s="337"/>
      <c r="AJ8" s="337"/>
      <c r="AK8" s="337"/>
      <c r="AL8" s="337"/>
      <c r="AM8" s="337"/>
      <c r="AN8" s="337"/>
    </row>
    <row r="9" spans="1:40" ht="21.75" customHeight="1" x14ac:dyDescent="0.25">
      <c r="A9" s="429">
        <v>1</v>
      </c>
      <c r="B9" s="540">
        <v>5191421001</v>
      </c>
      <c r="C9" s="541">
        <v>0</v>
      </c>
      <c r="D9" s="541"/>
      <c r="E9" s="541">
        <v>0</v>
      </c>
      <c r="F9" s="541">
        <v>4</v>
      </c>
      <c r="G9" s="541">
        <v>5</v>
      </c>
      <c r="H9" s="541"/>
      <c r="I9" s="541"/>
      <c r="J9" s="541">
        <v>3</v>
      </c>
      <c r="K9" s="541"/>
      <c r="L9" s="542">
        <f t="shared" ref="L9:L40" si="0">SUM(C9:K9)</f>
        <v>12</v>
      </c>
      <c r="M9" s="540">
        <v>5191421001</v>
      </c>
      <c r="N9" s="542">
        <v>1</v>
      </c>
      <c r="O9" s="542"/>
      <c r="P9" s="542">
        <v>2</v>
      </c>
      <c r="Q9" s="539"/>
      <c r="R9" s="543"/>
      <c r="S9" s="543">
        <v>4</v>
      </c>
      <c r="T9" s="539">
        <v>6</v>
      </c>
      <c r="U9" s="539"/>
      <c r="V9" s="542">
        <f t="shared" ref="V9:V40" si="1">SUM(N9:U9)</f>
        <v>13</v>
      </c>
      <c r="W9" s="431">
        <f t="shared" ref="W9:W40" si="2">SUM(C9:K9)</f>
        <v>12</v>
      </c>
      <c r="X9" s="431">
        <f t="shared" ref="X9:X40" si="3">SUM(N9:U9)</f>
        <v>13</v>
      </c>
      <c r="Y9" s="431">
        <f t="shared" ref="Y9:Y66" si="4">AVERAGE(W9,X9)</f>
        <v>12.5</v>
      </c>
      <c r="Z9" s="337"/>
      <c r="AA9" s="544" t="s">
        <v>32</v>
      </c>
      <c r="AB9" s="429">
        <f>IF(AA9="O",100,IF(AA9="A+",90,IF(AA9="A",80,IF(AA9="B+",70,IF(AA9="B",60,IF(AA9="C",55,IF(AA9="P",50,IF(AA9="F",39))))))))</f>
        <v>70</v>
      </c>
      <c r="AC9" s="337"/>
      <c r="AD9" s="337"/>
      <c r="AE9" s="337"/>
      <c r="AF9" s="337"/>
      <c r="AG9" s="337"/>
      <c r="AH9" s="337"/>
      <c r="AI9" s="337"/>
      <c r="AJ9" s="337"/>
      <c r="AK9" s="337"/>
      <c r="AL9" s="337"/>
      <c r="AM9" s="337"/>
      <c r="AN9" s="337"/>
    </row>
    <row r="10" spans="1:40" ht="21.75" customHeight="1" x14ac:dyDescent="0.25">
      <c r="A10" s="429">
        <v>2</v>
      </c>
      <c r="B10" s="540">
        <v>5191421002</v>
      </c>
      <c r="C10" s="541"/>
      <c r="D10" s="541">
        <v>1</v>
      </c>
      <c r="E10" s="541">
        <v>1</v>
      </c>
      <c r="F10" s="541"/>
      <c r="G10" s="541"/>
      <c r="H10" s="541">
        <v>7</v>
      </c>
      <c r="I10" s="541">
        <v>6</v>
      </c>
      <c r="J10" s="541"/>
      <c r="K10" s="541"/>
      <c r="L10" s="542">
        <f t="shared" si="0"/>
        <v>15</v>
      </c>
      <c r="M10" s="540">
        <v>5191421002</v>
      </c>
      <c r="N10" s="542">
        <v>2</v>
      </c>
      <c r="O10" s="542"/>
      <c r="P10" s="542">
        <v>2</v>
      </c>
      <c r="Q10" s="539"/>
      <c r="R10" s="543"/>
      <c r="S10" s="543"/>
      <c r="T10" s="539">
        <v>8</v>
      </c>
      <c r="U10" s="539"/>
      <c r="V10" s="542">
        <f t="shared" si="1"/>
        <v>12</v>
      </c>
      <c r="W10" s="431">
        <f t="shared" si="2"/>
        <v>15</v>
      </c>
      <c r="X10" s="431">
        <f t="shared" si="3"/>
        <v>12</v>
      </c>
      <c r="Y10" s="431">
        <f t="shared" si="4"/>
        <v>13.5</v>
      </c>
      <c r="Z10" s="337"/>
      <c r="AA10" s="544" t="s">
        <v>29</v>
      </c>
      <c r="AB10" s="429">
        <f t="shared" ref="AB10:AB66" si="5">IF(AA10="O",100,IF(AA10="A+",90,IF(AA10="A",80,IF(AA10="B+",70,IF(AA10="B",60,IF(AA10="C",55,IF(AA10="P",50,IF(AA10="F",39))))))))</f>
        <v>39</v>
      </c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</row>
    <row r="11" spans="1:40" ht="21.75" customHeight="1" x14ac:dyDescent="0.25">
      <c r="A11" s="429">
        <v>3</v>
      </c>
      <c r="B11" s="540">
        <v>5191421003</v>
      </c>
      <c r="C11" s="541">
        <v>1</v>
      </c>
      <c r="D11" s="541">
        <v>2</v>
      </c>
      <c r="E11" s="541">
        <v>2</v>
      </c>
      <c r="F11" s="541">
        <v>4</v>
      </c>
      <c r="G11" s="541">
        <v>6</v>
      </c>
      <c r="H11" s="541"/>
      <c r="I11" s="541">
        <v>6</v>
      </c>
      <c r="J11" s="541">
        <v>4</v>
      </c>
      <c r="K11" s="541"/>
      <c r="L11" s="542">
        <f t="shared" si="0"/>
        <v>25</v>
      </c>
      <c r="M11" s="540">
        <v>5191421003</v>
      </c>
      <c r="N11" s="542">
        <v>2</v>
      </c>
      <c r="O11" s="542">
        <v>0</v>
      </c>
      <c r="P11" s="542">
        <v>2</v>
      </c>
      <c r="Q11" s="539"/>
      <c r="R11" s="543"/>
      <c r="S11" s="543">
        <v>10</v>
      </c>
      <c r="T11" s="539">
        <v>10</v>
      </c>
      <c r="U11" s="539"/>
      <c r="V11" s="542">
        <f t="shared" si="1"/>
        <v>24</v>
      </c>
      <c r="W11" s="431">
        <f t="shared" si="2"/>
        <v>25</v>
      </c>
      <c r="X11" s="431">
        <f t="shared" si="3"/>
        <v>24</v>
      </c>
      <c r="Y11" s="431">
        <f t="shared" si="4"/>
        <v>24.5</v>
      </c>
      <c r="Z11" s="337"/>
      <c r="AA11" s="544" t="s">
        <v>32</v>
      </c>
      <c r="AB11" s="429">
        <f t="shared" si="5"/>
        <v>70</v>
      </c>
      <c r="AC11" s="337"/>
      <c r="AD11" s="337"/>
      <c r="AE11" s="337"/>
      <c r="AF11" s="337"/>
      <c r="AG11" s="337"/>
      <c r="AH11" s="337"/>
      <c r="AI11" s="337"/>
      <c r="AJ11" s="337"/>
      <c r="AK11" s="337"/>
      <c r="AL11" s="337"/>
      <c r="AM11" s="337"/>
      <c r="AN11" s="337"/>
    </row>
    <row r="12" spans="1:40" ht="21.75" customHeight="1" x14ac:dyDescent="0.25">
      <c r="A12" s="429">
        <v>4</v>
      </c>
      <c r="B12" s="540">
        <v>5191421004</v>
      </c>
      <c r="C12" s="541"/>
      <c r="D12" s="541"/>
      <c r="E12" s="541">
        <v>1</v>
      </c>
      <c r="F12" s="541">
        <v>3</v>
      </c>
      <c r="G12" s="541">
        <v>0</v>
      </c>
      <c r="H12" s="541"/>
      <c r="I12" s="541">
        <v>3</v>
      </c>
      <c r="J12" s="541">
        <v>3</v>
      </c>
      <c r="K12" s="541"/>
      <c r="L12" s="542">
        <f t="shared" si="0"/>
        <v>10</v>
      </c>
      <c r="M12" s="540">
        <v>5191421004</v>
      </c>
      <c r="N12" s="542">
        <v>0</v>
      </c>
      <c r="O12" s="542">
        <v>0</v>
      </c>
      <c r="P12" s="542"/>
      <c r="Q12" s="539"/>
      <c r="R12" s="543"/>
      <c r="S12" s="543">
        <v>3</v>
      </c>
      <c r="T12" s="539">
        <v>6</v>
      </c>
      <c r="U12" s="539"/>
      <c r="V12" s="542">
        <f t="shared" si="1"/>
        <v>9</v>
      </c>
      <c r="W12" s="431">
        <f t="shared" si="2"/>
        <v>10</v>
      </c>
      <c r="X12" s="431">
        <f t="shared" si="3"/>
        <v>9</v>
      </c>
      <c r="Y12" s="431">
        <f t="shared" si="4"/>
        <v>9.5</v>
      </c>
      <c r="Z12" s="337"/>
      <c r="AA12" s="544" t="s">
        <v>28</v>
      </c>
      <c r="AB12" s="429">
        <f t="shared" si="5"/>
        <v>50</v>
      </c>
      <c r="AC12" s="337"/>
      <c r="AD12" s="337"/>
      <c r="AE12" s="337"/>
      <c r="AF12" s="337"/>
      <c r="AG12" s="337"/>
      <c r="AH12" s="337"/>
      <c r="AI12" s="337"/>
      <c r="AJ12" s="337"/>
      <c r="AK12" s="337"/>
      <c r="AL12" s="337"/>
      <c r="AM12" s="337"/>
      <c r="AN12" s="337"/>
    </row>
    <row r="13" spans="1:40" ht="21.75" customHeight="1" x14ac:dyDescent="0.25">
      <c r="A13" s="429">
        <v>5</v>
      </c>
      <c r="B13" s="540">
        <v>5191421005</v>
      </c>
      <c r="C13" s="541">
        <v>0</v>
      </c>
      <c r="D13" s="541"/>
      <c r="E13" s="541">
        <v>1</v>
      </c>
      <c r="F13" s="541">
        <v>3</v>
      </c>
      <c r="G13" s="541">
        <v>0</v>
      </c>
      <c r="H13" s="541"/>
      <c r="I13" s="541">
        <v>3</v>
      </c>
      <c r="J13" s="541">
        <v>2</v>
      </c>
      <c r="K13" s="541"/>
      <c r="L13" s="542">
        <f t="shared" si="0"/>
        <v>9</v>
      </c>
      <c r="M13" s="540">
        <v>5191421005</v>
      </c>
      <c r="N13" s="542">
        <v>0</v>
      </c>
      <c r="O13" s="542">
        <v>0</v>
      </c>
      <c r="P13" s="542">
        <v>0</v>
      </c>
      <c r="Q13" s="539"/>
      <c r="R13" s="543"/>
      <c r="S13" s="543">
        <v>2</v>
      </c>
      <c r="T13" s="539">
        <v>7</v>
      </c>
      <c r="U13" s="539"/>
      <c r="V13" s="542">
        <f t="shared" si="1"/>
        <v>9</v>
      </c>
      <c r="W13" s="431">
        <f t="shared" si="2"/>
        <v>9</v>
      </c>
      <c r="X13" s="431">
        <f t="shared" si="3"/>
        <v>9</v>
      </c>
      <c r="Y13" s="431">
        <f t="shared" si="4"/>
        <v>9</v>
      </c>
      <c r="Z13" s="337"/>
      <c r="AA13" s="544" t="s">
        <v>27</v>
      </c>
      <c r="AB13" s="429">
        <f t="shared" si="5"/>
        <v>80</v>
      </c>
      <c r="AC13" s="337"/>
      <c r="AD13" s="337"/>
      <c r="AE13" s="337"/>
      <c r="AF13" s="337"/>
      <c r="AG13" s="337"/>
      <c r="AH13" s="337"/>
      <c r="AI13" s="337"/>
      <c r="AJ13" s="337"/>
      <c r="AK13" s="337"/>
      <c r="AL13" s="337"/>
      <c r="AM13" s="337"/>
      <c r="AN13" s="337"/>
    </row>
    <row r="14" spans="1:40" ht="21.75" customHeight="1" x14ac:dyDescent="0.25">
      <c r="A14" s="429">
        <v>6</v>
      </c>
      <c r="B14" s="540">
        <v>5191421006</v>
      </c>
      <c r="C14" s="541">
        <v>1</v>
      </c>
      <c r="D14" s="541">
        <v>2</v>
      </c>
      <c r="E14" s="541">
        <v>1</v>
      </c>
      <c r="F14" s="541">
        <v>4</v>
      </c>
      <c r="G14" s="541">
        <v>6</v>
      </c>
      <c r="H14" s="541"/>
      <c r="I14" s="541">
        <v>6</v>
      </c>
      <c r="J14" s="541">
        <v>2</v>
      </c>
      <c r="K14" s="541"/>
      <c r="L14" s="542">
        <f t="shared" si="0"/>
        <v>22</v>
      </c>
      <c r="M14" s="540">
        <v>5191421006</v>
      </c>
      <c r="N14" s="542">
        <v>1</v>
      </c>
      <c r="O14" s="539"/>
      <c r="P14" s="539">
        <v>2</v>
      </c>
      <c r="Q14" s="539"/>
      <c r="R14" s="543"/>
      <c r="S14" s="543"/>
      <c r="T14" s="539">
        <v>4</v>
      </c>
      <c r="U14" s="539"/>
      <c r="V14" s="542">
        <f t="shared" si="1"/>
        <v>7</v>
      </c>
      <c r="W14" s="431">
        <f t="shared" si="2"/>
        <v>22</v>
      </c>
      <c r="X14" s="431">
        <f t="shared" si="3"/>
        <v>7</v>
      </c>
      <c r="Y14" s="431">
        <f t="shared" si="4"/>
        <v>14.5</v>
      </c>
      <c r="Z14" s="337"/>
      <c r="AA14" s="544" t="s">
        <v>31</v>
      </c>
      <c r="AB14" s="429">
        <f t="shared" si="5"/>
        <v>55</v>
      </c>
      <c r="AC14" s="337"/>
      <c r="AD14" s="337"/>
      <c r="AE14" s="337"/>
      <c r="AF14" s="337"/>
      <c r="AG14" s="337"/>
      <c r="AH14" s="337"/>
      <c r="AI14" s="337"/>
      <c r="AJ14" s="337"/>
      <c r="AK14" s="337"/>
      <c r="AL14" s="337"/>
      <c r="AM14" s="337"/>
      <c r="AN14" s="337"/>
    </row>
    <row r="15" spans="1:40" ht="21.75" customHeight="1" x14ac:dyDescent="0.25">
      <c r="A15" s="429">
        <v>7</v>
      </c>
      <c r="B15" s="540">
        <v>5191421007</v>
      </c>
      <c r="C15" s="541">
        <v>1</v>
      </c>
      <c r="D15" s="541"/>
      <c r="E15" s="541">
        <v>0</v>
      </c>
      <c r="F15" s="541">
        <v>1</v>
      </c>
      <c r="G15" s="541">
        <v>5</v>
      </c>
      <c r="H15" s="541"/>
      <c r="I15" s="541">
        <v>2</v>
      </c>
      <c r="J15" s="541">
        <v>1</v>
      </c>
      <c r="K15" s="541"/>
      <c r="L15" s="542">
        <f t="shared" si="0"/>
        <v>10</v>
      </c>
      <c r="M15" s="545">
        <v>5191421007</v>
      </c>
      <c r="N15" s="546"/>
      <c r="O15" s="546"/>
      <c r="P15" s="546"/>
      <c r="Q15" s="547"/>
      <c r="R15" s="548"/>
      <c r="S15" s="548"/>
      <c r="T15" s="547"/>
      <c r="U15" s="547"/>
      <c r="V15" s="542">
        <f t="shared" si="1"/>
        <v>0</v>
      </c>
      <c r="W15" s="431">
        <f t="shared" si="2"/>
        <v>10</v>
      </c>
      <c r="X15" s="431">
        <f t="shared" si="3"/>
        <v>0</v>
      </c>
      <c r="Y15" s="431">
        <f t="shared" si="4"/>
        <v>5</v>
      </c>
      <c r="Z15" s="337"/>
      <c r="AA15" s="544" t="s">
        <v>32</v>
      </c>
      <c r="AB15" s="429">
        <f t="shared" si="5"/>
        <v>70</v>
      </c>
      <c r="AC15" s="337"/>
      <c r="AD15" s="337"/>
      <c r="AE15" s="337"/>
      <c r="AF15" s="337"/>
      <c r="AG15" s="337"/>
      <c r="AH15" s="337"/>
      <c r="AI15" s="337"/>
      <c r="AJ15" s="337"/>
      <c r="AK15" s="337"/>
      <c r="AL15" s="337"/>
      <c r="AM15" s="337"/>
      <c r="AN15" s="337"/>
    </row>
    <row r="16" spans="1:40" ht="21.75" customHeight="1" x14ac:dyDescent="0.25">
      <c r="A16" s="429">
        <v>8</v>
      </c>
      <c r="B16" s="540">
        <v>5191421008</v>
      </c>
      <c r="C16" s="541">
        <v>1</v>
      </c>
      <c r="D16" s="541"/>
      <c r="E16" s="541">
        <v>1</v>
      </c>
      <c r="F16" s="541">
        <v>3</v>
      </c>
      <c r="G16" s="541"/>
      <c r="H16" s="541"/>
      <c r="I16" s="541"/>
      <c r="J16" s="541"/>
      <c r="K16" s="541">
        <v>4</v>
      </c>
      <c r="L16" s="542">
        <f t="shared" si="0"/>
        <v>9</v>
      </c>
      <c r="M16" s="540">
        <v>5191421008</v>
      </c>
      <c r="N16" s="542">
        <v>2</v>
      </c>
      <c r="O16" s="542"/>
      <c r="P16" s="542"/>
      <c r="Q16" s="539"/>
      <c r="R16" s="549"/>
      <c r="S16" s="543"/>
      <c r="T16" s="539">
        <v>6</v>
      </c>
      <c r="U16" s="539"/>
      <c r="V16" s="542">
        <f t="shared" si="1"/>
        <v>8</v>
      </c>
      <c r="W16" s="431">
        <f t="shared" si="2"/>
        <v>9</v>
      </c>
      <c r="X16" s="431">
        <f t="shared" si="3"/>
        <v>8</v>
      </c>
      <c r="Y16" s="431">
        <f t="shared" si="4"/>
        <v>8.5</v>
      </c>
      <c r="Z16" s="337"/>
      <c r="AA16" s="544" t="s">
        <v>33</v>
      </c>
      <c r="AB16" s="429">
        <f t="shared" si="5"/>
        <v>60</v>
      </c>
      <c r="AC16" s="337"/>
      <c r="AD16" s="337"/>
      <c r="AE16" s="337"/>
      <c r="AF16" s="337"/>
      <c r="AG16" s="337"/>
      <c r="AH16" s="337"/>
      <c r="AI16" s="337"/>
      <c r="AJ16" s="337"/>
      <c r="AK16" s="337"/>
      <c r="AL16" s="337"/>
      <c r="AM16" s="337"/>
      <c r="AN16" s="337"/>
    </row>
    <row r="17" spans="1:40" ht="21.75" customHeight="1" x14ac:dyDescent="0.25">
      <c r="A17" s="429">
        <v>9</v>
      </c>
      <c r="B17" s="540">
        <v>5191421009</v>
      </c>
      <c r="C17" s="541">
        <v>0</v>
      </c>
      <c r="D17" s="541">
        <v>1</v>
      </c>
      <c r="E17" s="541">
        <v>2</v>
      </c>
      <c r="F17" s="541">
        <v>3</v>
      </c>
      <c r="G17" s="541">
        <v>6</v>
      </c>
      <c r="H17" s="541"/>
      <c r="I17" s="541">
        <v>5</v>
      </c>
      <c r="J17" s="541">
        <v>2</v>
      </c>
      <c r="K17" s="541"/>
      <c r="L17" s="542">
        <f t="shared" si="0"/>
        <v>19</v>
      </c>
      <c r="M17" s="540">
        <v>5191421009</v>
      </c>
      <c r="N17" s="542">
        <v>0</v>
      </c>
      <c r="O17" s="542">
        <v>0</v>
      </c>
      <c r="P17" s="542">
        <v>2</v>
      </c>
      <c r="Q17" s="539"/>
      <c r="R17" s="543"/>
      <c r="S17" s="543">
        <v>0</v>
      </c>
      <c r="T17" s="539">
        <v>10</v>
      </c>
      <c r="U17" s="539"/>
      <c r="V17" s="542">
        <f t="shared" si="1"/>
        <v>12</v>
      </c>
      <c r="W17" s="431">
        <f t="shared" si="2"/>
        <v>19</v>
      </c>
      <c r="X17" s="431">
        <f t="shared" si="3"/>
        <v>12</v>
      </c>
      <c r="Y17" s="431">
        <f t="shared" si="4"/>
        <v>15.5</v>
      </c>
      <c r="Z17" s="337"/>
      <c r="AA17" s="544" t="s">
        <v>32</v>
      </c>
      <c r="AB17" s="429">
        <f t="shared" si="5"/>
        <v>70</v>
      </c>
      <c r="AC17" s="337"/>
      <c r="AD17" s="337"/>
      <c r="AE17" s="337"/>
      <c r="AF17" s="337"/>
      <c r="AG17" s="337"/>
      <c r="AH17" s="337"/>
      <c r="AI17" s="337"/>
      <c r="AJ17" s="337"/>
      <c r="AK17" s="337"/>
      <c r="AL17" s="337"/>
      <c r="AM17" s="337"/>
      <c r="AN17" s="337"/>
    </row>
    <row r="18" spans="1:40" ht="21.75" customHeight="1" x14ac:dyDescent="0.25">
      <c r="A18" s="429">
        <v>10</v>
      </c>
      <c r="B18" s="540">
        <v>5191421010</v>
      </c>
      <c r="C18" s="541">
        <v>1</v>
      </c>
      <c r="D18" s="541">
        <v>2</v>
      </c>
      <c r="E18" s="541">
        <v>1</v>
      </c>
      <c r="F18" s="541">
        <v>3</v>
      </c>
      <c r="G18" s="541">
        <v>6</v>
      </c>
      <c r="H18" s="541"/>
      <c r="I18" s="541"/>
      <c r="J18" s="541">
        <v>3</v>
      </c>
      <c r="K18" s="541"/>
      <c r="L18" s="542">
        <f t="shared" si="0"/>
        <v>16</v>
      </c>
      <c r="M18" s="540">
        <v>5191421010</v>
      </c>
      <c r="N18" s="542">
        <v>0</v>
      </c>
      <c r="O18" s="542">
        <v>0</v>
      </c>
      <c r="P18" s="542">
        <v>2</v>
      </c>
      <c r="Q18" s="539"/>
      <c r="R18" s="543"/>
      <c r="S18" s="543">
        <v>1</v>
      </c>
      <c r="T18" s="539">
        <v>10</v>
      </c>
      <c r="U18" s="539"/>
      <c r="V18" s="542">
        <f t="shared" si="1"/>
        <v>13</v>
      </c>
      <c r="W18" s="431">
        <f t="shared" si="2"/>
        <v>16</v>
      </c>
      <c r="X18" s="431">
        <f t="shared" si="3"/>
        <v>13</v>
      </c>
      <c r="Y18" s="431">
        <f t="shared" si="4"/>
        <v>14.5</v>
      </c>
      <c r="Z18" s="337"/>
      <c r="AA18" s="544" t="s">
        <v>32</v>
      </c>
      <c r="AB18" s="429">
        <f t="shared" si="5"/>
        <v>70</v>
      </c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1:40" ht="21.75" customHeight="1" x14ac:dyDescent="0.25">
      <c r="A19" s="429">
        <v>11</v>
      </c>
      <c r="B19" s="540">
        <v>5191421011</v>
      </c>
      <c r="C19" s="550">
        <v>1</v>
      </c>
      <c r="D19" s="550">
        <v>2</v>
      </c>
      <c r="E19" s="550">
        <v>0</v>
      </c>
      <c r="F19" s="550">
        <v>4</v>
      </c>
      <c r="G19" s="550">
        <v>6</v>
      </c>
      <c r="H19" s="550"/>
      <c r="I19" s="550">
        <v>6</v>
      </c>
      <c r="J19" s="550">
        <v>4</v>
      </c>
      <c r="K19" s="550"/>
      <c r="L19" s="542">
        <f t="shared" si="0"/>
        <v>23</v>
      </c>
      <c r="M19" s="540">
        <v>5191421011</v>
      </c>
      <c r="N19" s="551">
        <v>1</v>
      </c>
      <c r="O19" s="551"/>
      <c r="P19" s="551">
        <v>2</v>
      </c>
      <c r="Q19" s="552"/>
      <c r="R19" s="553"/>
      <c r="S19" s="553">
        <v>9</v>
      </c>
      <c r="T19" s="552">
        <v>10</v>
      </c>
      <c r="U19" s="552"/>
      <c r="V19" s="542">
        <f t="shared" si="1"/>
        <v>22</v>
      </c>
      <c r="W19" s="431">
        <f t="shared" si="2"/>
        <v>23</v>
      </c>
      <c r="X19" s="431">
        <f t="shared" si="3"/>
        <v>22</v>
      </c>
      <c r="Y19" s="431">
        <f t="shared" si="4"/>
        <v>22.5</v>
      </c>
      <c r="Z19" s="337"/>
      <c r="AA19" s="544" t="s">
        <v>32</v>
      </c>
      <c r="AB19" s="429">
        <f t="shared" si="5"/>
        <v>70</v>
      </c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</row>
    <row r="20" spans="1:40" ht="21.75" customHeight="1" x14ac:dyDescent="0.25">
      <c r="A20" s="429">
        <v>12</v>
      </c>
      <c r="B20" s="540">
        <v>5191421012</v>
      </c>
      <c r="C20" s="541">
        <v>1</v>
      </c>
      <c r="D20" s="541"/>
      <c r="E20" s="541">
        <v>0</v>
      </c>
      <c r="F20" s="541">
        <v>4</v>
      </c>
      <c r="G20" s="541">
        <v>6</v>
      </c>
      <c r="H20" s="541"/>
      <c r="I20" s="541">
        <v>4</v>
      </c>
      <c r="J20" s="541">
        <v>4</v>
      </c>
      <c r="K20" s="541"/>
      <c r="L20" s="542">
        <f t="shared" si="0"/>
        <v>19</v>
      </c>
      <c r="M20" s="540">
        <v>5191421012</v>
      </c>
      <c r="N20" s="542">
        <v>0</v>
      </c>
      <c r="O20" s="542"/>
      <c r="P20" s="542">
        <v>2</v>
      </c>
      <c r="Q20" s="539"/>
      <c r="R20" s="543"/>
      <c r="S20" s="543">
        <v>3</v>
      </c>
      <c r="T20" s="539">
        <v>7</v>
      </c>
      <c r="U20" s="539"/>
      <c r="V20" s="542">
        <f t="shared" si="1"/>
        <v>12</v>
      </c>
      <c r="W20" s="431">
        <f t="shared" si="2"/>
        <v>19</v>
      </c>
      <c r="X20" s="431">
        <f t="shared" si="3"/>
        <v>12</v>
      </c>
      <c r="Y20" s="431">
        <f t="shared" si="4"/>
        <v>15.5</v>
      </c>
      <c r="Z20" s="337"/>
      <c r="AA20" s="544" t="s">
        <v>33</v>
      </c>
      <c r="AB20" s="429">
        <f t="shared" si="5"/>
        <v>60</v>
      </c>
      <c r="AC20" s="337"/>
      <c r="AD20" s="337"/>
      <c r="AE20" s="337"/>
      <c r="AF20" s="337"/>
      <c r="AG20" s="337"/>
      <c r="AH20" s="337"/>
      <c r="AI20" s="337"/>
      <c r="AJ20" s="337"/>
      <c r="AK20" s="337"/>
      <c r="AL20" s="337"/>
      <c r="AM20" s="337"/>
      <c r="AN20" s="337"/>
    </row>
    <row r="21" spans="1:40" ht="21.75" customHeight="1" x14ac:dyDescent="0.25">
      <c r="A21" s="429">
        <v>13</v>
      </c>
      <c r="B21" s="540">
        <v>5191421013</v>
      </c>
      <c r="C21" s="541">
        <v>2</v>
      </c>
      <c r="D21" s="541"/>
      <c r="E21" s="541">
        <v>0</v>
      </c>
      <c r="F21" s="541">
        <v>4</v>
      </c>
      <c r="G21" s="541">
        <v>6</v>
      </c>
      <c r="H21" s="541"/>
      <c r="I21" s="541"/>
      <c r="J21" s="541"/>
      <c r="K21" s="541">
        <v>9</v>
      </c>
      <c r="L21" s="542">
        <f t="shared" si="0"/>
        <v>21</v>
      </c>
      <c r="M21" s="540">
        <v>5191421013</v>
      </c>
      <c r="N21" s="542">
        <v>2</v>
      </c>
      <c r="O21" s="542">
        <v>2</v>
      </c>
      <c r="P21" s="542">
        <v>2</v>
      </c>
      <c r="Q21" s="554"/>
      <c r="R21" s="543"/>
      <c r="S21" s="543">
        <v>0</v>
      </c>
      <c r="T21" s="539">
        <v>10</v>
      </c>
      <c r="U21" s="539"/>
      <c r="V21" s="542">
        <f t="shared" si="1"/>
        <v>16</v>
      </c>
      <c r="W21" s="431">
        <f t="shared" si="2"/>
        <v>21</v>
      </c>
      <c r="X21" s="431">
        <f t="shared" si="3"/>
        <v>16</v>
      </c>
      <c r="Y21" s="431">
        <f t="shared" si="4"/>
        <v>18.5</v>
      </c>
      <c r="Z21" s="337"/>
      <c r="AA21" s="544" t="s">
        <v>27</v>
      </c>
      <c r="AB21" s="429">
        <f t="shared" si="5"/>
        <v>80</v>
      </c>
      <c r="AC21" s="337"/>
      <c r="AD21" s="337"/>
      <c r="AE21" s="337"/>
      <c r="AF21" s="337"/>
      <c r="AG21" s="337"/>
      <c r="AH21" s="337"/>
      <c r="AI21" s="337"/>
      <c r="AJ21" s="337"/>
      <c r="AK21" s="337"/>
      <c r="AL21" s="337"/>
      <c r="AM21" s="337"/>
      <c r="AN21" s="337"/>
    </row>
    <row r="22" spans="1:40" ht="21.75" customHeight="1" x14ac:dyDescent="0.25">
      <c r="A22" s="429">
        <v>14</v>
      </c>
      <c r="B22" s="540">
        <v>5191421014</v>
      </c>
      <c r="C22" s="541"/>
      <c r="D22" s="541"/>
      <c r="E22" s="541">
        <v>2</v>
      </c>
      <c r="F22" s="541">
        <v>4</v>
      </c>
      <c r="G22" s="541"/>
      <c r="H22" s="541"/>
      <c r="I22" s="541"/>
      <c r="J22" s="541">
        <v>4</v>
      </c>
      <c r="K22" s="541"/>
      <c r="L22" s="542">
        <f t="shared" si="0"/>
        <v>10</v>
      </c>
      <c r="M22" s="540">
        <v>5191421014</v>
      </c>
      <c r="N22" s="542"/>
      <c r="O22" s="542"/>
      <c r="P22" s="542">
        <v>0</v>
      </c>
      <c r="Q22" s="539"/>
      <c r="R22" s="539"/>
      <c r="S22" s="539">
        <v>3</v>
      </c>
      <c r="T22" s="539">
        <v>6</v>
      </c>
      <c r="U22" s="539"/>
      <c r="V22" s="542">
        <f t="shared" si="1"/>
        <v>9</v>
      </c>
      <c r="W22" s="431">
        <f t="shared" si="2"/>
        <v>10</v>
      </c>
      <c r="X22" s="431">
        <f t="shared" si="3"/>
        <v>9</v>
      </c>
      <c r="Y22" s="431">
        <f t="shared" si="4"/>
        <v>9.5</v>
      </c>
      <c r="Z22" s="337"/>
      <c r="AA22" s="544" t="s">
        <v>33</v>
      </c>
      <c r="AB22" s="429">
        <f t="shared" si="5"/>
        <v>60</v>
      </c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1:40" ht="21.75" customHeight="1" x14ac:dyDescent="0.25">
      <c r="A23" s="429">
        <v>15</v>
      </c>
      <c r="B23" s="540">
        <v>5191421015</v>
      </c>
      <c r="C23" s="541">
        <v>0</v>
      </c>
      <c r="D23" s="541"/>
      <c r="E23" s="541">
        <v>0</v>
      </c>
      <c r="F23" s="541"/>
      <c r="G23" s="541"/>
      <c r="H23" s="541">
        <v>4</v>
      </c>
      <c r="I23" s="541"/>
      <c r="J23" s="541">
        <v>3</v>
      </c>
      <c r="K23" s="541">
        <v>5</v>
      </c>
      <c r="L23" s="542">
        <f t="shared" si="0"/>
        <v>12</v>
      </c>
      <c r="M23" s="540">
        <v>5191421015</v>
      </c>
      <c r="N23" s="542"/>
      <c r="O23" s="542"/>
      <c r="P23" s="542">
        <v>0</v>
      </c>
      <c r="Q23" s="539"/>
      <c r="R23" s="543">
        <v>0</v>
      </c>
      <c r="S23" s="543">
        <v>3</v>
      </c>
      <c r="T23" s="539">
        <v>7</v>
      </c>
      <c r="U23" s="539"/>
      <c r="V23" s="542">
        <f t="shared" si="1"/>
        <v>10</v>
      </c>
      <c r="W23" s="431">
        <f t="shared" si="2"/>
        <v>12</v>
      </c>
      <c r="X23" s="431">
        <f t="shared" si="3"/>
        <v>10</v>
      </c>
      <c r="Y23" s="431">
        <f t="shared" si="4"/>
        <v>11</v>
      </c>
      <c r="Z23" s="337"/>
      <c r="AA23" s="544" t="s">
        <v>32</v>
      </c>
      <c r="AB23" s="429">
        <f t="shared" si="5"/>
        <v>70</v>
      </c>
      <c r="AC23" s="337"/>
      <c r="AD23" s="337"/>
      <c r="AE23" s="337"/>
      <c r="AF23" s="337"/>
      <c r="AG23" s="337"/>
      <c r="AH23" s="337"/>
      <c r="AI23" s="337"/>
      <c r="AJ23" s="337"/>
      <c r="AK23" s="337"/>
      <c r="AL23" s="337"/>
      <c r="AM23" s="337"/>
      <c r="AN23" s="337"/>
    </row>
    <row r="24" spans="1:40" ht="21.75" customHeight="1" x14ac:dyDescent="0.25">
      <c r="A24" s="429">
        <v>16</v>
      </c>
      <c r="B24" s="540">
        <v>5191421016</v>
      </c>
      <c r="C24" s="541">
        <v>1</v>
      </c>
      <c r="D24" s="541"/>
      <c r="E24" s="541">
        <v>1</v>
      </c>
      <c r="F24" s="541">
        <v>4</v>
      </c>
      <c r="G24" s="541">
        <v>3</v>
      </c>
      <c r="H24" s="541"/>
      <c r="I24" s="541"/>
      <c r="J24" s="541">
        <v>4</v>
      </c>
      <c r="K24" s="541"/>
      <c r="L24" s="542">
        <f t="shared" si="0"/>
        <v>13</v>
      </c>
      <c r="M24" s="540">
        <v>5191421016</v>
      </c>
      <c r="N24" s="542"/>
      <c r="O24" s="542"/>
      <c r="P24" s="542"/>
      <c r="Q24" s="539">
        <v>0</v>
      </c>
      <c r="R24" s="543"/>
      <c r="S24" s="543">
        <v>3</v>
      </c>
      <c r="T24" s="539">
        <v>6</v>
      </c>
      <c r="U24" s="539"/>
      <c r="V24" s="542">
        <f t="shared" si="1"/>
        <v>9</v>
      </c>
      <c r="W24" s="431">
        <f t="shared" si="2"/>
        <v>13</v>
      </c>
      <c r="X24" s="431">
        <f t="shared" si="3"/>
        <v>9</v>
      </c>
      <c r="Y24" s="431">
        <f t="shared" si="4"/>
        <v>11</v>
      </c>
      <c r="Z24" s="337"/>
      <c r="AA24" s="544" t="s">
        <v>31</v>
      </c>
      <c r="AB24" s="429">
        <f t="shared" si="5"/>
        <v>55</v>
      </c>
      <c r="AC24" s="337"/>
      <c r="AD24" s="337"/>
      <c r="AE24" s="337"/>
      <c r="AF24" s="337"/>
      <c r="AG24" s="337"/>
      <c r="AH24" s="337"/>
      <c r="AI24" s="337"/>
      <c r="AJ24" s="337"/>
      <c r="AK24" s="337"/>
      <c r="AL24" s="337"/>
      <c r="AM24" s="337"/>
      <c r="AN24" s="337"/>
    </row>
    <row r="25" spans="1:40" ht="21.75" customHeight="1" x14ac:dyDescent="0.25">
      <c r="A25" s="429">
        <v>17</v>
      </c>
      <c r="B25" s="540">
        <v>5191421017</v>
      </c>
      <c r="C25" s="541">
        <v>1</v>
      </c>
      <c r="D25" s="541">
        <v>2</v>
      </c>
      <c r="E25" s="541">
        <v>1</v>
      </c>
      <c r="F25" s="541">
        <v>3</v>
      </c>
      <c r="G25" s="541">
        <v>5</v>
      </c>
      <c r="H25" s="541"/>
      <c r="I25" s="541">
        <v>3</v>
      </c>
      <c r="J25" s="541">
        <v>4</v>
      </c>
      <c r="K25" s="541"/>
      <c r="L25" s="542">
        <f t="shared" si="0"/>
        <v>19</v>
      </c>
      <c r="M25" s="540">
        <v>5191421017</v>
      </c>
      <c r="N25" s="542">
        <v>2</v>
      </c>
      <c r="O25" s="542">
        <v>0</v>
      </c>
      <c r="P25" s="542">
        <v>1</v>
      </c>
      <c r="Q25" s="539"/>
      <c r="R25" s="543"/>
      <c r="S25" s="543"/>
      <c r="T25" s="539">
        <v>10</v>
      </c>
      <c r="U25" s="539"/>
      <c r="V25" s="542">
        <f t="shared" si="1"/>
        <v>13</v>
      </c>
      <c r="W25" s="431">
        <f t="shared" si="2"/>
        <v>19</v>
      </c>
      <c r="X25" s="431">
        <f t="shared" si="3"/>
        <v>13</v>
      </c>
      <c r="Y25" s="431">
        <f t="shared" si="4"/>
        <v>16</v>
      </c>
      <c r="Z25" s="337"/>
      <c r="AA25" s="544" t="s">
        <v>27</v>
      </c>
      <c r="AB25" s="429">
        <f t="shared" si="5"/>
        <v>80</v>
      </c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</row>
    <row r="26" spans="1:40" ht="21.75" customHeight="1" x14ac:dyDescent="0.25">
      <c r="A26" s="429">
        <v>18</v>
      </c>
      <c r="B26" s="540">
        <v>5191421018</v>
      </c>
      <c r="C26" s="541">
        <v>1</v>
      </c>
      <c r="D26" s="541"/>
      <c r="E26" s="541"/>
      <c r="F26" s="541">
        <v>2</v>
      </c>
      <c r="G26" s="541"/>
      <c r="H26" s="541">
        <v>1</v>
      </c>
      <c r="I26" s="541"/>
      <c r="J26" s="541"/>
      <c r="K26" s="541"/>
      <c r="L26" s="542">
        <f t="shared" si="0"/>
        <v>4</v>
      </c>
      <c r="M26" s="540">
        <v>5191421018</v>
      </c>
      <c r="N26" s="542"/>
      <c r="O26" s="542"/>
      <c r="P26" s="542"/>
      <c r="Q26" s="539"/>
      <c r="R26" s="543"/>
      <c r="S26" s="543">
        <v>0</v>
      </c>
      <c r="T26" s="539"/>
      <c r="U26" s="539"/>
      <c r="V26" s="542">
        <f t="shared" si="1"/>
        <v>0</v>
      </c>
      <c r="W26" s="431">
        <f t="shared" si="2"/>
        <v>4</v>
      </c>
      <c r="X26" s="431">
        <f t="shared" si="3"/>
        <v>0</v>
      </c>
      <c r="Y26" s="431">
        <f t="shared" si="4"/>
        <v>2</v>
      </c>
      <c r="Z26" s="337"/>
      <c r="AA26" s="544" t="s">
        <v>31</v>
      </c>
      <c r="AB26" s="429">
        <f t="shared" si="5"/>
        <v>55</v>
      </c>
      <c r="AC26" s="337"/>
      <c r="AD26" s="337"/>
      <c r="AE26" s="337"/>
      <c r="AF26" s="337"/>
      <c r="AG26" s="337"/>
      <c r="AH26" s="337"/>
      <c r="AI26" s="337"/>
      <c r="AJ26" s="337"/>
      <c r="AK26" s="337"/>
      <c r="AL26" s="337"/>
      <c r="AM26" s="337"/>
      <c r="AN26" s="337"/>
    </row>
    <row r="27" spans="1:40" ht="21.75" customHeight="1" x14ac:dyDescent="0.25">
      <c r="A27" s="429">
        <v>19</v>
      </c>
      <c r="B27" s="540">
        <v>5191421019</v>
      </c>
      <c r="C27" s="541">
        <v>2</v>
      </c>
      <c r="D27" s="541"/>
      <c r="E27" s="541">
        <v>2</v>
      </c>
      <c r="F27" s="541">
        <v>4</v>
      </c>
      <c r="G27" s="541">
        <v>2</v>
      </c>
      <c r="H27" s="541"/>
      <c r="I27" s="541">
        <v>4</v>
      </c>
      <c r="J27" s="541">
        <v>4</v>
      </c>
      <c r="K27" s="541"/>
      <c r="L27" s="542">
        <f t="shared" si="0"/>
        <v>18</v>
      </c>
      <c r="M27" s="540">
        <v>5191421019</v>
      </c>
      <c r="N27" s="542">
        <v>2</v>
      </c>
      <c r="O27" s="539">
        <v>2</v>
      </c>
      <c r="P27" s="539">
        <v>2</v>
      </c>
      <c r="Q27" s="539"/>
      <c r="R27" s="543"/>
      <c r="S27" s="543">
        <v>7</v>
      </c>
      <c r="T27" s="539">
        <v>10</v>
      </c>
      <c r="U27" s="539"/>
      <c r="V27" s="542">
        <f t="shared" si="1"/>
        <v>23</v>
      </c>
      <c r="W27" s="431">
        <f t="shared" si="2"/>
        <v>18</v>
      </c>
      <c r="X27" s="431">
        <f t="shared" si="3"/>
        <v>23</v>
      </c>
      <c r="Y27" s="431">
        <f t="shared" si="4"/>
        <v>20.5</v>
      </c>
      <c r="Z27" s="337"/>
      <c r="AA27" s="544" t="s">
        <v>30</v>
      </c>
      <c r="AB27" s="429">
        <f t="shared" si="5"/>
        <v>90</v>
      </c>
      <c r="AC27" s="337"/>
      <c r="AD27" s="337"/>
      <c r="AE27" s="337"/>
      <c r="AF27" s="337"/>
      <c r="AG27" s="337"/>
      <c r="AH27" s="337"/>
      <c r="AI27" s="337"/>
      <c r="AJ27" s="337"/>
      <c r="AK27" s="337"/>
      <c r="AL27" s="337"/>
      <c r="AM27" s="337"/>
      <c r="AN27" s="337"/>
    </row>
    <row r="28" spans="1:40" ht="21.75" customHeight="1" x14ac:dyDescent="0.25">
      <c r="A28" s="429">
        <v>20</v>
      </c>
      <c r="B28" s="540">
        <v>5191421020</v>
      </c>
      <c r="C28" s="541">
        <v>1</v>
      </c>
      <c r="D28" s="541">
        <v>2</v>
      </c>
      <c r="E28" s="541">
        <v>1</v>
      </c>
      <c r="F28" s="541">
        <v>4</v>
      </c>
      <c r="G28" s="541">
        <v>5</v>
      </c>
      <c r="H28" s="541"/>
      <c r="I28" s="541"/>
      <c r="J28" s="541">
        <v>4</v>
      </c>
      <c r="K28" s="541"/>
      <c r="L28" s="542">
        <f t="shared" si="0"/>
        <v>17</v>
      </c>
      <c r="M28" s="540">
        <v>5191421020</v>
      </c>
      <c r="N28" s="542">
        <v>1</v>
      </c>
      <c r="O28" s="539">
        <v>2</v>
      </c>
      <c r="P28" s="539">
        <v>2</v>
      </c>
      <c r="Q28" s="539"/>
      <c r="R28" s="543"/>
      <c r="S28" s="543">
        <v>6</v>
      </c>
      <c r="T28" s="539">
        <v>10</v>
      </c>
      <c r="U28" s="539"/>
      <c r="V28" s="542">
        <f t="shared" si="1"/>
        <v>21</v>
      </c>
      <c r="W28" s="431">
        <f t="shared" si="2"/>
        <v>17</v>
      </c>
      <c r="X28" s="431">
        <f t="shared" si="3"/>
        <v>21</v>
      </c>
      <c r="Y28" s="431">
        <f t="shared" si="4"/>
        <v>19</v>
      </c>
      <c r="Z28" s="337"/>
      <c r="AA28" s="544" t="s">
        <v>27</v>
      </c>
      <c r="AB28" s="429">
        <f t="shared" si="5"/>
        <v>80</v>
      </c>
      <c r="AC28" s="337"/>
      <c r="AD28" s="337"/>
      <c r="AE28" s="337"/>
      <c r="AF28" s="337"/>
      <c r="AG28" s="337"/>
      <c r="AH28" s="337"/>
      <c r="AI28" s="337"/>
      <c r="AJ28" s="337"/>
      <c r="AK28" s="337"/>
      <c r="AL28" s="337"/>
      <c r="AM28" s="337"/>
      <c r="AN28" s="337"/>
    </row>
    <row r="29" spans="1:40" ht="21.75" customHeight="1" x14ac:dyDescent="0.25">
      <c r="A29" s="429">
        <v>21</v>
      </c>
      <c r="B29" s="540">
        <v>5191421021</v>
      </c>
      <c r="C29" s="541">
        <v>0</v>
      </c>
      <c r="D29" s="541">
        <v>0</v>
      </c>
      <c r="E29" s="555">
        <v>0</v>
      </c>
      <c r="F29" s="541">
        <v>4</v>
      </c>
      <c r="G29" s="541">
        <v>6</v>
      </c>
      <c r="H29" s="541"/>
      <c r="I29" s="541"/>
      <c r="J29" s="541"/>
      <c r="K29" s="541"/>
      <c r="L29" s="542">
        <f t="shared" si="0"/>
        <v>10</v>
      </c>
      <c r="M29" s="540">
        <v>5191421021</v>
      </c>
      <c r="N29" s="542">
        <v>0</v>
      </c>
      <c r="O29" s="539">
        <v>2</v>
      </c>
      <c r="P29" s="539">
        <v>2</v>
      </c>
      <c r="Q29" s="539"/>
      <c r="R29" s="543"/>
      <c r="S29" s="543">
        <v>9</v>
      </c>
      <c r="T29" s="539">
        <v>10</v>
      </c>
      <c r="U29" s="539"/>
      <c r="V29" s="542">
        <f t="shared" si="1"/>
        <v>23</v>
      </c>
      <c r="W29" s="431">
        <f t="shared" si="2"/>
        <v>10</v>
      </c>
      <c r="X29" s="431">
        <f t="shared" si="3"/>
        <v>23</v>
      </c>
      <c r="Y29" s="431">
        <f t="shared" si="4"/>
        <v>16.5</v>
      </c>
      <c r="Z29" s="337"/>
      <c r="AA29" s="544" t="s">
        <v>33</v>
      </c>
      <c r="AB29" s="429">
        <f t="shared" si="5"/>
        <v>60</v>
      </c>
      <c r="AC29" s="337"/>
      <c r="AD29" s="337"/>
      <c r="AE29" s="337"/>
      <c r="AF29" s="337"/>
      <c r="AG29" s="337"/>
      <c r="AH29" s="337"/>
      <c r="AI29" s="337"/>
      <c r="AJ29" s="337"/>
      <c r="AK29" s="337"/>
      <c r="AL29" s="337"/>
      <c r="AM29" s="337"/>
      <c r="AN29" s="337"/>
    </row>
    <row r="30" spans="1:40" ht="21.75" customHeight="1" x14ac:dyDescent="0.25">
      <c r="A30" s="429">
        <v>22</v>
      </c>
      <c r="B30" s="556">
        <v>5191421022</v>
      </c>
      <c r="C30" s="557"/>
      <c r="D30" s="557"/>
      <c r="E30" s="557"/>
      <c r="F30" s="557"/>
      <c r="G30" s="557"/>
      <c r="H30" s="557"/>
      <c r="I30" s="557"/>
      <c r="J30" s="557"/>
      <c r="K30" s="557"/>
      <c r="L30" s="558">
        <f t="shared" si="0"/>
        <v>0</v>
      </c>
      <c r="M30" s="540">
        <v>5191421022</v>
      </c>
      <c r="N30" s="542">
        <v>0</v>
      </c>
      <c r="O30" s="539">
        <v>0</v>
      </c>
      <c r="P30" s="539">
        <v>1</v>
      </c>
      <c r="Q30" s="539"/>
      <c r="R30" s="543"/>
      <c r="S30" s="543">
        <v>2</v>
      </c>
      <c r="T30" s="539">
        <v>2</v>
      </c>
      <c r="U30" s="539"/>
      <c r="V30" s="542">
        <f t="shared" si="1"/>
        <v>5</v>
      </c>
      <c r="W30" s="431">
        <f t="shared" si="2"/>
        <v>0</v>
      </c>
      <c r="X30" s="431">
        <f t="shared" si="3"/>
        <v>5</v>
      </c>
      <c r="Y30" s="431">
        <f t="shared" si="4"/>
        <v>2.5</v>
      </c>
      <c r="Z30" s="337"/>
      <c r="AA30" s="544" t="s">
        <v>31</v>
      </c>
      <c r="AB30" s="429">
        <f t="shared" si="5"/>
        <v>55</v>
      </c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1:40" ht="21.75" customHeight="1" x14ac:dyDescent="0.25">
      <c r="A31" s="429">
        <v>23</v>
      </c>
      <c r="B31" s="540">
        <v>5191421023</v>
      </c>
      <c r="C31" s="541">
        <v>2</v>
      </c>
      <c r="D31" s="541"/>
      <c r="E31" s="541"/>
      <c r="F31" s="541">
        <v>3</v>
      </c>
      <c r="G31" s="541"/>
      <c r="H31" s="541"/>
      <c r="I31" s="541">
        <v>4</v>
      </c>
      <c r="J31" s="559">
        <v>4</v>
      </c>
      <c r="K31" s="541"/>
      <c r="L31" s="542">
        <f t="shared" si="0"/>
        <v>13</v>
      </c>
      <c r="M31" s="540">
        <v>5191421023</v>
      </c>
      <c r="N31" s="542"/>
      <c r="O31" s="539"/>
      <c r="P31" s="539">
        <v>1</v>
      </c>
      <c r="Q31" s="539"/>
      <c r="R31" s="543"/>
      <c r="S31" s="543">
        <v>3</v>
      </c>
      <c r="T31" s="539">
        <v>6</v>
      </c>
      <c r="U31" s="539"/>
      <c r="V31" s="542">
        <f t="shared" si="1"/>
        <v>10</v>
      </c>
      <c r="W31" s="431">
        <f t="shared" si="2"/>
        <v>13</v>
      </c>
      <c r="X31" s="431">
        <f t="shared" si="3"/>
        <v>10</v>
      </c>
      <c r="Y31" s="431">
        <f t="shared" si="4"/>
        <v>11.5</v>
      </c>
      <c r="Z31" s="337"/>
      <c r="AA31" s="544" t="s">
        <v>31</v>
      </c>
      <c r="AB31" s="429">
        <f t="shared" si="5"/>
        <v>55</v>
      </c>
      <c r="AC31" s="337"/>
      <c r="AD31" s="337"/>
      <c r="AE31" s="337"/>
      <c r="AF31" s="337"/>
      <c r="AG31" s="337"/>
      <c r="AH31" s="337"/>
      <c r="AI31" s="337"/>
      <c r="AJ31" s="337"/>
      <c r="AK31" s="337"/>
      <c r="AL31" s="337"/>
      <c r="AM31" s="337"/>
      <c r="AN31" s="337"/>
    </row>
    <row r="32" spans="1:40" ht="21.75" customHeight="1" x14ac:dyDescent="0.25">
      <c r="A32" s="429">
        <v>24</v>
      </c>
      <c r="B32" s="540">
        <v>5191421024</v>
      </c>
      <c r="C32" s="541">
        <v>1</v>
      </c>
      <c r="D32" s="541"/>
      <c r="E32" s="541">
        <v>2</v>
      </c>
      <c r="F32" s="541">
        <v>4</v>
      </c>
      <c r="G32" s="541">
        <v>0</v>
      </c>
      <c r="H32" s="541"/>
      <c r="I32" s="541"/>
      <c r="J32" s="541"/>
      <c r="K32" s="541">
        <v>5</v>
      </c>
      <c r="L32" s="542">
        <f t="shared" si="0"/>
        <v>12</v>
      </c>
      <c r="M32" s="540">
        <v>5191421024</v>
      </c>
      <c r="N32" s="542">
        <v>0</v>
      </c>
      <c r="O32" s="539">
        <v>0</v>
      </c>
      <c r="P32" s="539">
        <v>0</v>
      </c>
      <c r="Q32" s="539"/>
      <c r="R32" s="543"/>
      <c r="S32" s="543">
        <v>3</v>
      </c>
      <c r="T32" s="539">
        <v>6</v>
      </c>
      <c r="U32" s="539"/>
      <c r="V32" s="542">
        <f t="shared" si="1"/>
        <v>9</v>
      </c>
      <c r="W32" s="431">
        <f t="shared" si="2"/>
        <v>12</v>
      </c>
      <c r="X32" s="431">
        <f t="shared" si="3"/>
        <v>9</v>
      </c>
      <c r="Y32" s="431">
        <f t="shared" si="4"/>
        <v>10.5</v>
      </c>
      <c r="Z32" s="337"/>
      <c r="AA32" s="544" t="s">
        <v>31</v>
      </c>
      <c r="AB32" s="429">
        <f t="shared" si="5"/>
        <v>55</v>
      </c>
      <c r="AC32" s="337"/>
      <c r="AD32" s="337"/>
      <c r="AE32" s="337"/>
      <c r="AF32" s="337"/>
      <c r="AG32" s="337"/>
      <c r="AH32" s="337"/>
      <c r="AI32" s="337"/>
      <c r="AJ32" s="337"/>
      <c r="AK32" s="337"/>
      <c r="AL32" s="337"/>
      <c r="AM32" s="337"/>
      <c r="AN32" s="337"/>
    </row>
    <row r="33" spans="1:40" ht="21.75" customHeight="1" x14ac:dyDescent="0.25">
      <c r="A33" s="429">
        <v>25</v>
      </c>
      <c r="B33" s="540">
        <v>5191421025</v>
      </c>
      <c r="C33" s="541">
        <v>1</v>
      </c>
      <c r="D33" s="541">
        <v>2</v>
      </c>
      <c r="E33" s="541">
        <v>2</v>
      </c>
      <c r="F33" s="541"/>
      <c r="G33" s="541"/>
      <c r="H33" s="541">
        <v>9</v>
      </c>
      <c r="I33" s="541"/>
      <c r="J33" s="541"/>
      <c r="K33" s="541">
        <v>9</v>
      </c>
      <c r="L33" s="542">
        <f t="shared" si="0"/>
        <v>23</v>
      </c>
      <c r="M33" s="540">
        <v>5191421025</v>
      </c>
      <c r="N33" s="542">
        <v>2</v>
      </c>
      <c r="O33" s="539">
        <v>0</v>
      </c>
      <c r="P33" s="539">
        <v>1</v>
      </c>
      <c r="Q33" s="539"/>
      <c r="R33" s="543"/>
      <c r="S33" s="543">
        <v>7</v>
      </c>
      <c r="T33" s="539">
        <v>8</v>
      </c>
      <c r="U33" s="539"/>
      <c r="V33" s="542">
        <f t="shared" si="1"/>
        <v>18</v>
      </c>
      <c r="W33" s="431">
        <f t="shared" si="2"/>
        <v>23</v>
      </c>
      <c r="X33" s="431">
        <f t="shared" si="3"/>
        <v>18</v>
      </c>
      <c r="Y33" s="431">
        <f t="shared" si="4"/>
        <v>20.5</v>
      </c>
      <c r="Z33" s="337"/>
      <c r="AA33" s="544" t="s">
        <v>30</v>
      </c>
      <c r="AB33" s="429">
        <f t="shared" si="5"/>
        <v>90</v>
      </c>
      <c r="AC33" s="337"/>
      <c r="AD33" s="337"/>
      <c r="AE33" s="337"/>
      <c r="AF33" s="337"/>
      <c r="AG33" s="337"/>
      <c r="AH33" s="337"/>
      <c r="AI33" s="337"/>
      <c r="AJ33" s="337"/>
      <c r="AK33" s="337"/>
      <c r="AL33" s="337"/>
      <c r="AM33" s="337"/>
      <c r="AN33" s="337"/>
    </row>
    <row r="34" spans="1:40" ht="21.75" customHeight="1" x14ac:dyDescent="0.25">
      <c r="A34" s="429">
        <v>26</v>
      </c>
      <c r="B34" s="540">
        <v>5191421026</v>
      </c>
      <c r="C34" s="541">
        <v>2</v>
      </c>
      <c r="D34" s="541">
        <v>0</v>
      </c>
      <c r="E34" s="541">
        <v>2</v>
      </c>
      <c r="F34" s="541">
        <v>4</v>
      </c>
      <c r="G34" s="541">
        <v>4</v>
      </c>
      <c r="H34" s="541"/>
      <c r="I34" s="541"/>
      <c r="J34" s="541"/>
      <c r="K34" s="541">
        <v>3</v>
      </c>
      <c r="L34" s="542">
        <f t="shared" si="0"/>
        <v>15</v>
      </c>
      <c r="M34" s="540">
        <v>5191421026</v>
      </c>
      <c r="N34" s="542">
        <v>2</v>
      </c>
      <c r="O34" s="539">
        <v>0</v>
      </c>
      <c r="P34" s="539">
        <v>1</v>
      </c>
      <c r="Q34" s="539"/>
      <c r="R34" s="543"/>
      <c r="S34" s="543">
        <v>0</v>
      </c>
      <c r="T34" s="539">
        <v>9</v>
      </c>
      <c r="U34" s="539"/>
      <c r="V34" s="542">
        <f t="shared" si="1"/>
        <v>12</v>
      </c>
      <c r="W34" s="431">
        <f t="shared" si="2"/>
        <v>15</v>
      </c>
      <c r="X34" s="431">
        <f t="shared" si="3"/>
        <v>12</v>
      </c>
      <c r="Y34" s="431">
        <f t="shared" si="4"/>
        <v>13.5</v>
      </c>
      <c r="Z34" s="337"/>
      <c r="AA34" s="544" t="s">
        <v>31</v>
      </c>
      <c r="AB34" s="429">
        <f t="shared" si="5"/>
        <v>55</v>
      </c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1:40" ht="21.75" customHeight="1" x14ac:dyDescent="0.25">
      <c r="A35" s="429">
        <v>27</v>
      </c>
      <c r="B35" s="540">
        <v>5191421027</v>
      </c>
      <c r="C35" s="541">
        <v>0</v>
      </c>
      <c r="D35" s="541"/>
      <c r="E35" s="541">
        <v>1</v>
      </c>
      <c r="F35" s="541">
        <v>4</v>
      </c>
      <c r="G35" s="541">
        <v>4</v>
      </c>
      <c r="H35" s="541"/>
      <c r="I35" s="541">
        <v>0</v>
      </c>
      <c r="J35" s="541">
        <v>3</v>
      </c>
      <c r="K35" s="541"/>
      <c r="L35" s="542">
        <f t="shared" si="0"/>
        <v>12</v>
      </c>
      <c r="M35" s="540">
        <v>5191421027</v>
      </c>
      <c r="N35" s="542">
        <v>2</v>
      </c>
      <c r="O35" s="539">
        <v>2</v>
      </c>
      <c r="P35" s="539">
        <v>2</v>
      </c>
      <c r="Q35" s="539"/>
      <c r="R35" s="543"/>
      <c r="S35" s="543">
        <v>10</v>
      </c>
      <c r="T35" s="539">
        <v>9</v>
      </c>
      <c r="U35" s="539"/>
      <c r="V35" s="542">
        <f t="shared" si="1"/>
        <v>25</v>
      </c>
      <c r="W35" s="431">
        <f t="shared" si="2"/>
        <v>12</v>
      </c>
      <c r="X35" s="431">
        <f t="shared" si="3"/>
        <v>25</v>
      </c>
      <c r="Y35" s="431">
        <f t="shared" si="4"/>
        <v>18.5</v>
      </c>
      <c r="Z35" s="337"/>
      <c r="AA35" s="544" t="s">
        <v>32</v>
      </c>
      <c r="AB35" s="429">
        <f t="shared" si="5"/>
        <v>70</v>
      </c>
      <c r="AC35" s="337"/>
      <c r="AD35" s="337"/>
      <c r="AE35" s="337"/>
      <c r="AF35" s="337"/>
      <c r="AG35" s="337"/>
      <c r="AH35" s="337"/>
      <c r="AI35" s="337"/>
      <c r="AJ35" s="337"/>
      <c r="AK35" s="337"/>
      <c r="AL35" s="337"/>
      <c r="AM35" s="337"/>
      <c r="AN35" s="337"/>
    </row>
    <row r="36" spans="1:40" ht="21.75" customHeight="1" x14ac:dyDescent="0.25">
      <c r="A36" s="429">
        <v>28</v>
      </c>
      <c r="B36" s="540">
        <v>5191421028</v>
      </c>
      <c r="C36" s="541">
        <v>2</v>
      </c>
      <c r="D36" s="541">
        <v>2</v>
      </c>
      <c r="E36" s="541">
        <v>1</v>
      </c>
      <c r="F36" s="541">
        <v>5</v>
      </c>
      <c r="G36" s="541">
        <v>7</v>
      </c>
      <c r="H36" s="541"/>
      <c r="I36" s="541">
        <v>7</v>
      </c>
      <c r="J36" s="541">
        <v>3</v>
      </c>
      <c r="K36" s="541"/>
      <c r="L36" s="542">
        <f t="shared" si="0"/>
        <v>27</v>
      </c>
      <c r="M36" s="540">
        <v>5191421028</v>
      </c>
      <c r="N36" s="542">
        <v>1</v>
      </c>
      <c r="O36" s="539">
        <v>2</v>
      </c>
      <c r="P36" s="539">
        <v>2</v>
      </c>
      <c r="Q36" s="539"/>
      <c r="R36" s="543"/>
      <c r="S36" s="543">
        <v>4</v>
      </c>
      <c r="T36" s="539">
        <v>10</v>
      </c>
      <c r="U36" s="539"/>
      <c r="V36" s="542">
        <f t="shared" si="1"/>
        <v>19</v>
      </c>
      <c r="W36" s="431">
        <f t="shared" si="2"/>
        <v>27</v>
      </c>
      <c r="X36" s="431">
        <f t="shared" si="3"/>
        <v>19</v>
      </c>
      <c r="Y36" s="431">
        <f t="shared" si="4"/>
        <v>23</v>
      </c>
      <c r="Z36" s="337"/>
      <c r="AA36" s="560" t="s">
        <v>30</v>
      </c>
      <c r="AB36" s="429">
        <f t="shared" si="5"/>
        <v>90</v>
      </c>
      <c r="AC36" s="337"/>
      <c r="AD36" s="337"/>
      <c r="AE36" s="337"/>
      <c r="AF36" s="337"/>
      <c r="AG36" s="337"/>
      <c r="AH36" s="337"/>
      <c r="AI36" s="337"/>
      <c r="AJ36" s="337"/>
      <c r="AK36" s="337"/>
      <c r="AL36" s="337"/>
      <c r="AM36" s="337"/>
      <c r="AN36" s="337"/>
    </row>
    <row r="37" spans="1:40" ht="21.75" customHeight="1" x14ac:dyDescent="0.25">
      <c r="A37" s="429">
        <v>29</v>
      </c>
      <c r="B37" s="540">
        <v>5191421029</v>
      </c>
      <c r="C37" s="541">
        <v>2</v>
      </c>
      <c r="D37" s="541"/>
      <c r="E37" s="541">
        <v>1</v>
      </c>
      <c r="F37" s="541"/>
      <c r="G37" s="541"/>
      <c r="H37" s="541">
        <v>8</v>
      </c>
      <c r="I37" s="541">
        <v>1</v>
      </c>
      <c r="J37" s="541">
        <v>4</v>
      </c>
      <c r="K37" s="541"/>
      <c r="L37" s="542">
        <f t="shared" si="0"/>
        <v>16</v>
      </c>
      <c r="M37" s="540">
        <v>5191421029</v>
      </c>
      <c r="N37" s="542">
        <v>0</v>
      </c>
      <c r="O37" s="539"/>
      <c r="P37" s="539">
        <v>2</v>
      </c>
      <c r="Q37" s="539">
        <v>0</v>
      </c>
      <c r="R37" s="543"/>
      <c r="S37" s="543"/>
      <c r="T37" s="539"/>
      <c r="U37" s="539">
        <v>11</v>
      </c>
      <c r="V37" s="542">
        <f t="shared" si="1"/>
        <v>13</v>
      </c>
      <c r="W37" s="431">
        <f t="shared" si="2"/>
        <v>16</v>
      </c>
      <c r="X37" s="431">
        <f t="shared" si="3"/>
        <v>13</v>
      </c>
      <c r="Y37" s="431">
        <f t="shared" si="4"/>
        <v>14.5</v>
      </c>
      <c r="Z37" s="337"/>
      <c r="AA37" s="544" t="s">
        <v>32</v>
      </c>
      <c r="AB37" s="429">
        <f t="shared" si="5"/>
        <v>70</v>
      </c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</row>
    <row r="38" spans="1:40" ht="21.75" customHeight="1" x14ac:dyDescent="0.25">
      <c r="A38" s="429">
        <v>30</v>
      </c>
      <c r="B38" s="540">
        <v>5191421030</v>
      </c>
      <c r="C38" s="541">
        <v>1</v>
      </c>
      <c r="D38" s="541"/>
      <c r="E38" s="541">
        <v>1</v>
      </c>
      <c r="F38" s="541">
        <v>3</v>
      </c>
      <c r="G38" s="541">
        <v>0</v>
      </c>
      <c r="H38" s="541"/>
      <c r="I38" s="541"/>
      <c r="J38" s="541"/>
      <c r="K38" s="541">
        <v>5</v>
      </c>
      <c r="L38" s="542">
        <f t="shared" si="0"/>
        <v>10</v>
      </c>
      <c r="M38" s="540">
        <v>5191421030</v>
      </c>
      <c r="N38" s="542">
        <v>0</v>
      </c>
      <c r="O38" s="539"/>
      <c r="P38" s="539">
        <v>0</v>
      </c>
      <c r="Q38" s="539"/>
      <c r="R38" s="543"/>
      <c r="S38" s="543">
        <v>0</v>
      </c>
      <c r="T38" s="539">
        <v>0</v>
      </c>
      <c r="U38" s="539"/>
      <c r="V38" s="542">
        <f t="shared" si="1"/>
        <v>0</v>
      </c>
      <c r="W38" s="431">
        <f t="shared" si="2"/>
        <v>10</v>
      </c>
      <c r="X38" s="431">
        <f t="shared" si="3"/>
        <v>0</v>
      </c>
      <c r="Y38" s="431">
        <f t="shared" si="4"/>
        <v>5</v>
      </c>
      <c r="Z38" s="337"/>
      <c r="AA38" s="544" t="s">
        <v>28</v>
      </c>
      <c r="AB38" s="429">
        <f t="shared" si="5"/>
        <v>50</v>
      </c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1:40" ht="21.75" customHeight="1" x14ac:dyDescent="0.25">
      <c r="A39" s="429">
        <v>31</v>
      </c>
      <c r="B39" s="540">
        <v>5191421031</v>
      </c>
      <c r="C39" s="541">
        <v>1</v>
      </c>
      <c r="D39" s="541">
        <v>2</v>
      </c>
      <c r="E39" s="541">
        <v>1</v>
      </c>
      <c r="F39" s="541">
        <v>4</v>
      </c>
      <c r="G39" s="541"/>
      <c r="H39" s="541"/>
      <c r="I39" s="541"/>
      <c r="J39" s="541"/>
      <c r="K39" s="541">
        <v>4</v>
      </c>
      <c r="L39" s="542">
        <f t="shared" si="0"/>
        <v>12</v>
      </c>
      <c r="M39" s="540">
        <v>5191421031</v>
      </c>
      <c r="N39" s="542">
        <v>1</v>
      </c>
      <c r="O39" s="539">
        <v>0</v>
      </c>
      <c r="P39" s="539">
        <v>2</v>
      </c>
      <c r="Q39" s="539">
        <v>0</v>
      </c>
      <c r="R39" s="543">
        <v>0</v>
      </c>
      <c r="S39" s="543"/>
      <c r="T39" s="539">
        <v>6</v>
      </c>
      <c r="U39" s="539"/>
      <c r="V39" s="542">
        <f t="shared" si="1"/>
        <v>9</v>
      </c>
      <c r="W39" s="431">
        <f t="shared" si="2"/>
        <v>12</v>
      </c>
      <c r="X39" s="431">
        <f t="shared" si="3"/>
        <v>9</v>
      </c>
      <c r="Y39" s="431">
        <f t="shared" si="4"/>
        <v>10.5</v>
      </c>
      <c r="Z39" s="337"/>
      <c r="AA39" s="544" t="s">
        <v>28</v>
      </c>
      <c r="AB39" s="429">
        <f t="shared" si="5"/>
        <v>50</v>
      </c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337"/>
      <c r="AN39" s="337"/>
    </row>
    <row r="40" spans="1:40" ht="21.75" customHeight="1" x14ac:dyDescent="0.25">
      <c r="A40" s="429">
        <v>32</v>
      </c>
      <c r="B40" s="540">
        <v>5191421032</v>
      </c>
      <c r="C40" s="541">
        <v>1</v>
      </c>
      <c r="D40" s="541">
        <v>1</v>
      </c>
      <c r="E40" s="541">
        <v>2</v>
      </c>
      <c r="F40" s="541">
        <v>4</v>
      </c>
      <c r="G40" s="541">
        <v>6</v>
      </c>
      <c r="H40" s="541"/>
      <c r="I40" s="541"/>
      <c r="J40" s="541"/>
      <c r="K40" s="541">
        <v>4</v>
      </c>
      <c r="L40" s="542">
        <f t="shared" si="0"/>
        <v>18</v>
      </c>
      <c r="M40" s="540">
        <v>5191421032</v>
      </c>
      <c r="N40" s="542">
        <v>0</v>
      </c>
      <c r="O40" s="539">
        <v>0</v>
      </c>
      <c r="P40" s="539">
        <v>0</v>
      </c>
      <c r="Q40" s="539"/>
      <c r="R40" s="543"/>
      <c r="S40" s="543">
        <v>0</v>
      </c>
      <c r="T40" s="539">
        <v>2</v>
      </c>
      <c r="U40" s="539"/>
      <c r="V40" s="542">
        <f t="shared" si="1"/>
        <v>2</v>
      </c>
      <c r="W40" s="431">
        <f t="shared" si="2"/>
        <v>18</v>
      </c>
      <c r="X40" s="431">
        <f t="shared" si="3"/>
        <v>2</v>
      </c>
      <c r="Y40" s="431">
        <f t="shared" si="4"/>
        <v>10</v>
      </c>
      <c r="Z40" s="337"/>
      <c r="AA40" s="544" t="s">
        <v>32</v>
      </c>
      <c r="AB40" s="429">
        <f t="shared" si="5"/>
        <v>70</v>
      </c>
      <c r="AC40" s="337"/>
      <c r="AD40" s="337"/>
      <c r="AE40" s="337"/>
      <c r="AF40" s="337"/>
      <c r="AG40" s="337"/>
      <c r="AH40" s="337"/>
      <c r="AI40" s="337"/>
      <c r="AJ40" s="337"/>
      <c r="AK40" s="337"/>
      <c r="AL40" s="337"/>
      <c r="AM40" s="337"/>
      <c r="AN40" s="337"/>
    </row>
    <row r="41" spans="1:40" ht="21.75" customHeight="1" x14ac:dyDescent="0.25">
      <c r="A41" s="429">
        <v>33</v>
      </c>
      <c r="B41" s="540">
        <v>5191421033</v>
      </c>
      <c r="C41" s="541">
        <v>1</v>
      </c>
      <c r="D41" s="541"/>
      <c r="E41" s="541">
        <v>2</v>
      </c>
      <c r="F41" s="541">
        <v>3</v>
      </c>
      <c r="G41" s="541">
        <v>4</v>
      </c>
      <c r="H41" s="541"/>
      <c r="I41" s="541">
        <v>6</v>
      </c>
      <c r="J41" s="541"/>
      <c r="K41" s="541"/>
      <c r="L41" s="542">
        <f t="shared" ref="L41:L66" si="6">SUM(C41:K41)</f>
        <v>16</v>
      </c>
      <c r="M41" s="540">
        <v>5191421033</v>
      </c>
      <c r="N41" s="542">
        <v>1</v>
      </c>
      <c r="O41" s="539">
        <v>2</v>
      </c>
      <c r="P41" s="539">
        <v>2</v>
      </c>
      <c r="Q41" s="539">
        <v>1</v>
      </c>
      <c r="R41" s="543"/>
      <c r="S41" s="543"/>
      <c r="T41" s="539">
        <v>7</v>
      </c>
      <c r="U41" s="539"/>
      <c r="V41" s="542">
        <f t="shared" ref="V41:V66" si="7">SUM(N41:U41)</f>
        <v>13</v>
      </c>
      <c r="W41" s="431">
        <f t="shared" ref="W41:W66" si="8">SUM(C41:K41)</f>
        <v>16</v>
      </c>
      <c r="X41" s="431">
        <f t="shared" ref="X41:X66" si="9">SUM(N41:U41)</f>
        <v>13</v>
      </c>
      <c r="Y41" s="431">
        <f t="shared" si="4"/>
        <v>14.5</v>
      </c>
      <c r="Z41" s="337"/>
      <c r="AA41" s="544" t="s">
        <v>27</v>
      </c>
      <c r="AB41" s="429">
        <f t="shared" si="5"/>
        <v>80</v>
      </c>
      <c r="AC41" s="337"/>
      <c r="AD41" s="337"/>
      <c r="AE41" s="337"/>
      <c r="AF41" s="337"/>
      <c r="AG41" s="337"/>
      <c r="AH41" s="337"/>
      <c r="AI41" s="337"/>
      <c r="AJ41" s="337"/>
      <c r="AK41" s="337"/>
      <c r="AL41" s="337"/>
      <c r="AM41" s="337"/>
      <c r="AN41" s="337"/>
    </row>
    <row r="42" spans="1:40" ht="21.75" customHeight="1" x14ac:dyDescent="0.25">
      <c r="A42" s="429">
        <v>34</v>
      </c>
      <c r="B42" s="540">
        <v>5191421034</v>
      </c>
      <c r="C42" s="541">
        <v>1</v>
      </c>
      <c r="D42" s="541">
        <v>2</v>
      </c>
      <c r="E42" s="541">
        <v>1</v>
      </c>
      <c r="F42" s="541">
        <v>4</v>
      </c>
      <c r="G42" s="541">
        <v>6</v>
      </c>
      <c r="H42" s="541"/>
      <c r="I42" s="541">
        <v>6</v>
      </c>
      <c r="J42" s="541">
        <v>4</v>
      </c>
      <c r="K42" s="541"/>
      <c r="L42" s="542">
        <f t="shared" si="6"/>
        <v>24</v>
      </c>
      <c r="M42" s="540">
        <v>5191421034</v>
      </c>
      <c r="N42" s="542">
        <v>1</v>
      </c>
      <c r="O42" s="539">
        <v>2</v>
      </c>
      <c r="P42" s="539">
        <v>2</v>
      </c>
      <c r="Q42" s="539"/>
      <c r="R42" s="543"/>
      <c r="S42" s="543">
        <v>7</v>
      </c>
      <c r="T42" s="539">
        <v>10</v>
      </c>
      <c r="U42" s="539"/>
      <c r="V42" s="542">
        <f t="shared" si="7"/>
        <v>22</v>
      </c>
      <c r="W42" s="431">
        <f t="shared" si="8"/>
        <v>24</v>
      </c>
      <c r="X42" s="431">
        <f t="shared" si="9"/>
        <v>22</v>
      </c>
      <c r="Y42" s="431">
        <f t="shared" si="4"/>
        <v>23</v>
      </c>
      <c r="Z42" s="337"/>
      <c r="AA42" s="544" t="s">
        <v>32</v>
      </c>
      <c r="AB42" s="429">
        <f t="shared" si="5"/>
        <v>70</v>
      </c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1:40" ht="21.75" customHeight="1" x14ac:dyDescent="0.25">
      <c r="A43" s="429">
        <v>35</v>
      </c>
      <c r="B43" s="540">
        <v>5191421035</v>
      </c>
      <c r="C43" s="541">
        <v>0</v>
      </c>
      <c r="D43" s="541"/>
      <c r="E43" s="541">
        <v>2</v>
      </c>
      <c r="F43" s="541">
        <v>4</v>
      </c>
      <c r="G43" s="541">
        <v>3</v>
      </c>
      <c r="H43" s="541"/>
      <c r="I43" s="541">
        <v>1</v>
      </c>
      <c r="J43" s="541">
        <v>4</v>
      </c>
      <c r="K43" s="541"/>
      <c r="L43" s="542">
        <f t="shared" si="6"/>
        <v>14</v>
      </c>
      <c r="M43" s="540">
        <v>5191421035</v>
      </c>
      <c r="N43" s="542">
        <v>0</v>
      </c>
      <c r="O43" s="539">
        <v>0</v>
      </c>
      <c r="P43" s="539">
        <v>0</v>
      </c>
      <c r="Q43" s="539"/>
      <c r="R43" s="543"/>
      <c r="S43" s="543">
        <v>3</v>
      </c>
      <c r="T43" s="539">
        <v>6</v>
      </c>
      <c r="U43" s="539"/>
      <c r="V43" s="542">
        <f t="shared" si="7"/>
        <v>9</v>
      </c>
      <c r="W43" s="431">
        <f t="shared" si="8"/>
        <v>14</v>
      </c>
      <c r="X43" s="431">
        <f t="shared" si="9"/>
        <v>9</v>
      </c>
      <c r="Y43" s="431">
        <f t="shared" si="4"/>
        <v>11.5</v>
      </c>
      <c r="Z43" s="337"/>
      <c r="AA43" s="544" t="s">
        <v>28</v>
      </c>
      <c r="AB43" s="429">
        <f t="shared" si="5"/>
        <v>50</v>
      </c>
      <c r="AC43" s="337"/>
      <c r="AD43" s="337"/>
      <c r="AE43" s="337"/>
      <c r="AF43" s="337"/>
      <c r="AG43" s="337"/>
      <c r="AH43" s="337"/>
      <c r="AI43" s="337"/>
      <c r="AJ43" s="337"/>
      <c r="AK43" s="337"/>
      <c r="AL43" s="337"/>
      <c r="AM43" s="337"/>
      <c r="AN43" s="337"/>
    </row>
    <row r="44" spans="1:40" ht="21.75" customHeight="1" x14ac:dyDescent="0.25">
      <c r="A44" s="429">
        <v>36</v>
      </c>
      <c r="B44" s="540">
        <v>5191421036</v>
      </c>
      <c r="C44" s="541">
        <v>1</v>
      </c>
      <c r="D44" s="541"/>
      <c r="E44" s="541">
        <v>1</v>
      </c>
      <c r="F44" s="541">
        <v>5</v>
      </c>
      <c r="G44" s="541">
        <v>5</v>
      </c>
      <c r="H44" s="541"/>
      <c r="I44" s="541">
        <v>3</v>
      </c>
      <c r="J44" s="541">
        <v>4</v>
      </c>
      <c r="K44" s="541"/>
      <c r="L44" s="542">
        <f t="shared" si="6"/>
        <v>19</v>
      </c>
      <c r="M44" s="540">
        <v>5191421036</v>
      </c>
      <c r="N44" s="542">
        <v>1</v>
      </c>
      <c r="O44" s="539"/>
      <c r="P44" s="539"/>
      <c r="Q44" s="539"/>
      <c r="R44" s="543"/>
      <c r="S44" s="543">
        <v>0</v>
      </c>
      <c r="T44" s="539">
        <v>8</v>
      </c>
      <c r="U44" s="539"/>
      <c r="V44" s="542">
        <f t="shared" si="7"/>
        <v>9</v>
      </c>
      <c r="W44" s="431">
        <f t="shared" si="8"/>
        <v>19</v>
      </c>
      <c r="X44" s="431">
        <f t="shared" si="9"/>
        <v>9</v>
      </c>
      <c r="Y44" s="431">
        <f t="shared" si="4"/>
        <v>14</v>
      </c>
      <c r="Z44" s="337"/>
      <c r="AA44" s="544" t="s">
        <v>33</v>
      </c>
      <c r="AB44" s="429">
        <f t="shared" si="5"/>
        <v>60</v>
      </c>
      <c r="AC44" s="337"/>
      <c r="AD44" s="337"/>
      <c r="AE44" s="337"/>
      <c r="AF44" s="337"/>
      <c r="AG44" s="337"/>
      <c r="AH44" s="337"/>
      <c r="AI44" s="337"/>
      <c r="AJ44" s="337"/>
      <c r="AK44" s="337"/>
      <c r="AL44" s="337"/>
      <c r="AM44" s="337"/>
      <c r="AN44" s="337"/>
    </row>
    <row r="45" spans="1:40" ht="21.75" customHeight="1" x14ac:dyDescent="0.25">
      <c r="A45" s="429">
        <v>37</v>
      </c>
      <c r="B45" s="540">
        <v>5191421037</v>
      </c>
      <c r="C45" s="541">
        <v>1</v>
      </c>
      <c r="D45" s="541">
        <v>1</v>
      </c>
      <c r="E45" s="541">
        <v>2</v>
      </c>
      <c r="F45" s="541">
        <v>3</v>
      </c>
      <c r="G45" s="541">
        <v>6</v>
      </c>
      <c r="H45" s="541"/>
      <c r="I45" s="541"/>
      <c r="J45" s="541">
        <v>4</v>
      </c>
      <c r="K45" s="541"/>
      <c r="L45" s="542">
        <f t="shared" si="6"/>
        <v>17</v>
      </c>
      <c r="M45" s="540">
        <v>5191421037</v>
      </c>
      <c r="N45" s="542">
        <v>0</v>
      </c>
      <c r="O45" s="539">
        <v>0</v>
      </c>
      <c r="P45" s="539">
        <v>0</v>
      </c>
      <c r="Q45" s="539"/>
      <c r="R45" s="543"/>
      <c r="S45" s="543">
        <v>1</v>
      </c>
      <c r="T45" s="539">
        <v>4</v>
      </c>
      <c r="U45" s="539"/>
      <c r="V45" s="542">
        <f t="shared" si="7"/>
        <v>5</v>
      </c>
      <c r="W45" s="431">
        <f t="shared" si="8"/>
        <v>17</v>
      </c>
      <c r="X45" s="431">
        <f t="shared" si="9"/>
        <v>5</v>
      </c>
      <c r="Y45" s="431">
        <f t="shared" si="4"/>
        <v>11</v>
      </c>
      <c r="Z45" s="337"/>
      <c r="AA45" s="544" t="s">
        <v>28</v>
      </c>
      <c r="AB45" s="429">
        <f t="shared" si="5"/>
        <v>50</v>
      </c>
      <c r="AC45" s="337"/>
      <c r="AD45" s="337"/>
      <c r="AE45" s="337"/>
      <c r="AF45" s="337"/>
      <c r="AG45" s="337"/>
      <c r="AH45" s="337"/>
      <c r="AI45" s="337"/>
      <c r="AJ45" s="337"/>
      <c r="AK45" s="337"/>
      <c r="AL45" s="337"/>
      <c r="AM45" s="337"/>
      <c r="AN45" s="337"/>
    </row>
    <row r="46" spans="1:40" ht="21.75" customHeight="1" x14ac:dyDescent="0.25">
      <c r="A46" s="429">
        <v>38</v>
      </c>
      <c r="B46" s="540">
        <v>5191421038</v>
      </c>
      <c r="C46" s="541"/>
      <c r="D46" s="541"/>
      <c r="E46" s="541">
        <v>2</v>
      </c>
      <c r="F46" s="541">
        <v>4</v>
      </c>
      <c r="G46" s="541"/>
      <c r="H46" s="541"/>
      <c r="I46" s="541">
        <v>3</v>
      </c>
      <c r="J46" s="541">
        <v>3</v>
      </c>
      <c r="K46" s="541"/>
      <c r="L46" s="542">
        <f t="shared" si="6"/>
        <v>12</v>
      </c>
      <c r="M46" s="540">
        <v>5191421038</v>
      </c>
      <c r="N46" s="542">
        <v>0</v>
      </c>
      <c r="O46" s="539">
        <v>0</v>
      </c>
      <c r="P46" s="539">
        <v>1</v>
      </c>
      <c r="Q46" s="539">
        <v>1</v>
      </c>
      <c r="R46" s="543">
        <v>1</v>
      </c>
      <c r="S46" s="543"/>
      <c r="T46" s="539">
        <v>8</v>
      </c>
      <c r="U46" s="539"/>
      <c r="V46" s="542">
        <f t="shared" si="7"/>
        <v>11</v>
      </c>
      <c r="W46" s="431">
        <f t="shared" si="8"/>
        <v>12</v>
      </c>
      <c r="X46" s="431">
        <f t="shared" si="9"/>
        <v>11</v>
      </c>
      <c r="Y46" s="431">
        <f t="shared" si="4"/>
        <v>11.5</v>
      </c>
      <c r="Z46" s="337"/>
      <c r="AA46" s="544" t="s">
        <v>33</v>
      </c>
      <c r="AB46" s="429">
        <f t="shared" si="5"/>
        <v>60</v>
      </c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337"/>
      <c r="AN46" s="337"/>
    </row>
    <row r="47" spans="1:40" ht="21.75" customHeight="1" x14ac:dyDescent="0.25">
      <c r="A47" s="429">
        <v>39</v>
      </c>
      <c r="B47" s="540">
        <v>5191421039</v>
      </c>
      <c r="C47" s="541">
        <v>1</v>
      </c>
      <c r="D47" s="541">
        <v>0</v>
      </c>
      <c r="E47" s="541">
        <v>0</v>
      </c>
      <c r="F47" s="541">
        <v>4</v>
      </c>
      <c r="G47" s="541">
        <v>6</v>
      </c>
      <c r="H47" s="541"/>
      <c r="I47" s="541">
        <v>3</v>
      </c>
      <c r="J47" s="541">
        <v>3</v>
      </c>
      <c r="K47" s="541"/>
      <c r="L47" s="542">
        <f t="shared" si="6"/>
        <v>17</v>
      </c>
      <c r="M47" s="540">
        <v>5191421039</v>
      </c>
      <c r="N47" s="542">
        <v>2</v>
      </c>
      <c r="O47" s="539">
        <v>2</v>
      </c>
      <c r="P47" s="539">
        <v>2</v>
      </c>
      <c r="Q47" s="539"/>
      <c r="R47" s="543"/>
      <c r="S47" s="543">
        <v>4</v>
      </c>
      <c r="T47" s="539">
        <v>10</v>
      </c>
      <c r="U47" s="539"/>
      <c r="V47" s="542">
        <f t="shared" si="7"/>
        <v>20</v>
      </c>
      <c r="W47" s="431">
        <f t="shared" si="8"/>
        <v>17</v>
      </c>
      <c r="X47" s="431">
        <f t="shared" si="9"/>
        <v>20</v>
      </c>
      <c r="Y47" s="431">
        <f t="shared" si="4"/>
        <v>18.5</v>
      </c>
      <c r="Z47" s="337"/>
      <c r="AA47" s="544" t="s">
        <v>32</v>
      </c>
      <c r="AB47" s="429">
        <f t="shared" si="5"/>
        <v>70</v>
      </c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37"/>
      <c r="AN47" s="337"/>
    </row>
    <row r="48" spans="1:40" ht="21.75" customHeight="1" x14ac:dyDescent="0.25">
      <c r="A48" s="429">
        <v>40</v>
      </c>
      <c r="B48" s="556">
        <v>5191421040</v>
      </c>
      <c r="C48" s="556"/>
      <c r="D48" s="557"/>
      <c r="E48" s="557"/>
      <c r="F48" s="557"/>
      <c r="G48" s="557"/>
      <c r="H48" s="557"/>
      <c r="I48" s="557"/>
      <c r="J48" s="557"/>
      <c r="K48" s="557"/>
      <c r="L48" s="558">
        <f t="shared" si="6"/>
        <v>0</v>
      </c>
      <c r="M48" s="540">
        <v>5191421040</v>
      </c>
      <c r="N48" s="542">
        <v>1</v>
      </c>
      <c r="O48" s="539">
        <v>0</v>
      </c>
      <c r="P48" s="539">
        <v>2</v>
      </c>
      <c r="Q48" s="539"/>
      <c r="R48" s="543"/>
      <c r="S48" s="543">
        <v>1</v>
      </c>
      <c r="T48" s="539">
        <v>6</v>
      </c>
      <c r="U48" s="539"/>
      <c r="V48" s="542">
        <f t="shared" si="7"/>
        <v>10</v>
      </c>
      <c r="W48" s="431">
        <f t="shared" si="8"/>
        <v>0</v>
      </c>
      <c r="X48" s="431">
        <f t="shared" si="9"/>
        <v>10</v>
      </c>
      <c r="Y48" s="431">
        <f t="shared" si="4"/>
        <v>5</v>
      </c>
      <c r="Z48" s="337"/>
      <c r="AA48" s="544" t="s">
        <v>31</v>
      </c>
      <c r="AB48" s="429">
        <f t="shared" si="5"/>
        <v>55</v>
      </c>
      <c r="AC48" s="337"/>
      <c r="AD48" s="337"/>
      <c r="AE48" s="337"/>
      <c r="AF48" s="337"/>
      <c r="AG48" s="337"/>
      <c r="AH48" s="337"/>
      <c r="AI48" s="337"/>
      <c r="AJ48" s="337"/>
      <c r="AK48" s="337"/>
      <c r="AL48" s="337"/>
      <c r="AM48" s="337"/>
      <c r="AN48" s="337"/>
    </row>
    <row r="49" spans="1:40" ht="21.75" customHeight="1" x14ac:dyDescent="0.25">
      <c r="A49" s="429">
        <v>41</v>
      </c>
      <c r="B49" s="540">
        <v>5191421041</v>
      </c>
      <c r="C49" s="541">
        <v>1</v>
      </c>
      <c r="D49" s="541"/>
      <c r="E49" s="541">
        <v>2</v>
      </c>
      <c r="F49" s="541">
        <v>3</v>
      </c>
      <c r="G49" s="541">
        <v>5</v>
      </c>
      <c r="H49" s="541"/>
      <c r="I49" s="541">
        <v>0</v>
      </c>
      <c r="J49" s="541">
        <v>4</v>
      </c>
      <c r="K49" s="541"/>
      <c r="L49" s="542">
        <f t="shared" si="6"/>
        <v>15</v>
      </c>
      <c r="M49" s="540">
        <v>5191421041</v>
      </c>
      <c r="N49" s="542">
        <v>0</v>
      </c>
      <c r="O49" s="539">
        <v>0</v>
      </c>
      <c r="P49" s="539">
        <v>1</v>
      </c>
      <c r="Q49" s="539"/>
      <c r="R49" s="543"/>
      <c r="S49" s="543">
        <v>3</v>
      </c>
      <c r="T49" s="539">
        <v>4</v>
      </c>
      <c r="U49" s="539"/>
      <c r="V49" s="542">
        <f t="shared" si="7"/>
        <v>8</v>
      </c>
      <c r="W49" s="431">
        <f t="shared" si="8"/>
        <v>15</v>
      </c>
      <c r="X49" s="431">
        <f t="shared" si="9"/>
        <v>8</v>
      </c>
      <c r="Y49" s="431">
        <f t="shared" si="4"/>
        <v>11.5</v>
      </c>
      <c r="Z49" s="337"/>
      <c r="AA49" s="544" t="s">
        <v>29</v>
      </c>
      <c r="AB49" s="429">
        <f t="shared" si="5"/>
        <v>39</v>
      </c>
      <c r="AC49" s="337"/>
      <c r="AD49" s="337"/>
      <c r="AE49" s="337"/>
      <c r="AF49" s="337"/>
      <c r="AG49" s="337"/>
      <c r="AH49" s="337"/>
      <c r="AI49" s="337"/>
      <c r="AJ49" s="337"/>
      <c r="AK49" s="337"/>
      <c r="AL49" s="337"/>
      <c r="AM49" s="337"/>
      <c r="AN49" s="337"/>
    </row>
    <row r="50" spans="1:40" ht="21.75" customHeight="1" x14ac:dyDescent="0.25">
      <c r="A50" s="429">
        <v>42</v>
      </c>
      <c r="B50" s="540">
        <v>5191421042</v>
      </c>
      <c r="C50" s="541">
        <v>1</v>
      </c>
      <c r="D50" s="541"/>
      <c r="E50" s="541">
        <v>2</v>
      </c>
      <c r="F50" s="541">
        <v>3</v>
      </c>
      <c r="G50" s="541">
        <v>4</v>
      </c>
      <c r="H50" s="541"/>
      <c r="I50" s="541"/>
      <c r="J50" s="541">
        <v>4</v>
      </c>
      <c r="K50" s="541"/>
      <c r="L50" s="542">
        <f t="shared" si="6"/>
        <v>14</v>
      </c>
      <c r="M50" s="540">
        <v>5191421042</v>
      </c>
      <c r="N50" s="542">
        <v>0</v>
      </c>
      <c r="O50" s="539">
        <v>0</v>
      </c>
      <c r="P50" s="554">
        <v>0</v>
      </c>
      <c r="Q50" s="539"/>
      <c r="R50" s="543"/>
      <c r="S50" s="543">
        <v>0</v>
      </c>
      <c r="T50" s="539">
        <v>7</v>
      </c>
      <c r="U50" s="539"/>
      <c r="V50" s="542">
        <f t="shared" si="7"/>
        <v>7</v>
      </c>
      <c r="W50" s="431">
        <f t="shared" si="8"/>
        <v>14</v>
      </c>
      <c r="X50" s="431">
        <f t="shared" si="9"/>
        <v>7</v>
      </c>
      <c r="Y50" s="431">
        <f t="shared" si="4"/>
        <v>10.5</v>
      </c>
      <c r="Z50" s="337"/>
      <c r="AA50" s="544" t="s">
        <v>31</v>
      </c>
      <c r="AB50" s="429">
        <f t="shared" si="5"/>
        <v>55</v>
      </c>
      <c r="AC50" s="337"/>
      <c r="AD50" s="337"/>
      <c r="AE50" s="337"/>
      <c r="AF50" s="337"/>
      <c r="AG50" s="337"/>
      <c r="AH50" s="337"/>
      <c r="AI50" s="337"/>
      <c r="AJ50" s="337"/>
      <c r="AK50" s="337"/>
      <c r="AL50" s="337"/>
      <c r="AM50" s="337"/>
      <c r="AN50" s="337"/>
    </row>
    <row r="51" spans="1:40" ht="21.75" customHeight="1" x14ac:dyDescent="0.25">
      <c r="A51" s="429">
        <v>43</v>
      </c>
      <c r="B51" s="540">
        <v>5191421043</v>
      </c>
      <c r="C51" s="541">
        <v>2</v>
      </c>
      <c r="D51" s="541">
        <v>1</v>
      </c>
      <c r="E51" s="541">
        <v>2</v>
      </c>
      <c r="F51" s="541">
        <v>3</v>
      </c>
      <c r="G51" s="541">
        <v>5</v>
      </c>
      <c r="H51" s="541"/>
      <c r="I51" s="541">
        <v>5</v>
      </c>
      <c r="J51" s="541">
        <v>4</v>
      </c>
      <c r="K51" s="541"/>
      <c r="L51" s="542">
        <f t="shared" si="6"/>
        <v>22</v>
      </c>
      <c r="M51" s="540">
        <v>5191421043</v>
      </c>
      <c r="N51" s="542">
        <v>0</v>
      </c>
      <c r="O51" s="539"/>
      <c r="P51" s="539">
        <v>2</v>
      </c>
      <c r="Q51" s="539"/>
      <c r="R51" s="543"/>
      <c r="S51" s="543">
        <v>0</v>
      </c>
      <c r="T51" s="539">
        <v>10</v>
      </c>
      <c r="U51" s="539"/>
      <c r="V51" s="542">
        <f t="shared" si="7"/>
        <v>12</v>
      </c>
      <c r="W51" s="431">
        <f t="shared" si="8"/>
        <v>22</v>
      </c>
      <c r="X51" s="431">
        <f t="shared" si="9"/>
        <v>12</v>
      </c>
      <c r="Y51" s="431">
        <f t="shared" si="4"/>
        <v>17</v>
      </c>
      <c r="Z51" s="337"/>
      <c r="AA51" s="544" t="s">
        <v>32</v>
      </c>
      <c r="AB51" s="429">
        <f t="shared" si="5"/>
        <v>70</v>
      </c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</row>
    <row r="52" spans="1:40" ht="21.75" customHeight="1" x14ac:dyDescent="0.25">
      <c r="A52" s="429">
        <v>44</v>
      </c>
      <c r="B52" s="540">
        <v>5191421044</v>
      </c>
      <c r="C52" s="541">
        <v>2</v>
      </c>
      <c r="D52" s="541">
        <v>1</v>
      </c>
      <c r="E52" s="541">
        <v>2</v>
      </c>
      <c r="F52" s="541">
        <v>4</v>
      </c>
      <c r="G52" s="541">
        <v>4</v>
      </c>
      <c r="H52" s="541"/>
      <c r="I52" s="541">
        <v>6</v>
      </c>
      <c r="J52" s="541">
        <v>3</v>
      </c>
      <c r="K52" s="541"/>
      <c r="L52" s="542">
        <f t="shared" si="6"/>
        <v>22</v>
      </c>
      <c r="M52" s="540">
        <v>5191421044</v>
      </c>
      <c r="N52" s="542">
        <v>2</v>
      </c>
      <c r="O52" s="539">
        <v>0</v>
      </c>
      <c r="P52" s="539">
        <v>2</v>
      </c>
      <c r="Q52" s="539"/>
      <c r="R52" s="543"/>
      <c r="S52" s="543">
        <v>4</v>
      </c>
      <c r="T52" s="539">
        <v>9</v>
      </c>
      <c r="U52" s="539"/>
      <c r="V52" s="542">
        <f t="shared" si="7"/>
        <v>17</v>
      </c>
      <c r="W52" s="431">
        <f t="shared" si="8"/>
        <v>22</v>
      </c>
      <c r="X52" s="431">
        <f t="shared" si="9"/>
        <v>17</v>
      </c>
      <c r="Y52" s="431">
        <f t="shared" si="4"/>
        <v>19.5</v>
      </c>
      <c r="Z52" s="337"/>
      <c r="AA52" s="544" t="s">
        <v>27</v>
      </c>
      <c r="AB52" s="429">
        <f t="shared" si="5"/>
        <v>80</v>
      </c>
      <c r="AC52" s="337"/>
      <c r="AD52" s="337"/>
      <c r="AE52" s="337"/>
      <c r="AF52" s="337"/>
      <c r="AG52" s="337"/>
      <c r="AH52" s="337"/>
      <c r="AI52" s="337"/>
      <c r="AJ52" s="337"/>
      <c r="AK52" s="337"/>
      <c r="AL52" s="337"/>
      <c r="AM52" s="337"/>
      <c r="AN52" s="337"/>
    </row>
    <row r="53" spans="1:40" ht="21.75" customHeight="1" x14ac:dyDescent="0.25">
      <c r="A53" s="429">
        <v>45</v>
      </c>
      <c r="B53" s="540">
        <v>5191421045</v>
      </c>
      <c r="C53" s="541">
        <v>2</v>
      </c>
      <c r="D53" s="541">
        <v>1</v>
      </c>
      <c r="E53" s="541">
        <v>2</v>
      </c>
      <c r="F53" s="541">
        <v>4</v>
      </c>
      <c r="G53" s="541">
        <v>6</v>
      </c>
      <c r="H53" s="541"/>
      <c r="I53" s="541">
        <v>1</v>
      </c>
      <c r="J53" s="541">
        <v>4</v>
      </c>
      <c r="K53" s="541"/>
      <c r="L53" s="542">
        <f t="shared" si="6"/>
        <v>20</v>
      </c>
      <c r="M53" s="540">
        <v>5191421045</v>
      </c>
      <c r="N53" s="542">
        <v>1</v>
      </c>
      <c r="O53" s="539"/>
      <c r="P53" s="539">
        <v>0</v>
      </c>
      <c r="Q53" s="539"/>
      <c r="R53" s="543"/>
      <c r="S53" s="561">
        <v>2</v>
      </c>
      <c r="T53" s="543">
        <v>5</v>
      </c>
      <c r="U53" s="543"/>
      <c r="V53" s="542">
        <f t="shared" si="7"/>
        <v>8</v>
      </c>
      <c r="W53" s="431">
        <f t="shared" si="8"/>
        <v>20</v>
      </c>
      <c r="X53" s="431">
        <f t="shared" si="9"/>
        <v>8</v>
      </c>
      <c r="Y53" s="431">
        <f t="shared" si="4"/>
        <v>14</v>
      </c>
      <c r="Z53" s="337"/>
      <c r="AA53" s="544" t="s">
        <v>28</v>
      </c>
      <c r="AB53" s="429">
        <f t="shared" si="5"/>
        <v>50</v>
      </c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337"/>
      <c r="AN53" s="337"/>
    </row>
    <row r="54" spans="1:40" ht="21.75" customHeight="1" x14ac:dyDescent="0.25">
      <c r="A54" s="429">
        <v>46</v>
      </c>
      <c r="B54" s="540">
        <v>5191421046</v>
      </c>
      <c r="C54" s="541">
        <v>2</v>
      </c>
      <c r="D54" s="541"/>
      <c r="E54" s="541">
        <v>1</v>
      </c>
      <c r="F54" s="541">
        <v>4</v>
      </c>
      <c r="G54" s="541">
        <v>6</v>
      </c>
      <c r="H54" s="541"/>
      <c r="I54" s="541">
        <v>6</v>
      </c>
      <c r="J54" s="541">
        <v>4</v>
      </c>
      <c r="K54" s="541"/>
      <c r="L54" s="542">
        <f t="shared" si="6"/>
        <v>23</v>
      </c>
      <c r="M54" s="540">
        <v>5191421046</v>
      </c>
      <c r="N54" s="542">
        <v>2</v>
      </c>
      <c r="O54" s="539">
        <v>0</v>
      </c>
      <c r="P54" s="539"/>
      <c r="Q54" s="539"/>
      <c r="R54" s="543"/>
      <c r="S54" s="543">
        <v>4</v>
      </c>
      <c r="T54" s="539"/>
      <c r="U54" s="539">
        <v>4</v>
      </c>
      <c r="V54" s="542">
        <f t="shared" si="7"/>
        <v>10</v>
      </c>
      <c r="W54" s="431">
        <f t="shared" si="8"/>
        <v>23</v>
      </c>
      <c r="X54" s="431">
        <f t="shared" si="9"/>
        <v>10</v>
      </c>
      <c r="Y54" s="431">
        <f t="shared" si="4"/>
        <v>16.5</v>
      </c>
      <c r="Z54" s="337"/>
      <c r="AA54" s="544" t="s">
        <v>32</v>
      </c>
      <c r="AB54" s="429">
        <f t="shared" si="5"/>
        <v>70</v>
      </c>
      <c r="AC54" s="337"/>
      <c r="AD54" s="337"/>
      <c r="AE54" s="337"/>
      <c r="AF54" s="337"/>
      <c r="AG54" s="337"/>
      <c r="AH54" s="337"/>
      <c r="AI54" s="337"/>
      <c r="AJ54" s="337"/>
      <c r="AK54" s="337"/>
      <c r="AL54" s="337"/>
      <c r="AM54" s="337"/>
      <c r="AN54" s="337"/>
    </row>
    <row r="55" spans="1:40" ht="21.75" customHeight="1" x14ac:dyDescent="0.25">
      <c r="A55" s="429">
        <v>47</v>
      </c>
      <c r="B55" s="540">
        <v>5191421047</v>
      </c>
      <c r="C55" s="541">
        <v>1</v>
      </c>
      <c r="D55" s="541"/>
      <c r="E55" s="541">
        <v>2</v>
      </c>
      <c r="F55" s="541"/>
      <c r="G55" s="541"/>
      <c r="H55" s="541"/>
      <c r="I55" s="541">
        <v>5</v>
      </c>
      <c r="J55" s="541">
        <v>4</v>
      </c>
      <c r="K55" s="541"/>
      <c r="L55" s="542">
        <f t="shared" si="6"/>
        <v>12</v>
      </c>
      <c r="M55" s="540">
        <v>5191421047</v>
      </c>
      <c r="N55" s="542"/>
      <c r="O55" s="539"/>
      <c r="P55" s="539"/>
      <c r="Q55" s="539"/>
      <c r="R55" s="543"/>
      <c r="S55" s="543"/>
      <c r="T55" s="539">
        <v>4</v>
      </c>
      <c r="U55" s="539"/>
      <c r="V55" s="542">
        <f t="shared" si="7"/>
        <v>4</v>
      </c>
      <c r="W55" s="431">
        <f t="shared" si="8"/>
        <v>12</v>
      </c>
      <c r="X55" s="431">
        <f t="shared" si="9"/>
        <v>4</v>
      </c>
      <c r="Y55" s="431">
        <f t="shared" si="4"/>
        <v>8</v>
      </c>
      <c r="Z55" s="337"/>
      <c r="AA55" s="544" t="s">
        <v>29</v>
      </c>
      <c r="AB55" s="429">
        <f t="shared" si="5"/>
        <v>39</v>
      </c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37"/>
      <c r="AN55" s="337"/>
    </row>
    <row r="56" spans="1:40" ht="21.75" customHeight="1" x14ac:dyDescent="0.25">
      <c r="A56" s="429">
        <v>48</v>
      </c>
      <c r="B56" s="540">
        <v>5191421048</v>
      </c>
      <c r="C56" s="541">
        <v>1</v>
      </c>
      <c r="D56" s="541"/>
      <c r="E56" s="541">
        <v>2</v>
      </c>
      <c r="F56" s="541">
        <v>5</v>
      </c>
      <c r="G56" s="541">
        <v>6</v>
      </c>
      <c r="H56" s="541"/>
      <c r="I56" s="541">
        <v>1</v>
      </c>
      <c r="J56" s="541">
        <v>4</v>
      </c>
      <c r="K56" s="541"/>
      <c r="L56" s="542">
        <f t="shared" si="6"/>
        <v>19</v>
      </c>
      <c r="M56" s="540">
        <v>5191421048</v>
      </c>
      <c r="N56" s="542"/>
      <c r="O56" s="539"/>
      <c r="P56" s="539">
        <v>0</v>
      </c>
      <c r="Q56" s="539"/>
      <c r="R56" s="543"/>
      <c r="S56" s="543"/>
      <c r="T56" s="539">
        <v>6</v>
      </c>
      <c r="U56" s="539"/>
      <c r="V56" s="542">
        <f t="shared" si="7"/>
        <v>6</v>
      </c>
      <c r="W56" s="431">
        <f t="shared" si="8"/>
        <v>19</v>
      </c>
      <c r="X56" s="431">
        <f t="shared" si="9"/>
        <v>6</v>
      </c>
      <c r="Y56" s="431">
        <f t="shared" si="4"/>
        <v>12.5</v>
      </c>
      <c r="Z56" s="337"/>
      <c r="AA56" s="544" t="s">
        <v>29</v>
      </c>
      <c r="AB56" s="429">
        <f t="shared" si="5"/>
        <v>39</v>
      </c>
      <c r="AC56" s="337"/>
      <c r="AD56" s="337"/>
      <c r="AE56" s="337"/>
      <c r="AF56" s="337"/>
      <c r="AG56" s="337"/>
      <c r="AH56" s="337"/>
      <c r="AI56" s="337"/>
      <c r="AJ56" s="337"/>
      <c r="AK56" s="337"/>
      <c r="AL56" s="337"/>
      <c r="AM56" s="337"/>
      <c r="AN56" s="337"/>
    </row>
    <row r="57" spans="1:40" ht="21.75" customHeight="1" x14ac:dyDescent="0.25">
      <c r="A57" s="429">
        <v>49</v>
      </c>
      <c r="B57" s="556">
        <v>5191421049</v>
      </c>
      <c r="C57" s="556"/>
      <c r="D57" s="557"/>
      <c r="E57" s="557"/>
      <c r="F57" s="557"/>
      <c r="G57" s="557"/>
      <c r="H57" s="557"/>
      <c r="I57" s="557"/>
      <c r="J57" s="557"/>
      <c r="K57" s="557"/>
      <c r="L57" s="558">
        <f t="shared" si="6"/>
        <v>0</v>
      </c>
      <c r="M57" s="540">
        <v>5191421049</v>
      </c>
      <c r="N57" s="542">
        <v>2</v>
      </c>
      <c r="O57" s="539">
        <v>0</v>
      </c>
      <c r="P57" s="539">
        <v>1</v>
      </c>
      <c r="Q57" s="539"/>
      <c r="R57" s="543"/>
      <c r="S57" s="543">
        <v>0</v>
      </c>
      <c r="T57" s="539">
        <v>4</v>
      </c>
      <c r="U57" s="539"/>
      <c r="V57" s="542">
        <f t="shared" si="7"/>
        <v>7</v>
      </c>
      <c r="W57" s="431">
        <f t="shared" si="8"/>
        <v>0</v>
      </c>
      <c r="X57" s="431">
        <f t="shared" si="9"/>
        <v>7</v>
      </c>
      <c r="Y57" s="431">
        <f t="shared" si="4"/>
        <v>3.5</v>
      </c>
      <c r="Z57" s="337"/>
      <c r="AA57" s="544" t="s">
        <v>32</v>
      </c>
      <c r="AB57" s="429">
        <f t="shared" si="5"/>
        <v>70</v>
      </c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</row>
    <row r="58" spans="1:40" ht="21.75" customHeight="1" x14ac:dyDescent="0.25">
      <c r="A58" s="429">
        <v>50</v>
      </c>
      <c r="B58" s="540">
        <v>5191421050</v>
      </c>
      <c r="C58" s="541"/>
      <c r="D58" s="541"/>
      <c r="E58" s="541">
        <v>2</v>
      </c>
      <c r="F58" s="541"/>
      <c r="G58" s="541"/>
      <c r="H58" s="541">
        <v>5</v>
      </c>
      <c r="I58" s="541">
        <v>3</v>
      </c>
      <c r="J58" s="541"/>
      <c r="K58" s="541"/>
      <c r="L58" s="542">
        <f t="shared" si="6"/>
        <v>10</v>
      </c>
      <c r="M58" s="540">
        <v>5191421050</v>
      </c>
      <c r="N58" s="542">
        <v>2</v>
      </c>
      <c r="O58" s="539">
        <v>0</v>
      </c>
      <c r="P58" s="539">
        <v>2</v>
      </c>
      <c r="Q58" s="539">
        <v>1</v>
      </c>
      <c r="R58" s="543">
        <v>0</v>
      </c>
      <c r="S58" s="543"/>
      <c r="T58" s="539">
        <v>8</v>
      </c>
      <c r="U58" s="539"/>
      <c r="V58" s="542">
        <f t="shared" si="7"/>
        <v>13</v>
      </c>
      <c r="W58" s="431">
        <f t="shared" si="8"/>
        <v>10</v>
      </c>
      <c r="X58" s="431">
        <f t="shared" si="9"/>
        <v>13</v>
      </c>
      <c r="Y58" s="431">
        <f t="shared" si="4"/>
        <v>11.5</v>
      </c>
      <c r="Z58" s="337"/>
      <c r="AA58" s="544" t="s">
        <v>27</v>
      </c>
      <c r="AB58" s="429">
        <f t="shared" si="5"/>
        <v>80</v>
      </c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</row>
    <row r="59" spans="1:40" ht="21.75" customHeight="1" x14ac:dyDescent="0.25">
      <c r="A59" s="429">
        <v>51</v>
      </c>
      <c r="B59" s="540">
        <v>5191421051</v>
      </c>
      <c r="C59" s="541">
        <v>2</v>
      </c>
      <c r="D59" s="541">
        <v>1</v>
      </c>
      <c r="E59" s="541">
        <v>2</v>
      </c>
      <c r="F59" s="541"/>
      <c r="G59" s="541"/>
      <c r="H59" s="541">
        <v>7</v>
      </c>
      <c r="I59" s="562"/>
      <c r="J59" s="541"/>
      <c r="K59" s="541"/>
      <c r="L59" s="542">
        <f t="shared" si="6"/>
        <v>12</v>
      </c>
      <c r="M59" s="540">
        <v>5191421051</v>
      </c>
      <c r="N59" s="539">
        <v>2</v>
      </c>
      <c r="O59" s="539">
        <v>0</v>
      </c>
      <c r="P59" s="539">
        <v>2</v>
      </c>
      <c r="Q59" s="539"/>
      <c r="R59" s="539"/>
      <c r="S59" s="539"/>
      <c r="T59" s="539"/>
      <c r="U59" s="539">
        <v>9</v>
      </c>
      <c r="V59" s="542">
        <f t="shared" si="7"/>
        <v>13</v>
      </c>
      <c r="W59" s="431">
        <f t="shared" si="8"/>
        <v>12</v>
      </c>
      <c r="X59" s="431">
        <f t="shared" si="9"/>
        <v>13</v>
      </c>
      <c r="Y59" s="431">
        <f t="shared" si="4"/>
        <v>12.5</v>
      </c>
      <c r="Z59" s="337"/>
      <c r="AA59" s="544" t="s">
        <v>32</v>
      </c>
      <c r="AB59" s="429">
        <f t="shared" si="5"/>
        <v>70</v>
      </c>
      <c r="AC59" s="337"/>
      <c r="AD59" s="337"/>
      <c r="AE59" s="337"/>
      <c r="AF59" s="337"/>
      <c r="AG59" s="337"/>
      <c r="AH59" s="337"/>
      <c r="AI59" s="337"/>
      <c r="AJ59" s="337"/>
      <c r="AK59" s="337"/>
      <c r="AL59" s="337"/>
      <c r="AM59" s="337"/>
      <c r="AN59" s="337"/>
    </row>
    <row r="60" spans="1:40" ht="21.75" customHeight="1" x14ac:dyDescent="0.25">
      <c r="A60" s="429">
        <v>52</v>
      </c>
      <c r="B60" s="540">
        <v>5191421052</v>
      </c>
      <c r="C60" s="541">
        <v>1</v>
      </c>
      <c r="D60" s="541">
        <v>2</v>
      </c>
      <c r="E60" s="541">
        <v>2</v>
      </c>
      <c r="F60" s="541">
        <v>4</v>
      </c>
      <c r="G60" s="541">
        <v>6</v>
      </c>
      <c r="H60" s="541"/>
      <c r="I60" s="541"/>
      <c r="J60" s="541"/>
      <c r="K60" s="541">
        <v>4</v>
      </c>
      <c r="L60" s="542">
        <f t="shared" si="6"/>
        <v>19</v>
      </c>
      <c r="M60" s="540">
        <v>5191421052</v>
      </c>
      <c r="N60" s="542">
        <v>2</v>
      </c>
      <c r="O60" s="539"/>
      <c r="P60" s="539">
        <v>2</v>
      </c>
      <c r="Q60" s="539"/>
      <c r="R60" s="543"/>
      <c r="S60" s="543">
        <v>3</v>
      </c>
      <c r="T60" s="539">
        <v>9</v>
      </c>
      <c r="U60" s="539"/>
      <c r="V60" s="542">
        <f t="shared" si="7"/>
        <v>16</v>
      </c>
      <c r="W60" s="431">
        <f t="shared" si="8"/>
        <v>19</v>
      </c>
      <c r="X60" s="431">
        <f t="shared" si="9"/>
        <v>16</v>
      </c>
      <c r="Y60" s="431">
        <f t="shared" si="4"/>
        <v>17.5</v>
      </c>
      <c r="Z60" s="337"/>
      <c r="AA60" s="544" t="s">
        <v>32</v>
      </c>
      <c r="AB60" s="429">
        <f t="shared" si="5"/>
        <v>70</v>
      </c>
      <c r="AC60" s="337"/>
      <c r="AD60" s="337"/>
      <c r="AE60" s="337"/>
      <c r="AF60" s="337"/>
      <c r="AG60" s="337"/>
      <c r="AH60" s="337"/>
      <c r="AI60" s="337"/>
      <c r="AJ60" s="337"/>
      <c r="AK60" s="337"/>
      <c r="AL60" s="337"/>
      <c r="AM60" s="337"/>
      <c r="AN60" s="337"/>
    </row>
    <row r="61" spans="1:40" ht="21.75" customHeight="1" x14ac:dyDescent="0.25">
      <c r="A61" s="429">
        <v>53</v>
      </c>
      <c r="B61" s="540">
        <v>5191421053</v>
      </c>
      <c r="C61" s="541">
        <v>1</v>
      </c>
      <c r="D61" s="541"/>
      <c r="E61" s="541">
        <v>2</v>
      </c>
      <c r="F61" s="541">
        <v>4</v>
      </c>
      <c r="G61" s="541">
        <v>6</v>
      </c>
      <c r="H61" s="541"/>
      <c r="I61" s="541"/>
      <c r="J61" s="541"/>
      <c r="K61" s="541">
        <v>6</v>
      </c>
      <c r="L61" s="542">
        <f t="shared" si="6"/>
        <v>19</v>
      </c>
      <c r="M61" s="540">
        <v>5191421053</v>
      </c>
      <c r="N61" s="542">
        <v>2</v>
      </c>
      <c r="O61" s="539"/>
      <c r="P61" s="539">
        <v>2</v>
      </c>
      <c r="Q61" s="539"/>
      <c r="R61" s="543"/>
      <c r="S61" s="543">
        <v>0</v>
      </c>
      <c r="T61" s="539">
        <v>4</v>
      </c>
      <c r="U61" s="539"/>
      <c r="V61" s="542">
        <f t="shared" si="7"/>
        <v>8</v>
      </c>
      <c r="W61" s="431">
        <f t="shared" si="8"/>
        <v>19</v>
      </c>
      <c r="X61" s="431">
        <f t="shared" si="9"/>
        <v>8</v>
      </c>
      <c r="Y61" s="431">
        <f t="shared" si="4"/>
        <v>13.5</v>
      </c>
      <c r="Z61" s="337"/>
      <c r="AA61" s="544" t="s">
        <v>32</v>
      </c>
      <c r="AB61" s="429">
        <f t="shared" si="5"/>
        <v>70</v>
      </c>
      <c r="AC61" s="337"/>
      <c r="AD61" s="337"/>
      <c r="AE61" s="337"/>
      <c r="AF61" s="337"/>
      <c r="AG61" s="337"/>
      <c r="AH61" s="337"/>
      <c r="AI61" s="337"/>
      <c r="AJ61" s="337"/>
      <c r="AK61" s="337"/>
      <c r="AL61" s="337"/>
      <c r="AM61" s="337"/>
      <c r="AN61" s="337"/>
    </row>
    <row r="62" spans="1:40" ht="21.75" customHeight="1" x14ac:dyDescent="0.25">
      <c r="A62" s="429">
        <v>54</v>
      </c>
      <c r="B62" s="540">
        <v>5191421054</v>
      </c>
      <c r="C62" s="541">
        <v>1</v>
      </c>
      <c r="D62" s="541">
        <v>0</v>
      </c>
      <c r="E62" s="541">
        <v>2</v>
      </c>
      <c r="F62" s="541">
        <v>2</v>
      </c>
      <c r="G62" s="541"/>
      <c r="H62" s="541"/>
      <c r="I62" s="541"/>
      <c r="J62" s="541"/>
      <c r="K62" s="541">
        <v>4</v>
      </c>
      <c r="L62" s="542">
        <f t="shared" si="6"/>
        <v>9</v>
      </c>
      <c r="M62" s="540">
        <v>5191421054</v>
      </c>
      <c r="N62" s="542">
        <v>2</v>
      </c>
      <c r="O62" s="539">
        <v>0</v>
      </c>
      <c r="P62" s="539">
        <v>2</v>
      </c>
      <c r="Q62" s="539"/>
      <c r="R62" s="543"/>
      <c r="S62" s="543"/>
      <c r="T62" s="539"/>
      <c r="U62" s="539">
        <v>5</v>
      </c>
      <c r="V62" s="542">
        <f t="shared" si="7"/>
        <v>9</v>
      </c>
      <c r="W62" s="431">
        <f t="shared" si="8"/>
        <v>9</v>
      </c>
      <c r="X62" s="431">
        <f t="shared" si="9"/>
        <v>9</v>
      </c>
      <c r="Y62" s="431">
        <f t="shared" si="4"/>
        <v>9</v>
      </c>
      <c r="Z62" s="337"/>
      <c r="AA62" s="544" t="s">
        <v>33</v>
      </c>
      <c r="AB62" s="429">
        <f t="shared" si="5"/>
        <v>60</v>
      </c>
      <c r="AC62" s="337"/>
      <c r="AD62" s="337"/>
      <c r="AE62" s="337"/>
      <c r="AF62" s="337"/>
      <c r="AG62" s="337"/>
      <c r="AH62" s="337"/>
      <c r="AI62" s="337"/>
      <c r="AJ62" s="337"/>
      <c r="AK62" s="337"/>
      <c r="AL62" s="337"/>
      <c r="AM62" s="337"/>
      <c r="AN62" s="337"/>
    </row>
    <row r="63" spans="1:40" ht="21.75" customHeight="1" x14ac:dyDescent="0.25">
      <c r="A63" s="429">
        <v>55</v>
      </c>
      <c r="B63" s="540">
        <v>5191421055</v>
      </c>
      <c r="C63" s="541">
        <v>1</v>
      </c>
      <c r="D63" s="541">
        <v>1</v>
      </c>
      <c r="E63" s="541">
        <v>2</v>
      </c>
      <c r="F63" s="541">
        <v>4</v>
      </c>
      <c r="G63" s="541">
        <v>5</v>
      </c>
      <c r="H63" s="541"/>
      <c r="I63" s="541"/>
      <c r="J63" s="541">
        <v>4</v>
      </c>
      <c r="K63" s="541"/>
      <c r="L63" s="542">
        <f t="shared" si="6"/>
        <v>17</v>
      </c>
      <c r="M63" s="540">
        <v>5191421055</v>
      </c>
      <c r="N63" s="542">
        <v>2</v>
      </c>
      <c r="O63" s="539">
        <v>0</v>
      </c>
      <c r="P63" s="539">
        <v>1</v>
      </c>
      <c r="Q63" s="539"/>
      <c r="R63" s="543"/>
      <c r="S63" s="543">
        <v>3</v>
      </c>
      <c r="T63" s="539"/>
      <c r="U63" s="539">
        <v>2</v>
      </c>
      <c r="V63" s="542">
        <f t="shared" si="7"/>
        <v>8</v>
      </c>
      <c r="W63" s="431">
        <f t="shared" si="8"/>
        <v>17</v>
      </c>
      <c r="X63" s="431">
        <f t="shared" si="9"/>
        <v>8</v>
      </c>
      <c r="Y63" s="431">
        <f t="shared" si="4"/>
        <v>12.5</v>
      </c>
      <c r="Z63" s="337"/>
      <c r="AA63" s="544" t="s">
        <v>33</v>
      </c>
      <c r="AB63" s="429">
        <f t="shared" si="5"/>
        <v>60</v>
      </c>
      <c r="AC63" s="337"/>
      <c r="AD63" s="337"/>
      <c r="AE63" s="337"/>
      <c r="AF63" s="337"/>
      <c r="AG63" s="337"/>
      <c r="AH63" s="337"/>
      <c r="AI63" s="337"/>
      <c r="AJ63" s="337"/>
      <c r="AK63" s="337"/>
      <c r="AL63" s="337"/>
      <c r="AM63" s="337"/>
      <c r="AN63" s="337"/>
    </row>
    <row r="64" spans="1:40" ht="21.75" customHeight="1" x14ac:dyDescent="0.25">
      <c r="A64" s="429">
        <v>56</v>
      </c>
      <c r="B64" s="540">
        <v>5191421056</v>
      </c>
      <c r="C64" s="541"/>
      <c r="D64" s="541">
        <v>0</v>
      </c>
      <c r="E64" s="541">
        <v>2</v>
      </c>
      <c r="F64" s="541">
        <v>0</v>
      </c>
      <c r="G64" s="541"/>
      <c r="H64" s="541"/>
      <c r="I64" s="541">
        <v>3</v>
      </c>
      <c r="J64" s="541">
        <v>4</v>
      </c>
      <c r="K64" s="541"/>
      <c r="L64" s="542">
        <f t="shared" si="6"/>
        <v>9</v>
      </c>
      <c r="M64" s="540">
        <v>5191421056</v>
      </c>
      <c r="N64" s="542">
        <v>1</v>
      </c>
      <c r="O64" s="539"/>
      <c r="P64" s="539">
        <v>2</v>
      </c>
      <c r="Q64" s="539">
        <v>1</v>
      </c>
      <c r="R64" s="543"/>
      <c r="S64" s="543"/>
      <c r="T64" s="539">
        <v>4</v>
      </c>
      <c r="U64" s="539"/>
      <c r="V64" s="542">
        <f t="shared" si="7"/>
        <v>8</v>
      </c>
      <c r="W64" s="431">
        <f t="shared" si="8"/>
        <v>9</v>
      </c>
      <c r="X64" s="431">
        <f t="shared" si="9"/>
        <v>8</v>
      </c>
      <c r="Y64" s="431">
        <f t="shared" si="4"/>
        <v>8.5</v>
      </c>
      <c r="Z64" s="337"/>
      <c r="AA64" s="544" t="s">
        <v>31</v>
      </c>
      <c r="AB64" s="429">
        <f t="shared" si="5"/>
        <v>55</v>
      </c>
      <c r="AC64" s="337"/>
      <c r="AD64" s="337"/>
      <c r="AE64" s="337"/>
      <c r="AF64" s="337"/>
      <c r="AG64" s="337"/>
      <c r="AH64" s="337"/>
      <c r="AI64" s="337"/>
      <c r="AJ64" s="337"/>
      <c r="AK64" s="337"/>
      <c r="AL64" s="337"/>
      <c r="AM64" s="337"/>
      <c r="AN64" s="337"/>
    </row>
    <row r="65" spans="1:40" ht="21.75" customHeight="1" x14ac:dyDescent="0.25">
      <c r="A65" s="429">
        <v>57</v>
      </c>
      <c r="B65" s="540">
        <v>5191421057</v>
      </c>
      <c r="C65" s="541">
        <v>1</v>
      </c>
      <c r="D65" s="541">
        <v>1</v>
      </c>
      <c r="E65" s="541">
        <v>2</v>
      </c>
      <c r="F65" s="541"/>
      <c r="G65" s="541"/>
      <c r="H65" s="541">
        <v>8</v>
      </c>
      <c r="I65" s="541"/>
      <c r="J65" s="541"/>
      <c r="K65" s="541">
        <v>6</v>
      </c>
      <c r="L65" s="542">
        <f t="shared" si="6"/>
        <v>18</v>
      </c>
      <c r="M65" s="540">
        <v>5191421057</v>
      </c>
      <c r="N65" s="542">
        <v>2</v>
      </c>
      <c r="O65" s="539">
        <v>2</v>
      </c>
      <c r="P65" s="539">
        <v>2</v>
      </c>
      <c r="Q65" s="539"/>
      <c r="R65" s="543"/>
      <c r="S65" s="543">
        <v>0</v>
      </c>
      <c r="T65" s="539">
        <v>8</v>
      </c>
      <c r="U65" s="539"/>
      <c r="V65" s="542">
        <f t="shared" si="7"/>
        <v>14</v>
      </c>
      <c r="W65" s="431">
        <f t="shared" si="8"/>
        <v>18</v>
      </c>
      <c r="X65" s="431">
        <f t="shared" si="9"/>
        <v>14</v>
      </c>
      <c r="Y65" s="431">
        <f t="shared" si="4"/>
        <v>16</v>
      </c>
      <c r="Z65" s="337"/>
      <c r="AA65" s="563" t="s">
        <v>32</v>
      </c>
      <c r="AB65" s="429">
        <f t="shared" si="5"/>
        <v>70</v>
      </c>
      <c r="AC65" s="337"/>
      <c r="AD65" s="337"/>
      <c r="AE65" s="337"/>
      <c r="AF65" s="337"/>
      <c r="AG65" s="337"/>
      <c r="AH65" s="337"/>
      <c r="AI65" s="337"/>
      <c r="AJ65" s="337"/>
      <c r="AK65" s="337"/>
      <c r="AL65" s="337"/>
      <c r="AM65" s="337"/>
      <c r="AN65" s="337"/>
    </row>
    <row r="66" spans="1:40" ht="21.75" customHeight="1" x14ac:dyDescent="0.25">
      <c r="A66" s="429">
        <v>58</v>
      </c>
      <c r="B66" s="540">
        <v>5191421058</v>
      </c>
      <c r="C66" s="541">
        <v>1</v>
      </c>
      <c r="D66" s="541"/>
      <c r="E66" s="541">
        <v>2</v>
      </c>
      <c r="F66" s="541">
        <v>0</v>
      </c>
      <c r="G66" s="541">
        <v>2</v>
      </c>
      <c r="H66" s="541"/>
      <c r="I66" s="541"/>
      <c r="J66" s="541"/>
      <c r="K66" s="541"/>
      <c r="L66" s="542">
        <f t="shared" si="6"/>
        <v>5</v>
      </c>
      <c r="M66" s="540">
        <v>5191421058</v>
      </c>
      <c r="N66" s="542">
        <v>1</v>
      </c>
      <c r="O66" s="539"/>
      <c r="P66" s="539"/>
      <c r="Q66" s="539">
        <v>0</v>
      </c>
      <c r="R66" s="543"/>
      <c r="S66" s="543"/>
      <c r="T66" s="539">
        <v>7</v>
      </c>
      <c r="U66" s="539"/>
      <c r="V66" s="542">
        <f t="shared" si="7"/>
        <v>8</v>
      </c>
      <c r="W66" s="431">
        <f t="shared" si="8"/>
        <v>5</v>
      </c>
      <c r="X66" s="431">
        <f t="shared" si="9"/>
        <v>8</v>
      </c>
      <c r="Y66" s="431">
        <f t="shared" si="4"/>
        <v>6.5</v>
      </c>
      <c r="Z66" s="337"/>
      <c r="AA66" s="564" t="s">
        <v>28</v>
      </c>
      <c r="AB66" s="429">
        <f t="shared" si="5"/>
        <v>50</v>
      </c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</row>
    <row r="67" spans="1:40" ht="21.75" customHeight="1" x14ac:dyDescent="0.25">
      <c r="A67" s="379"/>
      <c r="B67" s="379"/>
      <c r="C67" s="379">
        <f>COUNT(C9:C66)</f>
        <v>49</v>
      </c>
      <c r="D67" s="379">
        <f t="shared" ref="D67:K67" si="10">COUNT(D9:D66)</f>
        <v>26</v>
      </c>
      <c r="E67" s="379">
        <f t="shared" si="10"/>
        <v>53</v>
      </c>
      <c r="F67" s="379">
        <f t="shared" si="10"/>
        <v>47</v>
      </c>
      <c r="G67" s="379">
        <f t="shared" si="10"/>
        <v>39</v>
      </c>
      <c r="H67" s="379">
        <f t="shared" si="10"/>
        <v>8</v>
      </c>
      <c r="I67" s="379">
        <f t="shared" si="10"/>
        <v>30</v>
      </c>
      <c r="J67" s="379">
        <f t="shared" si="10"/>
        <v>36</v>
      </c>
      <c r="K67" s="379">
        <f t="shared" si="10"/>
        <v>13</v>
      </c>
      <c r="L67" s="379"/>
      <c r="M67" s="379"/>
      <c r="N67" s="379">
        <f t="shared" ref="N67:U67" si="11">COUNT(N9:N66)</f>
        <v>50</v>
      </c>
      <c r="O67" s="379">
        <f t="shared" si="11"/>
        <v>35</v>
      </c>
      <c r="P67" s="379">
        <f t="shared" si="11"/>
        <v>49</v>
      </c>
      <c r="Q67" s="379">
        <f t="shared" si="11"/>
        <v>8</v>
      </c>
      <c r="R67" s="379">
        <f t="shared" si="11"/>
        <v>4</v>
      </c>
      <c r="S67" s="379">
        <f t="shared" si="11"/>
        <v>42</v>
      </c>
      <c r="T67" s="379">
        <f t="shared" si="11"/>
        <v>51</v>
      </c>
      <c r="U67" s="379">
        <f t="shared" si="11"/>
        <v>5</v>
      </c>
      <c r="V67" s="379"/>
      <c r="W67" s="565"/>
      <c r="X67" s="565"/>
      <c r="Y67" s="565"/>
      <c r="Z67" s="337"/>
      <c r="AA67" s="337"/>
      <c r="AB67" s="337"/>
      <c r="AC67" s="337"/>
      <c r="AD67" s="337"/>
      <c r="AE67" s="337"/>
      <c r="AF67" s="337"/>
      <c r="AG67" s="337"/>
      <c r="AH67" s="337"/>
      <c r="AI67" s="337"/>
      <c r="AJ67" s="337"/>
      <c r="AK67" s="337"/>
      <c r="AL67" s="337"/>
      <c r="AM67" s="337"/>
      <c r="AN67" s="337"/>
    </row>
    <row r="68" spans="1:40" ht="21.75" customHeight="1" x14ac:dyDescent="0.25">
      <c r="A68" s="566" t="s">
        <v>34</v>
      </c>
      <c r="B68" s="566">
        <v>55</v>
      </c>
      <c r="C68" s="567">
        <f>C8*(B68/100)</f>
        <v>1.1000000000000001</v>
      </c>
      <c r="D68" s="567">
        <f>D8*(B68/100)</f>
        <v>1.1000000000000001</v>
      </c>
      <c r="E68" s="567">
        <f>E8*(B68/100)</f>
        <v>1.1000000000000001</v>
      </c>
      <c r="F68" s="567">
        <f>F8*(B68/100)</f>
        <v>2.75</v>
      </c>
      <c r="G68" s="567">
        <f>G8*(B68/100)</f>
        <v>3.8500000000000005</v>
      </c>
      <c r="H68" s="567">
        <f>H8*(B68/100)</f>
        <v>6.6000000000000005</v>
      </c>
      <c r="I68" s="567">
        <f>I8*(B68/100)</f>
        <v>3.8500000000000005</v>
      </c>
      <c r="J68" s="567">
        <f>J8*(B68/100)</f>
        <v>2.75</v>
      </c>
      <c r="K68" s="567">
        <f>K8*(B68/100)</f>
        <v>6.6000000000000005</v>
      </c>
      <c r="L68" s="567"/>
      <c r="M68" s="567"/>
      <c r="N68" s="567">
        <f>N8*(B68/100)</f>
        <v>1.1000000000000001</v>
      </c>
      <c r="O68" s="567">
        <f>O8*(B68/100)</f>
        <v>1.1000000000000001</v>
      </c>
      <c r="P68" s="567">
        <f>P8*(B68/100)</f>
        <v>1.1000000000000001</v>
      </c>
      <c r="Q68" s="567">
        <f>Q8*(B68/100)</f>
        <v>3.8500000000000005</v>
      </c>
      <c r="R68" s="567">
        <f>R8*(B68/100)</f>
        <v>2.75</v>
      </c>
      <c r="S68" s="567">
        <f>S8*(B68/100)</f>
        <v>6.6000000000000005</v>
      </c>
      <c r="T68" s="567">
        <f>T8*(B68/100)</f>
        <v>6.6000000000000005</v>
      </c>
      <c r="U68" s="567">
        <f>U8*(B68/100)</f>
        <v>6.6000000000000005</v>
      </c>
      <c r="V68" s="567"/>
      <c r="W68" s="565"/>
      <c r="X68" s="565"/>
      <c r="Y68" s="565"/>
      <c r="Z68" s="337"/>
      <c r="AA68" s="337"/>
      <c r="AB68" s="379">
        <f>COUNTIF(AB9:AB66,"&gt;="&amp;B68)</f>
        <v>47</v>
      </c>
      <c r="AC68" s="337"/>
      <c r="AD68" s="337"/>
      <c r="AE68" s="337"/>
      <c r="AF68" s="337"/>
      <c r="AG68" s="337"/>
      <c r="AH68" s="337"/>
      <c r="AI68" s="337"/>
      <c r="AJ68" s="337"/>
      <c r="AK68" s="337"/>
      <c r="AL68" s="337"/>
      <c r="AM68" s="337"/>
      <c r="AN68" s="337"/>
    </row>
    <row r="69" spans="1:40" ht="21.75" customHeight="1" x14ac:dyDescent="0.25">
      <c r="A69" s="3397" t="s">
        <v>35</v>
      </c>
      <c r="B69" s="3397"/>
      <c r="C69" s="379">
        <f t="shared" ref="C69:J69" si="12">COUNTIF(C9:C66,"&gt;="&amp;C68)</f>
        <v>11</v>
      </c>
      <c r="D69" s="379">
        <f t="shared" si="12"/>
        <v>11</v>
      </c>
      <c r="E69" s="379">
        <f t="shared" si="12"/>
        <v>28</v>
      </c>
      <c r="F69" s="379">
        <f t="shared" si="12"/>
        <v>42</v>
      </c>
      <c r="G69" s="379">
        <f t="shared" si="12"/>
        <v>31</v>
      </c>
      <c r="H69" s="379">
        <f t="shared" si="12"/>
        <v>5</v>
      </c>
      <c r="I69" s="379">
        <f t="shared" si="12"/>
        <v>15</v>
      </c>
      <c r="J69" s="379">
        <f t="shared" si="12"/>
        <v>32</v>
      </c>
      <c r="K69" s="379">
        <f>COUNTIF(K9:K66,"&gt;="&amp;K68)</f>
        <v>2</v>
      </c>
      <c r="L69" s="379"/>
      <c r="M69" s="379"/>
      <c r="N69" s="379">
        <f t="shared" ref="N69:U69" si="13">COUNTIF(N9:N66,"&gt;="&amp;N68)</f>
        <v>20</v>
      </c>
      <c r="O69" s="379">
        <f t="shared" si="13"/>
        <v>10</v>
      </c>
      <c r="P69" s="379">
        <f t="shared" si="13"/>
        <v>29</v>
      </c>
      <c r="Q69" s="379">
        <f t="shared" si="13"/>
        <v>0</v>
      </c>
      <c r="R69" s="379">
        <f t="shared" si="13"/>
        <v>0</v>
      </c>
      <c r="S69" s="379">
        <f t="shared" si="13"/>
        <v>7</v>
      </c>
      <c r="T69" s="379">
        <f t="shared" si="13"/>
        <v>29</v>
      </c>
      <c r="U69" s="379">
        <f t="shared" si="13"/>
        <v>2</v>
      </c>
      <c r="V69" s="379"/>
      <c r="W69" s="565"/>
      <c r="X69" s="565"/>
      <c r="Y69" s="565"/>
      <c r="Z69" s="337"/>
      <c r="AA69" s="337"/>
      <c r="AB69" s="379">
        <f>(AB68/A66)*100</f>
        <v>81.034482758620683</v>
      </c>
      <c r="AC69" s="337"/>
      <c r="AD69" s="337"/>
      <c r="AE69" s="337"/>
      <c r="AF69" s="337"/>
      <c r="AG69" s="337"/>
      <c r="AH69" s="337"/>
      <c r="AI69" s="337"/>
      <c r="AJ69" s="337"/>
      <c r="AK69" s="337"/>
      <c r="AL69" s="337"/>
      <c r="AM69" s="337"/>
      <c r="AN69" s="337"/>
    </row>
    <row r="70" spans="1:40" ht="21.75" customHeight="1" x14ac:dyDescent="0.25">
      <c r="A70" s="3398" t="s">
        <v>36</v>
      </c>
      <c r="B70" s="3398"/>
      <c r="C70" s="379">
        <f t="shared" ref="C70:U70" si="14">C69/C67</f>
        <v>0.22448979591836735</v>
      </c>
      <c r="D70" s="379">
        <f t="shared" si="14"/>
        <v>0.42307692307692307</v>
      </c>
      <c r="E70" s="379">
        <f t="shared" si="14"/>
        <v>0.52830188679245282</v>
      </c>
      <c r="F70" s="379">
        <f t="shared" si="14"/>
        <v>0.8936170212765957</v>
      </c>
      <c r="G70" s="379">
        <f t="shared" si="14"/>
        <v>0.79487179487179482</v>
      </c>
      <c r="H70" s="379">
        <f t="shared" si="14"/>
        <v>0.625</v>
      </c>
      <c r="I70" s="379">
        <f t="shared" si="14"/>
        <v>0.5</v>
      </c>
      <c r="J70" s="379">
        <f t="shared" si="14"/>
        <v>0.88888888888888884</v>
      </c>
      <c r="K70" s="379">
        <f>K69/K67</f>
        <v>0.15384615384615385</v>
      </c>
      <c r="L70" s="379"/>
      <c r="M70" s="379"/>
      <c r="N70" s="379">
        <f t="shared" si="14"/>
        <v>0.4</v>
      </c>
      <c r="O70" s="379">
        <f t="shared" si="14"/>
        <v>0.2857142857142857</v>
      </c>
      <c r="P70" s="379">
        <f t="shared" si="14"/>
        <v>0.59183673469387754</v>
      </c>
      <c r="Q70" s="379">
        <f t="shared" si="14"/>
        <v>0</v>
      </c>
      <c r="R70" s="379">
        <f t="shared" si="14"/>
        <v>0</v>
      </c>
      <c r="S70" s="379">
        <f t="shared" si="14"/>
        <v>0.16666666666666666</v>
      </c>
      <c r="T70" s="379">
        <f t="shared" si="14"/>
        <v>0.56862745098039214</v>
      </c>
      <c r="U70" s="379">
        <f t="shared" si="14"/>
        <v>0.4</v>
      </c>
      <c r="V70" s="379"/>
      <c r="W70" s="565"/>
      <c r="X70" s="565"/>
      <c r="Y70" s="565"/>
      <c r="Z70" s="337"/>
      <c r="AA70" s="337"/>
      <c r="AB70" s="379"/>
      <c r="AC70" s="337"/>
      <c r="AD70" s="337"/>
      <c r="AE70" s="337"/>
      <c r="AF70" s="337"/>
      <c r="AG70" s="337"/>
      <c r="AH70" s="337"/>
      <c r="AI70" s="337"/>
      <c r="AJ70" s="337"/>
      <c r="AK70" s="337"/>
      <c r="AL70" s="337"/>
      <c r="AM70" s="337"/>
      <c r="AN70" s="337"/>
    </row>
    <row r="71" spans="1:40" ht="21.75" customHeight="1" x14ac:dyDescent="0.25">
      <c r="A71" s="337"/>
      <c r="B71" s="337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337"/>
      <c r="X71" s="337"/>
      <c r="Y71" s="337"/>
      <c r="Z71" s="337"/>
      <c r="AA71" s="337"/>
      <c r="AB71" s="337"/>
      <c r="AC71" s="337"/>
      <c r="AD71" s="337"/>
      <c r="AE71" s="337"/>
      <c r="AF71" s="337"/>
      <c r="AG71" s="337"/>
      <c r="AH71" s="337"/>
      <c r="AI71" s="337"/>
      <c r="AJ71" s="337"/>
      <c r="AK71" s="337"/>
      <c r="AL71" s="337"/>
      <c r="AM71" s="337"/>
      <c r="AN71" s="337"/>
    </row>
    <row r="72" spans="1:40" ht="21.75" customHeight="1" x14ac:dyDescent="0.25">
      <c r="A72" s="337"/>
      <c r="B72" s="337"/>
      <c r="C72" s="539" t="s">
        <v>20</v>
      </c>
      <c r="D72" s="539" t="s">
        <v>20</v>
      </c>
      <c r="E72" s="539" t="s">
        <v>21</v>
      </c>
      <c r="F72" s="539" t="s">
        <v>20</v>
      </c>
      <c r="G72" s="539" t="s">
        <v>20</v>
      </c>
      <c r="H72" s="539" t="s">
        <v>20</v>
      </c>
      <c r="I72" s="539" t="s">
        <v>21</v>
      </c>
      <c r="J72" s="539" t="s">
        <v>21</v>
      </c>
      <c r="K72" s="539" t="s">
        <v>21</v>
      </c>
      <c r="L72" s="337"/>
      <c r="M72" s="337"/>
      <c r="N72" s="539" t="s">
        <v>23</v>
      </c>
      <c r="O72" s="539" t="s">
        <v>23</v>
      </c>
      <c r="P72" s="539" t="s">
        <v>25</v>
      </c>
      <c r="Q72" s="539" t="s">
        <v>23</v>
      </c>
      <c r="R72" s="539" t="s">
        <v>23</v>
      </c>
      <c r="S72" s="539" t="s">
        <v>23</v>
      </c>
      <c r="T72" s="539" t="s">
        <v>25</v>
      </c>
      <c r="U72" s="539" t="s">
        <v>25</v>
      </c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37"/>
      <c r="AH72" s="337"/>
      <c r="AI72" s="337"/>
      <c r="AJ72" s="337"/>
      <c r="AK72" s="337"/>
      <c r="AL72" s="337"/>
      <c r="AM72" s="337"/>
      <c r="AN72" s="337"/>
    </row>
    <row r="73" spans="1:40" ht="21.75" customHeight="1" x14ac:dyDescent="0.25">
      <c r="A73" s="337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  <c r="AB73" s="337"/>
      <c r="AC73" s="337"/>
      <c r="AD73" s="337"/>
      <c r="AE73" s="337"/>
      <c r="AF73" s="337"/>
      <c r="AG73" s="337"/>
      <c r="AH73" s="337"/>
      <c r="AI73" s="337"/>
      <c r="AJ73" s="337"/>
      <c r="AK73" s="337"/>
      <c r="AL73" s="337"/>
      <c r="AM73" s="337"/>
      <c r="AN73" s="337"/>
    </row>
    <row r="74" spans="1:40" ht="21.75" customHeight="1" x14ac:dyDescent="0.25">
      <c r="A74" s="337"/>
      <c r="B74" s="337"/>
      <c r="C74" s="337" t="s">
        <v>38</v>
      </c>
      <c r="D74" s="337"/>
      <c r="E74" s="337" t="s">
        <v>39</v>
      </c>
      <c r="F74" s="3396" t="s">
        <v>37</v>
      </c>
      <c r="G74" s="3396"/>
      <c r="H74" s="379"/>
      <c r="I74" s="379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37"/>
      <c r="AH74" s="337"/>
      <c r="AI74" s="337"/>
      <c r="AJ74" s="337"/>
      <c r="AK74" s="337"/>
      <c r="AL74" s="337"/>
      <c r="AM74" s="337"/>
      <c r="AN74" s="337"/>
    </row>
    <row r="75" spans="1:40" ht="21.75" customHeight="1" x14ac:dyDescent="0.25">
      <c r="A75" s="337"/>
      <c r="B75" s="404" t="s">
        <v>22</v>
      </c>
      <c r="C75" s="337">
        <f>AVERAGE(C70,D70,F70,G70,H70)*100</f>
        <v>59.221110702873617</v>
      </c>
      <c r="D75" s="379">
        <f>IF(C75&gt;=70,3,IF(AND(C75&gt;=60,C75&lt;70),2,IF(AND(C75&gt;=50,C75&lt;60),1)))</f>
        <v>1</v>
      </c>
      <c r="E75" s="379">
        <f>IF(AB69&gt;=70,3,IF(AND(AB69&gt;=60,AB69&lt;70),2,IF(AND(AB69&gt;=50,AB69&lt;60),1)))</f>
        <v>3</v>
      </c>
      <c r="F75" s="3396">
        <f t="shared" ref="F75:F78" si="15">(70/100)*E75+(30/100)*D75</f>
        <v>2.3999999999999995</v>
      </c>
      <c r="G75" s="3396"/>
      <c r="H75" s="379"/>
      <c r="I75" s="379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  <c r="W75" s="337"/>
      <c r="X75" s="337"/>
      <c r="Y75" s="337"/>
      <c r="Z75" s="337"/>
      <c r="AA75" s="337"/>
      <c r="AB75" s="337"/>
      <c r="AC75" s="337"/>
      <c r="AD75" s="337"/>
      <c r="AE75" s="337"/>
      <c r="AF75" s="337"/>
      <c r="AG75" s="337"/>
      <c r="AH75" s="337"/>
      <c r="AI75" s="337"/>
      <c r="AJ75" s="337"/>
      <c r="AK75" s="337"/>
      <c r="AL75" s="337"/>
      <c r="AM75" s="337"/>
      <c r="AN75" s="337"/>
    </row>
    <row r="76" spans="1:40" ht="21.75" customHeight="1" x14ac:dyDescent="0.25">
      <c r="A76" s="337"/>
      <c r="B76" s="404" t="s">
        <v>40</v>
      </c>
      <c r="C76" s="337">
        <f>AVERAGE(E70,I70,J70,K70)*100</f>
        <v>51.775923238187382</v>
      </c>
      <c r="D76" s="379">
        <f t="shared" ref="D76:D78" si="16">IF(C76&gt;=70,3,IF(AND(C76&gt;=60,C76&lt;70),2,IF(AND(C76&gt;=50,C76&lt;60),1)))</f>
        <v>1</v>
      </c>
      <c r="E76" s="379">
        <f>IF(AB69&gt;=70,3,IF(AND(AB69&gt;=60,AB69&lt;70),2,IF(AND(AB69&gt;=50,AB69&lt;60),1)))</f>
        <v>3</v>
      </c>
      <c r="F76" s="3396">
        <f t="shared" si="15"/>
        <v>2.3999999999999995</v>
      </c>
      <c r="G76" s="3396"/>
      <c r="H76" s="379"/>
      <c r="I76" s="379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37"/>
      <c r="AH76" s="337"/>
      <c r="AI76" s="337"/>
      <c r="AJ76" s="337"/>
      <c r="AK76" s="337"/>
      <c r="AL76" s="337"/>
      <c r="AM76" s="337"/>
      <c r="AN76" s="337"/>
    </row>
    <row r="77" spans="1:40" ht="21.75" customHeight="1" x14ac:dyDescent="0.25">
      <c r="A77" s="337"/>
      <c r="B77" s="404" t="s">
        <v>41</v>
      </c>
      <c r="C77" s="337">
        <f>AVERAGE(N70,O70,Q70,R70,S70)*100</f>
        <v>17.047619047619047</v>
      </c>
      <c r="D77" s="379" t="b">
        <f t="shared" si="16"/>
        <v>0</v>
      </c>
      <c r="E77" s="379">
        <f>IF(AB69&gt;=70,3,IF(AND(AB69&gt;=60,AB69&lt;70),2,IF(AND(AB69&gt;=50,AB69&lt;60),1)))</f>
        <v>3</v>
      </c>
      <c r="F77" s="3396">
        <f t="shared" si="15"/>
        <v>2.0999999999999996</v>
      </c>
      <c r="G77" s="3396"/>
      <c r="H77" s="379"/>
      <c r="I77" s="379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337"/>
      <c r="AJ77" s="337"/>
      <c r="AK77" s="337"/>
      <c r="AL77" s="337"/>
      <c r="AM77" s="337"/>
      <c r="AN77" s="337"/>
    </row>
    <row r="78" spans="1:40" ht="21.75" customHeight="1" x14ac:dyDescent="0.25">
      <c r="A78" s="337"/>
      <c r="B78" s="404" t="s">
        <v>42</v>
      </c>
      <c r="C78" s="337">
        <f>AVERAGE(P70,T70,U70)*100</f>
        <v>52.015472855808994</v>
      </c>
      <c r="D78" s="379">
        <f t="shared" si="16"/>
        <v>1</v>
      </c>
      <c r="E78" s="379">
        <f>IF(AB69&gt;=70,3,IF(AND(AB69&gt;=60,AB69&lt;70),2,IF(AND(AB69&gt;=50,AB69&lt;60),1)))</f>
        <v>3</v>
      </c>
      <c r="F78" s="3396">
        <f t="shared" si="15"/>
        <v>2.3999999999999995</v>
      </c>
      <c r="G78" s="3396"/>
      <c r="H78" s="379"/>
      <c r="I78" s="379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37"/>
      <c r="AH78" s="337"/>
      <c r="AI78" s="337"/>
      <c r="AJ78" s="337"/>
      <c r="AK78" s="337"/>
      <c r="AL78" s="337"/>
      <c r="AM78" s="337"/>
      <c r="AN78" s="337"/>
    </row>
    <row r="79" spans="1:40" ht="21.75" customHeight="1" x14ac:dyDescent="0.25">
      <c r="A79" s="3041" t="s">
        <v>44</v>
      </c>
      <c r="B79" s="3041"/>
      <c r="C79" s="3041"/>
      <c r="D79" s="3041"/>
      <c r="E79" s="3041"/>
      <c r="F79" s="3396">
        <f>AVERAGE(F75,F76,F77,F78)</f>
        <v>2.3249999999999993</v>
      </c>
      <c r="G79" s="3396"/>
      <c r="H79" s="379"/>
      <c r="I79" s="379"/>
      <c r="J79" s="569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  <c r="AB79" s="337"/>
      <c r="AC79" s="337"/>
      <c r="AD79" s="337"/>
      <c r="AE79" s="337"/>
      <c r="AF79" s="337"/>
      <c r="AG79" s="337"/>
      <c r="AH79" s="337"/>
      <c r="AI79" s="337"/>
      <c r="AJ79" s="337"/>
      <c r="AK79" s="337"/>
      <c r="AL79" s="337"/>
      <c r="AM79" s="337"/>
      <c r="AN79" s="337"/>
    </row>
    <row r="80" spans="1:40" ht="21.75" customHeight="1" x14ac:dyDescent="0.25">
      <c r="A80" s="337"/>
      <c r="B80" s="337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  <c r="AB80" s="337"/>
      <c r="AC80" s="337"/>
      <c r="AD80" s="337"/>
      <c r="AE80" s="337"/>
      <c r="AF80" s="337"/>
      <c r="AG80" s="337"/>
      <c r="AH80" s="337"/>
      <c r="AI80" s="337"/>
      <c r="AJ80" s="337"/>
      <c r="AK80" s="337"/>
      <c r="AL80" s="337"/>
      <c r="AM80" s="337"/>
      <c r="AN80" s="337"/>
    </row>
    <row r="81" spans="1:40" ht="21.75" customHeight="1" x14ac:dyDescent="0.25">
      <c r="A81" s="337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337"/>
      <c r="AN81" s="337"/>
    </row>
    <row r="82" spans="1:40" ht="21.75" customHeight="1" x14ac:dyDescent="0.25">
      <c r="A82" s="337"/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  <c r="W82" s="337"/>
      <c r="X82" s="337"/>
      <c r="Y82" s="337"/>
      <c r="Z82" s="337"/>
      <c r="AA82" s="337"/>
      <c r="AB82" s="337"/>
      <c r="AC82" s="337"/>
      <c r="AD82" s="337"/>
      <c r="AE82" s="337"/>
      <c r="AF82" s="337"/>
      <c r="AG82" s="337"/>
      <c r="AH82" s="337"/>
      <c r="AI82" s="337"/>
      <c r="AJ82" s="337"/>
      <c r="AK82" s="337"/>
      <c r="AL82" s="337"/>
      <c r="AM82" s="337"/>
      <c r="AN82" s="337"/>
    </row>
    <row r="83" spans="1:40" ht="21.75" customHeight="1" x14ac:dyDescent="0.25">
      <c r="A83" s="337"/>
      <c r="B83" s="326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  <c r="W83" s="337"/>
      <c r="X83" s="337"/>
      <c r="Y83" s="337"/>
      <c r="Z83" s="337"/>
      <c r="AA83" s="337"/>
      <c r="AB83" s="337"/>
      <c r="AC83" s="337"/>
      <c r="AD83" s="337"/>
      <c r="AE83" s="337"/>
      <c r="AF83" s="337"/>
      <c r="AG83" s="337"/>
      <c r="AH83" s="337"/>
      <c r="AI83" s="337"/>
      <c r="AJ83" s="337"/>
      <c r="AK83" s="337"/>
      <c r="AL83" s="337"/>
      <c r="AM83" s="337"/>
      <c r="AN83" s="337"/>
    </row>
    <row r="84" spans="1:40" ht="21.75" customHeight="1" x14ac:dyDescent="0.25">
      <c r="A84" s="3041" t="s">
        <v>261</v>
      </c>
      <c r="B84" s="3041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  <c r="AB84" s="337"/>
      <c r="AC84" s="337"/>
      <c r="AD84" s="337"/>
      <c r="AE84" s="337"/>
      <c r="AF84" s="337"/>
      <c r="AG84" s="337"/>
      <c r="AH84" s="337"/>
      <c r="AI84" s="337"/>
      <c r="AJ84" s="337"/>
      <c r="AK84" s="337"/>
      <c r="AL84" s="337"/>
      <c r="AM84" s="337"/>
      <c r="AN84" s="337"/>
    </row>
    <row r="85" spans="1:40" ht="21.75" customHeight="1" x14ac:dyDescent="0.25">
      <c r="A85" s="337"/>
      <c r="B85" s="458" t="s">
        <v>45</v>
      </c>
      <c r="C85" s="20" t="s">
        <v>46</v>
      </c>
      <c r="D85" s="20" t="s">
        <v>135</v>
      </c>
      <c r="E85" s="20" t="s">
        <v>48</v>
      </c>
      <c r="F85" s="20" t="s">
        <v>49</v>
      </c>
      <c r="G85" s="20" t="s">
        <v>50</v>
      </c>
      <c r="H85" s="20" t="s">
        <v>136</v>
      </c>
      <c r="I85" s="20" t="s">
        <v>52</v>
      </c>
      <c r="J85" s="20" t="s">
        <v>53</v>
      </c>
      <c r="K85" s="570" t="s">
        <v>54</v>
      </c>
      <c r="L85" s="570" t="s">
        <v>55</v>
      </c>
      <c r="M85" s="571" t="s">
        <v>56</v>
      </c>
      <c r="N85" s="572" t="s">
        <v>57</v>
      </c>
      <c r="O85" s="321"/>
      <c r="P85" s="321"/>
      <c r="Q85" s="337"/>
      <c r="R85" s="337"/>
      <c r="S85" s="337"/>
      <c r="T85" s="337"/>
      <c r="U85" s="337"/>
      <c r="V85" s="337"/>
      <c r="W85" s="337"/>
      <c r="X85" s="337"/>
      <c r="Y85" s="337"/>
      <c r="Z85" s="337"/>
      <c r="AA85" s="337"/>
      <c r="AB85" s="337"/>
      <c r="AC85" s="337"/>
      <c r="AD85" s="337"/>
      <c r="AE85" s="337"/>
      <c r="AF85" s="337"/>
      <c r="AG85" s="337"/>
      <c r="AH85" s="337"/>
      <c r="AI85" s="337"/>
      <c r="AJ85" s="337"/>
      <c r="AK85" s="337"/>
      <c r="AL85" s="337"/>
      <c r="AM85" s="337"/>
      <c r="AN85" s="337"/>
    </row>
    <row r="86" spans="1:40" ht="21.75" customHeight="1" x14ac:dyDescent="0.25">
      <c r="A86" s="337"/>
      <c r="B86" s="573" t="s">
        <v>20</v>
      </c>
      <c r="C86" s="448">
        <v>3</v>
      </c>
      <c r="D86" s="574">
        <v>3</v>
      </c>
      <c r="E86" s="575">
        <v>2</v>
      </c>
      <c r="F86" s="575"/>
      <c r="G86" s="576">
        <v>3</v>
      </c>
      <c r="H86" s="575">
        <v>2</v>
      </c>
      <c r="I86" s="575">
        <v>2</v>
      </c>
      <c r="J86" s="575">
        <v>2</v>
      </c>
      <c r="K86" s="575">
        <v>3</v>
      </c>
      <c r="L86" s="575">
        <v>2</v>
      </c>
      <c r="M86" s="577"/>
      <c r="N86" s="575">
        <v>3</v>
      </c>
      <c r="O86" s="578"/>
      <c r="P86" s="578"/>
      <c r="Q86" s="337"/>
      <c r="R86" s="337"/>
      <c r="S86" s="337"/>
      <c r="T86" s="337"/>
      <c r="U86" s="337"/>
      <c r="V86" s="337"/>
      <c r="W86" s="337"/>
      <c r="X86" s="337"/>
      <c r="Y86" s="337"/>
      <c r="Z86" s="337"/>
      <c r="AA86" s="337"/>
      <c r="AB86" s="337"/>
      <c r="AC86" s="337"/>
      <c r="AD86" s="337"/>
      <c r="AE86" s="337"/>
      <c r="AF86" s="337"/>
      <c r="AG86" s="337"/>
      <c r="AH86" s="337"/>
      <c r="AI86" s="337"/>
      <c r="AJ86" s="337"/>
      <c r="AK86" s="337"/>
      <c r="AL86" s="337"/>
      <c r="AM86" s="337"/>
      <c r="AN86" s="337"/>
    </row>
    <row r="87" spans="1:40" ht="21.75" customHeight="1" x14ac:dyDescent="0.25">
      <c r="A87" s="337"/>
      <c r="B87" s="573" t="s">
        <v>21</v>
      </c>
      <c r="C87" s="448">
        <v>3</v>
      </c>
      <c r="D87" s="574">
        <v>3</v>
      </c>
      <c r="E87" s="575">
        <v>2</v>
      </c>
      <c r="F87" s="575"/>
      <c r="G87" s="576">
        <v>3</v>
      </c>
      <c r="H87" s="575">
        <v>2</v>
      </c>
      <c r="I87" s="575">
        <v>2</v>
      </c>
      <c r="J87" s="575">
        <v>2</v>
      </c>
      <c r="K87" s="575">
        <v>3</v>
      </c>
      <c r="L87" s="575">
        <v>2</v>
      </c>
      <c r="M87" s="577"/>
      <c r="N87" s="575">
        <v>3</v>
      </c>
      <c r="O87" s="578"/>
      <c r="P87" s="578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337"/>
      <c r="AJ87" s="337"/>
      <c r="AK87" s="337"/>
      <c r="AL87" s="337"/>
      <c r="AM87" s="337"/>
      <c r="AN87" s="337"/>
    </row>
    <row r="88" spans="1:40" ht="21.75" customHeight="1" x14ac:dyDescent="0.25">
      <c r="A88" s="337"/>
      <c r="B88" s="573" t="s">
        <v>23</v>
      </c>
      <c r="C88" s="448">
        <v>3</v>
      </c>
      <c r="D88" s="574">
        <v>3</v>
      </c>
      <c r="E88" s="575">
        <v>2</v>
      </c>
      <c r="F88" s="575"/>
      <c r="G88" s="576">
        <v>3</v>
      </c>
      <c r="H88" s="575">
        <v>2</v>
      </c>
      <c r="I88" s="575">
        <v>2</v>
      </c>
      <c r="J88" s="575">
        <v>2</v>
      </c>
      <c r="K88" s="575">
        <v>3</v>
      </c>
      <c r="L88" s="575">
        <v>2</v>
      </c>
      <c r="M88" s="577"/>
      <c r="N88" s="575">
        <v>3</v>
      </c>
      <c r="O88" s="578"/>
      <c r="P88" s="578"/>
      <c r="Q88" s="337"/>
      <c r="R88" s="337"/>
      <c r="S88" s="337"/>
      <c r="T88" s="337"/>
      <c r="U88" s="337"/>
      <c r="V88" s="337"/>
      <c r="W88" s="337"/>
      <c r="X88" s="337"/>
      <c r="Y88" s="337"/>
      <c r="Z88" s="337"/>
      <c r="AA88" s="337"/>
      <c r="AB88" s="337"/>
      <c r="AC88" s="337"/>
      <c r="AD88" s="337"/>
      <c r="AE88" s="337"/>
      <c r="AF88" s="337"/>
      <c r="AG88" s="337"/>
      <c r="AH88" s="337"/>
      <c r="AI88" s="337"/>
      <c r="AJ88" s="337"/>
      <c r="AK88" s="337"/>
      <c r="AL88" s="337"/>
      <c r="AM88" s="337"/>
      <c r="AN88" s="337"/>
    </row>
    <row r="89" spans="1:40" ht="21.75" customHeight="1" x14ac:dyDescent="0.25">
      <c r="A89" s="337"/>
      <c r="B89" s="573" t="s">
        <v>25</v>
      </c>
      <c r="C89" s="448">
        <v>3</v>
      </c>
      <c r="D89" s="574">
        <v>3</v>
      </c>
      <c r="E89" s="575">
        <v>2</v>
      </c>
      <c r="F89" s="575"/>
      <c r="G89" s="576">
        <v>3</v>
      </c>
      <c r="H89" s="575">
        <v>2</v>
      </c>
      <c r="I89" s="575">
        <v>2</v>
      </c>
      <c r="J89" s="575">
        <v>2</v>
      </c>
      <c r="K89" s="575">
        <v>3</v>
      </c>
      <c r="L89" s="575">
        <v>2</v>
      </c>
      <c r="M89" s="577"/>
      <c r="N89" s="575">
        <v>3</v>
      </c>
      <c r="O89" s="578"/>
      <c r="P89" s="578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I89" s="337"/>
      <c r="AJ89" s="337"/>
      <c r="AK89" s="337"/>
      <c r="AL89" s="337"/>
      <c r="AM89" s="337"/>
      <c r="AN89" s="337"/>
    </row>
    <row r="90" spans="1:40" ht="21.75" customHeight="1" x14ac:dyDescent="0.25">
      <c r="A90" s="337"/>
      <c r="B90" s="458" t="s">
        <v>10</v>
      </c>
      <c r="C90" s="339">
        <f>AVERAGE(C86:C89)</f>
        <v>3</v>
      </c>
      <c r="D90" s="339">
        <f t="shared" ref="D90:N90" si="17">AVERAGE(D86:D89)</f>
        <v>3</v>
      </c>
      <c r="E90" s="339">
        <f t="shared" si="17"/>
        <v>2</v>
      </c>
      <c r="F90" s="339"/>
      <c r="G90" s="339">
        <f t="shared" si="17"/>
        <v>3</v>
      </c>
      <c r="H90" s="339">
        <f t="shared" si="17"/>
        <v>2</v>
      </c>
      <c r="I90" s="339">
        <f t="shared" si="17"/>
        <v>2</v>
      </c>
      <c r="J90" s="339">
        <f t="shared" si="17"/>
        <v>2</v>
      </c>
      <c r="K90" s="339">
        <f t="shared" si="17"/>
        <v>3</v>
      </c>
      <c r="L90" s="339">
        <f t="shared" si="17"/>
        <v>2</v>
      </c>
      <c r="M90" s="339"/>
      <c r="N90" s="339">
        <f t="shared" si="17"/>
        <v>3</v>
      </c>
      <c r="O90" s="321"/>
      <c r="P90" s="321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7"/>
      <c r="AG90" s="337"/>
      <c r="AH90" s="337"/>
      <c r="AI90" s="337"/>
      <c r="AJ90" s="337"/>
      <c r="AK90" s="337"/>
      <c r="AL90" s="337"/>
      <c r="AM90" s="337"/>
      <c r="AN90" s="337"/>
    </row>
    <row r="91" spans="1:40" ht="21.75" customHeight="1" x14ac:dyDescent="0.25">
      <c r="A91" s="337"/>
      <c r="B91" s="458" t="s">
        <v>58</v>
      </c>
      <c r="C91" s="3400">
        <f>AVERAGE(C90:N90)</f>
        <v>2.5</v>
      </c>
      <c r="D91" s="3285"/>
      <c r="E91" s="3285"/>
      <c r="F91" s="3285"/>
      <c r="G91" s="3285"/>
      <c r="H91" s="3285"/>
      <c r="I91" s="3285"/>
      <c r="J91" s="3285"/>
      <c r="K91" s="3285"/>
      <c r="L91" s="3285"/>
      <c r="M91" s="3285"/>
      <c r="N91" s="3401"/>
      <c r="O91" s="121"/>
      <c r="P91" s="121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337"/>
      <c r="AJ91" s="337"/>
      <c r="AK91" s="337"/>
      <c r="AL91" s="337"/>
      <c r="AM91" s="337"/>
      <c r="AN91" s="337"/>
    </row>
    <row r="92" spans="1:40" ht="21.75" customHeight="1" x14ac:dyDescent="0.25">
      <c r="A92" s="337"/>
      <c r="B92" s="337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  <c r="AC92" s="337"/>
      <c r="AD92" s="337"/>
      <c r="AE92" s="337"/>
      <c r="AF92" s="337"/>
      <c r="AG92" s="337"/>
      <c r="AH92" s="337"/>
      <c r="AI92" s="337"/>
      <c r="AJ92" s="337"/>
      <c r="AK92" s="337"/>
      <c r="AL92" s="337"/>
      <c r="AM92" s="337"/>
      <c r="AN92" s="337"/>
    </row>
    <row r="93" spans="1:40" ht="21.75" customHeight="1" x14ac:dyDescent="0.25">
      <c r="A93" s="337"/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  <c r="AB93" s="337"/>
      <c r="AC93" s="337"/>
      <c r="AD93" s="337"/>
      <c r="AE93" s="337"/>
      <c r="AF93" s="337"/>
      <c r="AG93" s="337"/>
      <c r="AH93" s="337"/>
      <c r="AI93" s="337"/>
      <c r="AJ93" s="337"/>
      <c r="AK93" s="337"/>
      <c r="AL93" s="337"/>
      <c r="AM93" s="337"/>
      <c r="AN93" s="337"/>
    </row>
    <row r="94" spans="1:40" ht="21.75" customHeight="1" x14ac:dyDescent="0.25">
      <c r="A94" s="337"/>
      <c r="B94" s="326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  <c r="AB94" s="337"/>
      <c r="AC94" s="337"/>
      <c r="AD94" s="337"/>
      <c r="AE94" s="337"/>
      <c r="AF94" s="337"/>
      <c r="AG94" s="337"/>
      <c r="AH94" s="337"/>
      <c r="AI94" s="337"/>
      <c r="AJ94" s="337"/>
      <c r="AK94" s="337"/>
      <c r="AL94" s="337"/>
      <c r="AM94" s="337"/>
      <c r="AN94" s="337"/>
    </row>
    <row r="95" spans="1:40" ht="21.75" customHeight="1" x14ac:dyDescent="0.25">
      <c r="A95" s="3041" t="s">
        <v>262</v>
      </c>
      <c r="B95" s="3041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337"/>
      <c r="AN95" s="337"/>
    </row>
    <row r="96" spans="1:40" ht="21.75" customHeight="1" x14ac:dyDescent="0.25">
      <c r="A96" s="337"/>
      <c r="B96" s="2408" t="s">
        <v>45</v>
      </c>
      <c r="C96" s="2409" t="s">
        <v>46</v>
      </c>
      <c r="D96" s="2409" t="s">
        <v>135</v>
      </c>
      <c r="E96" s="2409" t="s">
        <v>48</v>
      </c>
      <c r="F96" s="2409" t="s">
        <v>49</v>
      </c>
      <c r="G96" s="2409" t="s">
        <v>50</v>
      </c>
      <c r="H96" s="2409" t="s">
        <v>136</v>
      </c>
      <c r="I96" s="2409" t="s">
        <v>52</v>
      </c>
      <c r="J96" s="2409" t="s">
        <v>53</v>
      </c>
      <c r="K96" s="2409" t="s">
        <v>54</v>
      </c>
      <c r="L96" s="2409" t="s">
        <v>55</v>
      </c>
      <c r="M96" s="2410" t="s">
        <v>56</v>
      </c>
      <c r="N96" s="2411" t="s">
        <v>57</v>
      </c>
      <c r="O96" s="321"/>
      <c r="P96" s="321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  <c r="AK96" s="337"/>
      <c r="AL96" s="337"/>
      <c r="AM96" s="337"/>
      <c r="AN96" s="337"/>
    </row>
    <row r="97" spans="1:40" ht="21.75" customHeight="1" x14ac:dyDescent="0.25">
      <c r="A97" s="337"/>
      <c r="B97" s="2412" t="s">
        <v>20</v>
      </c>
      <c r="C97" s="2352">
        <f>F75*C86/3</f>
        <v>2.3999999999999995</v>
      </c>
      <c r="D97" s="2352">
        <f>F75*D86/3</f>
        <v>2.3999999999999995</v>
      </c>
      <c r="E97" s="2352">
        <f>E86*F75/3</f>
        <v>1.5999999999999996</v>
      </c>
      <c r="F97" s="2352"/>
      <c r="G97" s="2352">
        <f>F75*G86/3</f>
        <v>2.3999999999999995</v>
      </c>
      <c r="H97" s="2352">
        <f>F75*H86/3</f>
        <v>1.5999999999999996</v>
      </c>
      <c r="I97" s="2352">
        <f>F75*I86/3</f>
        <v>1.5999999999999996</v>
      </c>
      <c r="J97" s="2352">
        <f>F75*J86/3</f>
        <v>1.5999999999999996</v>
      </c>
      <c r="K97" s="2352">
        <f>F75*K86/3</f>
        <v>2.3999999999999995</v>
      </c>
      <c r="L97" s="2352">
        <f>F75*L86/3</f>
        <v>1.5999999999999996</v>
      </c>
      <c r="M97" s="2352"/>
      <c r="N97" s="2352">
        <f>F75*N86/3</f>
        <v>2.3999999999999995</v>
      </c>
      <c r="O97" s="470"/>
      <c r="P97" s="470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  <c r="AK97" s="337"/>
      <c r="AL97" s="337"/>
      <c r="AM97" s="337"/>
      <c r="AN97" s="337"/>
    </row>
    <row r="98" spans="1:40" ht="21.75" customHeight="1" x14ac:dyDescent="0.25">
      <c r="A98" s="337"/>
      <c r="B98" s="2412" t="s">
        <v>21</v>
      </c>
      <c r="C98" s="2352">
        <f t="shared" ref="C98:C100" si="18">F76*C87/3</f>
        <v>2.3999999999999995</v>
      </c>
      <c r="D98" s="2352">
        <f t="shared" ref="D98:D100" si="19">F76*D87/3</f>
        <v>2.3999999999999995</v>
      </c>
      <c r="E98" s="2352">
        <f t="shared" ref="E98:E100" si="20">E87*F76/3</f>
        <v>1.5999999999999996</v>
      </c>
      <c r="F98" s="2352"/>
      <c r="G98" s="2352">
        <f t="shared" ref="G98:G100" si="21">F76*G87/3</f>
        <v>2.3999999999999995</v>
      </c>
      <c r="H98" s="2352">
        <f t="shared" ref="H98:H100" si="22">F76*H87/3</f>
        <v>1.5999999999999996</v>
      </c>
      <c r="I98" s="2352">
        <f t="shared" ref="I98:I100" si="23">F76*I87/3</f>
        <v>1.5999999999999996</v>
      </c>
      <c r="J98" s="2352">
        <f t="shared" ref="J98:J100" si="24">F76*J87/3</f>
        <v>1.5999999999999996</v>
      </c>
      <c r="K98" s="2352">
        <f t="shared" ref="K98:K100" si="25">F76*K87/3</f>
        <v>2.3999999999999995</v>
      </c>
      <c r="L98" s="2352">
        <f t="shared" ref="L98:L100" si="26">F76*L87/3</f>
        <v>1.5999999999999996</v>
      </c>
      <c r="M98" s="2352"/>
      <c r="N98" s="2352">
        <f t="shared" ref="N98:N100" si="27">F76*N87/3</f>
        <v>2.3999999999999995</v>
      </c>
      <c r="O98" s="470"/>
      <c r="P98" s="470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  <c r="AK98" s="337"/>
      <c r="AL98" s="337"/>
      <c r="AM98" s="337"/>
      <c r="AN98" s="337"/>
    </row>
    <row r="99" spans="1:40" ht="21.75" customHeight="1" x14ac:dyDescent="0.25">
      <c r="A99" s="337"/>
      <c r="B99" s="2412" t="s">
        <v>23</v>
      </c>
      <c r="C99" s="2352">
        <f t="shared" si="18"/>
        <v>2.0999999999999996</v>
      </c>
      <c r="D99" s="2352">
        <f t="shared" si="19"/>
        <v>2.0999999999999996</v>
      </c>
      <c r="E99" s="2352">
        <f t="shared" si="20"/>
        <v>1.3999999999999997</v>
      </c>
      <c r="F99" s="2352"/>
      <c r="G99" s="2352">
        <f t="shared" si="21"/>
        <v>2.0999999999999996</v>
      </c>
      <c r="H99" s="2352">
        <f t="shared" si="22"/>
        <v>1.3999999999999997</v>
      </c>
      <c r="I99" s="2352">
        <f t="shared" si="23"/>
        <v>1.3999999999999997</v>
      </c>
      <c r="J99" s="2352">
        <f t="shared" si="24"/>
        <v>1.3999999999999997</v>
      </c>
      <c r="K99" s="2352">
        <f t="shared" si="25"/>
        <v>2.0999999999999996</v>
      </c>
      <c r="L99" s="2352">
        <f t="shared" si="26"/>
        <v>1.3999999999999997</v>
      </c>
      <c r="M99" s="2352"/>
      <c r="N99" s="2352">
        <f t="shared" si="27"/>
        <v>2.0999999999999996</v>
      </c>
      <c r="O99" s="470"/>
      <c r="P99" s="470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  <c r="AB99" s="337"/>
      <c r="AC99" s="337"/>
      <c r="AD99" s="337"/>
      <c r="AE99" s="337"/>
      <c r="AF99" s="337"/>
      <c r="AG99" s="337"/>
      <c r="AH99" s="337"/>
      <c r="AI99" s="337"/>
      <c r="AJ99" s="337"/>
      <c r="AK99" s="337"/>
      <c r="AL99" s="337"/>
      <c r="AM99" s="337"/>
      <c r="AN99" s="337"/>
    </row>
    <row r="100" spans="1:40" ht="21.75" customHeight="1" x14ac:dyDescent="0.25">
      <c r="A100" s="337"/>
      <c r="B100" s="2412" t="s">
        <v>25</v>
      </c>
      <c r="C100" s="2352">
        <f t="shared" si="18"/>
        <v>2.3999999999999995</v>
      </c>
      <c r="D100" s="2352">
        <f t="shared" si="19"/>
        <v>2.3999999999999995</v>
      </c>
      <c r="E100" s="2352">
        <f t="shared" si="20"/>
        <v>1.5999999999999996</v>
      </c>
      <c r="F100" s="2352"/>
      <c r="G100" s="2352">
        <f t="shared" si="21"/>
        <v>2.3999999999999995</v>
      </c>
      <c r="H100" s="2352">
        <f t="shared" si="22"/>
        <v>1.5999999999999996</v>
      </c>
      <c r="I100" s="2352">
        <f t="shared" si="23"/>
        <v>1.5999999999999996</v>
      </c>
      <c r="J100" s="2352">
        <f t="shared" si="24"/>
        <v>1.5999999999999996</v>
      </c>
      <c r="K100" s="2352">
        <f t="shared" si="25"/>
        <v>2.3999999999999995</v>
      </c>
      <c r="L100" s="2352">
        <f t="shared" si="26"/>
        <v>1.5999999999999996</v>
      </c>
      <c r="M100" s="2352"/>
      <c r="N100" s="2352">
        <f t="shared" si="27"/>
        <v>2.3999999999999995</v>
      </c>
      <c r="O100" s="470"/>
      <c r="P100" s="470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  <c r="AB100" s="337"/>
      <c r="AC100" s="337"/>
      <c r="AD100" s="337"/>
      <c r="AE100" s="337"/>
      <c r="AF100" s="337"/>
      <c r="AG100" s="337"/>
      <c r="AH100" s="337"/>
      <c r="AI100" s="337"/>
      <c r="AJ100" s="337"/>
      <c r="AK100" s="337"/>
      <c r="AL100" s="337"/>
      <c r="AM100" s="337"/>
      <c r="AN100" s="337"/>
    </row>
    <row r="101" spans="1:40" ht="21.75" customHeight="1" x14ac:dyDescent="0.25">
      <c r="A101" s="337"/>
      <c r="B101" s="2408" t="s">
        <v>10</v>
      </c>
      <c r="C101" s="2352">
        <f>AVERAGE(C97:C100)</f>
        <v>2.3249999999999993</v>
      </c>
      <c r="D101" s="2352">
        <f>AVERAGE(D97:D100)</f>
        <v>2.3249999999999993</v>
      </c>
      <c r="E101" s="2352">
        <f>AVERAGE(E97:E100)</f>
        <v>1.5499999999999996</v>
      </c>
      <c r="F101" s="2352"/>
      <c r="G101" s="2352">
        <f>AVERAGE(G97:G100)</f>
        <v>2.3249999999999993</v>
      </c>
      <c r="H101" s="2352">
        <f t="shared" ref="H101:L101" si="28">AVERAGE(H97:H100)</f>
        <v>1.5499999999999996</v>
      </c>
      <c r="I101" s="2352">
        <f t="shared" si="28"/>
        <v>1.5499999999999996</v>
      </c>
      <c r="J101" s="2352">
        <f t="shared" si="28"/>
        <v>1.5499999999999996</v>
      </c>
      <c r="K101" s="2352">
        <f t="shared" si="28"/>
        <v>2.3249999999999993</v>
      </c>
      <c r="L101" s="2352">
        <f t="shared" si="28"/>
        <v>1.5499999999999996</v>
      </c>
      <c r="M101" s="2352"/>
      <c r="N101" s="2352">
        <f>AVERAGE(N97:N100)</f>
        <v>2.3249999999999993</v>
      </c>
      <c r="O101" s="470"/>
      <c r="P101" s="470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7"/>
      <c r="AG101" s="337"/>
      <c r="AH101" s="337"/>
      <c r="AI101" s="337"/>
      <c r="AJ101" s="337"/>
      <c r="AK101" s="337"/>
      <c r="AL101" s="337"/>
      <c r="AM101" s="337"/>
      <c r="AN101" s="337"/>
    </row>
    <row r="102" spans="1:40" ht="21.75" customHeight="1" x14ac:dyDescent="0.25">
      <c r="A102" s="337"/>
      <c r="B102" s="2408" t="s">
        <v>58</v>
      </c>
      <c r="C102" s="3402">
        <f>AVERAGE(C101:N101)</f>
        <v>1.9374999999999993</v>
      </c>
      <c r="D102" s="3402"/>
      <c r="E102" s="3402"/>
      <c r="F102" s="3402"/>
      <c r="G102" s="3402"/>
      <c r="H102" s="3402"/>
      <c r="I102" s="3402"/>
      <c r="J102" s="3402"/>
      <c r="K102" s="3402"/>
      <c r="L102" s="3402"/>
      <c r="M102" s="3402"/>
      <c r="N102" s="3402"/>
      <c r="O102" s="121"/>
      <c r="P102" s="121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7"/>
      <c r="AG102" s="337"/>
      <c r="AH102" s="337"/>
      <c r="AI102" s="337"/>
      <c r="AJ102" s="337"/>
      <c r="AK102" s="337"/>
      <c r="AL102" s="337"/>
      <c r="AM102" s="337"/>
      <c r="AN102" s="337"/>
    </row>
    <row r="103" spans="1:40" ht="21.75" customHeight="1" x14ac:dyDescent="0.25">
      <c r="A103" s="337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7"/>
      <c r="AG103" s="337"/>
      <c r="AH103" s="337"/>
      <c r="AI103" s="337"/>
      <c r="AJ103" s="337"/>
      <c r="AK103" s="337"/>
      <c r="AL103" s="337"/>
      <c r="AM103" s="337"/>
      <c r="AN103" s="337"/>
    </row>
    <row r="104" spans="1:40" ht="21.75" customHeight="1" x14ac:dyDescent="0.25">
      <c r="A104" s="337"/>
      <c r="B104" s="326"/>
      <c r="C104" s="334"/>
      <c r="D104" s="334"/>
      <c r="E104" s="337"/>
      <c r="F104" s="337"/>
      <c r="G104" s="337"/>
      <c r="H104" s="337"/>
      <c r="I104" s="337"/>
      <c r="J104" s="337"/>
      <c r="K104" s="156"/>
      <c r="L104" s="334"/>
      <c r="M104" s="334"/>
      <c r="N104" s="334"/>
      <c r="O104" s="334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7"/>
      <c r="AG104" s="337"/>
      <c r="AH104" s="337"/>
      <c r="AI104" s="337"/>
      <c r="AJ104" s="337"/>
      <c r="AK104" s="337"/>
      <c r="AL104" s="337"/>
      <c r="AM104" s="337"/>
      <c r="AN104" s="337"/>
    </row>
    <row r="105" spans="1:40" ht="21.75" customHeight="1" x14ac:dyDescent="0.25">
      <c r="A105" s="3041" t="s">
        <v>263</v>
      </c>
      <c r="B105" s="3041"/>
      <c r="C105" s="334"/>
      <c r="D105" s="334"/>
      <c r="E105" s="337"/>
      <c r="F105" s="337"/>
      <c r="G105" s="337"/>
      <c r="H105" s="337"/>
      <c r="I105" s="337"/>
      <c r="J105" s="337"/>
      <c r="K105" s="404" t="s">
        <v>264</v>
      </c>
      <c r="L105" s="404"/>
      <c r="M105" s="404"/>
      <c r="N105" s="334"/>
      <c r="O105" s="334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  <c r="AB105" s="337"/>
      <c r="AC105" s="337"/>
      <c r="AD105" s="337"/>
      <c r="AE105" s="337"/>
      <c r="AF105" s="337"/>
      <c r="AG105" s="337"/>
      <c r="AH105" s="337"/>
      <c r="AI105" s="337"/>
      <c r="AJ105" s="337"/>
      <c r="AK105" s="337"/>
      <c r="AL105" s="337"/>
      <c r="AM105" s="337"/>
      <c r="AN105" s="337"/>
    </row>
    <row r="106" spans="1:40" ht="21.75" customHeight="1" x14ac:dyDescent="0.25">
      <c r="A106" s="326"/>
      <c r="B106" s="458" t="s">
        <v>59</v>
      </c>
      <c r="C106" s="579" t="s">
        <v>60</v>
      </c>
      <c r="D106" s="579" t="s">
        <v>61</v>
      </c>
      <c r="E106" s="579" t="s">
        <v>62</v>
      </c>
      <c r="F106" s="337"/>
      <c r="G106" s="337"/>
      <c r="H106" s="337"/>
      <c r="I106" s="337"/>
      <c r="J106" s="337"/>
      <c r="K106" s="337"/>
      <c r="L106" s="321"/>
      <c r="M106" s="458" t="s">
        <v>59</v>
      </c>
      <c r="N106" s="579" t="s">
        <v>60</v>
      </c>
      <c r="O106" s="579" t="s">
        <v>61</v>
      </c>
      <c r="P106" s="579" t="s">
        <v>62</v>
      </c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337"/>
      <c r="AJ106" s="337"/>
      <c r="AK106" s="337"/>
      <c r="AL106" s="337"/>
      <c r="AM106" s="337"/>
      <c r="AN106" s="337"/>
    </row>
    <row r="107" spans="1:40" ht="21.75" customHeight="1" x14ac:dyDescent="0.25">
      <c r="A107" s="337"/>
      <c r="B107" s="331" t="s">
        <v>20</v>
      </c>
      <c r="C107" s="580">
        <v>3</v>
      </c>
      <c r="D107" s="580">
        <v>1</v>
      </c>
      <c r="E107" s="580">
        <v>2</v>
      </c>
      <c r="F107" s="337"/>
      <c r="G107" s="337"/>
      <c r="H107" s="337"/>
      <c r="I107" s="337"/>
      <c r="J107" s="337"/>
      <c r="K107" s="337"/>
      <c r="L107" s="321"/>
      <c r="M107" s="331" t="s">
        <v>20</v>
      </c>
      <c r="N107" s="459">
        <f>F75*C107/3</f>
        <v>2.3999999999999995</v>
      </c>
      <c r="O107" s="459">
        <f>F75*D107/3</f>
        <v>0.79999999999999982</v>
      </c>
      <c r="P107" s="459">
        <f>F75*E107/3</f>
        <v>1.5999999999999996</v>
      </c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337"/>
      <c r="AJ107" s="337"/>
      <c r="AK107" s="337"/>
      <c r="AL107" s="337"/>
      <c r="AM107" s="337"/>
      <c r="AN107" s="337"/>
    </row>
    <row r="108" spans="1:40" ht="21.75" customHeight="1" x14ac:dyDescent="0.25">
      <c r="A108" s="337"/>
      <c r="B108" s="573" t="s">
        <v>21</v>
      </c>
      <c r="C108" s="580">
        <v>3</v>
      </c>
      <c r="D108" s="580">
        <v>1</v>
      </c>
      <c r="E108" s="580">
        <v>2</v>
      </c>
      <c r="F108" s="337"/>
      <c r="G108" s="337"/>
      <c r="H108" s="337"/>
      <c r="I108" s="337"/>
      <c r="J108" s="337"/>
      <c r="K108" s="337"/>
      <c r="L108" s="321"/>
      <c r="M108" s="573" t="s">
        <v>21</v>
      </c>
      <c r="N108" s="459">
        <f t="shared" ref="N108:N110" si="29">F76*C108/3</f>
        <v>2.3999999999999995</v>
      </c>
      <c r="O108" s="459">
        <f t="shared" ref="O108:O110" si="30">F76*D108/3</f>
        <v>0.79999999999999982</v>
      </c>
      <c r="P108" s="459">
        <f t="shared" ref="P108:P110" si="31">F76*E108/3</f>
        <v>1.5999999999999996</v>
      </c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  <c r="AB108" s="337"/>
      <c r="AC108" s="337"/>
      <c r="AD108" s="337"/>
      <c r="AE108" s="337"/>
      <c r="AF108" s="337"/>
      <c r="AG108" s="337"/>
      <c r="AH108" s="337"/>
      <c r="AI108" s="337"/>
      <c r="AJ108" s="337"/>
      <c r="AK108" s="337"/>
      <c r="AL108" s="337"/>
      <c r="AM108" s="337"/>
      <c r="AN108" s="337"/>
    </row>
    <row r="109" spans="1:40" ht="21.75" customHeight="1" x14ac:dyDescent="0.25">
      <c r="A109" s="337"/>
      <c r="B109" s="573" t="s">
        <v>23</v>
      </c>
      <c r="C109" s="580">
        <v>3</v>
      </c>
      <c r="D109" s="580">
        <v>1</v>
      </c>
      <c r="E109" s="580">
        <v>2</v>
      </c>
      <c r="F109" s="337"/>
      <c r="G109" s="337"/>
      <c r="H109" s="337"/>
      <c r="I109" s="337"/>
      <c r="J109" s="337"/>
      <c r="K109" s="337"/>
      <c r="L109" s="321"/>
      <c r="M109" s="573" t="s">
        <v>23</v>
      </c>
      <c r="N109" s="459">
        <f t="shared" si="29"/>
        <v>2.0999999999999996</v>
      </c>
      <c r="O109" s="459">
        <f t="shared" si="30"/>
        <v>0.69999999999999984</v>
      </c>
      <c r="P109" s="459">
        <f t="shared" si="31"/>
        <v>1.3999999999999997</v>
      </c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337"/>
      <c r="AJ109" s="337"/>
      <c r="AK109" s="337"/>
      <c r="AL109" s="337"/>
      <c r="AM109" s="337"/>
      <c r="AN109" s="337"/>
    </row>
    <row r="110" spans="1:40" ht="21.75" customHeight="1" x14ac:dyDescent="0.25">
      <c r="A110" s="337"/>
      <c r="B110" s="573" t="s">
        <v>25</v>
      </c>
      <c r="C110" s="580">
        <v>3</v>
      </c>
      <c r="D110" s="580">
        <v>1</v>
      </c>
      <c r="E110" s="580">
        <v>2</v>
      </c>
      <c r="F110" s="337"/>
      <c r="G110" s="337"/>
      <c r="H110" s="337"/>
      <c r="I110" s="337"/>
      <c r="J110" s="337"/>
      <c r="K110" s="337"/>
      <c r="L110" s="321"/>
      <c r="M110" s="573" t="s">
        <v>25</v>
      </c>
      <c r="N110" s="459">
        <f t="shared" si="29"/>
        <v>2.3999999999999995</v>
      </c>
      <c r="O110" s="459">
        <f t="shared" si="30"/>
        <v>0.79999999999999982</v>
      </c>
      <c r="P110" s="459">
        <f t="shared" si="31"/>
        <v>1.5999999999999996</v>
      </c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337"/>
      <c r="AJ110" s="337"/>
      <c r="AK110" s="337"/>
      <c r="AL110" s="337"/>
      <c r="AM110" s="337"/>
      <c r="AN110" s="337"/>
    </row>
    <row r="111" spans="1:40" ht="21.75" customHeight="1" x14ac:dyDescent="0.25">
      <c r="A111" s="337"/>
      <c r="B111" s="522" t="s">
        <v>10</v>
      </c>
      <c r="C111" s="581">
        <f>AVERAGE(C107:C110)</f>
        <v>3</v>
      </c>
      <c r="D111" s="581">
        <f>AVERAGE(D107:D110)</f>
        <v>1</v>
      </c>
      <c r="E111" s="581">
        <f>AVERAGE(E107:E110)</f>
        <v>2</v>
      </c>
      <c r="F111" s="337"/>
      <c r="G111" s="337"/>
      <c r="H111" s="337"/>
      <c r="I111" s="337"/>
      <c r="J111" s="337"/>
      <c r="K111" s="337"/>
      <c r="L111" s="121"/>
      <c r="M111" s="522" t="s">
        <v>10</v>
      </c>
      <c r="N111" s="459">
        <f>AVERAGE(N107:N110)</f>
        <v>2.3249999999999993</v>
      </c>
      <c r="O111" s="459">
        <f>AVERAGE(O107:O110)</f>
        <v>0.7749999999999998</v>
      </c>
      <c r="P111" s="459">
        <f>AVERAGE(P107:P110)</f>
        <v>1.5499999999999996</v>
      </c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  <c r="AB111" s="337"/>
      <c r="AC111" s="337"/>
      <c r="AD111" s="337"/>
      <c r="AE111" s="337"/>
      <c r="AF111" s="337"/>
      <c r="AG111" s="337"/>
      <c r="AH111" s="337"/>
      <c r="AI111" s="337"/>
      <c r="AJ111" s="337"/>
      <c r="AK111" s="337"/>
      <c r="AL111" s="337"/>
      <c r="AM111" s="337"/>
      <c r="AN111" s="337"/>
    </row>
    <row r="112" spans="1:40" ht="21.75" customHeight="1" x14ac:dyDescent="0.25">
      <c r="A112" s="337"/>
      <c r="B112" s="521" t="s">
        <v>58</v>
      </c>
      <c r="C112" s="3395">
        <f>AVERAGE(C111:E111)</f>
        <v>2</v>
      </c>
      <c r="D112" s="3395"/>
      <c r="E112" s="3395"/>
      <c r="F112" s="379"/>
      <c r="G112" s="379"/>
      <c r="H112" s="379"/>
      <c r="I112" s="379"/>
      <c r="J112" s="379"/>
      <c r="K112" s="379"/>
      <c r="L112" s="582"/>
      <c r="M112" s="521" t="s">
        <v>58</v>
      </c>
      <c r="N112" s="3105">
        <f>AVERAGE(N111:P111)</f>
        <v>1.5499999999999996</v>
      </c>
      <c r="O112" s="3105"/>
      <c r="P112" s="3105"/>
      <c r="Q112" s="379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337"/>
      <c r="AL112" s="337"/>
      <c r="AM112" s="337"/>
      <c r="AN112" s="337"/>
    </row>
    <row r="113" spans="1:40" ht="21.75" customHeight="1" x14ac:dyDescent="0.25">
      <c r="A113" s="379"/>
      <c r="B113" s="337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  <c r="AK113" s="337"/>
      <c r="AL113" s="337"/>
      <c r="AM113" s="337"/>
      <c r="AN113" s="337"/>
    </row>
    <row r="114" spans="1:40" ht="21.75" customHeight="1" x14ac:dyDescent="0.25">
      <c r="A114" s="337"/>
      <c r="B114" s="337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  <c r="AK114" s="337"/>
      <c r="AL114" s="337"/>
      <c r="AM114" s="337"/>
      <c r="AN114" s="337"/>
    </row>
    <row r="115" spans="1:40" ht="21.75" customHeight="1" x14ac:dyDescent="0.25">
      <c r="A115" s="2804"/>
      <c r="B115" s="2804"/>
      <c r="C115" s="2804"/>
      <c r="D115" s="2804"/>
      <c r="E115" s="2804"/>
      <c r="F115" s="2804"/>
      <c r="G115" s="2804"/>
      <c r="H115" s="2804"/>
      <c r="I115" s="2804"/>
      <c r="J115" s="2804"/>
      <c r="K115" s="2804"/>
      <c r="L115" s="2804"/>
      <c r="M115" s="2804"/>
      <c r="N115" s="2804"/>
      <c r="O115" s="2804"/>
      <c r="P115" s="2804"/>
      <c r="Q115" s="2804"/>
      <c r="R115" s="2804"/>
      <c r="S115" s="125"/>
      <c r="T115" s="337"/>
      <c r="U115" s="337"/>
      <c r="V115" s="337"/>
      <c r="W115" s="337"/>
      <c r="X115" s="337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  <c r="AK115" s="337"/>
      <c r="AL115" s="337"/>
      <c r="AM115" s="337"/>
      <c r="AN115" s="337"/>
    </row>
    <row r="116" spans="1:40" ht="21.75" customHeight="1" x14ac:dyDescent="0.25">
      <c r="A116" s="3399"/>
      <c r="B116" s="3399"/>
      <c r="C116" s="3399"/>
      <c r="D116" s="3399"/>
      <c r="E116" s="3399"/>
      <c r="F116" s="3399"/>
      <c r="G116" s="3399"/>
      <c r="H116" s="3399"/>
      <c r="I116" s="3399"/>
      <c r="J116" s="3399"/>
      <c r="K116" s="3399"/>
      <c r="L116" s="3399"/>
      <c r="M116" s="3399"/>
      <c r="N116" s="3399"/>
      <c r="O116" s="3399"/>
      <c r="P116" s="3399"/>
      <c r="Q116" s="3399"/>
      <c r="R116" s="3399"/>
      <c r="S116" s="583"/>
    </row>
    <row r="117" spans="1:40" ht="21.75" customHeight="1" x14ac:dyDescent="0.25">
      <c r="A117" s="583"/>
      <c r="B117" s="3399"/>
      <c r="C117" s="3399"/>
      <c r="D117" s="3399"/>
      <c r="E117" s="583"/>
      <c r="F117" s="583"/>
      <c r="G117" s="583"/>
      <c r="H117" s="583"/>
      <c r="I117" s="583"/>
      <c r="J117" s="583"/>
      <c r="K117" s="583"/>
      <c r="L117" s="583"/>
      <c r="M117" s="583"/>
      <c r="N117" s="583"/>
      <c r="O117" s="583"/>
      <c r="P117" s="583"/>
      <c r="Q117" s="583"/>
      <c r="R117" s="583"/>
      <c r="S117" s="583"/>
    </row>
  </sheetData>
  <mergeCells count="49">
    <mergeCell ref="B117:D117"/>
    <mergeCell ref="A116:R116"/>
    <mergeCell ref="F78:G78"/>
    <mergeCell ref="A79:E79"/>
    <mergeCell ref="F79:G79"/>
    <mergeCell ref="A84:B84"/>
    <mergeCell ref="C91:N91"/>
    <mergeCell ref="A95:B95"/>
    <mergeCell ref="C102:N102"/>
    <mergeCell ref="A105:B105"/>
    <mergeCell ref="C112:E112"/>
    <mergeCell ref="N112:P112"/>
    <mergeCell ref="A115:R115"/>
    <mergeCell ref="A69:B69"/>
    <mergeCell ref="A70:B70"/>
    <mergeCell ref="F74:G74"/>
    <mergeCell ref="F75:G75"/>
    <mergeCell ref="F76:G76"/>
    <mergeCell ref="F77:G77"/>
    <mergeCell ref="U5:U6"/>
    <mergeCell ref="V5:V8"/>
    <mergeCell ref="W5:Y6"/>
    <mergeCell ref="AA5:AA8"/>
    <mergeCell ref="AB5:AB8"/>
    <mergeCell ref="W7:W8"/>
    <mergeCell ref="X7:X8"/>
    <mergeCell ref="Y7:Y8"/>
    <mergeCell ref="L5:L8"/>
    <mergeCell ref="M5:M6"/>
    <mergeCell ref="N5:P5"/>
    <mergeCell ref="Q5:R6"/>
    <mergeCell ref="S5:S6"/>
    <mergeCell ref="T5:T6"/>
    <mergeCell ref="C3:K3"/>
    <mergeCell ref="O3:U3"/>
    <mergeCell ref="C4:K4"/>
    <mergeCell ref="N4:U4"/>
    <mergeCell ref="B5:B6"/>
    <mergeCell ref="C5:E5"/>
    <mergeCell ref="F5:G6"/>
    <mergeCell ref="H5:H6"/>
    <mergeCell ref="I5:J6"/>
    <mergeCell ref="K5:K6"/>
    <mergeCell ref="A1:B1"/>
    <mergeCell ref="C1:K1"/>
    <mergeCell ref="O1:U1"/>
    <mergeCell ref="A2:B2"/>
    <mergeCell ref="C2:K2"/>
    <mergeCell ref="O2:U2"/>
  </mergeCells>
  <conditionalFormatting sqref="AA9:AA10 AA12:AA66">
    <cfRule type="containsText" dxfId="86" priority="2" operator="containsText" text="F">
      <formula>NOT(ISERROR(SEARCH("F",AA9)))</formula>
    </cfRule>
  </conditionalFormatting>
  <conditionalFormatting sqref="AA11">
    <cfRule type="containsText" dxfId="85" priority="1" operator="containsText" text="F">
      <formula>NOT(ISERROR(SEARCH("F",AA11)))</formula>
    </cfRule>
  </conditionalFormatting>
  <pageMargins left="0.7" right="0.7" top="0.75" bottom="0.75" header="0.3" footer="0.3"/>
  <pageSetup paperSize="8" scale="4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27"/>
  <sheetViews>
    <sheetView topLeftCell="A66" zoomScale="64" zoomScaleNormal="64" workbookViewId="0">
      <selection activeCell="F79" sqref="F79"/>
    </sheetView>
  </sheetViews>
  <sheetFormatPr defaultColWidth="13.28515625" defaultRowHeight="27.75" customHeight="1" x14ac:dyDescent="0.3"/>
  <cols>
    <col min="1" max="1" width="13.42578125" style="1116" bestFit="1" customWidth="1"/>
    <col min="2" max="2" width="22" style="1116" customWidth="1"/>
    <col min="3" max="11" width="13.42578125" style="1116" bestFit="1" customWidth="1"/>
    <col min="12" max="12" width="13.42578125" style="1181" bestFit="1" customWidth="1"/>
    <col min="13" max="23" width="13.42578125" style="1116" bestFit="1" customWidth="1"/>
    <col min="24" max="24" width="15.7109375" style="1181" bestFit="1" customWidth="1"/>
    <col min="25" max="26" width="13.42578125" style="1116" bestFit="1" customWidth="1"/>
    <col min="27" max="28" width="13.28515625" style="1116"/>
    <col min="29" max="29" width="13.42578125" style="1116" bestFit="1" customWidth="1"/>
    <col min="30" max="16384" width="13.28515625" style="1116"/>
  </cols>
  <sheetData>
    <row r="1" spans="1:29" ht="27.75" customHeight="1" x14ac:dyDescent="0.3">
      <c r="A1" s="1345"/>
    </row>
    <row r="2" spans="1:29" ht="27.75" customHeight="1" x14ac:dyDescent="0.3">
      <c r="A2" s="3403" t="s">
        <v>0</v>
      </c>
      <c r="B2" s="3404"/>
      <c r="C2" s="3405" t="s">
        <v>117</v>
      </c>
      <c r="D2" s="3317"/>
      <c r="E2" s="3317"/>
      <c r="F2" s="3317"/>
      <c r="G2" s="3317"/>
      <c r="H2" s="3317"/>
      <c r="I2" s="3317"/>
      <c r="J2" s="3317"/>
      <c r="K2" s="3317"/>
      <c r="L2" s="3406"/>
      <c r="M2" s="1115" t="s">
        <v>63</v>
      </c>
      <c r="N2" s="3407" t="s">
        <v>230</v>
      </c>
      <c r="O2" s="3320"/>
      <c r="P2" s="3320"/>
      <c r="Q2" s="3320"/>
      <c r="R2" s="3320"/>
      <c r="S2" s="3320"/>
      <c r="T2" s="3320"/>
      <c r="U2" s="3320"/>
      <c r="V2" s="3320"/>
      <c r="W2" s="3320"/>
      <c r="X2" s="3320"/>
      <c r="Y2" s="1183"/>
      <c r="Z2" s="1183"/>
      <c r="AA2" s="1183"/>
      <c r="AB2" s="1183"/>
      <c r="AC2" s="1183"/>
    </row>
    <row r="3" spans="1:29" ht="27.75" customHeight="1" x14ac:dyDescent="0.3">
      <c r="A3" s="3403" t="s">
        <v>1</v>
      </c>
      <c r="B3" s="3404"/>
      <c r="C3" s="3405" t="s">
        <v>231</v>
      </c>
      <c r="D3" s="3317"/>
      <c r="E3" s="3317"/>
      <c r="F3" s="3317"/>
      <c r="G3" s="3317"/>
      <c r="H3" s="3317"/>
      <c r="I3" s="3317"/>
      <c r="J3" s="3317"/>
      <c r="K3" s="3317"/>
      <c r="L3" s="3406"/>
      <c r="M3" s="1117" t="s">
        <v>64</v>
      </c>
      <c r="N3" s="3407" t="s">
        <v>232</v>
      </c>
      <c r="O3" s="3320"/>
      <c r="P3" s="3320"/>
      <c r="Q3" s="3320"/>
      <c r="R3" s="3320"/>
      <c r="S3" s="3320"/>
      <c r="T3" s="3320"/>
      <c r="U3" s="3320"/>
      <c r="V3" s="3320"/>
      <c r="W3" s="3320"/>
      <c r="X3" s="3320"/>
      <c r="Y3" s="1183"/>
      <c r="Z3" s="1183"/>
      <c r="AA3" s="1183"/>
      <c r="AB3" s="1183"/>
      <c r="AC3" s="1183"/>
    </row>
    <row r="4" spans="1:29" ht="27.75" customHeight="1" thickBot="1" x14ac:dyDescent="0.35">
      <c r="A4" s="1346"/>
      <c r="B4" s="1347" t="s">
        <v>2</v>
      </c>
      <c r="C4" s="3408" t="s">
        <v>139</v>
      </c>
      <c r="D4" s="3409"/>
      <c r="E4" s="3409"/>
      <c r="F4" s="3409"/>
      <c r="G4" s="3409"/>
      <c r="H4" s="3409"/>
      <c r="I4" s="3409"/>
      <c r="J4" s="3409"/>
      <c r="K4" s="3409"/>
      <c r="L4" s="3410"/>
      <c r="M4" s="1347" t="s">
        <v>65</v>
      </c>
      <c r="N4" s="3411" t="s">
        <v>66</v>
      </c>
      <c r="O4" s="3412"/>
      <c r="P4" s="3412"/>
      <c r="Q4" s="3412"/>
      <c r="R4" s="3412"/>
      <c r="S4" s="3412"/>
      <c r="T4" s="3412"/>
      <c r="U4" s="3412"/>
      <c r="V4" s="3412"/>
      <c r="W4" s="3412"/>
      <c r="X4" s="3412"/>
      <c r="Y4" s="1183"/>
      <c r="Z4" s="1183"/>
      <c r="AA4" s="1183"/>
      <c r="AB4" s="1183"/>
      <c r="AC4" s="1183"/>
    </row>
    <row r="5" spans="1:29" ht="27.75" customHeight="1" thickBot="1" x14ac:dyDescent="0.35">
      <c r="A5" s="3336"/>
      <c r="B5" s="3415"/>
      <c r="C5" s="3416" t="s">
        <v>3</v>
      </c>
      <c r="D5" s="3417"/>
      <c r="E5" s="3417"/>
      <c r="F5" s="3418"/>
      <c r="G5" s="3418"/>
      <c r="H5" s="3418"/>
      <c r="I5" s="3418"/>
      <c r="J5" s="3418"/>
      <c r="K5" s="3418"/>
      <c r="L5" s="3418"/>
      <c r="M5" s="3419"/>
      <c r="N5" s="3341" t="s">
        <v>4</v>
      </c>
      <c r="O5" s="3342"/>
      <c r="P5" s="3342"/>
      <c r="Q5" s="3342"/>
      <c r="R5" s="3342"/>
      <c r="S5" s="3342"/>
      <c r="T5" s="3342"/>
      <c r="U5" s="3342"/>
      <c r="V5" s="3342"/>
      <c r="W5" s="3342"/>
      <c r="X5" s="3342"/>
      <c r="Y5" s="3342"/>
      <c r="Z5" s="1006"/>
      <c r="AA5" s="1118"/>
      <c r="AB5" s="1118"/>
      <c r="AC5" s="1119"/>
    </row>
    <row r="6" spans="1:29" ht="27.75" customHeight="1" x14ac:dyDescent="0.3">
      <c r="A6" s="3321"/>
      <c r="B6" s="3325" t="s">
        <v>5</v>
      </c>
      <c r="C6" s="3428" t="s">
        <v>6</v>
      </c>
      <c r="D6" s="3429"/>
      <c r="E6" s="3429"/>
      <c r="F6" s="3431" t="s">
        <v>7</v>
      </c>
      <c r="G6" s="3413"/>
      <c r="H6" s="3413" t="s">
        <v>8</v>
      </c>
      <c r="I6" s="3413"/>
      <c r="J6" s="1348" t="s">
        <v>9</v>
      </c>
      <c r="K6" s="3424" t="s">
        <v>236</v>
      </c>
      <c r="L6" s="3425"/>
      <c r="M6" s="3426" t="s">
        <v>146</v>
      </c>
      <c r="N6" s="3428" t="s">
        <v>6</v>
      </c>
      <c r="O6" s="3429"/>
      <c r="P6" s="3429"/>
      <c r="Q6" s="3424" t="s">
        <v>7</v>
      </c>
      <c r="R6" s="3430"/>
      <c r="S6" s="3424" t="s">
        <v>8</v>
      </c>
      <c r="T6" s="3430"/>
      <c r="U6" s="3424" t="s">
        <v>9</v>
      </c>
      <c r="V6" s="3430"/>
      <c r="W6" s="3424" t="s">
        <v>236</v>
      </c>
      <c r="X6" s="3430"/>
      <c r="Y6" s="3432" t="s">
        <v>147</v>
      </c>
      <c r="Z6" s="3434" t="s">
        <v>10</v>
      </c>
      <c r="AA6" s="1162"/>
      <c r="AB6" s="3352" t="s">
        <v>11</v>
      </c>
      <c r="AC6" s="3422" t="s">
        <v>12</v>
      </c>
    </row>
    <row r="7" spans="1:29" ht="27.75" customHeight="1" x14ac:dyDescent="0.3">
      <c r="A7" s="3322"/>
      <c r="B7" s="3205"/>
      <c r="C7" s="1122" t="s">
        <v>13</v>
      </c>
      <c r="D7" s="1123" t="s">
        <v>14</v>
      </c>
      <c r="E7" s="1123" t="s">
        <v>15</v>
      </c>
      <c r="F7" s="1349" t="s">
        <v>13</v>
      </c>
      <c r="G7" s="1350" t="s">
        <v>14</v>
      </c>
      <c r="H7" s="1351" t="s">
        <v>13</v>
      </c>
      <c r="I7" s="1350" t="s">
        <v>14</v>
      </c>
      <c r="J7" s="1352" t="s">
        <v>13</v>
      </c>
      <c r="K7" s="1352" t="s">
        <v>13</v>
      </c>
      <c r="L7" s="1352" t="s">
        <v>14</v>
      </c>
      <c r="M7" s="3427"/>
      <c r="N7" s="1122" t="s">
        <v>13</v>
      </c>
      <c r="O7" s="1123" t="s">
        <v>14</v>
      </c>
      <c r="P7" s="1123" t="s">
        <v>15</v>
      </c>
      <c r="Q7" s="1124" t="s">
        <v>13</v>
      </c>
      <c r="R7" s="1124" t="s">
        <v>14</v>
      </c>
      <c r="S7" s="1124" t="s">
        <v>13</v>
      </c>
      <c r="T7" s="1124" t="s">
        <v>14</v>
      </c>
      <c r="U7" s="1124" t="s">
        <v>13</v>
      </c>
      <c r="V7" s="1124" t="s">
        <v>14</v>
      </c>
      <c r="W7" s="1124" t="s">
        <v>13</v>
      </c>
      <c r="X7" s="1124" t="s">
        <v>14</v>
      </c>
      <c r="Y7" s="3433"/>
      <c r="Z7" s="2681"/>
      <c r="AA7" s="1162"/>
      <c r="AB7" s="3344"/>
      <c r="AC7" s="3423"/>
    </row>
    <row r="8" spans="1:29" ht="27.75" customHeight="1" x14ac:dyDescent="0.3">
      <c r="A8" s="3323"/>
      <c r="B8" s="1128" t="s">
        <v>19</v>
      </c>
      <c r="C8" s="1122" t="s">
        <v>20</v>
      </c>
      <c r="D8" s="1123" t="s">
        <v>21</v>
      </c>
      <c r="E8" s="1123" t="s">
        <v>21</v>
      </c>
      <c r="F8" s="1123" t="s">
        <v>20</v>
      </c>
      <c r="G8" s="1123" t="s">
        <v>20</v>
      </c>
      <c r="H8" s="1123" t="s">
        <v>20</v>
      </c>
      <c r="I8" s="1123" t="s">
        <v>20</v>
      </c>
      <c r="J8" s="1123" t="s">
        <v>21</v>
      </c>
      <c r="K8" s="1123" t="s">
        <v>21</v>
      </c>
      <c r="L8" s="1123" t="s">
        <v>21</v>
      </c>
      <c r="M8" s="3427"/>
      <c r="N8" s="1122" t="s">
        <v>41</v>
      </c>
      <c r="O8" s="1123" t="s">
        <v>41</v>
      </c>
      <c r="P8" s="1123" t="s">
        <v>42</v>
      </c>
      <c r="Q8" s="1122" t="s">
        <v>41</v>
      </c>
      <c r="R8" s="1122" t="s">
        <v>41</v>
      </c>
      <c r="S8" s="1122" t="s">
        <v>41</v>
      </c>
      <c r="T8" s="1122" t="s">
        <v>41</v>
      </c>
      <c r="U8" s="1123" t="s">
        <v>42</v>
      </c>
      <c r="V8" s="1123" t="s">
        <v>42</v>
      </c>
      <c r="W8" s="1123" t="s">
        <v>42</v>
      </c>
      <c r="X8" s="1123" t="s">
        <v>42</v>
      </c>
      <c r="Y8" s="3433"/>
      <c r="Z8" s="2681"/>
      <c r="AA8" s="1162"/>
      <c r="AB8" s="3344"/>
      <c r="AC8" s="3423"/>
    </row>
    <row r="9" spans="1:29" ht="27.75" customHeight="1" x14ac:dyDescent="0.3">
      <c r="A9" s="1123" t="s">
        <v>18</v>
      </c>
      <c r="B9" s="1129" t="s">
        <v>26</v>
      </c>
      <c r="C9" s="1122">
        <v>2</v>
      </c>
      <c r="D9" s="1123">
        <v>2</v>
      </c>
      <c r="E9" s="1129">
        <v>2</v>
      </c>
      <c r="F9" s="1123">
        <v>6</v>
      </c>
      <c r="G9" s="1123">
        <v>6</v>
      </c>
      <c r="H9" s="1123">
        <v>6</v>
      </c>
      <c r="I9" s="1123">
        <v>6</v>
      </c>
      <c r="J9" s="1280">
        <v>12</v>
      </c>
      <c r="K9" s="1128">
        <v>6</v>
      </c>
      <c r="L9" s="1281">
        <v>6</v>
      </c>
      <c r="M9" s="1130">
        <f>SUM(C9:I9)</f>
        <v>30</v>
      </c>
      <c r="N9" s="1122">
        <v>2</v>
      </c>
      <c r="O9" s="1123">
        <v>2</v>
      </c>
      <c r="P9" s="1123">
        <v>2</v>
      </c>
      <c r="Q9" s="1123">
        <v>5</v>
      </c>
      <c r="R9" s="1123">
        <v>5</v>
      </c>
      <c r="S9" s="1123">
        <v>5</v>
      </c>
      <c r="T9" s="1123">
        <v>5</v>
      </c>
      <c r="U9" s="1123">
        <v>5</v>
      </c>
      <c r="V9" s="1123">
        <v>5</v>
      </c>
      <c r="W9" s="1123">
        <v>5</v>
      </c>
      <c r="X9" s="1282">
        <v>5</v>
      </c>
      <c r="Y9" s="1131"/>
      <c r="Z9" s="1123"/>
      <c r="AA9" s="989"/>
      <c r="AB9" s="989"/>
      <c r="AC9" s="193"/>
    </row>
    <row r="10" spans="1:29" ht="27.75" customHeight="1" x14ac:dyDescent="0.3">
      <c r="A10" s="1123">
        <v>1</v>
      </c>
      <c r="B10" s="1132">
        <v>5201421001</v>
      </c>
      <c r="C10" s="1133">
        <v>2</v>
      </c>
      <c r="D10" s="1134"/>
      <c r="E10" s="1135">
        <v>1</v>
      </c>
      <c r="F10" s="1123">
        <v>6</v>
      </c>
      <c r="G10" s="1123">
        <v>6</v>
      </c>
      <c r="H10" s="1123"/>
      <c r="I10" s="1123"/>
      <c r="J10" s="1134">
        <v>10</v>
      </c>
      <c r="K10" s="1134"/>
      <c r="L10" s="1134"/>
      <c r="M10" s="1353">
        <f>SUM(C10:L10)</f>
        <v>25</v>
      </c>
      <c r="N10" s="1136">
        <v>1</v>
      </c>
      <c r="O10" s="1137">
        <v>1</v>
      </c>
      <c r="P10" s="1137"/>
      <c r="Q10" s="1138"/>
      <c r="R10" s="1139"/>
      <c r="S10" s="1139">
        <v>4</v>
      </c>
      <c r="T10" s="1134">
        <v>3</v>
      </c>
      <c r="U10" s="1134"/>
      <c r="V10" s="1134"/>
      <c r="W10" s="1134">
        <v>2</v>
      </c>
      <c r="X10" s="1221"/>
      <c r="Y10" s="1140">
        <f>SUM(N10:X10)</f>
        <v>11</v>
      </c>
      <c r="Z10" s="1134">
        <f t="shared" ref="Z10:Z67" si="0">ROUND(AVERAGE(M10,Y10),0)</f>
        <v>18</v>
      </c>
      <c r="AA10" s="1141"/>
      <c r="AB10" s="940" t="s">
        <v>32</v>
      </c>
      <c r="AC10" s="1134">
        <f>IF(AB10="O",100,IF(AB10="A+",90,IF(AB10="A",80,IF(AB10="B+",70,IF(AB10="B",60,IF(AB10="C",55,IF(AB10="P",50,IF(AB10="F",39))))))))</f>
        <v>70</v>
      </c>
    </row>
    <row r="11" spans="1:29" ht="27.75" customHeight="1" x14ac:dyDescent="0.3">
      <c r="A11" s="1123">
        <v>2</v>
      </c>
      <c r="B11" s="1132">
        <v>5201421002</v>
      </c>
      <c r="C11" s="1138"/>
      <c r="D11" s="1134"/>
      <c r="E11" s="1135"/>
      <c r="F11" s="1123">
        <v>6</v>
      </c>
      <c r="G11" s="1123">
        <v>6</v>
      </c>
      <c r="H11" s="1123"/>
      <c r="I11" s="1123"/>
      <c r="J11" s="1142"/>
      <c r="K11" s="1134">
        <v>4</v>
      </c>
      <c r="L11" s="1134"/>
      <c r="M11" s="1353">
        <f t="shared" ref="M11:M66" si="1">SUM(C11:L11)</f>
        <v>16</v>
      </c>
      <c r="N11" s="1136">
        <v>2</v>
      </c>
      <c r="O11" s="1137">
        <v>1</v>
      </c>
      <c r="P11" s="1137"/>
      <c r="Q11" s="1138">
        <v>4</v>
      </c>
      <c r="R11" s="1139"/>
      <c r="S11" s="1139"/>
      <c r="T11" s="1134"/>
      <c r="U11" s="1134"/>
      <c r="V11" s="1134"/>
      <c r="W11" s="1134">
        <v>4</v>
      </c>
      <c r="X11" s="1221">
        <v>3</v>
      </c>
      <c r="Y11" s="1140">
        <f t="shared" ref="Y11:Y67" si="2">SUM(N11:X11)</f>
        <v>14</v>
      </c>
      <c r="Z11" s="1134">
        <f t="shared" si="0"/>
        <v>15</v>
      </c>
      <c r="AA11" s="1141"/>
      <c r="AB11" s="940" t="s">
        <v>29</v>
      </c>
      <c r="AC11" s="1134">
        <f t="shared" ref="AC11:AC67" si="3">IF(AB11="O",100,IF(AB11="A+",90,IF(AB11="A",80,IF(AB11="B+",70,IF(AB11="B",60,IF(AB11="C",55,IF(AB11="P",50,IF(AB11="F",39))))))))</f>
        <v>39</v>
      </c>
    </row>
    <row r="12" spans="1:29" ht="27.75" customHeight="1" x14ac:dyDescent="0.3">
      <c r="A12" s="1123">
        <v>3</v>
      </c>
      <c r="B12" s="1132">
        <v>5201421003</v>
      </c>
      <c r="C12" s="1136">
        <v>2</v>
      </c>
      <c r="D12" s="1136">
        <v>2</v>
      </c>
      <c r="E12" s="1143">
        <v>1</v>
      </c>
      <c r="F12" s="1123">
        <v>6</v>
      </c>
      <c r="G12" s="1123">
        <v>5</v>
      </c>
      <c r="H12" s="1123"/>
      <c r="I12" s="1123"/>
      <c r="J12" s="1134">
        <v>11</v>
      </c>
      <c r="K12" s="1134"/>
      <c r="L12" s="1134"/>
      <c r="M12" s="1353">
        <f t="shared" si="1"/>
        <v>27</v>
      </c>
      <c r="N12" s="1136">
        <v>2</v>
      </c>
      <c r="O12" s="1137">
        <v>2</v>
      </c>
      <c r="P12" s="1137">
        <v>2</v>
      </c>
      <c r="Q12" s="1138">
        <v>6</v>
      </c>
      <c r="R12" s="1139">
        <v>6</v>
      </c>
      <c r="S12" s="1139"/>
      <c r="T12" s="1134"/>
      <c r="U12" s="1134"/>
      <c r="V12" s="1134"/>
      <c r="W12" s="1134">
        <v>6</v>
      </c>
      <c r="X12" s="1221">
        <v>4</v>
      </c>
      <c r="Y12" s="1140">
        <f t="shared" si="2"/>
        <v>28</v>
      </c>
      <c r="Z12" s="1134">
        <f t="shared" si="0"/>
        <v>28</v>
      </c>
      <c r="AA12" s="1141"/>
      <c r="AB12" s="940" t="s">
        <v>82</v>
      </c>
      <c r="AC12" s="1134">
        <f t="shared" si="3"/>
        <v>100</v>
      </c>
    </row>
    <row r="13" spans="1:29" ht="27.75" customHeight="1" x14ac:dyDescent="0.3">
      <c r="A13" s="1123">
        <v>4</v>
      </c>
      <c r="B13" s="1132">
        <v>5201421004</v>
      </c>
      <c r="C13" s="1133">
        <v>0</v>
      </c>
      <c r="D13" s="1137"/>
      <c r="E13" s="1144">
        <v>1</v>
      </c>
      <c r="F13" s="1123">
        <v>6</v>
      </c>
      <c r="G13" s="1123"/>
      <c r="H13" s="1123"/>
      <c r="I13" s="1123"/>
      <c r="J13" s="1134"/>
      <c r="K13" s="1134"/>
      <c r="L13" s="1134"/>
      <c r="M13" s="1353">
        <f t="shared" si="1"/>
        <v>7</v>
      </c>
      <c r="N13" s="1136">
        <v>1</v>
      </c>
      <c r="O13" s="1137"/>
      <c r="P13" s="1137">
        <v>1</v>
      </c>
      <c r="Q13" s="1138">
        <v>4</v>
      </c>
      <c r="R13" s="1139">
        <v>1</v>
      </c>
      <c r="S13" s="1139"/>
      <c r="T13" s="1134"/>
      <c r="U13" s="1134"/>
      <c r="V13" s="1134"/>
      <c r="W13" s="1134">
        <v>4</v>
      </c>
      <c r="X13" s="1221">
        <v>2</v>
      </c>
      <c r="Y13" s="1140">
        <f t="shared" si="2"/>
        <v>13</v>
      </c>
      <c r="Z13" s="1134">
        <f t="shared" si="0"/>
        <v>10</v>
      </c>
      <c r="AA13" s="1141"/>
      <c r="AB13" s="940" t="s">
        <v>29</v>
      </c>
      <c r="AC13" s="1134">
        <f t="shared" si="3"/>
        <v>39</v>
      </c>
    </row>
    <row r="14" spans="1:29" ht="27.75" customHeight="1" x14ac:dyDescent="0.3">
      <c r="A14" s="1123">
        <v>5</v>
      </c>
      <c r="B14" s="1132">
        <v>5201421005</v>
      </c>
      <c r="C14" s="1136"/>
      <c r="D14" s="1137"/>
      <c r="E14" s="1144">
        <v>1</v>
      </c>
      <c r="F14" s="1123"/>
      <c r="G14" s="1123"/>
      <c r="H14" s="1123">
        <v>3</v>
      </c>
      <c r="I14" s="1123">
        <v>3</v>
      </c>
      <c r="J14" s="1134"/>
      <c r="K14" s="1134">
        <v>4</v>
      </c>
      <c r="L14" s="1134">
        <v>4</v>
      </c>
      <c r="M14" s="1353">
        <f t="shared" si="1"/>
        <v>15</v>
      </c>
      <c r="N14" s="1136">
        <v>1</v>
      </c>
      <c r="O14" s="1137">
        <v>1</v>
      </c>
      <c r="P14" s="1137">
        <v>1</v>
      </c>
      <c r="Q14" s="1138">
        <v>2</v>
      </c>
      <c r="R14" s="1139">
        <v>1</v>
      </c>
      <c r="S14" s="1139"/>
      <c r="T14" s="1134"/>
      <c r="U14" s="1134">
        <v>2</v>
      </c>
      <c r="V14" s="1134">
        <v>2</v>
      </c>
      <c r="W14" s="1134"/>
      <c r="X14" s="1221"/>
      <c r="Y14" s="1140">
        <f t="shared" si="2"/>
        <v>10</v>
      </c>
      <c r="Z14" s="1134">
        <f t="shared" si="0"/>
        <v>13</v>
      </c>
      <c r="AA14" s="1141"/>
      <c r="AB14" s="940" t="s">
        <v>33</v>
      </c>
      <c r="AC14" s="1134">
        <f t="shared" si="3"/>
        <v>60</v>
      </c>
    </row>
    <row r="15" spans="1:29" ht="27.75" customHeight="1" x14ac:dyDescent="0.3">
      <c r="A15" s="1123">
        <v>6</v>
      </c>
      <c r="B15" s="1132">
        <v>5201421006</v>
      </c>
      <c r="C15" s="1136">
        <v>2</v>
      </c>
      <c r="D15" s="1137">
        <v>2</v>
      </c>
      <c r="E15" s="1144">
        <v>2</v>
      </c>
      <c r="F15" s="1123">
        <v>6</v>
      </c>
      <c r="G15" s="1123">
        <v>6</v>
      </c>
      <c r="H15" s="1123"/>
      <c r="I15" s="1123"/>
      <c r="J15" s="1134">
        <v>10</v>
      </c>
      <c r="K15" s="1134"/>
      <c r="L15" s="1134"/>
      <c r="M15" s="1353">
        <f t="shared" si="1"/>
        <v>28</v>
      </c>
      <c r="N15" s="1136">
        <v>2</v>
      </c>
      <c r="O15" s="1137">
        <v>2</v>
      </c>
      <c r="P15" s="1137">
        <v>2</v>
      </c>
      <c r="Q15" s="1138">
        <v>4</v>
      </c>
      <c r="R15" s="1139">
        <v>5</v>
      </c>
      <c r="S15" s="1139"/>
      <c r="T15" s="1134"/>
      <c r="U15" s="1134"/>
      <c r="V15" s="1134"/>
      <c r="W15" s="1134">
        <v>5</v>
      </c>
      <c r="X15" s="1221">
        <v>2</v>
      </c>
      <c r="Y15" s="1140">
        <f t="shared" si="2"/>
        <v>22</v>
      </c>
      <c r="Z15" s="1134">
        <f t="shared" si="0"/>
        <v>25</v>
      </c>
      <c r="AA15" s="1141"/>
      <c r="AB15" s="940" t="s">
        <v>27</v>
      </c>
      <c r="AC15" s="1134">
        <f t="shared" si="3"/>
        <v>80</v>
      </c>
    </row>
    <row r="16" spans="1:29" ht="27.75" customHeight="1" x14ac:dyDescent="0.3">
      <c r="A16" s="1123">
        <v>7</v>
      </c>
      <c r="B16" s="1132">
        <v>5201421007</v>
      </c>
      <c r="C16" s="1136"/>
      <c r="D16" s="1137"/>
      <c r="E16" s="1144"/>
      <c r="F16" s="1123">
        <v>6</v>
      </c>
      <c r="G16" s="1123">
        <v>4</v>
      </c>
      <c r="H16" s="1123"/>
      <c r="I16" s="1123"/>
      <c r="J16" s="1134">
        <v>10</v>
      </c>
      <c r="K16" s="1134"/>
      <c r="L16" s="1134"/>
      <c r="M16" s="1353">
        <f t="shared" si="1"/>
        <v>20</v>
      </c>
      <c r="N16" s="1136"/>
      <c r="O16" s="1137"/>
      <c r="P16" s="1137"/>
      <c r="Q16" s="1138"/>
      <c r="R16" s="1139"/>
      <c r="S16" s="1139"/>
      <c r="T16" s="1134"/>
      <c r="U16" s="1134"/>
      <c r="V16" s="1134"/>
      <c r="W16" s="1134"/>
      <c r="X16" s="1221"/>
      <c r="Y16" s="1140">
        <f t="shared" si="2"/>
        <v>0</v>
      </c>
      <c r="Z16" s="1134">
        <f t="shared" si="0"/>
        <v>10</v>
      </c>
      <c r="AA16" s="1141"/>
      <c r="AB16" s="940" t="s">
        <v>32</v>
      </c>
      <c r="AC16" s="1134">
        <f t="shared" si="3"/>
        <v>70</v>
      </c>
    </row>
    <row r="17" spans="1:29" ht="27.75" customHeight="1" x14ac:dyDescent="0.3">
      <c r="A17" s="1123">
        <v>8</v>
      </c>
      <c r="B17" s="1132">
        <v>5201421008</v>
      </c>
      <c r="C17" s="1136">
        <v>2</v>
      </c>
      <c r="D17" s="1137"/>
      <c r="E17" s="1144">
        <v>1</v>
      </c>
      <c r="F17" s="1123"/>
      <c r="G17" s="1123">
        <v>6</v>
      </c>
      <c r="H17" s="1123"/>
      <c r="I17" s="1123"/>
      <c r="J17" s="1134">
        <v>10</v>
      </c>
      <c r="K17" s="1134"/>
      <c r="L17" s="1134"/>
      <c r="M17" s="1353">
        <f t="shared" si="1"/>
        <v>19</v>
      </c>
      <c r="N17" s="1136">
        <v>1</v>
      </c>
      <c r="O17" s="1137"/>
      <c r="P17" s="1137"/>
      <c r="Q17" s="1138"/>
      <c r="R17" s="1139"/>
      <c r="S17" s="1139">
        <v>2</v>
      </c>
      <c r="T17" s="1134">
        <v>1</v>
      </c>
      <c r="U17" s="1134">
        <v>0</v>
      </c>
      <c r="V17" s="1134">
        <v>1</v>
      </c>
      <c r="W17" s="1134"/>
      <c r="X17" s="1221"/>
      <c r="Y17" s="1140">
        <f t="shared" si="2"/>
        <v>5</v>
      </c>
      <c r="Z17" s="1134">
        <f t="shared" si="0"/>
        <v>12</v>
      </c>
      <c r="AA17" s="1141"/>
      <c r="AB17" s="940" t="s">
        <v>32</v>
      </c>
      <c r="AC17" s="1134">
        <f t="shared" si="3"/>
        <v>70</v>
      </c>
    </row>
    <row r="18" spans="1:29" ht="27.75" customHeight="1" x14ac:dyDescent="0.3">
      <c r="A18" s="1123">
        <v>9</v>
      </c>
      <c r="B18" s="1132">
        <v>5201421009</v>
      </c>
      <c r="C18" s="1138">
        <v>2</v>
      </c>
      <c r="D18" s="1134">
        <v>2</v>
      </c>
      <c r="E18" s="1135">
        <v>1</v>
      </c>
      <c r="F18" s="1123">
        <v>6</v>
      </c>
      <c r="G18" s="1123">
        <v>6</v>
      </c>
      <c r="H18" s="1123"/>
      <c r="I18" s="1123"/>
      <c r="J18" s="1134">
        <v>11</v>
      </c>
      <c r="K18" s="1134"/>
      <c r="L18" s="1134"/>
      <c r="M18" s="1353">
        <f t="shared" si="1"/>
        <v>28</v>
      </c>
      <c r="N18" s="1136">
        <v>2</v>
      </c>
      <c r="O18" s="1137">
        <v>2</v>
      </c>
      <c r="P18" s="1137">
        <v>2</v>
      </c>
      <c r="Q18" s="1138"/>
      <c r="R18" s="1139"/>
      <c r="S18" s="1139">
        <v>4</v>
      </c>
      <c r="T18" s="1134">
        <v>4</v>
      </c>
      <c r="U18" s="1134"/>
      <c r="V18" s="1134"/>
      <c r="W18" s="1134">
        <v>5</v>
      </c>
      <c r="X18" s="1221">
        <v>6</v>
      </c>
      <c r="Y18" s="1140">
        <f t="shared" si="2"/>
        <v>25</v>
      </c>
      <c r="Z18" s="1134">
        <f t="shared" si="0"/>
        <v>27</v>
      </c>
      <c r="AA18" s="1141"/>
      <c r="AB18" s="940" t="s">
        <v>27</v>
      </c>
      <c r="AC18" s="1134">
        <f t="shared" si="3"/>
        <v>80</v>
      </c>
    </row>
    <row r="19" spans="1:29" ht="27.75" customHeight="1" x14ac:dyDescent="0.3">
      <c r="A19" s="1123">
        <v>10</v>
      </c>
      <c r="B19" s="1132">
        <v>5201421010</v>
      </c>
      <c r="C19" s="1136">
        <v>2</v>
      </c>
      <c r="D19" s="1137">
        <v>2</v>
      </c>
      <c r="E19" s="1144">
        <v>1</v>
      </c>
      <c r="F19" s="1123">
        <v>6</v>
      </c>
      <c r="G19" s="1123">
        <v>6</v>
      </c>
      <c r="H19" s="1123"/>
      <c r="I19" s="1123"/>
      <c r="J19" s="1134">
        <v>11</v>
      </c>
      <c r="K19" s="1134"/>
      <c r="L19" s="1134"/>
      <c r="M19" s="1353">
        <f t="shared" si="1"/>
        <v>28</v>
      </c>
      <c r="N19" s="1136">
        <v>1</v>
      </c>
      <c r="O19" s="1137">
        <v>2</v>
      </c>
      <c r="P19" s="1137">
        <v>2</v>
      </c>
      <c r="Q19" s="1138">
        <v>4</v>
      </c>
      <c r="R19" s="1139">
        <v>6</v>
      </c>
      <c r="S19" s="1139"/>
      <c r="T19" s="1134"/>
      <c r="U19" s="1134"/>
      <c r="V19" s="1134"/>
      <c r="W19" s="1134">
        <v>6</v>
      </c>
      <c r="X19" s="1221">
        <v>5</v>
      </c>
      <c r="Y19" s="1140">
        <f t="shared" si="2"/>
        <v>26</v>
      </c>
      <c r="Z19" s="1134">
        <f t="shared" si="0"/>
        <v>27</v>
      </c>
      <c r="AA19" s="1141"/>
      <c r="AB19" s="940" t="s">
        <v>27</v>
      </c>
      <c r="AC19" s="1134">
        <f t="shared" si="3"/>
        <v>80</v>
      </c>
    </row>
    <row r="20" spans="1:29" ht="27.75" customHeight="1" x14ac:dyDescent="0.3">
      <c r="A20" s="1123">
        <v>11</v>
      </c>
      <c r="B20" s="1132">
        <v>5201421011</v>
      </c>
      <c r="C20" s="1136">
        <v>2</v>
      </c>
      <c r="D20" s="1137">
        <v>2</v>
      </c>
      <c r="E20" s="1144">
        <v>2</v>
      </c>
      <c r="F20" s="1123">
        <v>3</v>
      </c>
      <c r="G20" s="1123">
        <v>6</v>
      </c>
      <c r="H20" s="1123"/>
      <c r="I20" s="1123"/>
      <c r="J20" s="1134">
        <v>10</v>
      </c>
      <c r="K20" s="1134"/>
      <c r="L20" s="1134"/>
      <c r="M20" s="1353">
        <f t="shared" si="1"/>
        <v>25</v>
      </c>
      <c r="N20" s="1136">
        <v>2</v>
      </c>
      <c r="O20" s="1137">
        <v>2</v>
      </c>
      <c r="P20" s="1137">
        <v>2</v>
      </c>
      <c r="Q20" s="1138">
        <v>4</v>
      </c>
      <c r="R20" s="1139">
        <v>5</v>
      </c>
      <c r="S20" s="1139"/>
      <c r="T20" s="1134"/>
      <c r="U20" s="1134">
        <v>4</v>
      </c>
      <c r="V20" s="1134">
        <v>2</v>
      </c>
      <c r="W20" s="1134"/>
      <c r="X20" s="1221"/>
      <c r="Y20" s="1140">
        <f t="shared" si="2"/>
        <v>21</v>
      </c>
      <c r="Z20" s="1134">
        <f t="shared" si="0"/>
        <v>23</v>
      </c>
      <c r="AA20" s="1141"/>
      <c r="AB20" s="940" t="s">
        <v>27</v>
      </c>
      <c r="AC20" s="1134">
        <f t="shared" si="3"/>
        <v>80</v>
      </c>
    </row>
    <row r="21" spans="1:29" ht="27.75" customHeight="1" x14ac:dyDescent="0.3">
      <c r="A21" s="1123">
        <v>12</v>
      </c>
      <c r="B21" s="1132">
        <v>5201421012</v>
      </c>
      <c r="C21" s="1136">
        <v>2</v>
      </c>
      <c r="D21" s="1137"/>
      <c r="E21" s="1144">
        <v>2</v>
      </c>
      <c r="F21" s="1123">
        <v>6</v>
      </c>
      <c r="G21" s="1123">
        <v>5</v>
      </c>
      <c r="H21" s="1123"/>
      <c r="I21" s="1123"/>
      <c r="J21" s="1134">
        <v>10</v>
      </c>
      <c r="K21" s="1134"/>
      <c r="L21" s="1134"/>
      <c r="M21" s="1353">
        <f t="shared" si="1"/>
        <v>25</v>
      </c>
      <c r="N21" s="1136">
        <v>1</v>
      </c>
      <c r="O21" s="1137">
        <v>1</v>
      </c>
      <c r="P21" s="1137">
        <v>1</v>
      </c>
      <c r="Q21" s="1138">
        <v>2</v>
      </c>
      <c r="R21" s="1139"/>
      <c r="S21" s="1139"/>
      <c r="T21" s="1134"/>
      <c r="U21" s="1134">
        <v>2</v>
      </c>
      <c r="V21" s="1134"/>
      <c r="W21" s="1134"/>
      <c r="X21" s="1221"/>
      <c r="Y21" s="1140">
        <f t="shared" si="2"/>
        <v>7</v>
      </c>
      <c r="Z21" s="1134">
        <f t="shared" si="0"/>
        <v>16</v>
      </c>
      <c r="AA21" s="1141"/>
      <c r="AB21" s="940" t="s">
        <v>31</v>
      </c>
      <c r="AC21" s="1134">
        <f t="shared" si="3"/>
        <v>55</v>
      </c>
    </row>
    <row r="22" spans="1:29" ht="27.75" customHeight="1" x14ac:dyDescent="0.3">
      <c r="A22" s="1123">
        <v>13</v>
      </c>
      <c r="B22" s="1132">
        <v>5201421013</v>
      </c>
      <c r="C22" s="1136">
        <v>2</v>
      </c>
      <c r="D22" s="1137">
        <v>2</v>
      </c>
      <c r="E22" s="1144">
        <v>2</v>
      </c>
      <c r="F22" s="1123">
        <v>6</v>
      </c>
      <c r="G22" s="1123">
        <v>6</v>
      </c>
      <c r="H22" s="1123"/>
      <c r="I22" s="1123"/>
      <c r="J22" s="1134">
        <v>11</v>
      </c>
      <c r="K22" s="1134"/>
      <c r="L22" s="1134"/>
      <c r="M22" s="1353">
        <f t="shared" si="1"/>
        <v>29</v>
      </c>
      <c r="N22" s="1136">
        <v>1</v>
      </c>
      <c r="O22" s="1137">
        <v>1</v>
      </c>
      <c r="P22" s="1137">
        <v>2</v>
      </c>
      <c r="Q22" s="1138"/>
      <c r="R22" s="1139"/>
      <c r="S22" s="1139">
        <v>3</v>
      </c>
      <c r="T22" s="1134">
        <v>3</v>
      </c>
      <c r="U22" s="1134">
        <v>3</v>
      </c>
      <c r="V22" s="1134">
        <v>1</v>
      </c>
      <c r="W22" s="1134"/>
      <c r="X22" s="1221"/>
      <c r="Y22" s="1140">
        <f t="shared" si="2"/>
        <v>14</v>
      </c>
      <c r="Z22" s="1134">
        <f t="shared" si="0"/>
        <v>22</v>
      </c>
      <c r="AA22" s="1141"/>
      <c r="AB22" s="940" t="s">
        <v>30</v>
      </c>
      <c r="AC22" s="1134">
        <f t="shared" si="3"/>
        <v>90</v>
      </c>
    </row>
    <row r="23" spans="1:29" ht="27.75" customHeight="1" x14ac:dyDescent="0.3">
      <c r="A23" s="1123">
        <v>14</v>
      </c>
      <c r="B23" s="1132">
        <v>5201421014</v>
      </c>
      <c r="C23" s="1136">
        <v>2</v>
      </c>
      <c r="D23" s="1137"/>
      <c r="E23" s="1144"/>
      <c r="F23" s="1123">
        <v>6</v>
      </c>
      <c r="G23" s="1123"/>
      <c r="H23" s="1123"/>
      <c r="I23" s="1123"/>
      <c r="J23" s="1134">
        <v>11</v>
      </c>
      <c r="K23" s="1134"/>
      <c r="L23" s="1134"/>
      <c r="M23" s="1353">
        <f t="shared" si="1"/>
        <v>19</v>
      </c>
      <c r="N23" s="1136">
        <v>1</v>
      </c>
      <c r="O23" s="1137"/>
      <c r="P23" s="1137">
        <v>1</v>
      </c>
      <c r="Q23" s="1138">
        <v>6</v>
      </c>
      <c r="R23" s="1139">
        <v>3</v>
      </c>
      <c r="S23" s="1139"/>
      <c r="T23" s="1134"/>
      <c r="U23" s="1134"/>
      <c r="V23" s="1134"/>
      <c r="W23" s="1134">
        <v>2</v>
      </c>
      <c r="X23" s="1221">
        <v>3</v>
      </c>
      <c r="Y23" s="1140">
        <f t="shared" si="2"/>
        <v>16</v>
      </c>
      <c r="Z23" s="1134">
        <f t="shared" si="0"/>
        <v>18</v>
      </c>
      <c r="AA23" s="1141"/>
      <c r="AB23" s="940" t="s">
        <v>27</v>
      </c>
      <c r="AC23" s="1134">
        <f t="shared" si="3"/>
        <v>80</v>
      </c>
    </row>
    <row r="24" spans="1:29" ht="27.75" customHeight="1" x14ac:dyDescent="0.3">
      <c r="A24" s="1123">
        <v>15</v>
      </c>
      <c r="B24" s="1132">
        <v>5201421015</v>
      </c>
      <c r="C24" s="1136">
        <v>2</v>
      </c>
      <c r="D24" s="1137">
        <v>1</v>
      </c>
      <c r="E24" s="1144">
        <v>1</v>
      </c>
      <c r="F24" s="1123"/>
      <c r="G24" s="1123">
        <v>6</v>
      </c>
      <c r="H24" s="1123"/>
      <c r="I24" s="1123"/>
      <c r="J24" s="1134">
        <v>5</v>
      </c>
      <c r="K24" s="1134"/>
      <c r="L24" s="1134"/>
      <c r="M24" s="1353">
        <f t="shared" si="1"/>
        <v>15</v>
      </c>
      <c r="N24" s="1136">
        <v>1</v>
      </c>
      <c r="O24" s="1137"/>
      <c r="P24" s="1137">
        <v>2</v>
      </c>
      <c r="Q24" s="1138">
        <v>2</v>
      </c>
      <c r="R24" s="1139">
        <v>2</v>
      </c>
      <c r="S24" s="1139"/>
      <c r="T24" s="1134"/>
      <c r="U24" s="1134"/>
      <c r="V24" s="1134"/>
      <c r="W24" s="1134">
        <v>3</v>
      </c>
      <c r="X24" s="1221">
        <v>1</v>
      </c>
      <c r="Y24" s="1140">
        <f t="shared" si="2"/>
        <v>11</v>
      </c>
      <c r="Z24" s="1134">
        <f t="shared" si="0"/>
        <v>13</v>
      </c>
      <c r="AA24" s="1141"/>
      <c r="AB24" s="940" t="s">
        <v>33</v>
      </c>
      <c r="AC24" s="1134">
        <f t="shared" si="3"/>
        <v>60</v>
      </c>
    </row>
    <row r="25" spans="1:29" ht="27.75" customHeight="1" x14ac:dyDescent="0.3">
      <c r="A25" s="1123">
        <v>16</v>
      </c>
      <c r="B25" s="1132">
        <v>5201421016</v>
      </c>
      <c r="C25" s="1136"/>
      <c r="D25" s="1137">
        <v>1</v>
      </c>
      <c r="E25" s="1144">
        <v>1</v>
      </c>
      <c r="F25" s="1123">
        <v>3</v>
      </c>
      <c r="G25" s="1123">
        <v>6</v>
      </c>
      <c r="H25" s="1123"/>
      <c r="I25" s="1123"/>
      <c r="J25" s="1139">
        <v>5</v>
      </c>
      <c r="K25" s="1134"/>
      <c r="L25" s="1134"/>
      <c r="M25" s="1353">
        <f t="shared" si="1"/>
        <v>16</v>
      </c>
      <c r="N25" s="1136">
        <v>1</v>
      </c>
      <c r="O25" s="1137">
        <v>1</v>
      </c>
      <c r="P25" s="1137"/>
      <c r="Q25" s="1138"/>
      <c r="R25" s="1139">
        <v>2</v>
      </c>
      <c r="S25" s="1139"/>
      <c r="T25" s="1134"/>
      <c r="U25" s="1134"/>
      <c r="V25" s="1134"/>
      <c r="W25" s="1134">
        <v>2</v>
      </c>
      <c r="X25" s="1221"/>
      <c r="Y25" s="1140">
        <f t="shared" si="2"/>
        <v>6</v>
      </c>
      <c r="Z25" s="1134">
        <f t="shared" si="0"/>
        <v>11</v>
      </c>
      <c r="AA25" s="1141"/>
      <c r="AB25" s="940" t="s">
        <v>28</v>
      </c>
      <c r="AC25" s="1134">
        <f t="shared" si="3"/>
        <v>50</v>
      </c>
    </row>
    <row r="26" spans="1:29" ht="27.75" customHeight="1" x14ac:dyDescent="0.3">
      <c r="A26" s="1123">
        <v>17</v>
      </c>
      <c r="B26" s="1132">
        <v>5201421017</v>
      </c>
      <c r="C26" s="1136">
        <v>2</v>
      </c>
      <c r="D26" s="1137">
        <v>1</v>
      </c>
      <c r="E26" s="1144">
        <v>2</v>
      </c>
      <c r="F26" s="1123"/>
      <c r="G26" s="1123"/>
      <c r="H26" s="1123">
        <v>5</v>
      </c>
      <c r="I26" s="1123">
        <v>3</v>
      </c>
      <c r="J26" s="1139">
        <v>11</v>
      </c>
      <c r="K26" s="1134"/>
      <c r="L26" s="1134"/>
      <c r="M26" s="1353">
        <f t="shared" si="1"/>
        <v>24</v>
      </c>
      <c r="N26" s="1136">
        <v>2</v>
      </c>
      <c r="O26" s="1137">
        <v>2</v>
      </c>
      <c r="P26" s="1137"/>
      <c r="Q26" s="1138">
        <v>6</v>
      </c>
      <c r="R26" s="1139">
        <v>4</v>
      </c>
      <c r="S26" s="1139"/>
      <c r="T26" s="1134"/>
      <c r="U26" s="1134">
        <v>3</v>
      </c>
      <c r="V26" s="1134"/>
      <c r="W26" s="1134"/>
      <c r="X26" s="1221"/>
      <c r="Y26" s="1140">
        <f t="shared" si="2"/>
        <v>17</v>
      </c>
      <c r="Z26" s="1134">
        <f t="shared" si="0"/>
        <v>21</v>
      </c>
      <c r="AA26" s="1141"/>
      <c r="AB26" s="940" t="s">
        <v>30</v>
      </c>
      <c r="AC26" s="1134">
        <f t="shared" si="3"/>
        <v>90</v>
      </c>
    </row>
    <row r="27" spans="1:29" ht="27.75" customHeight="1" x14ac:dyDescent="0.3">
      <c r="A27" s="1123">
        <v>18</v>
      </c>
      <c r="B27" s="1132">
        <v>5201421018</v>
      </c>
      <c r="C27" s="1133">
        <v>2</v>
      </c>
      <c r="D27" s="1137">
        <v>2</v>
      </c>
      <c r="E27" s="1144">
        <v>2</v>
      </c>
      <c r="F27" s="1123">
        <v>3</v>
      </c>
      <c r="G27" s="1123"/>
      <c r="H27" s="1123"/>
      <c r="I27" s="1123"/>
      <c r="J27" s="1134">
        <v>11</v>
      </c>
      <c r="K27" s="1134"/>
      <c r="L27" s="1134"/>
      <c r="M27" s="1353">
        <f t="shared" si="1"/>
        <v>20</v>
      </c>
      <c r="N27" s="1136">
        <v>1</v>
      </c>
      <c r="O27" s="1137"/>
      <c r="P27" s="1137"/>
      <c r="Q27" s="1138"/>
      <c r="R27" s="1139"/>
      <c r="S27" s="1139"/>
      <c r="T27" s="1134"/>
      <c r="U27" s="1134">
        <v>2</v>
      </c>
      <c r="V27" s="1134">
        <v>1</v>
      </c>
      <c r="W27" s="1134"/>
      <c r="X27" s="1221"/>
      <c r="Y27" s="1140">
        <f t="shared" si="2"/>
        <v>4</v>
      </c>
      <c r="Z27" s="1134">
        <f t="shared" si="0"/>
        <v>12</v>
      </c>
      <c r="AA27" s="1141"/>
      <c r="AB27" s="940" t="s">
        <v>29</v>
      </c>
      <c r="AC27" s="1134">
        <f t="shared" si="3"/>
        <v>39</v>
      </c>
    </row>
    <row r="28" spans="1:29" ht="27.75" customHeight="1" x14ac:dyDescent="0.3">
      <c r="A28" s="1123">
        <v>19</v>
      </c>
      <c r="B28" s="1132">
        <v>5201421019</v>
      </c>
      <c r="C28" s="1136">
        <v>2</v>
      </c>
      <c r="D28" s="1134">
        <v>2</v>
      </c>
      <c r="E28" s="1135">
        <v>2</v>
      </c>
      <c r="F28" s="1123">
        <v>6</v>
      </c>
      <c r="G28" s="1123">
        <v>5</v>
      </c>
      <c r="H28" s="1123"/>
      <c r="I28" s="1123"/>
      <c r="J28" s="1134"/>
      <c r="K28" s="1134">
        <v>6</v>
      </c>
      <c r="L28" s="1134">
        <v>6</v>
      </c>
      <c r="M28" s="1353">
        <f t="shared" si="1"/>
        <v>29</v>
      </c>
      <c r="N28" s="1136">
        <v>2</v>
      </c>
      <c r="O28" s="1134">
        <v>2</v>
      </c>
      <c r="P28" s="1134">
        <v>2</v>
      </c>
      <c r="Q28" s="1138">
        <v>6</v>
      </c>
      <c r="R28" s="1139">
        <v>5</v>
      </c>
      <c r="S28" s="1139"/>
      <c r="T28" s="1134"/>
      <c r="U28" s="1134"/>
      <c r="V28" s="1134"/>
      <c r="W28" s="1134">
        <v>6</v>
      </c>
      <c r="X28" s="1221">
        <v>5</v>
      </c>
      <c r="Y28" s="1140">
        <f t="shared" si="2"/>
        <v>28</v>
      </c>
      <c r="Z28" s="1134">
        <f t="shared" si="0"/>
        <v>29</v>
      </c>
      <c r="AA28" s="1141"/>
      <c r="AB28" s="940" t="s">
        <v>82</v>
      </c>
      <c r="AC28" s="1134">
        <f t="shared" si="3"/>
        <v>100</v>
      </c>
    </row>
    <row r="29" spans="1:29" ht="27.75" customHeight="1" x14ac:dyDescent="0.3">
      <c r="A29" s="1123">
        <v>20</v>
      </c>
      <c r="B29" s="1132">
        <v>5201421020</v>
      </c>
      <c r="C29" s="1138">
        <v>2</v>
      </c>
      <c r="D29" s="1134">
        <v>2</v>
      </c>
      <c r="E29" s="1135">
        <v>2</v>
      </c>
      <c r="F29" s="1123">
        <v>6</v>
      </c>
      <c r="G29" s="1123">
        <v>6</v>
      </c>
      <c r="H29" s="1123"/>
      <c r="I29" s="1123"/>
      <c r="J29" s="1134">
        <v>10</v>
      </c>
      <c r="K29" s="1134"/>
      <c r="L29" s="1134"/>
      <c r="M29" s="1353">
        <f t="shared" si="1"/>
        <v>28</v>
      </c>
      <c r="N29" s="1138">
        <v>1</v>
      </c>
      <c r="O29" s="1134">
        <v>2</v>
      </c>
      <c r="P29" s="1134">
        <v>2</v>
      </c>
      <c r="Q29" s="1138">
        <v>5</v>
      </c>
      <c r="R29" s="1139">
        <v>4</v>
      </c>
      <c r="S29" s="1139"/>
      <c r="T29" s="1134"/>
      <c r="U29" s="1134"/>
      <c r="V29" s="1134"/>
      <c r="W29" s="1134">
        <v>4</v>
      </c>
      <c r="X29" s="1221">
        <v>4</v>
      </c>
      <c r="Y29" s="1140">
        <f t="shared" si="2"/>
        <v>22</v>
      </c>
      <c r="Z29" s="1134">
        <f t="shared" si="0"/>
        <v>25</v>
      </c>
      <c r="AA29" s="1141"/>
      <c r="AB29" s="940" t="s">
        <v>82</v>
      </c>
      <c r="AC29" s="1134">
        <f t="shared" si="3"/>
        <v>100</v>
      </c>
    </row>
    <row r="30" spans="1:29" ht="27.75" customHeight="1" x14ac:dyDescent="0.3">
      <c r="A30" s="1123">
        <v>21</v>
      </c>
      <c r="B30" s="1132">
        <v>5201421021</v>
      </c>
      <c r="C30" s="1136">
        <v>2</v>
      </c>
      <c r="D30" s="1134">
        <v>1</v>
      </c>
      <c r="E30" s="1135">
        <v>1</v>
      </c>
      <c r="F30" s="1123"/>
      <c r="G30" s="1123">
        <v>6</v>
      </c>
      <c r="H30" s="1123"/>
      <c r="I30" s="1123"/>
      <c r="J30" s="1134">
        <v>10</v>
      </c>
      <c r="K30" s="1134"/>
      <c r="L30" s="1134"/>
      <c r="M30" s="1353">
        <f t="shared" si="1"/>
        <v>20</v>
      </c>
      <c r="N30" s="1136">
        <v>1</v>
      </c>
      <c r="O30" s="1134">
        <v>2</v>
      </c>
      <c r="P30" s="1134">
        <v>1</v>
      </c>
      <c r="Q30" s="1138">
        <v>2</v>
      </c>
      <c r="R30" s="1139">
        <v>4</v>
      </c>
      <c r="S30" s="1139"/>
      <c r="T30" s="1134"/>
      <c r="U30" s="1134"/>
      <c r="V30" s="1134"/>
      <c r="W30" s="1134">
        <v>4</v>
      </c>
      <c r="X30" s="1221"/>
      <c r="Y30" s="1140">
        <f t="shared" si="2"/>
        <v>14</v>
      </c>
      <c r="Z30" s="1134">
        <f t="shared" si="0"/>
        <v>17</v>
      </c>
      <c r="AA30" s="1141"/>
      <c r="AB30" s="940" t="s">
        <v>27</v>
      </c>
      <c r="AC30" s="1134">
        <f t="shared" si="3"/>
        <v>80</v>
      </c>
    </row>
    <row r="31" spans="1:29" ht="27.75" customHeight="1" x14ac:dyDescent="0.3">
      <c r="A31" s="1123">
        <v>22</v>
      </c>
      <c r="B31" s="1132">
        <v>5201421022</v>
      </c>
      <c r="C31" s="1136"/>
      <c r="D31" s="1134"/>
      <c r="E31" s="1135"/>
      <c r="F31" s="1123"/>
      <c r="G31" s="1123"/>
      <c r="H31" s="1123"/>
      <c r="I31" s="1123"/>
      <c r="J31" s="1134"/>
      <c r="K31" s="1134"/>
      <c r="L31" s="1134"/>
      <c r="M31" s="1353">
        <f t="shared" si="1"/>
        <v>0</v>
      </c>
      <c r="N31" s="1136">
        <v>1</v>
      </c>
      <c r="O31" s="1134">
        <v>2</v>
      </c>
      <c r="P31" s="1134"/>
      <c r="Q31" s="1138">
        <v>1</v>
      </c>
      <c r="R31" s="1139">
        <v>2</v>
      </c>
      <c r="S31" s="1139"/>
      <c r="T31" s="1134"/>
      <c r="U31" s="1134">
        <v>0</v>
      </c>
      <c r="V31" s="1134">
        <v>1</v>
      </c>
      <c r="W31" s="1134"/>
      <c r="X31" s="1221"/>
      <c r="Y31" s="1140">
        <f t="shared" si="2"/>
        <v>7</v>
      </c>
      <c r="Z31" s="1134">
        <f t="shared" si="0"/>
        <v>4</v>
      </c>
      <c r="AA31" s="1141"/>
      <c r="AB31" s="940" t="s">
        <v>28</v>
      </c>
      <c r="AC31" s="1134">
        <f t="shared" si="3"/>
        <v>50</v>
      </c>
    </row>
    <row r="32" spans="1:29" ht="27.75" customHeight="1" x14ac:dyDescent="0.3">
      <c r="A32" s="1123">
        <v>23</v>
      </c>
      <c r="B32" s="1132">
        <v>5201421023</v>
      </c>
      <c r="C32" s="1136">
        <v>2</v>
      </c>
      <c r="D32" s="1134"/>
      <c r="E32" s="1135">
        <v>2</v>
      </c>
      <c r="F32" s="1123">
        <v>5</v>
      </c>
      <c r="G32" s="1123">
        <v>5</v>
      </c>
      <c r="H32" s="1123"/>
      <c r="I32" s="1123"/>
      <c r="J32" s="1134"/>
      <c r="K32" s="1134"/>
      <c r="L32" s="1134"/>
      <c r="M32" s="1353">
        <f t="shared" si="1"/>
        <v>14</v>
      </c>
      <c r="N32" s="1136">
        <v>1</v>
      </c>
      <c r="O32" s="1134">
        <v>2</v>
      </c>
      <c r="P32" s="1134">
        <v>1</v>
      </c>
      <c r="Q32" s="1138"/>
      <c r="R32" s="1139">
        <v>1</v>
      </c>
      <c r="S32" s="1139"/>
      <c r="T32" s="1134"/>
      <c r="U32" s="1134"/>
      <c r="V32" s="1134"/>
      <c r="W32" s="1134">
        <v>2</v>
      </c>
      <c r="X32" s="1221"/>
      <c r="Y32" s="1140">
        <f t="shared" si="2"/>
        <v>7</v>
      </c>
      <c r="Z32" s="1134">
        <f t="shared" si="0"/>
        <v>11</v>
      </c>
      <c r="AA32" s="1141"/>
      <c r="AB32" s="940" t="s">
        <v>29</v>
      </c>
      <c r="AC32" s="1134">
        <f t="shared" si="3"/>
        <v>39</v>
      </c>
    </row>
    <row r="33" spans="1:29" ht="27.75" customHeight="1" x14ac:dyDescent="0.3">
      <c r="A33" s="1123">
        <v>24</v>
      </c>
      <c r="B33" s="1132">
        <v>5201421024</v>
      </c>
      <c r="C33" s="1136"/>
      <c r="D33" s="1134"/>
      <c r="E33" s="1135">
        <v>1</v>
      </c>
      <c r="F33" s="1123">
        <v>6</v>
      </c>
      <c r="G33" s="1123">
        <v>5</v>
      </c>
      <c r="H33" s="1123"/>
      <c r="I33" s="1123"/>
      <c r="J33" s="1134">
        <v>7</v>
      </c>
      <c r="K33" s="1134"/>
      <c r="L33" s="1134"/>
      <c r="M33" s="1353">
        <f t="shared" si="1"/>
        <v>19</v>
      </c>
      <c r="N33" s="1136">
        <v>1</v>
      </c>
      <c r="O33" s="1134">
        <v>1</v>
      </c>
      <c r="P33" s="1134">
        <v>1</v>
      </c>
      <c r="Q33" s="1138">
        <v>1</v>
      </c>
      <c r="R33" s="1139">
        <v>1</v>
      </c>
      <c r="S33" s="1139"/>
      <c r="T33" s="1134"/>
      <c r="U33" s="1134"/>
      <c r="V33" s="1134"/>
      <c r="W33" s="1134">
        <v>1</v>
      </c>
      <c r="X33" s="1221"/>
      <c r="Y33" s="1140">
        <f t="shared" si="2"/>
        <v>6</v>
      </c>
      <c r="Z33" s="1134">
        <f t="shared" si="0"/>
        <v>13</v>
      </c>
      <c r="AA33" s="1141"/>
      <c r="AB33" s="940" t="s">
        <v>31</v>
      </c>
      <c r="AC33" s="1134">
        <f t="shared" si="3"/>
        <v>55</v>
      </c>
    </row>
    <row r="34" spans="1:29" ht="27.75" customHeight="1" x14ac:dyDescent="0.3">
      <c r="A34" s="1123">
        <v>25</v>
      </c>
      <c r="B34" s="1132">
        <v>5201421025</v>
      </c>
      <c r="C34" s="1136">
        <v>2</v>
      </c>
      <c r="D34" s="1134">
        <v>2</v>
      </c>
      <c r="E34" s="1135">
        <v>1</v>
      </c>
      <c r="F34" s="1123">
        <v>6</v>
      </c>
      <c r="G34" s="1123">
        <v>6</v>
      </c>
      <c r="H34" s="1123"/>
      <c r="I34" s="1123"/>
      <c r="J34" s="1134"/>
      <c r="K34" s="1134">
        <v>3</v>
      </c>
      <c r="L34" s="1134">
        <v>3</v>
      </c>
      <c r="M34" s="1353">
        <f t="shared" si="1"/>
        <v>23</v>
      </c>
      <c r="N34" s="1136">
        <v>2</v>
      </c>
      <c r="O34" s="1134">
        <v>2</v>
      </c>
      <c r="P34" s="1134">
        <v>2</v>
      </c>
      <c r="Q34" s="1138">
        <v>6</v>
      </c>
      <c r="R34" s="1139">
        <v>6</v>
      </c>
      <c r="S34" s="1139"/>
      <c r="T34" s="1134"/>
      <c r="U34" s="1134"/>
      <c r="V34" s="1134"/>
      <c r="W34" s="1134">
        <v>4</v>
      </c>
      <c r="X34" s="1221">
        <v>6</v>
      </c>
      <c r="Y34" s="1140">
        <f t="shared" si="2"/>
        <v>28</v>
      </c>
      <c r="Z34" s="1134">
        <f t="shared" si="0"/>
        <v>26</v>
      </c>
      <c r="AA34" s="1141"/>
      <c r="AB34" s="940" t="s">
        <v>82</v>
      </c>
      <c r="AC34" s="1134">
        <f t="shared" si="3"/>
        <v>100</v>
      </c>
    </row>
    <row r="35" spans="1:29" ht="27.75" customHeight="1" x14ac:dyDescent="0.3">
      <c r="A35" s="1123">
        <v>26</v>
      </c>
      <c r="B35" s="1132">
        <v>5201421026</v>
      </c>
      <c r="C35" s="1136">
        <v>1</v>
      </c>
      <c r="D35" s="1134">
        <v>1</v>
      </c>
      <c r="E35" s="1135">
        <v>1</v>
      </c>
      <c r="F35" s="1123">
        <v>2</v>
      </c>
      <c r="G35" s="1123">
        <v>5</v>
      </c>
      <c r="H35" s="1123"/>
      <c r="I35" s="1123"/>
      <c r="J35" s="1134">
        <v>3</v>
      </c>
      <c r="K35" s="1134"/>
      <c r="L35" s="1134"/>
      <c r="M35" s="1353">
        <f t="shared" si="1"/>
        <v>13</v>
      </c>
      <c r="N35" s="1136">
        <v>1</v>
      </c>
      <c r="O35" s="1134"/>
      <c r="P35" s="1134"/>
      <c r="Q35" s="1138"/>
      <c r="R35" s="1139"/>
      <c r="S35" s="1139">
        <v>3</v>
      </c>
      <c r="T35" s="1134"/>
      <c r="U35" s="1134"/>
      <c r="V35" s="1134"/>
      <c r="W35" s="1134">
        <v>3</v>
      </c>
      <c r="X35" s="1221">
        <v>2</v>
      </c>
      <c r="Y35" s="1140">
        <f t="shared" si="2"/>
        <v>9</v>
      </c>
      <c r="Z35" s="1134">
        <f t="shared" si="0"/>
        <v>11</v>
      </c>
      <c r="AA35" s="1141"/>
      <c r="AB35" s="940" t="s">
        <v>28</v>
      </c>
      <c r="AC35" s="1134">
        <f t="shared" si="3"/>
        <v>50</v>
      </c>
    </row>
    <row r="36" spans="1:29" ht="27.75" customHeight="1" x14ac:dyDescent="0.3">
      <c r="A36" s="1123">
        <v>27</v>
      </c>
      <c r="B36" s="1132">
        <v>5201421027</v>
      </c>
      <c r="C36" s="1136">
        <v>2</v>
      </c>
      <c r="D36" s="1134">
        <v>2</v>
      </c>
      <c r="E36" s="1135">
        <v>1</v>
      </c>
      <c r="F36" s="1123">
        <v>3</v>
      </c>
      <c r="G36" s="1123">
        <v>6</v>
      </c>
      <c r="H36" s="1123"/>
      <c r="I36" s="1123"/>
      <c r="J36" s="1134">
        <v>11</v>
      </c>
      <c r="K36" s="1134"/>
      <c r="L36" s="1134"/>
      <c r="M36" s="1353">
        <f t="shared" si="1"/>
        <v>25</v>
      </c>
      <c r="N36" s="1136">
        <v>2</v>
      </c>
      <c r="O36" s="1134">
        <v>2</v>
      </c>
      <c r="P36" s="1134"/>
      <c r="Q36" s="1138">
        <v>6</v>
      </c>
      <c r="R36" s="1139">
        <v>6</v>
      </c>
      <c r="S36" s="1139">
        <v>6</v>
      </c>
      <c r="T36" s="1134"/>
      <c r="U36" s="1134"/>
      <c r="V36" s="1134"/>
      <c r="W36" s="1134"/>
      <c r="X36" s="1221"/>
      <c r="Y36" s="1140">
        <f t="shared" si="2"/>
        <v>22</v>
      </c>
      <c r="Z36" s="1134">
        <f t="shared" si="0"/>
        <v>24</v>
      </c>
      <c r="AA36" s="1141"/>
      <c r="AB36" s="940" t="s">
        <v>30</v>
      </c>
      <c r="AC36" s="1134">
        <f t="shared" si="3"/>
        <v>90</v>
      </c>
    </row>
    <row r="37" spans="1:29" ht="27.75" customHeight="1" x14ac:dyDescent="0.3">
      <c r="A37" s="1123">
        <v>28</v>
      </c>
      <c r="B37" s="1132">
        <v>5201421028</v>
      </c>
      <c r="C37" s="1136">
        <v>2</v>
      </c>
      <c r="D37" s="1134">
        <v>2</v>
      </c>
      <c r="E37" s="1135">
        <v>2</v>
      </c>
      <c r="F37" s="1123">
        <v>6</v>
      </c>
      <c r="G37" s="1123">
        <v>6</v>
      </c>
      <c r="H37" s="1123"/>
      <c r="I37" s="1123"/>
      <c r="J37" s="1134">
        <v>10</v>
      </c>
      <c r="K37" s="1134"/>
      <c r="L37" s="1134"/>
      <c r="M37" s="1353">
        <f t="shared" si="1"/>
        <v>28</v>
      </c>
      <c r="N37" s="1136">
        <v>1</v>
      </c>
      <c r="O37" s="1134">
        <v>1</v>
      </c>
      <c r="P37" s="1134">
        <v>2</v>
      </c>
      <c r="Q37" s="1138">
        <v>4</v>
      </c>
      <c r="R37" s="1139">
        <v>4</v>
      </c>
      <c r="S37" s="1139"/>
      <c r="T37" s="1134"/>
      <c r="U37" s="1134"/>
      <c r="V37" s="1134"/>
      <c r="W37" s="1134">
        <v>4</v>
      </c>
      <c r="X37" s="1221">
        <v>1</v>
      </c>
      <c r="Y37" s="1140">
        <f t="shared" si="2"/>
        <v>17</v>
      </c>
      <c r="Z37" s="1134">
        <f t="shared" si="0"/>
        <v>23</v>
      </c>
      <c r="AA37" s="1141"/>
      <c r="AB37" s="943" t="s">
        <v>27</v>
      </c>
      <c r="AC37" s="1134">
        <f t="shared" si="3"/>
        <v>80</v>
      </c>
    </row>
    <row r="38" spans="1:29" ht="27.75" customHeight="1" x14ac:dyDescent="0.3">
      <c r="A38" s="1123">
        <v>29</v>
      </c>
      <c r="B38" s="1132">
        <v>5201421029</v>
      </c>
      <c r="C38" s="1136"/>
      <c r="D38" s="1134"/>
      <c r="E38" s="1135"/>
      <c r="F38" s="1123">
        <v>6</v>
      </c>
      <c r="G38" s="1123">
        <v>4</v>
      </c>
      <c r="H38" s="1123"/>
      <c r="I38" s="1123"/>
      <c r="J38" s="1134">
        <v>2</v>
      </c>
      <c r="K38" s="1134"/>
      <c r="L38" s="1134"/>
      <c r="M38" s="1353">
        <f t="shared" si="1"/>
        <v>12</v>
      </c>
      <c r="N38" s="1136">
        <v>1</v>
      </c>
      <c r="O38" s="1134">
        <v>2</v>
      </c>
      <c r="P38" s="1134">
        <v>2</v>
      </c>
      <c r="Q38" s="1138">
        <v>3</v>
      </c>
      <c r="R38" s="1139">
        <v>5</v>
      </c>
      <c r="S38" s="1139"/>
      <c r="T38" s="1134"/>
      <c r="U38" s="1134"/>
      <c r="V38" s="1134"/>
      <c r="W38" s="1134">
        <v>6</v>
      </c>
      <c r="X38" s="1221">
        <v>5</v>
      </c>
      <c r="Y38" s="1140">
        <f t="shared" si="2"/>
        <v>24</v>
      </c>
      <c r="Z38" s="1134">
        <f t="shared" si="0"/>
        <v>18</v>
      </c>
      <c r="AA38" s="1141"/>
      <c r="AB38" s="940" t="s">
        <v>27</v>
      </c>
      <c r="AC38" s="1134">
        <f t="shared" si="3"/>
        <v>80</v>
      </c>
    </row>
    <row r="39" spans="1:29" ht="27.75" customHeight="1" x14ac:dyDescent="0.3">
      <c r="A39" s="1123">
        <v>30</v>
      </c>
      <c r="B39" s="1132">
        <v>5201421030</v>
      </c>
      <c r="C39" s="1133">
        <v>2</v>
      </c>
      <c r="D39" s="1134">
        <v>2</v>
      </c>
      <c r="E39" s="1135">
        <v>1</v>
      </c>
      <c r="F39" s="1123">
        <v>4</v>
      </c>
      <c r="G39" s="1123"/>
      <c r="H39" s="1123"/>
      <c r="I39" s="1123"/>
      <c r="J39" s="1139">
        <v>10</v>
      </c>
      <c r="K39" s="1134"/>
      <c r="L39" s="1134"/>
      <c r="M39" s="1353">
        <f t="shared" si="1"/>
        <v>19</v>
      </c>
      <c r="N39" s="1136">
        <v>0</v>
      </c>
      <c r="O39" s="1134">
        <v>1</v>
      </c>
      <c r="P39" s="1134"/>
      <c r="Q39" s="1138">
        <v>1</v>
      </c>
      <c r="R39" s="1139">
        <v>2</v>
      </c>
      <c r="S39" s="1139"/>
      <c r="T39" s="1134"/>
      <c r="U39" s="1134"/>
      <c r="V39" s="1134"/>
      <c r="W39" s="1134"/>
      <c r="X39" s="1221"/>
      <c r="Y39" s="1140">
        <f t="shared" si="2"/>
        <v>4</v>
      </c>
      <c r="Z39" s="1134">
        <f t="shared" si="0"/>
        <v>12</v>
      </c>
      <c r="AA39" s="1141"/>
      <c r="AB39" s="940" t="s">
        <v>29</v>
      </c>
      <c r="AC39" s="1134">
        <f t="shared" si="3"/>
        <v>39</v>
      </c>
    </row>
    <row r="40" spans="1:29" ht="27.75" customHeight="1" x14ac:dyDescent="0.3">
      <c r="A40" s="1123">
        <v>31</v>
      </c>
      <c r="B40" s="1132">
        <v>5201421031</v>
      </c>
      <c r="C40" s="1138">
        <v>2</v>
      </c>
      <c r="D40" s="1134"/>
      <c r="E40" s="1135">
        <v>1</v>
      </c>
      <c r="F40" s="1123">
        <v>5</v>
      </c>
      <c r="G40" s="1123"/>
      <c r="H40" s="1123"/>
      <c r="I40" s="1123"/>
      <c r="J40" s="1139">
        <v>10</v>
      </c>
      <c r="K40" s="1134"/>
      <c r="L40" s="1134"/>
      <c r="M40" s="1353">
        <f t="shared" si="1"/>
        <v>18</v>
      </c>
      <c r="N40" s="1136">
        <v>1</v>
      </c>
      <c r="O40" s="1134">
        <v>2</v>
      </c>
      <c r="P40" s="1134">
        <v>2</v>
      </c>
      <c r="Q40" s="1138"/>
      <c r="R40" s="1139">
        <v>6</v>
      </c>
      <c r="S40" s="1139"/>
      <c r="T40" s="1134"/>
      <c r="U40" s="1134"/>
      <c r="V40" s="1134"/>
      <c r="W40" s="1134">
        <v>4</v>
      </c>
      <c r="X40" s="1221">
        <v>5</v>
      </c>
      <c r="Y40" s="1140">
        <f t="shared" si="2"/>
        <v>20</v>
      </c>
      <c r="Z40" s="1134">
        <f t="shared" si="0"/>
        <v>19</v>
      </c>
      <c r="AA40" s="1141"/>
      <c r="AB40" s="940" t="s">
        <v>27</v>
      </c>
      <c r="AC40" s="1134">
        <f t="shared" si="3"/>
        <v>80</v>
      </c>
    </row>
    <row r="41" spans="1:29" ht="27.75" customHeight="1" x14ac:dyDescent="0.3">
      <c r="A41" s="1123">
        <v>32</v>
      </c>
      <c r="B41" s="1132">
        <v>5201421032</v>
      </c>
      <c r="C41" s="1136">
        <v>2</v>
      </c>
      <c r="D41" s="1134">
        <v>2</v>
      </c>
      <c r="E41" s="1135">
        <v>1</v>
      </c>
      <c r="F41" s="1123">
        <v>6</v>
      </c>
      <c r="G41" s="1123">
        <v>6</v>
      </c>
      <c r="H41" s="1123"/>
      <c r="I41" s="1123"/>
      <c r="J41" s="1139">
        <v>10</v>
      </c>
      <c r="K41" s="1134"/>
      <c r="L41" s="1134"/>
      <c r="M41" s="1353">
        <f t="shared" si="1"/>
        <v>27</v>
      </c>
      <c r="N41" s="1138">
        <v>1</v>
      </c>
      <c r="O41" s="1134">
        <v>1</v>
      </c>
      <c r="P41" s="1134">
        <v>1</v>
      </c>
      <c r="Q41" s="1138">
        <v>2</v>
      </c>
      <c r="R41" s="1139">
        <v>1</v>
      </c>
      <c r="S41" s="1139"/>
      <c r="T41" s="1134"/>
      <c r="U41" s="1134"/>
      <c r="V41" s="1134"/>
      <c r="W41" s="1134"/>
      <c r="X41" s="1221">
        <v>1</v>
      </c>
      <c r="Y41" s="1140">
        <f t="shared" si="2"/>
        <v>7</v>
      </c>
      <c r="Z41" s="1134">
        <f t="shared" si="0"/>
        <v>17</v>
      </c>
      <c r="AA41" s="1141"/>
      <c r="AB41" s="940" t="s">
        <v>28</v>
      </c>
      <c r="AC41" s="1134">
        <f t="shared" si="3"/>
        <v>50</v>
      </c>
    </row>
    <row r="42" spans="1:29" ht="27.75" customHeight="1" x14ac:dyDescent="0.3">
      <c r="A42" s="1123">
        <v>33</v>
      </c>
      <c r="B42" s="1132">
        <v>5201421033</v>
      </c>
      <c r="C42" s="1136">
        <v>2</v>
      </c>
      <c r="D42" s="1134">
        <v>2</v>
      </c>
      <c r="E42" s="1135">
        <v>1</v>
      </c>
      <c r="F42" s="1123">
        <v>6</v>
      </c>
      <c r="G42" s="1123">
        <v>6</v>
      </c>
      <c r="H42" s="1123"/>
      <c r="I42" s="1123"/>
      <c r="J42" s="1139">
        <v>10</v>
      </c>
      <c r="K42" s="1134"/>
      <c r="L42" s="1134"/>
      <c r="M42" s="1353">
        <f t="shared" si="1"/>
        <v>27</v>
      </c>
      <c r="N42" s="1136">
        <v>2</v>
      </c>
      <c r="O42" s="1134">
        <v>2</v>
      </c>
      <c r="P42" s="1134">
        <v>2</v>
      </c>
      <c r="Q42" s="1138">
        <v>3</v>
      </c>
      <c r="R42" s="1139">
        <v>4</v>
      </c>
      <c r="S42" s="1139"/>
      <c r="T42" s="1134"/>
      <c r="U42" s="1134">
        <v>4</v>
      </c>
      <c r="V42" s="1134">
        <v>4</v>
      </c>
      <c r="W42" s="1134"/>
      <c r="X42" s="1221"/>
      <c r="Y42" s="1140">
        <f t="shared" si="2"/>
        <v>21</v>
      </c>
      <c r="Z42" s="1134">
        <f t="shared" si="0"/>
        <v>24</v>
      </c>
      <c r="AA42" s="1141"/>
      <c r="AB42" s="940" t="s">
        <v>30</v>
      </c>
      <c r="AC42" s="1134">
        <f t="shared" si="3"/>
        <v>90</v>
      </c>
    </row>
    <row r="43" spans="1:29" ht="27.75" customHeight="1" x14ac:dyDescent="0.3">
      <c r="A43" s="1123">
        <v>34</v>
      </c>
      <c r="B43" s="1132">
        <v>5201421034</v>
      </c>
      <c r="C43" s="1136">
        <v>2</v>
      </c>
      <c r="D43" s="1134">
        <v>2</v>
      </c>
      <c r="E43" s="1135">
        <v>2</v>
      </c>
      <c r="F43" s="1123">
        <v>5</v>
      </c>
      <c r="G43" s="1123">
        <v>6</v>
      </c>
      <c r="H43" s="1123"/>
      <c r="I43" s="1123"/>
      <c r="J43" s="1134">
        <v>10</v>
      </c>
      <c r="K43" s="1134"/>
      <c r="L43" s="1134"/>
      <c r="M43" s="1353">
        <f t="shared" si="1"/>
        <v>27</v>
      </c>
      <c r="N43" s="1138">
        <v>2</v>
      </c>
      <c r="O43" s="1134">
        <v>2</v>
      </c>
      <c r="P43" s="1134">
        <v>2</v>
      </c>
      <c r="Q43" s="1138">
        <v>6</v>
      </c>
      <c r="R43" s="1139">
        <v>4</v>
      </c>
      <c r="S43" s="1139"/>
      <c r="T43" s="1134"/>
      <c r="U43" s="1134"/>
      <c r="V43" s="1134"/>
      <c r="W43" s="1134">
        <v>6</v>
      </c>
      <c r="X43" s="1221">
        <v>5</v>
      </c>
      <c r="Y43" s="1140">
        <f t="shared" si="2"/>
        <v>27</v>
      </c>
      <c r="Z43" s="1134">
        <f t="shared" si="0"/>
        <v>27</v>
      </c>
      <c r="AA43" s="1141"/>
      <c r="AB43" s="940" t="s">
        <v>30</v>
      </c>
      <c r="AC43" s="1134">
        <f t="shared" si="3"/>
        <v>90</v>
      </c>
    </row>
    <row r="44" spans="1:29" ht="27.75" customHeight="1" x14ac:dyDescent="0.3">
      <c r="A44" s="1123">
        <v>35</v>
      </c>
      <c r="B44" s="1145">
        <v>5201421035</v>
      </c>
      <c r="C44" s="1145">
        <v>1</v>
      </c>
      <c r="D44" s="1145"/>
      <c r="E44" s="1132">
        <v>1</v>
      </c>
      <c r="F44" s="1123">
        <v>4</v>
      </c>
      <c r="G44" s="1123">
        <v>5</v>
      </c>
      <c r="H44" s="1123"/>
      <c r="I44" s="1123"/>
      <c r="J44" s="1145">
        <v>7</v>
      </c>
      <c r="K44" s="1145"/>
      <c r="L44" s="1249"/>
      <c r="M44" s="1353">
        <f t="shared" si="1"/>
        <v>18</v>
      </c>
      <c r="N44" s="1140">
        <v>1</v>
      </c>
      <c r="O44" s="1134">
        <v>2</v>
      </c>
      <c r="P44" s="1134">
        <v>1</v>
      </c>
      <c r="Q44" s="1138">
        <v>2</v>
      </c>
      <c r="R44" s="1139">
        <v>2</v>
      </c>
      <c r="S44" s="1139"/>
      <c r="T44" s="1134"/>
      <c r="U44" s="1134"/>
      <c r="V44" s="1134"/>
      <c r="W44" s="1134"/>
      <c r="X44" s="1221"/>
      <c r="Y44" s="1140">
        <f t="shared" si="2"/>
        <v>8</v>
      </c>
      <c r="Z44" s="1134">
        <f t="shared" si="0"/>
        <v>13</v>
      </c>
      <c r="AA44" s="1141"/>
      <c r="AB44" s="940" t="s">
        <v>33</v>
      </c>
      <c r="AC44" s="1134">
        <f t="shared" si="3"/>
        <v>60</v>
      </c>
    </row>
    <row r="45" spans="1:29" ht="27.75" customHeight="1" x14ac:dyDescent="0.3">
      <c r="A45" s="1123">
        <v>36</v>
      </c>
      <c r="B45" s="1132">
        <v>5201421036</v>
      </c>
      <c r="C45" s="1136">
        <v>2</v>
      </c>
      <c r="D45" s="1134">
        <v>2</v>
      </c>
      <c r="E45" s="1135">
        <v>1</v>
      </c>
      <c r="F45" s="1123">
        <v>6</v>
      </c>
      <c r="G45" s="1123">
        <v>6</v>
      </c>
      <c r="H45" s="1123"/>
      <c r="I45" s="1123"/>
      <c r="J45" s="1134">
        <v>10</v>
      </c>
      <c r="K45" s="1134"/>
      <c r="L45" s="1134"/>
      <c r="M45" s="1353">
        <f t="shared" si="1"/>
        <v>27</v>
      </c>
      <c r="N45" s="1136">
        <v>1</v>
      </c>
      <c r="O45" s="1134">
        <v>2</v>
      </c>
      <c r="P45" s="1134">
        <v>2</v>
      </c>
      <c r="Q45" s="1138">
        <v>6</v>
      </c>
      <c r="R45" s="1139">
        <v>6</v>
      </c>
      <c r="S45" s="1139"/>
      <c r="T45" s="1134"/>
      <c r="U45" s="1134">
        <v>6</v>
      </c>
      <c r="V45" s="1134">
        <v>1</v>
      </c>
      <c r="W45" s="1134"/>
      <c r="X45" s="1221"/>
      <c r="Y45" s="1140">
        <f t="shared" si="2"/>
        <v>24</v>
      </c>
      <c r="Z45" s="1134">
        <f t="shared" si="0"/>
        <v>26</v>
      </c>
      <c r="AA45" s="1141"/>
      <c r="AB45" s="940" t="s">
        <v>30</v>
      </c>
      <c r="AC45" s="1134">
        <f t="shared" si="3"/>
        <v>90</v>
      </c>
    </row>
    <row r="46" spans="1:29" ht="27.75" customHeight="1" x14ac:dyDescent="0.3">
      <c r="A46" s="1123">
        <v>37</v>
      </c>
      <c r="B46" s="1132">
        <v>5201421037</v>
      </c>
      <c r="C46" s="1136">
        <v>2</v>
      </c>
      <c r="D46" s="1134">
        <v>2</v>
      </c>
      <c r="E46" s="1135">
        <v>1</v>
      </c>
      <c r="F46" s="1123">
        <v>5</v>
      </c>
      <c r="G46" s="1123">
        <v>6</v>
      </c>
      <c r="H46" s="1123"/>
      <c r="I46" s="1123"/>
      <c r="J46" s="1134">
        <v>9</v>
      </c>
      <c r="K46" s="1134"/>
      <c r="L46" s="1134"/>
      <c r="M46" s="1353">
        <f t="shared" si="1"/>
        <v>25</v>
      </c>
      <c r="N46" s="1136">
        <v>1</v>
      </c>
      <c r="O46" s="1134">
        <v>1</v>
      </c>
      <c r="P46" s="1134">
        <v>2</v>
      </c>
      <c r="Q46" s="1138">
        <v>1</v>
      </c>
      <c r="R46" s="1139"/>
      <c r="S46" s="1139"/>
      <c r="T46" s="1134"/>
      <c r="U46" s="1134"/>
      <c r="V46" s="1134"/>
      <c r="W46" s="1134"/>
      <c r="X46" s="1221"/>
      <c r="Y46" s="1140">
        <f t="shared" si="2"/>
        <v>5</v>
      </c>
      <c r="Z46" s="1134">
        <f t="shared" si="0"/>
        <v>15</v>
      </c>
      <c r="AA46" s="1141"/>
      <c r="AB46" s="940" t="s">
        <v>29</v>
      </c>
      <c r="AC46" s="1134">
        <f t="shared" si="3"/>
        <v>39</v>
      </c>
    </row>
    <row r="47" spans="1:29" ht="27.75" customHeight="1" x14ac:dyDescent="0.3">
      <c r="A47" s="1123">
        <v>38</v>
      </c>
      <c r="B47" s="1132">
        <v>5201421038</v>
      </c>
      <c r="C47" s="1136">
        <v>2</v>
      </c>
      <c r="D47" s="1134">
        <v>2</v>
      </c>
      <c r="E47" s="1135">
        <v>1</v>
      </c>
      <c r="F47" s="1123">
        <v>6</v>
      </c>
      <c r="G47" s="1123">
        <v>5</v>
      </c>
      <c r="H47" s="1123"/>
      <c r="I47" s="1123"/>
      <c r="J47" s="1134">
        <v>8</v>
      </c>
      <c r="K47" s="1134"/>
      <c r="L47" s="1134"/>
      <c r="M47" s="1353">
        <f t="shared" si="1"/>
        <v>24</v>
      </c>
      <c r="N47" s="1136">
        <v>1</v>
      </c>
      <c r="O47" s="1134">
        <v>1</v>
      </c>
      <c r="P47" s="1134">
        <v>1</v>
      </c>
      <c r="Q47" s="1138">
        <v>3</v>
      </c>
      <c r="R47" s="1139">
        <v>2</v>
      </c>
      <c r="S47" s="1139"/>
      <c r="T47" s="1134"/>
      <c r="U47" s="1134"/>
      <c r="V47" s="1134"/>
      <c r="W47" s="1134">
        <v>1</v>
      </c>
      <c r="X47" s="1221"/>
      <c r="Y47" s="1140">
        <f t="shared" si="2"/>
        <v>9</v>
      </c>
      <c r="Z47" s="1134">
        <f t="shared" si="0"/>
        <v>17</v>
      </c>
      <c r="AA47" s="1141"/>
      <c r="AB47" s="940" t="s">
        <v>31</v>
      </c>
      <c r="AC47" s="1134">
        <f t="shared" si="3"/>
        <v>55</v>
      </c>
    </row>
    <row r="48" spans="1:29" ht="27.75" customHeight="1" x14ac:dyDescent="0.3">
      <c r="A48" s="1123">
        <v>39</v>
      </c>
      <c r="B48" s="1132">
        <v>5201421039</v>
      </c>
      <c r="C48" s="1136">
        <v>2</v>
      </c>
      <c r="D48" s="1134">
        <v>0</v>
      </c>
      <c r="E48" s="1135">
        <v>1</v>
      </c>
      <c r="F48" s="1123">
        <v>5</v>
      </c>
      <c r="G48" s="1123">
        <v>5</v>
      </c>
      <c r="H48" s="1123"/>
      <c r="I48" s="1123"/>
      <c r="J48" s="1134"/>
      <c r="K48" s="1134">
        <v>3</v>
      </c>
      <c r="L48" s="1134">
        <v>3</v>
      </c>
      <c r="M48" s="1353">
        <f t="shared" si="1"/>
        <v>19</v>
      </c>
      <c r="N48" s="1136">
        <v>2</v>
      </c>
      <c r="O48" s="1134">
        <v>2</v>
      </c>
      <c r="P48" s="1134">
        <v>2</v>
      </c>
      <c r="Q48" s="1138">
        <v>6</v>
      </c>
      <c r="R48" s="1139">
        <v>5</v>
      </c>
      <c r="S48" s="1139"/>
      <c r="T48" s="1134"/>
      <c r="U48" s="1134"/>
      <c r="V48" s="1134"/>
      <c r="W48" s="1134">
        <v>2</v>
      </c>
      <c r="X48" s="1221">
        <v>3</v>
      </c>
      <c r="Y48" s="1140">
        <f t="shared" si="2"/>
        <v>22</v>
      </c>
      <c r="Z48" s="1134">
        <f t="shared" si="0"/>
        <v>21</v>
      </c>
      <c r="AA48" s="1141"/>
      <c r="AB48" s="940" t="s">
        <v>27</v>
      </c>
      <c r="AC48" s="1134">
        <f t="shared" si="3"/>
        <v>80</v>
      </c>
    </row>
    <row r="49" spans="1:29" ht="27.75" customHeight="1" x14ac:dyDescent="0.3">
      <c r="A49" s="1123">
        <v>40</v>
      </c>
      <c r="B49" s="1132">
        <v>5201421040</v>
      </c>
      <c r="C49" s="1133"/>
      <c r="D49" s="1134"/>
      <c r="E49" s="1135"/>
      <c r="F49" s="1123"/>
      <c r="G49" s="1123"/>
      <c r="H49" s="1123"/>
      <c r="I49" s="1123"/>
      <c r="J49" s="1134"/>
      <c r="K49" s="1134"/>
      <c r="L49" s="1134"/>
      <c r="M49" s="1353">
        <f t="shared" si="1"/>
        <v>0</v>
      </c>
      <c r="N49" s="1136">
        <v>1</v>
      </c>
      <c r="O49" s="1134">
        <v>1</v>
      </c>
      <c r="P49" s="1134">
        <v>2</v>
      </c>
      <c r="Q49" s="1138">
        <v>2</v>
      </c>
      <c r="R49" s="1139">
        <v>3</v>
      </c>
      <c r="S49" s="1139"/>
      <c r="T49" s="1134"/>
      <c r="U49" s="1134"/>
      <c r="V49" s="1134"/>
      <c r="W49" s="1134">
        <v>5</v>
      </c>
      <c r="X49" s="1221">
        <v>3</v>
      </c>
      <c r="Y49" s="1140">
        <f t="shared" si="2"/>
        <v>17</v>
      </c>
      <c r="Z49" s="1134">
        <f t="shared" si="0"/>
        <v>9</v>
      </c>
      <c r="AA49" s="1141"/>
      <c r="AB49" s="940" t="s">
        <v>32</v>
      </c>
      <c r="AC49" s="1134">
        <f t="shared" si="3"/>
        <v>70</v>
      </c>
    </row>
    <row r="50" spans="1:29" ht="27.75" customHeight="1" x14ac:dyDescent="0.3">
      <c r="A50" s="1123">
        <v>41</v>
      </c>
      <c r="B50" s="1132">
        <v>5201421041</v>
      </c>
      <c r="C50" s="1136">
        <v>2</v>
      </c>
      <c r="D50" s="1134">
        <v>1</v>
      </c>
      <c r="E50" s="1135">
        <v>1</v>
      </c>
      <c r="F50" s="1123">
        <v>4</v>
      </c>
      <c r="G50" s="1123"/>
      <c r="H50" s="1123"/>
      <c r="I50" s="1123"/>
      <c r="J50" s="1134">
        <v>10</v>
      </c>
      <c r="K50" s="1134"/>
      <c r="L50" s="1134"/>
      <c r="M50" s="1353">
        <f t="shared" si="1"/>
        <v>18</v>
      </c>
      <c r="N50" s="1136">
        <v>1</v>
      </c>
      <c r="O50" s="1134"/>
      <c r="P50" s="1134"/>
      <c r="Q50" s="1138"/>
      <c r="R50" s="1139"/>
      <c r="S50" s="1139"/>
      <c r="T50" s="1134"/>
      <c r="U50" s="1134"/>
      <c r="V50" s="1134"/>
      <c r="W50" s="1134">
        <v>1</v>
      </c>
      <c r="X50" s="1221"/>
      <c r="Y50" s="1140">
        <f t="shared" si="2"/>
        <v>2</v>
      </c>
      <c r="Z50" s="1134">
        <f t="shared" si="0"/>
        <v>10</v>
      </c>
      <c r="AA50" s="1141"/>
      <c r="AB50" s="940" t="s">
        <v>29</v>
      </c>
      <c r="AC50" s="1134">
        <f t="shared" si="3"/>
        <v>39</v>
      </c>
    </row>
    <row r="51" spans="1:29" ht="27.75" customHeight="1" x14ac:dyDescent="0.3">
      <c r="A51" s="1123">
        <v>42</v>
      </c>
      <c r="B51" s="1132">
        <v>5201421042</v>
      </c>
      <c r="C51" s="1136">
        <v>2</v>
      </c>
      <c r="D51" s="1134">
        <v>2</v>
      </c>
      <c r="E51" s="1135">
        <v>1</v>
      </c>
      <c r="F51" s="1123">
        <v>5</v>
      </c>
      <c r="G51" s="1123">
        <v>6</v>
      </c>
      <c r="H51" s="1123"/>
      <c r="I51" s="1123"/>
      <c r="J51" s="1134">
        <v>10</v>
      </c>
      <c r="K51" s="1134"/>
      <c r="L51" s="1134"/>
      <c r="M51" s="1353">
        <f t="shared" si="1"/>
        <v>26</v>
      </c>
      <c r="N51" s="1136">
        <v>1</v>
      </c>
      <c r="O51" s="1134">
        <v>1</v>
      </c>
      <c r="P51" s="1134"/>
      <c r="Q51" s="1138">
        <v>2</v>
      </c>
      <c r="R51" s="1139">
        <v>1</v>
      </c>
      <c r="S51" s="1139"/>
      <c r="T51" s="1134"/>
      <c r="U51" s="1134"/>
      <c r="V51" s="1134"/>
      <c r="W51" s="1134"/>
      <c r="X51" s="1221"/>
      <c r="Y51" s="1140">
        <f t="shared" si="2"/>
        <v>5</v>
      </c>
      <c r="Z51" s="1134">
        <f t="shared" si="0"/>
        <v>16</v>
      </c>
      <c r="AA51" s="1141"/>
      <c r="AB51" s="940" t="s">
        <v>29</v>
      </c>
      <c r="AC51" s="1134">
        <f t="shared" si="3"/>
        <v>39</v>
      </c>
    </row>
    <row r="52" spans="1:29" ht="27.75" customHeight="1" x14ac:dyDescent="0.3">
      <c r="A52" s="1123">
        <v>43</v>
      </c>
      <c r="B52" s="1132">
        <v>5201421043</v>
      </c>
      <c r="C52" s="1136">
        <v>2</v>
      </c>
      <c r="D52" s="1134">
        <v>2</v>
      </c>
      <c r="E52" s="1135">
        <v>2</v>
      </c>
      <c r="F52" s="1123">
        <v>6</v>
      </c>
      <c r="G52" s="1123">
        <v>6</v>
      </c>
      <c r="H52" s="1123"/>
      <c r="I52" s="1123"/>
      <c r="J52" s="1134">
        <v>10</v>
      </c>
      <c r="K52" s="1134"/>
      <c r="L52" s="1134"/>
      <c r="M52" s="1353">
        <f t="shared" si="1"/>
        <v>28</v>
      </c>
      <c r="N52" s="1136">
        <v>1</v>
      </c>
      <c r="O52" s="1134">
        <v>2</v>
      </c>
      <c r="P52" s="1134">
        <v>2</v>
      </c>
      <c r="Q52" s="1138">
        <v>2</v>
      </c>
      <c r="R52" s="1139">
        <v>4</v>
      </c>
      <c r="S52" s="1139"/>
      <c r="T52" s="1134"/>
      <c r="U52" s="1134"/>
      <c r="V52" s="1134"/>
      <c r="W52" s="1134">
        <v>3</v>
      </c>
      <c r="X52" s="1221">
        <v>5</v>
      </c>
      <c r="Y52" s="1140">
        <f t="shared" si="2"/>
        <v>19</v>
      </c>
      <c r="Z52" s="1134">
        <f t="shared" si="0"/>
        <v>24</v>
      </c>
      <c r="AA52" s="1141"/>
      <c r="AB52" s="940" t="s">
        <v>32</v>
      </c>
      <c r="AC52" s="1134">
        <f t="shared" si="3"/>
        <v>70</v>
      </c>
    </row>
    <row r="53" spans="1:29" ht="27.75" customHeight="1" x14ac:dyDescent="0.3">
      <c r="A53" s="1123">
        <v>44</v>
      </c>
      <c r="B53" s="1132">
        <v>5201421044</v>
      </c>
      <c r="C53" s="1136">
        <v>2</v>
      </c>
      <c r="D53" s="1134">
        <v>2</v>
      </c>
      <c r="E53" s="1135">
        <v>1</v>
      </c>
      <c r="F53" s="1123">
        <v>6</v>
      </c>
      <c r="G53" s="1123">
        <v>6</v>
      </c>
      <c r="H53" s="1123"/>
      <c r="I53" s="1123"/>
      <c r="J53" s="1134">
        <v>10</v>
      </c>
      <c r="K53" s="1134"/>
      <c r="L53" s="1134"/>
      <c r="M53" s="1353">
        <f t="shared" si="1"/>
        <v>27</v>
      </c>
      <c r="N53" s="1136">
        <v>2</v>
      </c>
      <c r="O53" s="1134">
        <v>2</v>
      </c>
      <c r="P53" s="1134">
        <v>2</v>
      </c>
      <c r="Q53" s="1138">
        <v>6</v>
      </c>
      <c r="R53" s="1139">
        <v>6</v>
      </c>
      <c r="S53" s="1139"/>
      <c r="T53" s="1134"/>
      <c r="U53" s="1134"/>
      <c r="V53" s="1134"/>
      <c r="W53" s="1134">
        <v>5</v>
      </c>
      <c r="X53" s="1221">
        <v>5</v>
      </c>
      <c r="Y53" s="1140">
        <f t="shared" si="2"/>
        <v>28</v>
      </c>
      <c r="Z53" s="1134">
        <f t="shared" si="0"/>
        <v>28</v>
      </c>
      <c r="AA53" s="1141"/>
      <c r="AB53" s="940" t="s">
        <v>30</v>
      </c>
      <c r="AC53" s="1134">
        <f t="shared" si="3"/>
        <v>90</v>
      </c>
    </row>
    <row r="54" spans="1:29" ht="27.75" customHeight="1" x14ac:dyDescent="0.3">
      <c r="A54" s="1123">
        <v>45</v>
      </c>
      <c r="B54" s="1132">
        <v>5201421045</v>
      </c>
      <c r="C54" s="1133">
        <v>2</v>
      </c>
      <c r="D54" s="1134">
        <v>2</v>
      </c>
      <c r="E54" s="1135">
        <v>1</v>
      </c>
      <c r="F54" s="1123">
        <v>5</v>
      </c>
      <c r="G54" s="1123">
        <v>6</v>
      </c>
      <c r="H54" s="1123"/>
      <c r="I54" s="1123"/>
      <c r="J54" s="1134">
        <v>10</v>
      </c>
      <c r="K54" s="1134"/>
      <c r="L54" s="1134"/>
      <c r="M54" s="1353">
        <f t="shared" si="1"/>
        <v>26</v>
      </c>
      <c r="N54" s="1136">
        <v>2</v>
      </c>
      <c r="O54" s="1134">
        <v>2</v>
      </c>
      <c r="P54" s="1134">
        <v>2</v>
      </c>
      <c r="Q54" s="1138"/>
      <c r="R54" s="1139">
        <v>4</v>
      </c>
      <c r="S54" s="1139"/>
      <c r="T54" s="1134"/>
      <c r="U54" s="1134">
        <v>1</v>
      </c>
      <c r="V54" s="1134">
        <v>0</v>
      </c>
      <c r="W54" s="1134"/>
      <c r="X54" s="1221"/>
      <c r="Y54" s="1140">
        <f t="shared" si="2"/>
        <v>11</v>
      </c>
      <c r="Z54" s="1134">
        <f t="shared" si="0"/>
        <v>19</v>
      </c>
      <c r="AA54" s="1141"/>
      <c r="AB54" s="940" t="s">
        <v>33</v>
      </c>
      <c r="AC54" s="1134">
        <f t="shared" si="3"/>
        <v>60</v>
      </c>
    </row>
    <row r="55" spans="1:29" ht="27.75" customHeight="1" x14ac:dyDescent="0.3">
      <c r="A55" s="1123">
        <v>46</v>
      </c>
      <c r="B55" s="1132">
        <v>5201421046</v>
      </c>
      <c r="C55" s="1136">
        <v>2</v>
      </c>
      <c r="D55" s="1134">
        <v>2</v>
      </c>
      <c r="E55" s="1135">
        <v>1</v>
      </c>
      <c r="F55" s="1123">
        <v>6</v>
      </c>
      <c r="G55" s="1123">
        <v>6</v>
      </c>
      <c r="H55" s="1123"/>
      <c r="I55" s="1123"/>
      <c r="J55" s="1134">
        <v>10</v>
      </c>
      <c r="K55" s="1134"/>
      <c r="L55" s="1134"/>
      <c r="M55" s="1353">
        <f t="shared" si="1"/>
        <v>27</v>
      </c>
      <c r="N55" s="1136">
        <v>2</v>
      </c>
      <c r="O55" s="1134">
        <v>2</v>
      </c>
      <c r="P55" s="1134">
        <v>1</v>
      </c>
      <c r="Q55" s="1138">
        <v>5</v>
      </c>
      <c r="R55" s="1139">
        <v>4</v>
      </c>
      <c r="S55" s="1139"/>
      <c r="T55" s="1134"/>
      <c r="U55" s="1134">
        <v>5</v>
      </c>
      <c r="V55" s="1134">
        <v>0</v>
      </c>
      <c r="W55" s="1134"/>
      <c r="X55" s="1221"/>
      <c r="Y55" s="1140">
        <f t="shared" si="2"/>
        <v>19</v>
      </c>
      <c r="Z55" s="1134">
        <f t="shared" si="0"/>
        <v>23</v>
      </c>
      <c r="AA55" s="1141"/>
      <c r="AB55" s="940" t="s">
        <v>30</v>
      </c>
      <c r="AC55" s="1134">
        <f t="shared" si="3"/>
        <v>90</v>
      </c>
    </row>
    <row r="56" spans="1:29" ht="27.75" customHeight="1" x14ac:dyDescent="0.3">
      <c r="A56" s="1123">
        <v>47</v>
      </c>
      <c r="B56" s="1132">
        <v>5201421047</v>
      </c>
      <c r="C56" s="1136">
        <v>2</v>
      </c>
      <c r="D56" s="1134">
        <v>2</v>
      </c>
      <c r="E56" s="1135">
        <v>1</v>
      </c>
      <c r="F56" s="1123">
        <v>5</v>
      </c>
      <c r="G56" s="1123">
        <v>6</v>
      </c>
      <c r="H56" s="1123"/>
      <c r="I56" s="1123"/>
      <c r="J56" s="1134"/>
      <c r="K56" s="1134"/>
      <c r="L56" s="1134"/>
      <c r="M56" s="1353">
        <f t="shared" si="1"/>
        <v>16</v>
      </c>
      <c r="N56" s="1136">
        <v>0</v>
      </c>
      <c r="O56" s="1134">
        <v>0</v>
      </c>
      <c r="P56" s="1134"/>
      <c r="Q56" s="1138">
        <v>1</v>
      </c>
      <c r="R56" s="1139">
        <v>1</v>
      </c>
      <c r="S56" s="1139"/>
      <c r="T56" s="1134"/>
      <c r="U56" s="1134"/>
      <c r="V56" s="1134"/>
      <c r="W56" s="1134"/>
      <c r="X56" s="1221"/>
      <c r="Y56" s="1140">
        <f t="shared" si="2"/>
        <v>2</v>
      </c>
      <c r="Z56" s="1134">
        <f t="shared" si="0"/>
        <v>9</v>
      </c>
      <c r="AA56" s="1141"/>
      <c r="AB56" s="940" t="s">
        <v>29</v>
      </c>
      <c r="AC56" s="1134">
        <f t="shared" si="3"/>
        <v>39</v>
      </c>
    </row>
    <row r="57" spans="1:29" ht="27.75" customHeight="1" x14ac:dyDescent="0.3">
      <c r="A57" s="1123">
        <v>48</v>
      </c>
      <c r="B57" s="1132">
        <v>5201421048</v>
      </c>
      <c r="C57" s="1136">
        <v>2</v>
      </c>
      <c r="D57" s="1134">
        <v>2</v>
      </c>
      <c r="E57" s="1135">
        <v>1</v>
      </c>
      <c r="F57" s="1123">
        <v>5</v>
      </c>
      <c r="G57" s="1123">
        <v>6</v>
      </c>
      <c r="H57" s="1123"/>
      <c r="I57" s="1123"/>
      <c r="J57" s="1134">
        <v>10</v>
      </c>
      <c r="K57" s="1134"/>
      <c r="L57" s="1134"/>
      <c r="M57" s="1353">
        <f t="shared" si="1"/>
        <v>26</v>
      </c>
      <c r="N57" s="1136">
        <v>1</v>
      </c>
      <c r="O57" s="1134">
        <v>2</v>
      </c>
      <c r="P57" s="1134">
        <v>1</v>
      </c>
      <c r="Q57" s="1138">
        <v>4</v>
      </c>
      <c r="R57" s="1139">
        <v>4</v>
      </c>
      <c r="S57" s="1139"/>
      <c r="T57" s="1134"/>
      <c r="U57" s="1134"/>
      <c r="V57" s="1134"/>
      <c r="W57" s="1134">
        <v>4</v>
      </c>
      <c r="X57" s="1221">
        <v>3</v>
      </c>
      <c r="Y57" s="1140">
        <f t="shared" si="2"/>
        <v>19</v>
      </c>
      <c r="Z57" s="1134">
        <f t="shared" si="0"/>
        <v>23</v>
      </c>
      <c r="AA57" s="1141"/>
      <c r="AB57" s="940" t="s">
        <v>32</v>
      </c>
      <c r="AC57" s="1134">
        <f t="shared" si="3"/>
        <v>70</v>
      </c>
    </row>
    <row r="58" spans="1:29" ht="27.75" customHeight="1" x14ac:dyDescent="0.3">
      <c r="A58" s="1123">
        <v>49</v>
      </c>
      <c r="B58" s="1132">
        <v>5201421049</v>
      </c>
      <c r="C58" s="1136"/>
      <c r="D58" s="1134"/>
      <c r="E58" s="1135"/>
      <c r="F58" s="1123"/>
      <c r="G58" s="1123"/>
      <c r="H58" s="1123"/>
      <c r="I58" s="1123"/>
      <c r="J58" s="1134"/>
      <c r="K58" s="1134"/>
      <c r="L58" s="1134"/>
      <c r="M58" s="1353">
        <f t="shared" si="1"/>
        <v>0</v>
      </c>
      <c r="N58" s="1136">
        <v>1</v>
      </c>
      <c r="O58" s="1134">
        <v>1</v>
      </c>
      <c r="P58" s="1134">
        <v>2</v>
      </c>
      <c r="Q58" s="1138">
        <v>3</v>
      </c>
      <c r="R58" s="1139">
        <v>0</v>
      </c>
      <c r="S58" s="1139"/>
      <c r="T58" s="1134"/>
      <c r="U58" s="1134">
        <v>2</v>
      </c>
      <c r="V58" s="1134">
        <v>0</v>
      </c>
      <c r="W58" s="1134"/>
      <c r="X58" s="1221"/>
      <c r="Y58" s="1140">
        <f t="shared" si="2"/>
        <v>9</v>
      </c>
      <c r="Z58" s="1134">
        <f t="shared" si="0"/>
        <v>5</v>
      </c>
      <c r="AA58" s="1141"/>
      <c r="AB58" s="940" t="s">
        <v>28</v>
      </c>
      <c r="AC58" s="1134">
        <f t="shared" si="3"/>
        <v>50</v>
      </c>
    </row>
    <row r="59" spans="1:29" ht="27.75" customHeight="1" x14ac:dyDescent="0.3">
      <c r="A59" s="1123">
        <v>50</v>
      </c>
      <c r="B59" s="1132">
        <v>5201421050</v>
      </c>
      <c r="C59" s="1136">
        <v>2</v>
      </c>
      <c r="D59" s="1134"/>
      <c r="E59" s="1135"/>
      <c r="F59" s="1123">
        <v>6</v>
      </c>
      <c r="G59" s="1123"/>
      <c r="H59" s="1123"/>
      <c r="I59" s="1123"/>
      <c r="J59" s="1134">
        <v>10</v>
      </c>
      <c r="K59" s="1134"/>
      <c r="L59" s="1134"/>
      <c r="M59" s="1353">
        <f t="shared" si="1"/>
        <v>18</v>
      </c>
      <c r="N59" s="1136">
        <v>1</v>
      </c>
      <c r="O59" s="1134">
        <v>2</v>
      </c>
      <c r="P59" s="1134">
        <v>1</v>
      </c>
      <c r="Q59" s="1138"/>
      <c r="R59" s="1139">
        <v>3</v>
      </c>
      <c r="S59" s="1139"/>
      <c r="T59" s="1134"/>
      <c r="U59" s="1134"/>
      <c r="V59" s="1134"/>
      <c r="W59" s="1134">
        <v>3</v>
      </c>
      <c r="X59" s="1221">
        <v>2</v>
      </c>
      <c r="Y59" s="1140">
        <f t="shared" si="2"/>
        <v>12</v>
      </c>
      <c r="Z59" s="1134">
        <f t="shared" si="0"/>
        <v>15</v>
      </c>
      <c r="AA59" s="1141"/>
      <c r="AB59" s="940" t="s">
        <v>32</v>
      </c>
      <c r="AC59" s="1134">
        <f t="shared" si="3"/>
        <v>70</v>
      </c>
    </row>
    <row r="60" spans="1:29" ht="27.75" customHeight="1" x14ac:dyDescent="0.3">
      <c r="A60" s="1123">
        <v>51</v>
      </c>
      <c r="B60" s="1132">
        <v>5201421051</v>
      </c>
      <c r="C60" s="1354">
        <v>2</v>
      </c>
      <c r="D60" s="1355">
        <v>1</v>
      </c>
      <c r="E60" s="1356">
        <v>2</v>
      </c>
      <c r="F60" s="1123">
        <v>4</v>
      </c>
      <c r="G60" s="1123">
        <v>6</v>
      </c>
      <c r="H60" s="1123"/>
      <c r="I60" s="1123"/>
      <c r="J60" s="1134"/>
      <c r="K60" s="1134">
        <v>6</v>
      </c>
      <c r="L60" s="1134">
        <v>4</v>
      </c>
      <c r="M60" s="1353">
        <f t="shared" si="1"/>
        <v>25</v>
      </c>
      <c r="N60" s="1354">
        <v>1</v>
      </c>
      <c r="O60" s="1355">
        <v>1</v>
      </c>
      <c r="P60" s="1355"/>
      <c r="Q60" s="1357"/>
      <c r="R60" s="1358"/>
      <c r="S60" s="1358">
        <v>3</v>
      </c>
      <c r="T60" s="1355"/>
      <c r="U60" s="1355"/>
      <c r="V60" s="1355"/>
      <c r="W60" s="1355">
        <v>6</v>
      </c>
      <c r="X60" s="1359">
        <v>4</v>
      </c>
      <c r="Y60" s="1140">
        <f t="shared" si="2"/>
        <v>15</v>
      </c>
      <c r="Z60" s="1134">
        <f t="shared" si="0"/>
        <v>20</v>
      </c>
      <c r="AA60" s="1141"/>
      <c r="AB60" s="940" t="s">
        <v>27</v>
      </c>
      <c r="AC60" s="1134">
        <f t="shared" si="3"/>
        <v>80</v>
      </c>
    </row>
    <row r="61" spans="1:29" ht="27.75" customHeight="1" x14ac:dyDescent="0.3">
      <c r="A61" s="1123">
        <v>52</v>
      </c>
      <c r="B61" s="1132">
        <v>5201421052</v>
      </c>
      <c r="C61" s="1354">
        <v>2</v>
      </c>
      <c r="D61" s="1355">
        <v>1</v>
      </c>
      <c r="E61" s="1356">
        <v>2</v>
      </c>
      <c r="F61" s="1123">
        <v>3</v>
      </c>
      <c r="G61" s="1123">
        <v>6</v>
      </c>
      <c r="H61" s="1123"/>
      <c r="I61" s="1123"/>
      <c r="J61" s="1134">
        <v>6</v>
      </c>
      <c r="K61" s="1134"/>
      <c r="L61" s="1134"/>
      <c r="M61" s="1353">
        <f t="shared" si="1"/>
        <v>20</v>
      </c>
      <c r="N61" s="1354">
        <v>2</v>
      </c>
      <c r="O61" s="1355"/>
      <c r="P61" s="1355">
        <v>2</v>
      </c>
      <c r="Q61" s="1357">
        <v>2</v>
      </c>
      <c r="R61" s="1358">
        <v>4</v>
      </c>
      <c r="S61" s="1358"/>
      <c r="T61" s="1355"/>
      <c r="U61" s="1355"/>
      <c r="V61" s="1355"/>
      <c r="W61" s="1355">
        <v>6</v>
      </c>
      <c r="X61" s="1359">
        <v>3</v>
      </c>
      <c r="Y61" s="1140">
        <f t="shared" si="2"/>
        <v>19</v>
      </c>
      <c r="Z61" s="1134">
        <f t="shared" si="0"/>
        <v>20</v>
      </c>
      <c r="AA61" s="1141"/>
      <c r="AB61" s="940" t="s">
        <v>27</v>
      </c>
      <c r="AC61" s="1134">
        <f t="shared" si="3"/>
        <v>80</v>
      </c>
    </row>
    <row r="62" spans="1:29" ht="27.75" customHeight="1" x14ac:dyDescent="0.3">
      <c r="A62" s="1123">
        <v>53</v>
      </c>
      <c r="B62" s="1132">
        <v>5201421053</v>
      </c>
      <c r="C62" s="1354">
        <v>2</v>
      </c>
      <c r="D62" s="1355">
        <v>2</v>
      </c>
      <c r="E62" s="1356">
        <v>1</v>
      </c>
      <c r="F62" s="1123">
        <v>6</v>
      </c>
      <c r="G62" s="1123"/>
      <c r="H62" s="1123"/>
      <c r="I62" s="1123"/>
      <c r="J62" s="1134"/>
      <c r="K62" s="1134">
        <v>3</v>
      </c>
      <c r="L62" s="1134">
        <v>3</v>
      </c>
      <c r="M62" s="1353">
        <f t="shared" si="1"/>
        <v>17</v>
      </c>
      <c r="N62" s="1354">
        <v>1</v>
      </c>
      <c r="O62" s="1355">
        <v>2</v>
      </c>
      <c r="P62" s="1355">
        <v>2</v>
      </c>
      <c r="Q62" s="1357"/>
      <c r="R62" s="1358"/>
      <c r="S62" s="1358">
        <v>3</v>
      </c>
      <c r="T62" s="1355"/>
      <c r="U62" s="1355"/>
      <c r="V62" s="1355"/>
      <c r="W62" s="1355">
        <v>4</v>
      </c>
      <c r="X62" s="1359">
        <v>4</v>
      </c>
      <c r="Y62" s="1140">
        <f t="shared" si="2"/>
        <v>16</v>
      </c>
      <c r="Z62" s="1134">
        <f t="shared" si="0"/>
        <v>17</v>
      </c>
      <c r="AA62" s="1141"/>
      <c r="AB62" s="940" t="s">
        <v>27</v>
      </c>
      <c r="AC62" s="1134">
        <f t="shared" si="3"/>
        <v>80</v>
      </c>
    </row>
    <row r="63" spans="1:29" ht="27.75" customHeight="1" x14ac:dyDescent="0.3">
      <c r="A63" s="1123">
        <v>54</v>
      </c>
      <c r="B63" s="1132">
        <v>5201421054</v>
      </c>
      <c r="C63" s="1354">
        <v>2</v>
      </c>
      <c r="D63" s="1355"/>
      <c r="E63" s="1356">
        <v>2</v>
      </c>
      <c r="F63" s="1123">
        <v>6</v>
      </c>
      <c r="G63" s="1123">
        <v>4</v>
      </c>
      <c r="H63" s="1123"/>
      <c r="I63" s="1123"/>
      <c r="J63" s="1134"/>
      <c r="K63" s="1134">
        <v>2</v>
      </c>
      <c r="L63" s="1134">
        <v>2</v>
      </c>
      <c r="M63" s="1353">
        <f t="shared" si="1"/>
        <v>18</v>
      </c>
      <c r="N63" s="1354">
        <v>1</v>
      </c>
      <c r="O63" s="1355">
        <v>2</v>
      </c>
      <c r="P63" s="1355">
        <v>1</v>
      </c>
      <c r="Q63" s="1357">
        <v>2</v>
      </c>
      <c r="R63" s="1358"/>
      <c r="S63" s="1358"/>
      <c r="T63" s="1355"/>
      <c r="U63" s="1355"/>
      <c r="V63" s="1355"/>
      <c r="W63" s="1355">
        <v>3</v>
      </c>
      <c r="X63" s="1359">
        <v>1</v>
      </c>
      <c r="Y63" s="1140">
        <f t="shared" si="2"/>
        <v>10</v>
      </c>
      <c r="Z63" s="1134">
        <f t="shared" si="0"/>
        <v>14</v>
      </c>
      <c r="AA63" s="1141"/>
      <c r="AB63" s="940" t="s">
        <v>27</v>
      </c>
      <c r="AC63" s="1134">
        <f t="shared" si="3"/>
        <v>80</v>
      </c>
    </row>
    <row r="64" spans="1:29" ht="27.75" customHeight="1" x14ac:dyDescent="0.3">
      <c r="A64" s="1123">
        <v>55</v>
      </c>
      <c r="B64" s="1132">
        <v>5201421055</v>
      </c>
      <c r="C64" s="1354">
        <v>2</v>
      </c>
      <c r="D64" s="1355">
        <v>2</v>
      </c>
      <c r="E64" s="1356">
        <v>1</v>
      </c>
      <c r="F64" s="1123">
        <v>3</v>
      </c>
      <c r="G64" s="1123">
        <v>4</v>
      </c>
      <c r="H64" s="1123"/>
      <c r="I64" s="1123"/>
      <c r="J64" s="1134"/>
      <c r="K64" s="1134">
        <v>4</v>
      </c>
      <c r="L64" s="1134">
        <v>4</v>
      </c>
      <c r="M64" s="1353">
        <f t="shared" si="1"/>
        <v>20</v>
      </c>
      <c r="N64" s="1354">
        <v>1</v>
      </c>
      <c r="O64" s="1355">
        <v>2</v>
      </c>
      <c r="P64" s="1355">
        <v>1</v>
      </c>
      <c r="Q64" s="1357"/>
      <c r="R64" s="1358"/>
      <c r="S64" s="1358">
        <v>3</v>
      </c>
      <c r="T64" s="1355">
        <v>3</v>
      </c>
      <c r="U64" s="1355"/>
      <c r="V64" s="1355"/>
      <c r="W64" s="1355">
        <v>3</v>
      </c>
      <c r="X64" s="1359">
        <v>2</v>
      </c>
      <c r="Y64" s="1140">
        <f t="shared" si="2"/>
        <v>15</v>
      </c>
      <c r="Z64" s="1134">
        <f t="shared" si="0"/>
        <v>18</v>
      </c>
      <c r="AA64" s="1141"/>
      <c r="AB64" s="940" t="s">
        <v>31</v>
      </c>
      <c r="AC64" s="1134">
        <f t="shared" si="3"/>
        <v>55</v>
      </c>
    </row>
    <row r="65" spans="1:29" ht="27.75" customHeight="1" x14ac:dyDescent="0.3">
      <c r="A65" s="1123">
        <v>56</v>
      </c>
      <c r="B65" s="1132">
        <v>5201421056</v>
      </c>
      <c r="C65" s="1354">
        <v>2</v>
      </c>
      <c r="D65" s="1355"/>
      <c r="E65" s="1356">
        <v>2</v>
      </c>
      <c r="F65" s="1123">
        <v>6</v>
      </c>
      <c r="G65" s="1123"/>
      <c r="H65" s="1123"/>
      <c r="I65" s="1123"/>
      <c r="J65" s="1134"/>
      <c r="K65" s="1134">
        <v>3</v>
      </c>
      <c r="L65" s="1134"/>
      <c r="M65" s="1353">
        <f t="shared" si="1"/>
        <v>13</v>
      </c>
      <c r="N65" s="1354">
        <v>1</v>
      </c>
      <c r="O65" s="1355"/>
      <c r="P65" s="1355"/>
      <c r="Q65" s="1357">
        <v>2</v>
      </c>
      <c r="R65" s="1358">
        <v>3</v>
      </c>
      <c r="S65" s="1358"/>
      <c r="T65" s="1355"/>
      <c r="U65" s="1355"/>
      <c r="V65" s="1355"/>
      <c r="W65" s="1355">
        <v>3</v>
      </c>
      <c r="X65" s="1359">
        <v>4</v>
      </c>
      <c r="Y65" s="1140">
        <f t="shared" si="2"/>
        <v>13</v>
      </c>
      <c r="Z65" s="1134">
        <f t="shared" si="0"/>
        <v>13</v>
      </c>
      <c r="AA65" s="1141"/>
      <c r="AB65" s="940" t="s">
        <v>32</v>
      </c>
      <c r="AC65" s="1134">
        <f t="shared" si="3"/>
        <v>70</v>
      </c>
    </row>
    <row r="66" spans="1:29" ht="27.75" customHeight="1" x14ac:dyDescent="0.3">
      <c r="A66" s="1123">
        <v>57</v>
      </c>
      <c r="B66" s="1132">
        <v>5201421057</v>
      </c>
      <c r="C66" s="1354">
        <v>2</v>
      </c>
      <c r="D66" s="1355">
        <v>2</v>
      </c>
      <c r="E66" s="1356">
        <v>2</v>
      </c>
      <c r="F66" s="1123">
        <v>4</v>
      </c>
      <c r="G66" s="1123"/>
      <c r="H66" s="1123"/>
      <c r="I66" s="1123"/>
      <c r="J66" s="1134">
        <v>10</v>
      </c>
      <c r="K66" s="1134"/>
      <c r="L66" s="1134"/>
      <c r="M66" s="1353">
        <f t="shared" si="1"/>
        <v>20</v>
      </c>
      <c r="N66" s="1354">
        <v>1</v>
      </c>
      <c r="O66" s="1355">
        <v>2</v>
      </c>
      <c r="P66" s="1355">
        <v>2</v>
      </c>
      <c r="Q66" s="1357">
        <v>3</v>
      </c>
      <c r="R66" s="1358">
        <v>3</v>
      </c>
      <c r="S66" s="1358"/>
      <c r="T66" s="1355"/>
      <c r="U66" s="1355">
        <v>3</v>
      </c>
      <c r="V66" s="1355">
        <v>3</v>
      </c>
      <c r="W66" s="1355"/>
      <c r="X66" s="1359"/>
      <c r="Y66" s="1140">
        <f t="shared" si="2"/>
        <v>17</v>
      </c>
      <c r="Z66" s="1134">
        <f t="shared" si="0"/>
        <v>19</v>
      </c>
      <c r="AA66" s="1141"/>
      <c r="AB66" s="941" t="s">
        <v>32</v>
      </c>
      <c r="AC66" s="1134">
        <f t="shared" si="3"/>
        <v>70</v>
      </c>
    </row>
    <row r="67" spans="1:29" ht="27.75" customHeight="1" x14ac:dyDescent="0.3">
      <c r="A67" s="1123">
        <v>58</v>
      </c>
      <c r="B67" s="1132">
        <v>5201421058</v>
      </c>
      <c r="C67" s="1354">
        <v>2</v>
      </c>
      <c r="D67" s="1355"/>
      <c r="E67" s="1356">
        <v>1</v>
      </c>
      <c r="F67" s="1123">
        <v>5</v>
      </c>
      <c r="G67" s="1123"/>
      <c r="H67" s="1123"/>
      <c r="I67" s="1123"/>
      <c r="J67" s="1134"/>
      <c r="K67" s="1134">
        <v>5</v>
      </c>
      <c r="L67" s="1134">
        <v>5</v>
      </c>
      <c r="M67" s="1284">
        <f>SUM(C67:L67)</f>
        <v>18</v>
      </c>
      <c r="N67" s="1354">
        <v>1</v>
      </c>
      <c r="O67" s="1355"/>
      <c r="P67" s="1355">
        <v>2</v>
      </c>
      <c r="Q67" s="1357"/>
      <c r="R67" s="1358"/>
      <c r="S67" s="1358"/>
      <c r="T67" s="1355"/>
      <c r="U67" s="1355">
        <v>2</v>
      </c>
      <c r="V67" s="1355">
        <v>0</v>
      </c>
      <c r="W67" s="1355"/>
      <c r="X67" s="1359"/>
      <c r="Y67" s="1140">
        <f t="shared" si="2"/>
        <v>5</v>
      </c>
      <c r="Z67" s="1134">
        <f t="shared" si="0"/>
        <v>12</v>
      </c>
      <c r="AA67" s="1141"/>
      <c r="AB67" s="942" t="s">
        <v>28</v>
      </c>
      <c r="AC67" s="1134">
        <f t="shared" si="3"/>
        <v>50</v>
      </c>
    </row>
    <row r="68" spans="1:29" ht="27.75" customHeight="1" x14ac:dyDescent="0.3">
      <c r="A68" s="3420" t="s">
        <v>34</v>
      </c>
      <c r="C68" s="1141">
        <f t="shared" ref="C68:L68" si="4">COUNT(C11:C67)</f>
        <v>48</v>
      </c>
      <c r="D68" s="1141">
        <f t="shared" si="4"/>
        <v>38</v>
      </c>
      <c r="E68" s="1141">
        <f t="shared" si="4"/>
        <v>49</v>
      </c>
      <c r="F68" s="1360">
        <f t="shared" si="4"/>
        <v>49</v>
      </c>
      <c r="G68" s="1360">
        <f t="shared" si="4"/>
        <v>41</v>
      </c>
      <c r="H68" s="1360">
        <f t="shared" si="4"/>
        <v>2</v>
      </c>
      <c r="I68" s="1360">
        <f t="shared" si="4"/>
        <v>2</v>
      </c>
      <c r="J68" s="1360">
        <f t="shared" si="4"/>
        <v>40</v>
      </c>
      <c r="K68" s="1360">
        <f t="shared" si="4"/>
        <v>11</v>
      </c>
      <c r="L68" s="1360">
        <f t="shared" si="4"/>
        <v>9</v>
      </c>
      <c r="M68" s="1141"/>
      <c r="N68" s="1141">
        <f>COUNT(N10:N67)</f>
        <v>57</v>
      </c>
      <c r="O68" s="1141">
        <f>COUNT(O10:O67)</f>
        <v>47</v>
      </c>
      <c r="P68" s="1141">
        <f>COUNT(P10:P67)</f>
        <v>42</v>
      </c>
      <c r="Q68" s="1141">
        <f>COUNT(Q10:Q67)</f>
        <v>41</v>
      </c>
      <c r="R68" s="1141">
        <f t="shared" ref="R68:S68" si="5">COUNT(R10:R67)</f>
        <v>42</v>
      </c>
      <c r="S68" s="1141">
        <f t="shared" si="5"/>
        <v>9</v>
      </c>
      <c r="T68" s="1141">
        <f>COUNT(T10:T67)</f>
        <v>5</v>
      </c>
      <c r="U68" s="1141">
        <f t="shared" ref="U68:V68" si="6">COUNT(U10:U67)</f>
        <v>15</v>
      </c>
      <c r="V68" s="1141">
        <f t="shared" si="6"/>
        <v>13</v>
      </c>
      <c r="W68" s="1141">
        <f>COUNT(W10:W67)</f>
        <v>35</v>
      </c>
      <c r="X68" s="1141">
        <f>COUNT(X10:X67)</f>
        <v>29</v>
      </c>
      <c r="Y68" s="1141">
        <f>COUNT(Y10:Y67)</f>
        <v>58</v>
      </c>
      <c r="Z68" s="1141"/>
    </row>
    <row r="69" spans="1:29" ht="34.5" customHeight="1" x14ac:dyDescent="0.3">
      <c r="A69" s="3421"/>
      <c r="B69" s="989">
        <v>55</v>
      </c>
      <c r="C69" s="1232">
        <f>C9*(B69/100)</f>
        <v>1.1000000000000001</v>
      </c>
      <c r="D69" s="1232">
        <f>D9*(B69/100)</f>
        <v>1.1000000000000001</v>
      </c>
      <c r="E69" s="1232">
        <f>E9*(B69/100)</f>
        <v>1.1000000000000001</v>
      </c>
      <c r="F69" s="1360">
        <v>3</v>
      </c>
      <c r="G69" s="1360">
        <v>3</v>
      </c>
      <c r="H69" s="1360">
        <v>3</v>
      </c>
      <c r="I69" s="1360">
        <v>3</v>
      </c>
      <c r="J69" s="1360">
        <v>5</v>
      </c>
      <c r="K69" s="1360">
        <v>3</v>
      </c>
      <c r="L69" s="1360">
        <v>3</v>
      </c>
      <c r="M69" s="1141"/>
      <c r="N69" s="1232">
        <f>N9*(B69/100)</f>
        <v>1.1000000000000001</v>
      </c>
      <c r="O69" s="1232">
        <f>O9*(B69/100)</f>
        <v>1.1000000000000001</v>
      </c>
      <c r="P69" s="1232">
        <f>P9*(B69/100)</f>
        <v>1.1000000000000001</v>
      </c>
      <c r="Q69" s="1232">
        <f>Q9*(B69/100)</f>
        <v>2.75</v>
      </c>
      <c r="R69" s="1232">
        <v>3</v>
      </c>
      <c r="S69" s="1232">
        <v>3</v>
      </c>
      <c r="T69" s="1232">
        <f>T9*(B69/100)</f>
        <v>2.75</v>
      </c>
      <c r="U69" s="1232">
        <v>3</v>
      </c>
      <c r="V69" s="1232">
        <v>3</v>
      </c>
      <c r="W69" s="1232">
        <f>W9*(B69/100)</f>
        <v>2.75</v>
      </c>
      <c r="X69" s="1232">
        <f>X9*(B69/100)</f>
        <v>2.75</v>
      </c>
      <c r="Y69" s="1232"/>
      <c r="Z69" s="1232"/>
    </row>
    <row r="70" spans="1:29" ht="37.5" customHeight="1" x14ac:dyDescent="0.3">
      <c r="A70" s="2888" t="s">
        <v>35</v>
      </c>
      <c r="B70" s="2888"/>
      <c r="C70" s="1141">
        <f t="shared" ref="C70:L70" si="7">COUNTIF(C11:C67,"&gt;=" &amp;C69)</f>
        <v>45</v>
      </c>
      <c r="D70" s="1141">
        <f t="shared" si="7"/>
        <v>29</v>
      </c>
      <c r="E70" s="1141">
        <f t="shared" si="7"/>
        <v>17</v>
      </c>
      <c r="F70" s="1150">
        <f t="shared" si="7"/>
        <v>48</v>
      </c>
      <c r="G70" s="1150">
        <f t="shared" si="7"/>
        <v>41</v>
      </c>
      <c r="H70" s="1150">
        <f t="shared" si="7"/>
        <v>2</v>
      </c>
      <c r="I70" s="1150">
        <f t="shared" si="7"/>
        <v>2</v>
      </c>
      <c r="J70" s="1150">
        <f t="shared" si="7"/>
        <v>38</v>
      </c>
      <c r="K70" s="1150">
        <f t="shared" si="7"/>
        <v>10</v>
      </c>
      <c r="L70" s="1150">
        <f t="shared" si="7"/>
        <v>8</v>
      </c>
      <c r="M70" s="1141"/>
      <c r="N70" s="1141">
        <f>COUNTIF(N10:N60,"&gt;=" &amp;N69)</f>
        <v>15</v>
      </c>
      <c r="O70" s="1141">
        <f>COUNTIF(O10:O60,"&gt;=" &amp;O69)</f>
        <v>26</v>
      </c>
      <c r="P70" s="1141">
        <f>COUNTIF(P10:P60,"&gt;=" &amp;P69)</f>
        <v>23</v>
      </c>
      <c r="Q70" s="1141">
        <f>COUNTIF(Q10:Q60,"&gt;=" &amp;Q69)</f>
        <v>23</v>
      </c>
      <c r="R70" s="1141">
        <f t="shared" ref="R70:S70" si="8">COUNTIF(R10:R60,"&gt;=" &amp;R69)</f>
        <v>25</v>
      </c>
      <c r="S70" s="1141">
        <f t="shared" si="8"/>
        <v>6</v>
      </c>
      <c r="T70" s="1141">
        <f>COUNTIF(T10:T60,"&gt;=" &amp;T69)</f>
        <v>3</v>
      </c>
      <c r="U70" s="1141">
        <f t="shared" ref="U70:V70" si="9">COUNTIF(U10:U60,"&gt;=" &amp;U69)</f>
        <v>6</v>
      </c>
      <c r="V70" s="1141">
        <f t="shared" si="9"/>
        <v>1</v>
      </c>
      <c r="W70" s="1141">
        <f>COUNTIF(W10:W60,"&gt;=" &amp;W69)</f>
        <v>22</v>
      </c>
      <c r="X70" s="1141">
        <f>COUNTIF(X10:X60,"&gt;=" &amp;X69)</f>
        <v>17</v>
      </c>
      <c r="Y70" s="1141"/>
      <c r="Z70" s="1141"/>
      <c r="AC70" s="1141">
        <f>COUNTIF(AC10:AC67,"&gt;="&amp;B69)</f>
        <v>43</v>
      </c>
    </row>
    <row r="71" spans="1:29" ht="38.25" customHeight="1" x14ac:dyDescent="0.3">
      <c r="A71" s="2877" t="s">
        <v>36</v>
      </c>
      <c r="B71" s="2877"/>
      <c r="C71" s="1141">
        <f t="shared" ref="C71:X71" si="10">C70/C68</f>
        <v>0.9375</v>
      </c>
      <c r="D71" s="1141">
        <f t="shared" si="10"/>
        <v>0.76315789473684215</v>
      </c>
      <c r="E71" s="1141">
        <f t="shared" si="10"/>
        <v>0.34693877551020408</v>
      </c>
      <c r="F71" s="1151">
        <f t="shared" si="10"/>
        <v>0.97959183673469385</v>
      </c>
      <c r="G71" s="1151">
        <f t="shared" si="10"/>
        <v>1</v>
      </c>
      <c r="H71" s="1151">
        <f t="shared" si="10"/>
        <v>1</v>
      </c>
      <c r="I71" s="1151">
        <f t="shared" si="10"/>
        <v>1</v>
      </c>
      <c r="J71" s="1151">
        <f t="shared" si="10"/>
        <v>0.95</v>
      </c>
      <c r="K71" s="1151">
        <f t="shared" si="10"/>
        <v>0.90909090909090906</v>
      </c>
      <c r="L71" s="1151">
        <f t="shared" si="10"/>
        <v>0.88888888888888884</v>
      </c>
      <c r="M71" s="1141"/>
      <c r="N71" s="1141">
        <f t="shared" si="10"/>
        <v>0.26315789473684209</v>
      </c>
      <c r="O71" s="1141">
        <f t="shared" si="10"/>
        <v>0.55319148936170215</v>
      </c>
      <c r="P71" s="1141">
        <f t="shared" si="10"/>
        <v>0.54761904761904767</v>
      </c>
      <c r="Q71" s="1141">
        <f t="shared" si="10"/>
        <v>0.56097560975609762</v>
      </c>
      <c r="R71" s="1141">
        <f t="shared" si="10"/>
        <v>0.59523809523809523</v>
      </c>
      <c r="S71" s="1141">
        <f t="shared" si="10"/>
        <v>0.66666666666666663</v>
      </c>
      <c r="T71" s="1141">
        <f t="shared" si="10"/>
        <v>0.6</v>
      </c>
      <c r="U71" s="1141">
        <f t="shared" si="10"/>
        <v>0.4</v>
      </c>
      <c r="V71" s="1141">
        <f t="shared" si="10"/>
        <v>7.6923076923076927E-2</v>
      </c>
      <c r="W71" s="1141">
        <f t="shared" si="10"/>
        <v>0.62857142857142856</v>
      </c>
      <c r="X71" s="1261">
        <f t="shared" si="10"/>
        <v>0.58620689655172409</v>
      </c>
      <c r="Y71" s="1141"/>
      <c r="Z71" s="1141"/>
      <c r="AC71" s="1141">
        <f>(AC70/58)*100</f>
        <v>74.137931034482762</v>
      </c>
    </row>
    <row r="72" spans="1:29" ht="27.75" customHeight="1" x14ac:dyDescent="0.3">
      <c r="C72" s="1122" t="s">
        <v>20</v>
      </c>
      <c r="D72" s="1123" t="s">
        <v>21</v>
      </c>
      <c r="E72" s="1123" t="s">
        <v>21</v>
      </c>
      <c r="F72" s="1223" t="s">
        <v>22</v>
      </c>
      <c r="G72" s="1223" t="s">
        <v>22</v>
      </c>
      <c r="H72" s="1223" t="s">
        <v>22</v>
      </c>
      <c r="I72" s="1223" t="s">
        <v>22</v>
      </c>
      <c r="J72" s="1361" t="s">
        <v>40</v>
      </c>
      <c r="K72" s="1362" t="s">
        <v>40</v>
      </c>
      <c r="L72" s="1363" t="s">
        <v>40</v>
      </c>
      <c r="M72" s="1141"/>
      <c r="N72" s="1123" t="s">
        <v>41</v>
      </c>
      <c r="O72" s="1123" t="s">
        <v>41</v>
      </c>
      <c r="P72" s="1123" t="s">
        <v>42</v>
      </c>
      <c r="Q72" s="1123" t="s">
        <v>41</v>
      </c>
      <c r="R72" s="1123" t="s">
        <v>41</v>
      </c>
      <c r="S72" s="1123" t="s">
        <v>41</v>
      </c>
      <c r="T72" s="1123" t="s">
        <v>41</v>
      </c>
      <c r="U72" s="1123" t="s">
        <v>42</v>
      </c>
      <c r="V72" s="1123" t="s">
        <v>42</v>
      </c>
      <c r="W72" s="1123" t="s">
        <v>42</v>
      </c>
      <c r="X72" s="1123" t="s">
        <v>42</v>
      </c>
      <c r="Y72" s="1141"/>
      <c r="Z72" s="1141"/>
    </row>
    <row r="74" spans="1:29" s="1095" customFormat="1" ht="39.75" customHeight="1" x14ac:dyDescent="0.3">
      <c r="B74" s="1369"/>
      <c r="C74" s="1369"/>
      <c r="D74" s="983" t="s">
        <v>38</v>
      </c>
      <c r="E74" s="983" t="s">
        <v>39</v>
      </c>
      <c r="F74" s="2805"/>
      <c r="G74" s="2805"/>
      <c r="H74" s="982"/>
      <c r="L74" s="1370"/>
      <c r="X74" s="1370"/>
    </row>
    <row r="75" spans="1:29" s="1095" customFormat="1" ht="39.75" customHeight="1" x14ac:dyDescent="0.3">
      <c r="B75" s="983" t="s">
        <v>22</v>
      </c>
      <c r="C75" s="1371">
        <f>AVERAGE(C71,F71,G71,H71,I71)*100</f>
        <v>98.341836734693871</v>
      </c>
      <c r="D75" s="1371">
        <f t="shared" ref="D75:D78" si="11">IF(C75&gt;=70,3,IF(AND(C75&gt;=60,C75&lt;70),2,IF(AND(C75&gt;=50,C75&lt;60),1)))</f>
        <v>3</v>
      </c>
      <c r="E75" s="1372">
        <f>IF(AC71&gt;=70,3,IF(AND(AC71&gt;=60,AC71&lt;70),2,IF(AND(AC71&gt;=50,AC71&lt;60),1)))</f>
        <v>3</v>
      </c>
      <c r="F75" s="1372">
        <f>((70/100)*E75)+((30/100)*D75)</f>
        <v>2.9999999999999996</v>
      </c>
      <c r="G75" s="1372"/>
      <c r="H75" s="1373"/>
      <c r="L75" s="1370"/>
      <c r="X75" s="1370"/>
    </row>
    <row r="76" spans="1:29" s="1095" customFormat="1" ht="39.75" customHeight="1" x14ac:dyDescent="0.3">
      <c r="B76" s="983" t="s">
        <v>40</v>
      </c>
      <c r="C76" s="1371">
        <f>AVERAGE(D71,E71,J71,K71,L71)*100</f>
        <v>77.161529364536889</v>
      </c>
      <c r="D76" s="1371">
        <f t="shared" si="11"/>
        <v>3</v>
      </c>
      <c r="E76" s="1372">
        <f>IF(AC71&gt;=70,3,IF(AND(AC71&gt;=60,AC71&lt;70),2,IF(AND(AC71&gt;=50,AC71&lt;60),1)))</f>
        <v>3</v>
      </c>
      <c r="F76" s="1372">
        <f t="shared" ref="F76:F78" si="12">((70/100)*E76)+((30/100)*D76)</f>
        <v>2.9999999999999996</v>
      </c>
      <c r="G76" s="1372"/>
      <c r="H76" s="1373"/>
      <c r="L76" s="1370"/>
      <c r="X76" s="1370"/>
    </row>
    <row r="77" spans="1:29" s="1095" customFormat="1" ht="39.75" customHeight="1" x14ac:dyDescent="0.3">
      <c r="B77" s="983" t="s">
        <v>41</v>
      </c>
      <c r="C77" s="1371">
        <f>AVERAGE(N71,O71,Q71,R71,S71,T71)*100</f>
        <v>53.987162595990071</v>
      </c>
      <c r="D77" s="1371">
        <f t="shared" si="11"/>
        <v>1</v>
      </c>
      <c r="E77" s="1372">
        <f>IF(AC71&gt;=70,3,IF(AND(AC71&gt;=60,AC71&lt;70),2,IF(AND(AC71&gt;=50,AC71&lt;60),1)))</f>
        <v>3</v>
      </c>
      <c r="F77" s="1372">
        <f t="shared" si="12"/>
        <v>2.3999999999999995</v>
      </c>
      <c r="G77" s="1372"/>
      <c r="H77" s="1373"/>
      <c r="L77" s="1370"/>
      <c r="X77" s="1370"/>
    </row>
    <row r="78" spans="1:29" s="1095" customFormat="1" ht="39.75" customHeight="1" x14ac:dyDescent="0.3">
      <c r="B78" s="983" t="s">
        <v>42</v>
      </c>
      <c r="C78" s="1371">
        <f>AVERAGE(P71,U71,V71,W71,X71)*100</f>
        <v>44.786408993305542</v>
      </c>
      <c r="D78" s="1371" t="b">
        <f t="shared" si="11"/>
        <v>0</v>
      </c>
      <c r="E78" s="1372">
        <f>IF(AC71&gt;=70,3,IF(AND(AC71&gt;=60,AC71&lt;70),2,IF(AND(AC71&gt;=50,AC71&lt;60),1)))</f>
        <v>3</v>
      </c>
      <c r="F78" s="1372">
        <f t="shared" si="12"/>
        <v>2.0999999999999996</v>
      </c>
      <c r="G78" s="1372"/>
      <c r="H78" s="1373"/>
      <c r="L78" s="1370"/>
      <c r="X78" s="1370"/>
    </row>
    <row r="79" spans="1:29" s="1095" customFormat="1" ht="39.75" customHeight="1" x14ac:dyDescent="0.3">
      <c r="B79" s="3414" t="s">
        <v>44</v>
      </c>
      <c r="C79" s="3414"/>
      <c r="D79" s="3414"/>
      <c r="E79" s="3414"/>
      <c r="F79" s="1382">
        <f>AVERAGE(F75:F78)</f>
        <v>2.6249999999999996</v>
      </c>
      <c r="G79" s="1374"/>
      <c r="H79" s="1375"/>
      <c r="L79" s="1370"/>
      <c r="X79" s="1370"/>
    </row>
    <row r="80" spans="1:29" s="1095" customFormat="1" ht="39.75" customHeight="1" x14ac:dyDescent="0.3">
      <c r="L80" s="1370"/>
      <c r="X80" s="1370"/>
    </row>
    <row r="81" spans="1:26" s="1095" customFormat="1" ht="39.75" customHeight="1" x14ac:dyDescent="0.3">
      <c r="A81" s="2862" t="s">
        <v>134</v>
      </c>
      <c r="B81" s="2862"/>
      <c r="L81" s="1370"/>
      <c r="X81" s="1370"/>
    </row>
    <row r="82" spans="1:26" s="1095" customFormat="1" ht="39.75" customHeight="1" x14ac:dyDescent="0.3">
      <c r="L82" s="1370"/>
      <c r="X82" s="1370"/>
    </row>
    <row r="83" spans="1:26" s="1095" customFormat="1" ht="39.75" customHeight="1" x14ac:dyDescent="0.3">
      <c r="B83" s="1376" t="s">
        <v>45</v>
      </c>
      <c r="C83" s="1377" t="s">
        <v>68</v>
      </c>
      <c r="D83" s="1377" t="s">
        <v>69</v>
      </c>
      <c r="E83" s="1377" t="s">
        <v>70</v>
      </c>
      <c r="F83" s="1377" t="s">
        <v>71</v>
      </c>
      <c r="G83" s="1377" t="s">
        <v>72</v>
      </c>
      <c r="H83" s="1377" t="s">
        <v>73</v>
      </c>
      <c r="I83" s="1377" t="s">
        <v>74</v>
      </c>
      <c r="J83" s="1378" t="s">
        <v>75</v>
      </c>
      <c r="K83" s="1377" t="s">
        <v>76</v>
      </c>
      <c r="L83" s="1377" t="s">
        <v>77</v>
      </c>
      <c r="M83" s="1377" t="s">
        <v>78</v>
      </c>
      <c r="N83" s="1377" t="s">
        <v>79</v>
      </c>
      <c r="Z83" s="1370"/>
    </row>
    <row r="84" spans="1:26" s="1095" customFormat="1" ht="39.75" customHeight="1" x14ac:dyDescent="0.3">
      <c r="B84" s="1379" t="s">
        <v>20</v>
      </c>
      <c r="C84" s="1380">
        <v>3</v>
      </c>
      <c r="D84" s="1380"/>
      <c r="E84" s="1380"/>
      <c r="F84" s="1380"/>
      <c r="G84" s="1380"/>
      <c r="H84" s="1380"/>
      <c r="I84" s="1380"/>
      <c r="J84" s="1380"/>
      <c r="K84" s="1380"/>
      <c r="L84" s="1380"/>
      <c r="M84" s="1380"/>
      <c r="N84" s="1380"/>
      <c r="Z84" s="1370"/>
    </row>
    <row r="85" spans="1:26" s="1095" customFormat="1" ht="39.75" customHeight="1" x14ac:dyDescent="0.3">
      <c r="B85" s="1379" t="s">
        <v>21</v>
      </c>
      <c r="C85" s="1380">
        <v>3</v>
      </c>
      <c r="D85" s="1380">
        <v>2</v>
      </c>
      <c r="E85" s="1380">
        <v>1</v>
      </c>
      <c r="F85" s="1380">
        <v>2</v>
      </c>
      <c r="G85" s="1380">
        <v>1</v>
      </c>
      <c r="H85" s="1380"/>
      <c r="I85" s="1380"/>
      <c r="J85" s="1380"/>
      <c r="K85" s="1380">
        <v>3</v>
      </c>
      <c r="L85" s="1380"/>
      <c r="M85" s="1380"/>
      <c r="N85" s="1380">
        <v>2</v>
      </c>
      <c r="Z85" s="1370"/>
    </row>
    <row r="86" spans="1:26" s="1095" customFormat="1" ht="39.75" customHeight="1" x14ac:dyDescent="0.3">
      <c r="B86" s="1379" t="s">
        <v>23</v>
      </c>
      <c r="C86" s="1380">
        <v>3</v>
      </c>
      <c r="D86" s="1380">
        <v>3</v>
      </c>
      <c r="E86" s="1380">
        <v>3</v>
      </c>
      <c r="F86" s="1380">
        <v>3</v>
      </c>
      <c r="G86" s="1380">
        <v>3</v>
      </c>
      <c r="H86" s="1380"/>
      <c r="I86" s="1380">
        <v>3</v>
      </c>
      <c r="J86" s="1380"/>
      <c r="K86" s="1380">
        <v>3</v>
      </c>
      <c r="L86" s="1380"/>
      <c r="M86" s="1380"/>
      <c r="N86" s="1380">
        <v>2</v>
      </c>
      <c r="Z86" s="1370"/>
    </row>
    <row r="87" spans="1:26" s="1095" customFormat="1" ht="39.75" customHeight="1" x14ac:dyDescent="0.3">
      <c r="B87" s="1379" t="s">
        <v>25</v>
      </c>
      <c r="C87" s="1380">
        <v>3</v>
      </c>
      <c r="D87" s="1380">
        <v>3</v>
      </c>
      <c r="E87" s="1380">
        <v>3</v>
      </c>
      <c r="F87" s="1380">
        <v>3</v>
      </c>
      <c r="G87" s="1380">
        <v>3</v>
      </c>
      <c r="H87" s="1380"/>
      <c r="I87" s="1380">
        <v>3</v>
      </c>
      <c r="J87" s="1380"/>
      <c r="K87" s="1380">
        <v>3</v>
      </c>
      <c r="L87" s="1380"/>
      <c r="M87" s="1380"/>
      <c r="N87" s="1380">
        <v>2</v>
      </c>
      <c r="Z87" s="1370"/>
    </row>
    <row r="88" spans="1:26" s="1095" customFormat="1" ht="39.75" customHeight="1" x14ac:dyDescent="0.3">
      <c r="B88" s="1381" t="s">
        <v>10</v>
      </c>
      <c r="C88" s="1382">
        <f>AVERAGE(C84:C87)</f>
        <v>3</v>
      </c>
      <c r="D88" s="1382">
        <f t="shared" ref="D88:N88" si="13">AVERAGE(D84:D87)</f>
        <v>2.6666666666666665</v>
      </c>
      <c r="E88" s="1382">
        <f t="shared" si="13"/>
        <v>2.3333333333333335</v>
      </c>
      <c r="F88" s="1382">
        <f t="shared" si="13"/>
        <v>2.6666666666666665</v>
      </c>
      <c r="G88" s="1382">
        <f t="shared" si="13"/>
        <v>2.3333333333333335</v>
      </c>
      <c r="H88" s="1382"/>
      <c r="I88" s="1382">
        <f t="shared" si="13"/>
        <v>3</v>
      </c>
      <c r="J88" s="1382"/>
      <c r="K88" s="1382">
        <f t="shared" si="13"/>
        <v>3</v>
      </c>
      <c r="L88" s="1382"/>
      <c r="M88" s="1382"/>
      <c r="N88" s="1382">
        <f t="shared" si="13"/>
        <v>2</v>
      </c>
      <c r="Z88" s="1370"/>
    </row>
    <row r="89" spans="1:26" s="1095" customFormat="1" ht="39.75" customHeight="1" x14ac:dyDescent="0.3">
      <c r="B89" s="1381" t="s">
        <v>58</v>
      </c>
      <c r="C89" s="2805">
        <f>AVERAGE(C88:N88)</f>
        <v>2.625</v>
      </c>
      <c r="D89" s="2805"/>
      <c r="E89" s="2805"/>
      <c r="F89" s="2805"/>
      <c r="G89" s="2805"/>
      <c r="H89" s="2805"/>
      <c r="I89" s="2805"/>
      <c r="J89" s="2805"/>
      <c r="K89" s="2805"/>
      <c r="L89" s="2805"/>
      <c r="M89" s="2805"/>
      <c r="N89" s="2805"/>
      <c r="O89" s="1072"/>
      <c r="P89" s="1072"/>
      <c r="X89" s="1370"/>
    </row>
    <row r="90" spans="1:26" s="1095" customFormat="1" ht="39.75" customHeight="1" x14ac:dyDescent="0.3">
      <c r="C90" s="1383"/>
      <c r="L90" s="1370"/>
      <c r="X90" s="1370"/>
    </row>
    <row r="91" spans="1:26" s="1095" customFormat="1" ht="39.75" customHeight="1" x14ac:dyDescent="0.3">
      <c r="L91" s="1370"/>
      <c r="X91" s="1370"/>
    </row>
    <row r="92" spans="1:26" s="1095" customFormat="1" ht="39.75" customHeight="1" x14ac:dyDescent="0.3">
      <c r="A92" s="2862" t="s">
        <v>148</v>
      </c>
      <c r="B92" s="2862"/>
      <c r="L92" s="1370"/>
      <c r="X92" s="1370"/>
    </row>
    <row r="93" spans="1:26" s="1095" customFormat="1" ht="39.75" customHeight="1" x14ac:dyDescent="0.3">
      <c r="L93" s="1370"/>
      <c r="X93" s="1370"/>
    </row>
    <row r="94" spans="1:26" s="1095" customFormat="1" ht="39.75" customHeight="1" x14ac:dyDescent="0.3">
      <c r="B94" s="1376" t="s">
        <v>45</v>
      </c>
      <c r="C94" s="1377" t="s">
        <v>68</v>
      </c>
      <c r="D94" s="1377" t="s">
        <v>69</v>
      </c>
      <c r="E94" s="1377" t="s">
        <v>70</v>
      </c>
      <c r="F94" s="1377" t="s">
        <v>71</v>
      </c>
      <c r="G94" s="1377" t="s">
        <v>72</v>
      </c>
      <c r="H94" s="1377" t="s">
        <v>73</v>
      </c>
      <c r="I94" s="1377" t="s">
        <v>74</v>
      </c>
      <c r="J94" s="1378" t="s">
        <v>75</v>
      </c>
      <c r="K94" s="1377" t="s">
        <v>76</v>
      </c>
      <c r="L94" s="1377" t="s">
        <v>77</v>
      </c>
      <c r="M94" s="1377" t="s">
        <v>78</v>
      </c>
      <c r="N94" s="1377" t="s">
        <v>79</v>
      </c>
      <c r="Z94" s="1370"/>
    </row>
    <row r="95" spans="1:26" s="1095" customFormat="1" ht="39.75" customHeight="1" x14ac:dyDescent="0.3">
      <c r="B95" s="1379" t="s">
        <v>20</v>
      </c>
      <c r="C95" s="1384">
        <f>F75*C84/3</f>
        <v>2.9999999999999996</v>
      </c>
      <c r="D95" s="1384"/>
      <c r="E95" s="1384"/>
      <c r="F95" s="1384"/>
      <c r="G95" s="1384"/>
      <c r="H95" s="1384"/>
      <c r="I95" s="1384"/>
      <c r="J95" s="1384"/>
      <c r="K95" s="1384"/>
      <c r="L95" s="1384"/>
      <c r="M95" s="1384"/>
      <c r="N95" s="1384"/>
      <c r="Z95" s="1370"/>
    </row>
    <row r="96" spans="1:26" s="1095" customFormat="1" ht="39.75" customHeight="1" x14ac:dyDescent="0.3">
      <c r="B96" s="1379" t="s">
        <v>21</v>
      </c>
      <c r="C96" s="1384">
        <f t="shared" ref="C96:C98" si="14">F76*C85/3</f>
        <v>2.9999999999999996</v>
      </c>
      <c r="D96" s="1384">
        <f t="shared" ref="D96:D98" si="15">F76*D85/3</f>
        <v>1.9999999999999998</v>
      </c>
      <c r="E96" s="1384">
        <f t="shared" ref="E96:E98" si="16">F76*E85/3</f>
        <v>0.99999999999999989</v>
      </c>
      <c r="F96" s="1384">
        <f>F76*F85/3</f>
        <v>1.9999999999999998</v>
      </c>
      <c r="G96" s="1384">
        <f>F76*G85/3</f>
        <v>0.99999999999999989</v>
      </c>
      <c r="H96" s="1384"/>
      <c r="I96" s="1384"/>
      <c r="J96" s="1384"/>
      <c r="K96" s="1384">
        <f>F76*K85/3</f>
        <v>2.9999999999999996</v>
      </c>
      <c r="L96" s="1384"/>
      <c r="M96" s="1384"/>
      <c r="N96" s="1384">
        <f>F76*N85/3</f>
        <v>1.9999999999999998</v>
      </c>
      <c r="Z96" s="1370"/>
    </row>
    <row r="97" spans="1:26" s="1095" customFormat="1" ht="39.75" customHeight="1" x14ac:dyDescent="0.3">
      <c r="B97" s="1379" t="s">
        <v>23</v>
      </c>
      <c r="C97" s="1384">
        <f t="shared" si="14"/>
        <v>2.3999999999999995</v>
      </c>
      <c r="D97" s="1384">
        <f t="shared" si="15"/>
        <v>2.3999999999999995</v>
      </c>
      <c r="E97" s="1384">
        <f t="shared" si="16"/>
        <v>2.3999999999999995</v>
      </c>
      <c r="F97" s="1384">
        <f t="shared" ref="F97:F98" si="17">F77*F86/3</f>
        <v>2.3999999999999995</v>
      </c>
      <c r="G97" s="1384">
        <f t="shared" ref="G97:G98" si="18">F77*G86/3</f>
        <v>2.3999999999999995</v>
      </c>
      <c r="H97" s="1384"/>
      <c r="I97" s="1384">
        <f>F77*I86/3</f>
        <v>2.3999999999999995</v>
      </c>
      <c r="J97" s="1384"/>
      <c r="K97" s="1384">
        <f>F77*K86/3</f>
        <v>2.3999999999999995</v>
      </c>
      <c r="L97" s="1384"/>
      <c r="M97" s="1384"/>
      <c r="N97" s="1384">
        <f>F77*N86/3</f>
        <v>1.5999999999999996</v>
      </c>
      <c r="Z97" s="1370"/>
    </row>
    <row r="98" spans="1:26" s="1095" customFormat="1" ht="39.75" customHeight="1" x14ac:dyDescent="0.3">
      <c r="B98" s="1379" t="s">
        <v>25</v>
      </c>
      <c r="C98" s="1384">
        <f t="shared" si="14"/>
        <v>2.0999999999999996</v>
      </c>
      <c r="D98" s="1384">
        <f t="shared" si="15"/>
        <v>2.0999999999999996</v>
      </c>
      <c r="E98" s="1384">
        <f t="shared" si="16"/>
        <v>2.0999999999999996</v>
      </c>
      <c r="F98" s="1384">
        <f t="shared" si="17"/>
        <v>2.0999999999999996</v>
      </c>
      <c r="G98" s="1384">
        <f t="shared" si="18"/>
        <v>2.0999999999999996</v>
      </c>
      <c r="H98" s="1384"/>
      <c r="I98" s="1384">
        <f>F78*I87/3</f>
        <v>2.0999999999999996</v>
      </c>
      <c r="J98" s="1384"/>
      <c r="K98" s="1384">
        <f>F78*K87/3</f>
        <v>2.0999999999999996</v>
      </c>
      <c r="L98" s="1384"/>
      <c r="M98" s="1384"/>
      <c r="N98" s="1384">
        <f>F78*N87/3</f>
        <v>1.3999999999999997</v>
      </c>
      <c r="Z98" s="1370"/>
    </row>
    <row r="99" spans="1:26" s="1095" customFormat="1" ht="39.75" customHeight="1" x14ac:dyDescent="0.3">
      <c r="B99" s="1381" t="s">
        <v>10</v>
      </c>
      <c r="C99" s="1385">
        <f>AVERAGE(C95:C98)</f>
        <v>2.6249999999999996</v>
      </c>
      <c r="D99" s="1385">
        <f>AVERAGE(D95:D98)</f>
        <v>2.1666666666666665</v>
      </c>
      <c r="E99" s="1385">
        <f>AVERAGE(E95:E98)</f>
        <v>1.833333333333333</v>
      </c>
      <c r="F99" s="1385">
        <f t="shared" ref="F99:G99" si="19">AVERAGE(F95:F98)</f>
        <v>2.1666666666666665</v>
      </c>
      <c r="G99" s="1385">
        <f t="shared" si="19"/>
        <v>1.833333333333333</v>
      </c>
      <c r="H99" s="1385"/>
      <c r="I99" s="1385">
        <f>AVERAGE(I95:I98)</f>
        <v>2.2499999999999996</v>
      </c>
      <c r="J99" s="1385"/>
      <c r="K99" s="1385">
        <f t="shared" ref="K99" si="20">AVERAGE(K95:K98)</f>
        <v>2.4999999999999996</v>
      </c>
      <c r="L99" s="1385"/>
      <c r="M99" s="1385"/>
      <c r="N99" s="1385">
        <f>AVERAGE(N95:N98)</f>
        <v>1.6666666666666663</v>
      </c>
      <c r="Z99" s="1370"/>
    </row>
    <row r="100" spans="1:26" s="1095" customFormat="1" ht="39.75" customHeight="1" x14ac:dyDescent="0.3">
      <c r="B100" s="1381" t="s">
        <v>58</v>
      </c>
      <c r="C100" s="3438">
        <f>AVERAGE(C99:N99)</f>
        <v>2.1302083333333335</v>
      </c>
      <c r="D100" s="3439"/>
      <c r="E100" s="3439"/>
      <c r="F100" s="3439"/>
      <c r="G100" s="3439"/>
      <c r="H100" s="3439"/>
      <c r="I100" s="3439"/>
      <c r="J100" s="3439"/>
      <c r="K100" s="3439"/>
      <c r="L100" s="3439"/>
      <c r="M100" s="3439"/>
      <c r="N100" s="3439"/>
      <c r="O100" s="1069"/>
      <c r="P100" s="1069"/>
      <c r="X100" s="1370"/>
    </row>
    <row r="101" spans="1:26" s="1095" customFormat="1" ht="39.75" customHeight="1" x14ac:dyDescent="0.3">
      <c r="L101" s="1370"/>
      <c r="X101" s="1370"/>
    </row>
    <row r="102" spans="1:26" s="1095" customFormat="1" ht="39.75" customHeight="1" x14ac:dyDescent="0.3">
      <c r="A102" s="2862" t="s">
        <v>137</v>
      </c>
      <c r="B102" s="2862"/>
      <c r="C102" s="1375"/>
      <c r="D102" s="1375"/>
      <c r="I102" s="2862" t="s">
        <v>149</v>
      </c>
      <c r="J102" s="2862"/>
      <c r="K102" s="2862"/>
      <c r="L102" s="2862"/>
      <c r="M102" s="1375"/>
      <c r="N102" s="1375"/>
      <c r="X102" s="1370"/>
    </row>
    <row r="103" spans="1:26" s="1095" customFormat="1" ht="39.75" customHeight="1" x14ac:dyDescent="0.3">
      <c r="A103" s="1386"/>
      <c r="B103" s="1386"/>
      <c r="C103" s="1375"/>
      <c r="D103" s="1375"/>
      <c r="I103" s="1386"/>
      <c r="J103" s="1386"/>
      <c r="K103" s="1386"/>
      <c r="L103" s="1387"/>
      <c r="M103" s="1375"/>
      <c r="N103" s="1375"/>
      <c r="X103" s="1370"/>
    </row>
    <row r="104" spans="1:26" s="1095" customFormat="1" ht="39.75" customHeight="1" x14ac:dyDescent="0.3">
      <c r="B104" s="1376" t="s">
        <v>59</v>
      </c>
      <c r="C104" s="1377" t="s">
        <v>60</v>
      </c>
      <c r="D104" s="1377" t="s">
        <v>61</v>
      </c>
      <c r="E104" s="1377" t="s">
        <v>62</v>
      </c>
      <c r="L104" s="1388" t="s">
        <v>59</v>
      </c>
      <c r="M104" s="1377" t="s">
        <v>60</v>
      </c>
      <c r="N104" s="1377" t="s">
        <v>61</v>
      </c>
      <c r="O104" s="1377" t="s">
        <v>62</v>
      </c>
      <c r="X104" s="1370"/>
    </row>
    <row r="105" spans="1:26" s="1095" customFormat="1" ht="39.75" customHeight="1" x14ac:dyDescent="0.3">
      <c r="B105" s="1389" t="s">
        <v>20</v>
      </c>
      <c r="C105" s="1380">
        <v>3</v>
      </c>
      <c r="D105" s="1380">
        <v>2</v>
      </c>
      <c r="E105" s="1380"/>
      <c r="L105" s="1390" t="s">
        <v>20</v>
      </c>
      <c r="M105" s="1384">
        <f>F75*C105/3</f>
        <v>2.9999999999999996</v>
      </c>
      <c r="N105" s="1384">
        <f>F75*D105/3</f>
        <v>1.9999999999999998</v>
      </c>
      <c r="O105" s="1384"/>
      <c r="X105" s="1370"/>
    </row>
    <row r="106" spans="1:26" s="1095" customFormat="1" ht="39.75" customHeight="1" x14ac:dyDescent="0.3">
      <c r="B106" s="1379" t="s">
        <v>21</v>
      </c>
      <c r="C106" s="1380">
        <v>3</v>
      </c>
      <c r="D106" s="1380">
        <v>2</v>
      </c>
      <c r="E106" s="1380">
        <v>1</v>
      </c>
      <c r="L106" s="1391" t="s">
        <v>21</v>
      </c>
      <c r="M106" s="1384">
        <f t="shared" ref="M106:M108" si="21">F76*C106/3</f>
        <v>2.9999999999999996</v>
      </c>
      <c r="N106" s="1384">
        <f t="shared" ref="N106:N108" si="22">F76*D106/3</f>
        <v>1.9999999999999998</v>
      </c>
      <c r="O106" s="1384">
        <f t="shared" ref="O106:O107" si="23">F76*E106/3</f>
        <v>0.99999999999999989</v>
      </c>
      <c r="X106" s="1370"/>
    </row>
    <row r="107" spans="1:26" s="1095" customFormat="1" ht="39.75" customHeight="1" x14ac:dyDescent="0.3">
      <c r="B107" s="1379" t="s">
        <v>23</v>
      </c>
      <c r="C107" s="1380">
        <v>3</v>
      </c>
      <c r="D107" s="1380">
        <v>3</v>
      </c>
      <c r="E107" s="1380">
        <v>1</v>
      </c>
      <c r="L107" s="1391" t="s">
        <v>23</v>
      </c>
      <c r="M107" s="1384">
        <f t="shared" si="21"/>
        <v>2.3999999999999995</v>
      </c>
      <c r="N107" s="1384">
        <f t="shared" si="22"/>
        <v>2.3999999999999995</v>
      </c>
      <c r="O107" s="1384">
        <f t="shared" si="23"/>
        <v>0.79999999999999982</v>
      </c>
      <c r="X107" s="1370"/>
    </row>
    <row r="108" spans="1:26" s="1095" customFormat="1" ht="39.75" customHeight="1" x14ac:dyDescent="0.3">
      <c r="B108" s="1379" t="s">
        <v>25</v>
      </c>
      <c r="C108" s="1380">
        <v>2</v>
      </c>
      <c r="D108" s="1380">
        <v>2</v>
      </c>
      <c r="E108" s="1380"/>
      <c r="L108" s="1391" t="s">
        <v>25</v>
      </c>
      <c r="M108" s="1384">
        <f t="shared" si="21"/>
        <v>1.3999999999999997</v>
      </c>
      <c r="N108" s="1384">
        <f t="shared" si="22"/>
        <v>1.3999999999999997</v>
      </c>
      <c r="O108" s="1384"/>
      <c r="X108" s="1370"/>
    </row>
    <row r="109" spans="1:26" s="1095" customFormat="1" ht="39.75" customHeight="1" x14ac:dyDescent="0.3">
      <c r="B109" s="1392" t="s">
        <v>10</v>
      </c>
      <c r="C109" s="1393">
        <f>AVERAGE(C105:C108)</f>
        <v>2.75</v>
      </c>
      <c r="D109" s="1393">
        <f>AVERAGE(D105:D108)</f>
        <v>2.25</v>
      </c>
      <c r="E109" s="1393">
        <f>AVERAGE(E105:E108)</f>
        <v>1</v>
      </c>
      <c r="L109" s="1392" t="s">
        <v>10</v>
      </c>
      <c r="M109" s="1384">
        <f>AVERAGE(M105:M108)</f>
        <v>2.4499999999999997</v>
      </c>
      <c r="N109" s="1384">
        <f>AVERAGE(N105:N108)</f>
        <v>1.9499999999999995</v>
      </c>
      <c r="O109" s="1384">
        <f>AVERAGE(O105:O108)</f>
        <v>0.89999999999999991</v>
      </c>
      <c r="X109" s="1370"/>
    </row>
    <row r="110" spans="1:26" s="1095" customFormat="1" ht="39.75" customHeight="1" x14ac:dyDescent="0.3">
      <c r="A110" s="1394"/>
      <c r="B110" s="1395" t="s">
        <v>58</v>
      </c>
      <c r="C110" s="2805">
        <f>AVERAGE(C109:E109)</f>
        <v>2</v>
      </c>
      <c r="D110" s="2805"/>
      <c r="E110" s="2805"/>
      <c r="F110" s="1394"/>
      <c r="G110" s="1394"/>
      <c r="H110" s="1394"/>
      <c r="I110" s="1394"/>
      <c r="J110" s="1394"/>
      <c r="K110" s="1394"/>
      <c r="L110" s="1396" t="s">
        <v>58</v>
      </c>
      <c r="M110" s="3436">
        <f>AVERAGE(M109:O109)</f>
        <v>1.7666666666666664</v>
      </c>
      <c r="N110" s="3436"/>
      <c r="O110" s="3436"/>
      <c r="P110" s="1394"/>
      <c r="X110" s="1370"/>
    </row>
    <row r="113" spans="1:16" ht="27.75" customHeight="1" x14ac:dyDescent="0.3">
      <c r="A113" s="3437"/>
      <c r="B113" s="3437"/>
      <c r="C113" s="3437"/>
      <c r="D113" s="3437"/>
      <c r="E113" s="3437"/>
      <c r="F113" s="3437"/>
      <c r="G113" s="3437"/>
      <c r="H113" s="3437"/>
      <c r="I113" s="3437"/>
      <c r="J113" s="3437"/>
      <c r="K113" s="3437"/>
      <c r="L113" s="3437"/>
      <c r="M113" s="3437"/>
      <c r="N113" s="3437"/>
      <c r="O113" s="3437"/>
      <c r="P113" s="3437"/>
    </row>
    <row r="114" spans="1:16" ht="27.75" customHeight="1" x14ac:dyDescent="0.3">
      <c r="A114" s="1255"/>
      <c r="B114" s="1255"/>
      <c r="C114" s="1255"/>
      <c r="D114" s="1255"/>
      <c r="E114" s="1255"/>
      <c r="F114" s="1255"/>
      <c r="G114" s="1255"/>
      <c r="H114" s="1255"/>
      <c r="I114" s="1255"/>
      <c r="J114" s="1255"/>
      <c r="K114" s="1255"/>
      <c r="L114" s="1255"/>
      <c r="M114" s="1255"/>
      <c r="N114" s="1255"/>
      <c r="O114" s="1255"/>
      <c r="P114" s="1255"/>
    </row>
    <row r="115" spans="1:16" ht="27.75" customHeight="1" x14ac:dyDescent="0.3">
      <c r="A115" s="3435"/>
      <c r="B115" s="3435"/>
      <c r="C115" s="3435"/>
      <c r="D115" s="3435"/>
      <c r="E115" s="3435"/>
      <c r="F115" s="3435"/>
      <c r="G115" s="3435"/>
      <c r="H115" s="3435"/>
      <c r="I115" s="3435"/>
      <c r="J115" s="3435"/>
      <c r="K115" s="3435"/>
      <c r="L115" s="3435"/>
      <c r="M115" s="3435"/>
      <c r="N115" s="3435"/>
      <c r="O115" s="3435"/>
      <c r="P115" s="3435"/>
    </row>
    <row r="116" spans="1:16" ht="27.75" customHeight="1" x14ac:dyDescent="0.3">
      <c r="A116" s="3435"/>
      <c r="B116" s="3435"/>
      <c r="C116" s="3435"/>
      <c r="D116" s="3435"/>
      <c r="E116" s="3435"/>
      <c r="F116" s="3435"/>
      <c r="G116" s="3435"/>
      <c r="H116" s="3435"/>
      <c r="I116" s="3435"/>
      <c r="J116" s="3435"/>
      <c r="K116" s="3435"/>
      <c r="L116" s="3435"/>
      <c r="M116" s="3435"/>
      <c r="N116" s="3435"/>
      <c r="O116" s="3435"/>
      <c r="P116" s="3435"/>
    </row>
    <row r="117" spans="1:16" ht="27.75" customHeight="1" x14ac:dyDescent="0.3">
      <c r="A117" s="3435"/>
      <c r="B117" s="3435"/>
      <c r="C117" s="3435"/>
      <c r="D117" s="3435"/>
      <c r="E117" s="3435"/>
      <c r="F117" s="3435"/>
      <c r="G117" s="3435"/>
      <c r="H117" s="3435"/>
      <c r="I117" s="3435"/>
      <c r="J117" s="3435"/>
      <c r="K117" s="3435"/>
      <c r="L117" s="3435"/>
      <c r="M117" s="3435"/>
      <c r="N117" s="3435"/>
      <c r="O117" s="3435"/>
      <c r="P117" s="3435"/>
    </row>
    <row r="118" spans="1:16" ht="27.75" customHeight="1" x14ac:dyDescent="0.3">
      <c r="A118" s="3435"/>
      <c r="B118" s="3435"/>
      <c r="C118" s="3435"/>
      <c r="D118" s="3435"/>
      <c r="E118" s="3435"/>
      <c r="F118" s="3435"/>
      <c r="G118" s="3435"/>
      <c r="H118" s="3435"/>
      <c r="I118" s="3435"/>
      <c r="J118" s="3435"/>
      <c r="K118" s="3435"/>
      <c r="L118" s="3435"/>
      <c r="M118" s="3435"/>
      <c r="N118" s="3435"/>
      <c r="O118" s="3435"/>
      <c r="P118" s="3435"/>
    </row>
    <row r="119" spans="1:16" ht="27.75" customHeight="1" x14ac:dyDescent="0.3">
      <c r="A119" s="3435"/>
      <c r="B119" s="3435"/>
      <c r="C119" s="3435"/>
      <c r="D119" s="3435"/>
      <c r="E119" s="3435"/>
      <c r="F119" s="3435"/>
      <c r="G119" s="3435"/>
      <c r="H119" s="3435"/>
      <c r="I119" s="3435"/>
      <c r="J119" s="3435"/>
      <c r="K119" s="3435"/>
      <c r="L119" s="3435"/>
      <c r="M119" s="3435"/>
      <c r="N119" s="3435"/>
      <c r="O119" s="3435"/>
      <c r="P119" s="3435"/>
    </row>
    <row r="120" spans="1:16" ht="27.75" customHeight="1" x14ac:dyDescent="0.3">
      <c r="A120" s="3435"/>
      <c r="B120" s="3435"/>
      <c r="C120" s="3435"/>
      <c r="D120" s="3435"/>
      <c r="E120" s="3435"/>
      <c r="F120" s="3435"/>
      <c r="G120" s="3435"/>
      <c r="H120" s="3435"/>
      <c r="I120" s="3435"/>
      <c r="J120" s="3435"/>
      <c r="K120" s="3435"/>
      <c r="L120" s="3435"/>
      <c r="M120" s="3435"/>
      <c r="N120" s="3435"/>
      <c r="O120" s="3435"/>
      <c r="P120" s="3435"/>
    </row>
    <row r="121" spans="1:16" ht="27.75" customHeight="1" x14ac:dyDescent="0.3">
      <c r="A121" s="3437"/>
      <c r="B121" s="3437"/>
      <c r="C121" s="3437"/>
      <c r="D121" s="3437"/>
      <c r="E121" s="3437"/>
      <c r="F121" s="3437"/>
      <c r="G121" s="3437"/>
      <c r="H121" s="3437"/>
      <c r="I121" s="3437"/>
      <c r="J121" s="3437"/>
      <c r="K121" s="3437"/>
      <c r="L121" s="3437"/>
      <c r="M121" s="3437"/>
      <c r="N121" s="3437"/>
      <c r="O121" s="3437"/>
      <c r="P121" s="3437"/>
    </row>
    <row r="122" spans="1:16" ht="27.75" customHeight="1" x14ac:dyDescent="0.3">
      <c r="A122" s="2717"/>
      <c r="B122" s="2717"/>
      <c r="C122" s="2717"/>
      <c r="D122" s="2717"/>
      <c r="E122" s="2717"/>
      <c r="F122" s="2717"/>
      <c r="G122" s="2717"/>
      <c r="H122" s="2717"/>
      <c r="I122" s="2717"/>
      <c r="J122" s="2717"/>
      <c r="K122" s="2717"/>
      <c r="L122" s="2717"/>
      <c r="M122" s="2717"/>
      <c r="N122" s="2717"/>
      <c r="O122" s="2717"/>
      <c r="P122" s="2717"/>
    </row>
    <row r="123" spans="1:16" ht="27.75" customHeight="1" x14ac:dyDescent="0.3">
      <c r="A123" s="2716"/>
      <c r="B123" s="2716"/>
      <c r="C123" s="2716"/>
      <c r="D123" s="2716"/>
      <c r="E123" s="2716"/>
      <c r="F123" s="2716"/>
      <c r="G123" s="2716"/>
      <c r="H123" s="2716"/>
      <c r="I123" s="2716"/>
      <c r="J123" s="2716"/>
      <c r="K123" s="2716"/>
      <c r="L123" s="2716"/>
      <c r="M123" s="2716"/>
      <c r="N123" s="2716"/>
      <c r="O123" s="2716"/>
      <c r="P123" s="2716"/>
    </row>
    <row r="124" spans="1:16" ht="27.75" customHeight="1" x14ac:dyDescent="0.3">
      <c r="A124" s="3441"/>
      <c r="B124" s="3440"/>
      <c r="C124" s="3440"/>
      <c r="D124" s="3440"/>
      <c r="E124" s="3440"/>
      <c r="F124" s="3440"/>
      <c r="G124" s="3440"/>
      <c r="H124" s="3440"/>
      <c r="I124" s="3440"/>
      <c r="J124" s="3440"/>
      <c r="K124" s="3440"/>
      <c r="L124" s="3440"/>
      <c r="M124" s="3440"/>
      <c r="N124" s="3440"/>
      <c r="O124" s="3440"/>
      <c r="P124" s="3440"/>
    </row>
    <row r="125" spans="1:16" ht="27.75" customHeight="1" x14ac:dyDescent="0.3">
      <c r="A125" s="3440"/>
      <c r="B125" s="3440"/>
      <c r="C125" s="3440"/>
      <c r="D125" s="3440"/>
      <c r="E125" s="3440"/>
      <c r="F125" s="3440"/>
      <c r="G125" s="3440"/>
      <c r="H125" s="3440"/>
      <c r="I125" s="3440"/>
      <c r="J125" s="3440"/>
      <c r="K125" s="3440"/>
      <c r="L125" s="3440"/>
      <c r="M125" s="3440"/>
      <c r="N125" s="3440"/>
      <c r="O125" s="3440"/>
      <c r="P125" s="3440"/>
    </row>
    <row r="126" spans="1:16" ht="27.75" customHeight="1" x14ac:dyDescent="0.3">
      <c r="A126" s="3440"/>
      <c r="B126" s="3440"/>
      <c r="C126" s="3440"/>
      <c r="D126" s="3440"/>
      <c r="E126" s="3440"/>
      <c r="F126" s="3440"/>
      <c r="G126" s="3440"/>
      <c r="H126" s="3440"/>
      <c r="I126" s="3440"/>
      <c r="J126" s="3440"/>
      <c r="K126" s="3440"/>
      <c r="L126" s="3440"/>
      <c r="M126" s="3440"/>
      <c r="N126" s="3440"/>
      <c r="O126" s="3440"/>
      <c r="P126" s="3440"/>
    </row>
    <row r="127" spans="1:16" ht="27.75" customHeight="1" x14ac:dyDescent="0.3">
      <c r="A127" s="2716"/>
      <c r="B127" s="2716"/>
      <c r="C127" s="2716"/>
      <c r="D127" s="2716"/>
      <c r="E127" s="2716"/>
      <c r="F127" s="2716"/>
      <c r="G127" s="2716"/>
      <c r="H127" s="2716"/>
      <c r="I127" s="2716"/>
      <c r="J127" s="2716"/>
      <c r="K127" s="2716"/>
      <c r="L127" s="2716"/>
      <c r="M127" s="2716"/>
      <c r="N127" s="2716"/>
      <c r="O127" s="2716"/>
      <c r="P127" s="2716"/>
    </row>
  </sheetData>
  <mergeCells count="54">
    <mergeCell ref="A126:P126"/>
    <mergeCell ref="A127:P127"/>
    <mergeCell ref="A120:P120"/>
    <mergeCell ref="A121:P121"/>
    <mergeCell ref="A122:P122"/>
    <mergeCell ref="A123:P123"/>
    <mergeCell ref="A124:P124"/>
    <mergeCell ref="A125:P125"/>
    <mergeCell ref="A119:P119"/>
    <mergeCell ref="A92:B92"/>
    <mergeCell ref="A102:B102"/>
    <mergeCell ref="I102:L102"/>
    <mergeCell ref="C110:E110"/>
    <mergeCell ref="M110:O110"/>
    <mergeCell ref="A113:P113"/>
    <mergeCell ref="A115:P115"/>
    <mergeCell ref="A116:P116"/>
    <mergeCell ref="A117:P117"/>
    <mergeCell ref="A118:P118"/>
    <mergeCell ref="C100:N100"/>
    <mergeCell ref="AC6:AC8"/>
    <mergeCell ref="A70:B70"/>
    <mergeCell ref="K6:L6"/>
    <mergeCell ref="M6:M8"/>
    <mergeCell ref="N6:P6"/>
    <mergeCell ref="Q6:R6"/>
    <mergeCell ref="S6:T6"/>
    <mergeCell ref="U6:V6"/>
    <mergeCell ref="A6:A8"/>
    <mergeCell ref="B6:B7"/>
    <mergeCell ref="C6:E6"/>
    <mergeCell ref="F6:G6"/>
    <mergeCell ref="Y6:Y8"/>
    <mergeCell ref="Z6:Z8"/>
    <mergeCell ref="AB6:AB8"/>
    <mergeCell ref="W6:X6"/>
    <mergeCell ref="C4:L4"/>
    <mergeCell ref="N4:X4"/>
    <mergeCell ref="C89:N89"/>
    <mergeCell ref="H6:I6"/>
    <mergeCell ref="B79:E79"/>
    <mergeCell ref="A71:B71"/>
    <mergeCell ref="A81:B81"/>
    <mergeCell ref="F74:G74"/>
    <mergeCell ref="A5:B5"/>
    <mergeCell ref="C5:M5"/>
    <mergeCell ref="N5:Y5"/>
    <mergeCell ref="A68:A69"/>
    <mergeCell ref="A2:B2"/>
    <mergeCell ref="C2:L2"/>
    <mergeCell ref="N2:X2"/>
    <mergeCell ref="A3:B3"/>
    <mergeCell ref="C3:L3"/>
    <mergeCell ref="N3:X3"/>
  </mergeCells>
  <conditionalFormatting sqref="AB10:AB67">
    <cfRule type="containsText" dxfId="84" priority="1" operator="containsText" text="F">
      <formula>NOT(ISERROR(SEARCH("F",AB10)))</formula>
    </cfRule>
  </conditionalFormatting>
  <pageMargins left="0.7" right="0.7" top="0.75" bottom="0.75" header="0.3" footer="0.3"/>
  <pageSetup paperSize="8" scale="2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27"/>
  <sheetViews>
    <sheetView topLeftCell="A82" zoomScale="70" zoomScaleNormal="80" workbookViewId="0">
      <selection activeCell="G99" sqref="G99"/>
    </sheetView>
  </sheetViews>
  <sheetFormatPr defaultColWidth="9.140625" defaultRowHeight="16.5" x14ac:dyDescent="0.25"/>
  <cols>
    <col min="1" max="1" width="15.140625" style="493" bestFit="1" customWidth="1"/>
    <col min="2" max="2" width="15.7109375" style="493" customWidth="1"/>
    <col min="3" max="12" width="6.28515625" style="493" customWidth="1"/>
    <col min="13" max="13" width="8.140625" style="595" customWidth="1"/>
    <col min="14" max="14" width="10.5703125" style="493" customWidth="1"/>
    <col min="15" max="22" width="6.85546875" style="493" customWidth="1"/>
    <col min="23" max="23" width="6.85546875" style="595" customWidth="1"/>
    <col min="24" max="28" width="6.85546875" style="493" customWidth="1"/>
    <col min="29" max="29" width="8" style="493" customWidth="1"/>
    <col min="30" max="30" width="17.7109375" style="493" bestFit="1" customWidth="1"/>
    <col min="31" max="31" width="0.5703125" style="493" customWidth="1"/>
    <col min="32" max="16384" width="9.140625" style="493"/>
  </cols>
  <sheetData>
    <row r="1" spans="1:30" x14ac:dyDescent="0.25">
      <c r="A1" s="594"/>
    </row>
    <row r="2" spans="1:30" x14ac:dyDescent="0.25">
      <c r="A2" s="3450" t="s">
        <v>0</v>
      </c>
      <c r="B2" s="3451"/>
      <c r="C2" s="3455" t="s">
        <v>111</v>
      </c>
      <c r="D2" s="3456"/>
      <c r="E2" s="3456"/>
      <c r="F2" s="3456"/>
      <c r="G2" s="3456"/>
      <c r="H2" s="3456"/>
      <c r="I2" s="3456"/>
      <c r="J2" s="3456"/>
      <c r="K2" s="3456"/>
      <c r="L2" s="3456"/>
      <c r="M2" s="3457"/>
      <c r="N2" s="473" t="s">
        <v>63</v>
      </c>
      <c r="O2" s="3458" t="s">
        <v>155</v>
      </c>
      <c r="P2" s="3459"/>
      <c r="Q2" s="3459"/>
      <c r="R2" s="3459"/>
      <c r="S2" s="3459"/>
      <c r="T2" s="3459"/>
      <c r="U2" s="3459"/>
      <c r="V2" s="3459"/>
      <c r="W2" s="3459"/>
      <c r="X2" s="474"/>
      <c r="Y2" s="474"/>
      <c r="Z2" s="474"/>
      <c r="AA2" s="474"/>
      <c r="AB2" s="474"/>
      <c r="AC2" s="474"/>
      <c r="AD2" s="474"/>
    </row>
    <row r="3" spans="1:30" x14ac:dyDescent="0.25">
      <c r="A3" s="3450" t="s">
        <v>1</v>
      </c>
      <c r="B3" s="3451"/>
      <c r="C3" s="3455" t="s">
        <v>266</v>
      </c>
      <c r="D3" s="3456"/>
      <c r="E3" s="3456"/>
      <c r="F3" s="3456"/>
      <c r="G3" s="3456"/>
      <c r="H3" s="3456"/>
      <c r="I3" s="3456"/>
      <c r="J3" s="3456"/>
      <c r="K3" s="3456"/>
      <c r="L3" s="3456"/>
      <c r="M3" s="3457"/>
      <c r="N3" s="475" t="s">
        <v>64</v>
      </c>
      <c r="O3" s="3458" t="s">
        <v>232</v>
      </c>
      <c r="P3" s="3459"/>
      <c r="Q3" s="3459"/>
      <c r="R3" s="3459"/>
      <c r="S3" s="3459"/>
      <c r="T3" s="3459"/>
      <c r="U3" s="3459"/>
      <c r="V3" s="3459"/>
      <c r="W3" s="3459"/>
      <c r="X3" s="474"/>
      <c r="Y3" s="474"/>
      <c r="Z3" s="474"/>
      <c r="AA3" s="474"/>
      <c r="AB3" s="474"/>
      <c r="AC3" s="474"/>
      <c r="AD3" s="474"/>
    </row>
    <row r="4" spans="1:30" ht="17.25" thickBot="1" x14ac:dyDescent="0.3">
      <c r="A4" s="596"/>
      <c r="B4" s="597" t="s">
        <v>2</v>
      </c>
      <c r="C4" s="3452" t="s">
        <v>139</v>
      </c>
      <c r="D4" s="3453"/>
      <c r="E4" s="3453"/>
      <c r="F4" s="3453"/>
      <c r="G4" s="3453"/>
      <c r="H4" s="3453"/>
      <c r="I4" s="3453"/>
      <c r="J4" s="3453"/>
      <c r="K4" s="3453"/>
      <c r="L4" s="3453"/>
      <c r="M4" s="3454"/>
      <c r="N4" s="597" t="s">
        <v>65</v>
      </c>
      <c r="O4" s="3460" t="s">
        <v>66</v>
      </c>
      <c r="P4" s="3461"/>
      <c r="Q4" s="3461"/>
      <c r="R4" s="3461"/>
      <c r="S4" s="3461"/>
      <c r="T4" s="3461"/>
      <c r="U4" s="3461"/>
      <c r="V4" s="3461"/>
      <c r="W4" s="3461"/>
      <c r="X4" s="474"/>
      <c r="Y4" s="474"/>
      <c r="Z4" s="474"/>
      <c r="AA4" s="474"/>
      <c r="AB4" s="474"/>
      <c r="AC4" s="474"/>
      <c r="AD4" s="474"/>
    </row>
    <row r="5" spans="1:30" ht="17.25" thickBot="1" x14ac:dyDescent="0.3">
      <c r="A5" s="3470"/>
      <c r="B5" s="3471"/>
      <c r="C5" s="3472" t="s">
        <v>3</v>
      </c>
      <c r="D5" s="3473"/>
      <c r="E5" s="3473"/>
      <c r="F5" s="3473"/>
      <c r="G5" s="3473"/>
      <c r="H5" s="3473"/>
      <c r="I5" s="3473"/>
      <c r="J5" s="3473"/>
      <c r="K5" s="3473"/>
      <c r="L5" s="3473"/>
      <c r="M5" s="3473"/>
      <c r="N5" s="3474"/>
      <c r="O5" s="3475" t="s">
        <v>4</v>
      </c>
      <c r="P5" s="3476"/>
      <c r="Q5" s="3476"/>
      <c r="R5" s="3476"/>
      <c r="S5" s="3476"/>
      <c r="T5" s="3476"/>
      <c r="U5" s="3476"/>
      <c r="V5" s="3476"/>
      <c r="W5" s="3476"/>
      <c r="X5" s="3476"/>
      <c r="Y5" s="476"/>
      <c r="Z5" s="598"/>
      <c r="AA5" s="598"/>
      <c r="AB5" s="598"/>
      <c r="AC5" s="598"/>
      <c r="AD5" s="599"/>
    </row>
    <row r="6" spans="1:30" ht="25.15" customHeight="1" thickBot="1" x14ac:dyDescent="0.3">
      <c r="A6" s="3462"/>
      <c r="B6" s="3468" t="s">
        <v>5</v>
      </c>
      <c r="C6" s="3479" t="s">
        <v>6</v>
      </c>
      <c r="D6" s="3480"/>
      <c r="E6" s="3481"/>
      <c r="F6" s="3501" t="s">
        <v>7</v>
      </c>
      <c r="G6" s="3502"/>
      <c r="H6" s="3465" t="s">
        <v>8</v>
      </c>
      <c r="I6" s="3466"/>
      <c r="J6" s="3467" t="s">
        <v>9</v>
      </c>
      <c r="K6" s="3465"/>
      <c r="L6" s="3465" t="s">
        <v>236</v>
      </c>
      <c r="M6" s="3466"/>
      <c r="N6" s="477" t="s">
        <v>146</v>
      </c>
      <c r="O6" s="3479" t="s">
        <v>6</v>
      </c>
      <c r="P6" s="3480"/>
      <c r="Q6" s="3480"/>
      <c r="R6" s="3501" t="s">
        <v>7</v>
      </c>
      <c r="S6" s="3502"/>
      <c r="T6" s="3465" t="s">
        <v>8</v>
      </c>
      <c r="U6" s="3466"/>
      <c r="V6" s="3467" t="s">
        <v>9</v>
      </c>
      <c r="W6" s="3465"/>
      <c r="X6" s="3465" t="s">
        <v>236</v>
      </c>
      <c r="Y6" s="3466"/>
      <c r="Z6" s="600" t="s">
        <v>147</v>
      </c>
      <c r="AA6" s="3503" t="s">
        <v>151</v>
      </c>
      <c r="AB6" s="3503" t="s">
        <v>152</v>
      </c>
      <c r="AC6" s="3503" t="s">
        <v>11</v>
      </c>
      <c r="AD6" s="3492" t="s">
        <v>12</v>
      </c>
    </row>
    <row r="7" spans="1:30" ht="15.75" customHeight="1" x14ac:dyDescent="0.25">
      <c r="A7" s="3463"/>
      <c r="B7" s="3469"/>
      <c r="C7" s="478" t="s">
        <v>13</v>
      </c>
      <c r="D7" s="479" t="s">
        <v>14</v>
      </c>
      <c r="E7" s="480" t="s">
        <v>15</v>
      </c>
      <c r="F7" s="478" t="s">
        <v>13</v>
      </c>
      <c r="G7" s="479" t="s">
        <v>14</v>
      </c>
      <c r="H7" s="479" t="s">
        <v>13</v>
      </c>
      <c r="I7" s="480" t="s">
        <v>14</v>
      </c>
      <c r="J7" s="478" t="s">
        <v>13</v>
      </c>
      <c r="K7" s="601" t="s">
        <v>14</v>
      </c>
      <c r="L7" s="481" t="s">
        <v>13</v>
      </c>
      <c r="M7" s="479" t="s">
        <v>14</v>
      </c>
      <c r="N7" s="602"/>
      <c r="O7" s="478" t="s">
        <v>13</v>
      </c>
      <c r="P7" s="479" t="s">
        <v>14</v>
      </c>
      <c r="Q7" s="601" t="s">
        <v>67</v>
      </c>
      <c r="R7" s="478" t="s">
        <v>13</v>
      </c>
      <c r="S7" s="479" t="s">
        <v>14</v>
      </c>
      <c r="T7" s="3495" t="s">
        <v>13</v>
      </c>
      <c r="U7" s="3478"/>
      <c r="V7" s="478" t="s">
        <v>13</v>
      </c>
      <c r="W7" s="601" t="s">
        <v>14</v>
      </c>
      <c r="X7" s="479" t="s">
        <v>13</v>
      </c>
      <c r="Y7" s="480" t="s">
        <v>14</v>
      </c>
      <c r="Z7" s="603"/>
      <c r="AA7" s="3504"/>
      <c r="AB7" s="3504"/>
      <c r="AC7" s="3504"/>
      <c r="AD7" s="3493"/>
    </row>
    <row r="8" spans="1:30" x14ac:dyDescent="0.25">
      <c r="A8" s="3464"/>
      <c r="B8" s="604" t="s">
        <v>19</v>
      </c>
      <c r="C8" s="478" t="s">
        <v>22</v>
      </c>
      <c r="D8" s="478" t="s">
        <v>21</v>
      </c>
      <c r="E8" s="482" t="s">
        <v>21</v>
      </c>
      <c r="F8" s="3477" t="s">
        <v>20</v>
      </c>
      <c r="G8" s="3496"/>
      <c r="H8" s="3495" t="s">
        <v>20</v>
      </c>
      <c r="I8" s="3478"/>
      <c r="J8" s="3497" t="s">
        <v>21</v>
      </c>
      <c r="K8" s="3498"/>
      <c r="L8" s="3499" t="s">
        <v>40</v>
      </c>
      <c r="M8" s="3500"/>
      <c r="N8" s="482"/>
      <c r="O8" s="478" t="s">
        <v>41</v>
      </c>
      <c r="P8" s="479" t="s">
        <v>42</v>
      </c>
      <c r="Q8" s="601" t="s">
        <v>42</v>
      </c>
      <c r="R8" s="478" t="s">
        <v>41</v>
      </c>
      <c r="S8" s="479" t="s">
        <v>41</v>
      </c>
      <c r="T8" s="3495" t="s">
        <v>41</v>
      </c>
      <c r="U8" s="3478"/>
      <c r="V8" s="478" t="s">
        <v>42</v>
      </c>
      <c r="W8" s="479" t="s">
        <v>42</v>
      </c>
      <c r="X8" s="479" t="s">
        <v>42</v>
      </c>
      <c r="Y8" s="480" t="s">
        <v>42</v>
      </c>
      <c r="Z8" s="603" t="s">
        <v>237</v>
      </c>
      <c r="AA8" s="3505"/>
      <c r="AB8" s="3505"/>
      <c r="AC8" s="3505"/>
      <c r="AD8" s="3494"/>
    </row>
    <row r="9" spans="1:30" x14ac:dyDescent="0.25">
      <c r="A9" s="479" t="s">
        <v>18</v>
      </c>
      <c r="B9" s="601" t="s">
        <v>26</v>
      </c>
      <c r="C9" s="478">
        <v>2</v>
      </c>
      <c r="D9" s="479">
        <v>2</v>
      </c>
      <c r="E9" s="480">
        <v>2</v>
      </c>
      <c r="F9" s="478">
        <v>6</v>
      </c>
      <c r="G9" s="479">
        <v>6</v>
      </c>
      <c r="H9" s="479">
        <v>6</v>
      </c>
      <c r="I9" s="480">
        <v>6</v>
      </c>
      <c r="J9" s="478">
        <v>6</v>
      </c>
      <c r="K9" s="605">
        <v>6</v>
      </c>
      <c r="L9" s="3477">
        <v>12</v>
      </c>
      <c r="M9" s="3478"/>
      <c r="N9" s="482">
        <v>30</v>
      </c>
      <c r="O9" s="478">
        <v>2</v>
      </c>
      <c r="P9" s="479">
        <v>2</v>
      </c>
      <c r="Q9" s="601">
        <v>2</v>
      </c>
      <c r="R9" s="478">
        <v>6</v>
      </c>
      <c r="S9" s="479">
        <v>6</v>
      </c>
      <c r="T9" s="3495">
        <v>12</v>
      </c>
      <c r="U9" s="3478"/>
      <c r="V9" s="478">
        <v>6</v>
      </c>
      <c r="W9" s="481">
        <v>6</v>
      </c>
      <c r="X9" s="606">
        <v>6</v>
      </c>
      <c r="Y9" s="482">
        <v>6</v>
      </c>
      <c r="Z9" s="603">
        <v>30</v>
      </c>
      <c r="AA9" s="483">
        <v>10</v>
      </c>
      <c r="AB9" s="483">
        <v>10</v>
      </c>
      <c r="AC9" s="483"/>
      <c r="AD9" s="483"/>
    </row>
    <row r="10" spans="1:30" x14ac:dyDescent="0.25">
      <c r="A10" s="479">
        <v>1</v>
      </c>
      <c r="B10" s="607">
        <v>5191421001</v>
      </c>
      <c r="C10" s="608">
        <v>2</v>
      </c>
      <c r="D10" s="485">
        <v>0</v>
      </c>
      <c r="E10" s="486">
        <v>1</v>
      </c>
      <c r="F10" s="609">
        <v>4</v>
      </c>
      <c r="G10" s="485">
        <v>4</v>
      </c>
      <c r="H10" s="610">
        <v>5</v>
      </c>
      <c r="I10" s="611"/>
      <c r="J10" s="609">
        <v>6</v>
      </c>
      <c r="K10" s="612"/>
      <c r="L10" s="3447"/>
      <c r="M10" s="3448"/>
      <c r="N10" s="613">
        <v>17</v>
      </c>
      <c r="O10" s="488">
        <v>2</v>
      </c>
      <c r="P10" s="489">
        <v>2</v>
      </c>
      <c r="Q10" s="614">
        <v>2</v>
      </c>
      <c r="R10" s="488">
        <v>1</v>
      </c>
      <c r="S10" s="487">
        <v>1</v>
      </c>
      <c r="T10" s="3449">
        <v>3</v>
      </c>
      <c r="U10" s="3448"/>
      <c r="V10" s="491">
        <v>3</v>
      </c>
      <c r="W10" s="615"/>
      <c r="X10" s="616"/>
      <c r="Y10" s="490"/>
      <c r="Z10" s="617">
        <v>12</v>
      </c>
      <c r="AA10" s="618">
        <v>9.75</v>
      </c>
      <c r="AB10" s="618">
        <v>9.75</v>
      </c>
      <c r="AC10" s="619" t="s">
        <v>29</v>
      </c>
      <c r="AD10" s="487">
        <f t="shared" ref="AD10:AD67" si="0">IF(AC10="O",100,IF(AC10="A+",90,IF(AC10="A",80,IF(AC10="B+",70,IF(AC10="B",60,IF(AC10="C",55,IF(AC10="P",50,IF(AC10="F",39))))))))</f>
        <v>39</v>
      </c>
    </row>
    <row r="11" spans="1:30" x14ac:dyDescent="0.25">
      <c r="A11" s="620">
        <v>2</v>
      </c>
      <c r="B11" s="621">
        <v>5191421002</v>
      </c>
      <c r="C11" s="622">
        <v>2</v>
      </c>
      <c r="D11" s="623">
        <v>2</v>
      </c>
      <c r="E11" s="624"/>
      <c r="F11" s="622">
        <v>5</v>
      </c>
      <c r="G11" s="623">
        <v>3</v>
      </c>
      <c r="H11" s="625"/>
      <c r="I11" s="624"/>
      <c r="J11" s="622">
        <v>5</v>
      </c>
      <c r="K11" s="623">
        <v>6</v>
      </c>
      <c r="L11" s="3445"/>
      <c r="M11" s="3446"/>
      <c r="N11" s="613">
        <f t="shared" ref="N11:N58" si="1">SUM(C11:M11)</f>
        <v>23</v>
      </c>
      <c r="O11" s="626">
        <v>0</v>
      </c>
      <c r="P11" s="627">
        <v>2</v>
      </c>
      <c r="Q11" s="628">
        <v>2</v>
      </c>
      <c r="R11" s="626">
        <v>1</v>
      </c>
      <c r="S11" s="487"/>
      <c r="T11" s="3449"/>
      <c r="U11" s="3448"/>
      <c r="V11" s="622"/>
      <c r="W11" s="615"/>
      <c r="X11" s="625">
        <v>5</v>
      </c>
      <c r="Y11" s="624">
        <v>2</v>
      </c>
      <c r="Z11" s="625">
        <v>12</v>
      </c>
      <c r="AA11" s="618">
        <v>9.5</v>
      </c>
      <c r="AB11" s="618">
        <v>9.5</v>
      </c>
      <c r="AC11" s="629" t="s">
        <v>33</v>
      </c>
      <c r="AD11" s="623">
        <f t="shared" si="0"/>
        <v>60</v>
      </c>
    </row>
    <row r="12" spans="1:30" s="612" customFormat="1" x14ac:dyDescent="0.25">
      <c r="A12" s="479">
        <v>3</v>
      </c>
      <c r="B12" s="630">
        <v>5191421003</v>
      </c>
      <c r="C12" s="489">
        <v>2</v>
      </c>
      <c r="D12" s="489">
        <v>2</v>
      </c>
      <c r="E12" s="489">
        <v>1</v>
      </c>
      <c r="F12" s="489"/>
      <c r="G12" s="487"/>
      <c r="H12" s="487">
        <v>6</v>
      </c>
      <c r="I12" s="487">
        <v>6</v>
      </c>
      <c r="J12" s="487">
        <v>6</v>
      </c>
      <c r="K12" s="487">
        <v>6</v>
      </c>
      <c r="L12" s="3442"/>
      <c r="M12" s="3442"/>
      <c r="N12" s="613">
        <f t="shared" si="1"/>
        <v>29</v>
      </c>
      <c r="O12" s="489">
        <v>2</v>
      </c>
      <c r="P12" s="489">
        <v>2</v>
      </c>
      <c r="Q12" s="614">
        <v>2</v>
      </c>
      <c r="R12" s="488">
        <v>5</v>
      </c>
      <c r="S12" s="487">
        <v>1</v>
      </c>
      <c r="T12" s="3449"/>
      <c r="U12" s="3448"/>
      <c r="V12" s="491">
        <v>5</v>
      </c>
      <c r="W12" s="615">
        <v>4</v>
      </c>
      <c r="X12" s="617"/>
      <c r="Y12" s="490"/>
      <c r="Z12" s="617">
        <v>21</v>
      </c>
      <c r="AA12" s="618">
        <v>10</v>
      </c>
      <c r="AB12" s="618">
        <v>10</v>
      </c>
      <c r="AC12" s="619" t="s">
        <v>27</v>
      </c>
      <c r="AD12" s="487">
        <f t="shared" si="0"/>
        <v>80</v>
      </c>
    </row>
    <row r="13" spans="1:30" s="612" customFormat="1" x14ac:dyDescent="0.25">
      <c r="A13" s="479">
        <v>4</v>
      </c>
      <c r="B13" s="630">
        <v>5191421004</v>
      </c>
      <c r="C13" s="631">
        <v>2</v>
      </c>
      <c r="D13" s="489"/>
      <c r="E13" s="489"/>
      <c r="F13" s="489"/>
      <c r="G13" s="487">
        <v>5</v>
      </c>
      <c r="H13" s="487"/>
      <c r="I13" s="487"/>
      <c r="J13" s="487">
        <v>5</v>
      </c>
      <c r="K13" s="487"/>
      <c r="L13" s="3442"/>
      <c r="M13" s="3442"/>
      <c r="N13" s="613">
        <f t="shared" si="1"/>
        <v>12</v>
      </c>
      <c r="O13" s="489">
        <v>2</v>
      </c>
      <c r="P13" s="489">
        <v>1</v>
      </c>
      <c r="Q13" s="614">
        <v>2</v>
      </c>
      <c r="R13" s="488">
        <v>1</v>
      </c>
      <c r="S13" s="487"/>
      <c r="T13" s="3449"/>
      <c r="U13" s="3448"/>
      <c r="V13" s="491"/>
      <c r="W13" s="615"/>
      <c r="X13" s="617"/>
      <c r="Y13" s="490"/>
      <c r="Z13" s="617">
        <v>6</v>
      </c>
      <c r="AA13" s="618">
        <v>8.75</v>
      </c>
      <c r="AB13" s="618">
        <v>8.75</v>
      </c>
      <c r="AC13" s="619" t="s">
        <v>28</v>
      </c>
      <c r="AD13" s="487">
        <f t="shared" si="0"/>
        <v>50</v>
      </c>
    </row>
    <row r="14" spans="1:30" x14ac:dyDescent="0.25">
      <c r="A14" s="632">
        <v>5</v>
      </c>
      <c r="B14" s="633">
        <v>5191421005</v>
      </c>
      <c r="C14" s="634">
        <v>1</v>
      </c>
      <c r="D14" s="635">
        <v>1</v>
      </c>
      <c r="E14" s="636">
        <v>0</v>
      </c>
      <c r="F14" s="634">
        <v>5</v>
      </c>
      <c r="G14" s="637">
        <v>4</v>
      </c>
      <c r="H14" s="638"/>
      <c r="I14" s="639"/>
      <c r="J14" s="640"/>
      <c r="K14" s="637">
        <v>4</v>
      </c>
      <c r="L14" s="3443"/>
      <c r="M14" s="3444"/>
      <c r="N14" s="613">
        <f t="shared" si="1"/>
        <v>15</v>
      </c>
      <c r="O14" s="634"/>
      <c r="P14" s="635"/>
      <c r="Q14" s="641">
        <v>1</v>
      </c>
      <c r="R14" s="634">
        <v>5</v>
      </c>
      <c r="S14" s="487"/>
      <c r="T14" s="3449">
        <v>6</v>
      </c>
      <c r="U14" s="3448"/>
      <c r="V14" s="640"/>
      <c r="W14" s="615"/>
      <c r="X14" s="638"/>
      <c r="Y14" s="639"/>
      <c r="Z14" s="638">
        <v>7</v>
      </c>
      <c r="AA14" s="618">
        <v>9.25</v>
      </c>
      <c r="AB14" s="618">
        <v>9.25</v>
      </c>
      <c r="AC14" s="619" t="s">
        <v>32</v>
      </c>
      <c r="AD14" s="637">
        <f t="shared" si="0"/>
        <v>70</v>
      </c>
    </row>
    <row r="15" spans="1:30" x14ac:dyDescent="0.25">
      <c r="A15" s="479">
        <v>6</v>
      </c>
      <c r="B15" s="607">
        <v>5191421006</v>
      </c>
      <c r="C15" s="488">
        <v>2</v>
      </c>
      <c r="D15" s="489">
        <v>2</v>
      </c>
      <c r="E15" s="642">
        <v>1</v>
      </c>
      <c r="F15" s="488">
        <v>6</v>
      </c>
      <c r="G15" s="487">
        <v>6</v>
      </c>
      <c r="H15" s="617"/>
      <c r="I15" s="490"/>
      <c r="J15" s="491">
        <v>5</v>
      </c>
      <c r="K15" s="487">
        <v>5</v>
      </c>
      <c r="L15" s="3447"/>
      <c r="M15" s="3448"/>
      <c r="N15" s="613">
        <f t="shared" si="1"/>
        <v>27</v>
      </c>
      <c r="O15" s="488">
        <v>2</v>
      </c>
      <c r="P15" s="489">
        <v>2</v>
      </c>
      <c r="Q15" s="614">
        <v>2</v>
      </c>
      <c r="R15" s="488">
        <v>6</v>
      </c>
      <c r="S15" s="487">
        <v>2</v>
      </c>
      <c r="T15" s="3449"/>
      <c r="U15" s="3448"/>
      <c r="V15" s="491"/>
      <c r="W15" s="615"/>
      <c r="X15" s="617">
        <v>5</v>
      </c>
      <c r="Y15" s="490">
        <v>4</v>
      </c>
      <c r="Z15" s="617">
        <v>23</v>
      </c>
      <c r="AA15" s="618">
        <v>10</v>
      </c>
      <c r="AB15" s="618">
        <v>10</v>
      </c>
      <c r="AC15" s="619" t="s">
        <v>31</v>
      </c>
      <c r="AD15" s="487">
        <f t="shared" si="0"/>
        <v>55</v>
      </c>
    </row>
    <row r="16" spans="1:30" x14ac:dyDescent="0.25">
      <c r="A16" s="479">
        <v>7</v>
      </c>
      <c r="B16" s="607">
        <v>5191421007</v>
      </c>
      <c r="C16" s="488">
        <v>2</v>
      </c>
      <c r="D16" s="489">
        <v>2</v>
      </c>
      <c r="E16" s="642"/>
      <c r="F16" s="488">
        <v>6</v>
      </c>
      <c r="G16" s="487">
        <v>5</v>
      </c>
      <c r="H16" s="617"/>
      <c r="I16" s="490"/>
      <c r="J16" s="491">
        <v>3</v>
      </c>
      <c r="K16" s="487">
        <v>5</v>
      </c>
      <c r="L16" s="3447"/>
      <c r="M16" s="3448"/>
      <c r="N16" s="613">
        <f t="shared" si="1"/>
        <v>23</v>
      </c>
      <c r="O16" s="488"/>
      <c r="P16" s="489"/>
      <c r="Q16" s="614"/>
      <c r="R16" s="488"/>
      <c r="S16" s="487"/>
      <c r="T16" s="3449"/>
      <c r="U16" s="3448"/>
      <c r="V16" s="491"/>
      <c r="W16" s="615"/>
      <c r="X16" s="617"/>
      <c r="Y16" s="490"/>
      <c r="Z16" s="617"/>
      <c r="AA16" s="618">
        <v>7.5</v>
      </c>
      <c r="AB16" s="618">
        <v>7.5</v>
      </c>
      <c r="AC16" s="619" t="s">
        <v>31</v>
      </c>
      <c r="AD16" s="487">
        <f t="shared" si="0"/>
        <v>55</v>
      </c>
    </row>
    <row r="17" spans="1:30" x14ac:dyDescent="0.25">
      <c r="A17" s="479">
        <v>8</v>
      </c>
      <c r="B17" s="607">
        <v>5191421008</v>
      </c>
      <c r="C17" s="488">
        <v>1</v>
      </c>
      <c r="D17" s="489">
        <v>1</v>
      </c>
      <c r="E17" s="642">
        <v>2</v>
      </c>
      <c r="F17" s="488"/>
      <c r="G17" s="487"/>
      <c r="H17" s="617">
        <v>2</v>
      </c>
      <c r="I17" s="490">
        <v>3</v>
      </c>
      <c r="J17" s="491">
        <v>3</v>
      </c>
      <c r="K17" s="487"/>
      <c r="L17" s="3447"/>
      <c r="M17" s="3448"/>
      <c r="N17" s="613">
        <f t="shared" si="1"/>
        <v>12</v>
      </c>
      <c r="O17" s="488"/>
      <c r="P17" s="489">
        <v>1</v>
      </c>
      <c r="Q17" s="614">
        <v>1</v>
      </c>
      <c r="R17" s="488">
        <v>4</v>
      </c>
      <c r="S17" s="487">
        <v>0</v>
      </c>
      <c r="T17" s="3449"/>
      <c r="U17" s="3448"/>
      <c r="V17" s="491"/>
      <c r="W17" s="615"/>
      <c r="X17" s="617">
        <v>3</v>
      </c>
      <c r="Y17" s="490">
        <v>0</v>
      </c>
      <c r="Z17" s="617">
        <v>9</v>
      </c>
      <c r="AA17" s="618">
        <v>9.5</v>
      </c>
      <c r="AB17" s="618">
        <v>9.5</v>
      </c>
      <c r="AC17" s="619" t="s">
        <v>32</v>
      </c>
      <c r="AD17" s="487">
        <f t="shared" si="0"/>
        <v>70</v>
      </c>
    </row>
    <row r="18" spans="1:30" x14ac:dyDescent="0.25">
      <c r="A18" s="479">
        <v>9</v>
      </c>
      <c r="B18" s="607">
        <v>5191421009</v>
      </c>
      <c r="C18" s="491">
        <v>2</v>
      </c>
      <c r="D18" s="491">
        <v>2</v>
      </c>
      <c r="E18" s="491">
        <v>2</v>
      </c>
      <c r="F18" s="491">
        <v>6</v>
      </c>
      <c r="G18" s="487">
        <v>5</v>
      </c>
      <c r="H18" s="617"/>
      <c r="I18" s="490"/>
      <c r="J18" s="491">
        <v>6</v>
      </c>
      <c r="K18" s="487"/>
      <c r="L18" s="3447">
        <v>11</v>
      </c>
      <c r="M18" s="3448"/>
      <c r="N18" s="613">
        <v>28</v>
      </c>
      <c r="O18" s="488">
        <v>2</v>
      </c>
      <c r="P18" s="489">
        <v>1</v>
      </c>
      <c r="Q18" s="614">
        <v>2</v>
      </c>
      <c r="R18" s="488">
        <v>5</v>
      </c>
      <c r="S18" s="487"/>
      <c r="T18" s="3449"/>
      <c r="U18" s="3448"/>
      <c r="V18" s="491"/>
      <c r="W18" s="615"/>
      <c r="X18" s="617">
        <v>3</v>
      </c>
      <c r="Y18" s="490"/>
      <c r="Z18" s="617">
        <v>13</v>
      </c>
      <c r="AA18" s="618">
        <v>9.75</v>
      </c>
      <c r="AB18" s="618">
        <v>9.75</v>
      </c>
      <c r="AC18" s="619" t="s">
        <v>32</v>
      </c>
      <c r="AD18" s="487">
        <f t="shared" si="0"/>
        <v>70</v>
      </c>
    </row>
    <row r="19" spans="1:30" x14ac:dyDescent="0.25">
      <c r="A19" s="479">
        <v>10</v>
      </c>
      <c r="B19" s="607">
        <v>5191421010</v>
      </c>
      <c r="C19" s="488">
        <v>2</v>
      </c>
      <c r="D19" s="489">
        <v>2</v>
      </c>
      <c r="E19" s="642">
        <v>1</v>
      </c>
      <c r="F19" s="488"/>
      <c r="G19" s="487"/>
      <c r="H19" s="617">
        <v>6</v>
      </c>
      <c r="I19" s="490">
        <v>4</v>
      </c>
      <c r="J19" s="491">
        <v>6</v>
      </c>
      <c r="K19" s="487">
        <v>4</v>
      </c>
      <c r="L19" s="3447"/>
      <c r="M19" s="3448"/>
      <c r="N19" s="613">
        <f t="shared" si="1"/>
        <v>25</v>
      </c>
      <c r="O19" s="488">
        <v>2</v>
      </c>
      <c r="P19" s="489">
        <v>0</v>
      </c>
      <c r="Q19" s="614">
        <v>2</v>
      </c>
      <c r="R19" s="488"/>
      <c r="S19" s="487"/>
      <c r="T19" s="3449">
        <v>12</v>
      </c>
      <c r="U19" s="3448"/>
      <c r="V19" s="491"/>
      <c r="W19" s="615"/>
      <c r="X19" s="617">
        <v>2</v>
      </c>
      <c r="Y19" s="490"/>
      <c r="Z19" s="617">
        <v>18</v>
      </c>
      <c r="AA19" s="618">
        <v>10</v>
      </c>
      <c r="AB19" s="618">
        <v>10</v>
      </c>
      <c r="AC19" s="619" t="s">
        <v>33</v>
      </c>
      <c r="AD19" s="487">
        <f t="shared" si="0"/>
        <v>60</v>
      </c>
    </row>
    <row r="20" spans="1:30" x14ac:dyDescent="0.25">
      <c r="A20" s="479">
        <v>11</v>
      </c>
      <c r="B20" s="607">
        <v>5191421011</v>
      </c>
      <c r="C20" s="488">
        <v>2</v>
      </c>
      <c r="D20" s="489">
        <v>2</v>
      </c>
      <c r="E20" s="642">
        <v>2</v>
      </c>
      <c r="F20" s="488">
        <v>5</v>
      </c>
      <c r="G20" s="487">
        <v>5</v>
      </c>
      <c r="H20" s="617"/>
      <c r="I20" s="490"/>
      <c r="J20" s="491">
        <v>5</v>
      </c>
      <c r="K20" s="487">
        <v>6</v>
      </c>
      <c r="L20" s="3447"/>
      <c r="M20" s="3448"/>
      <c r="N20" s="613">
        <f t="shared" si="1"/>
        <v>27</v>
      </c>
      <c r="O20" s="488">
        <v>2</v>
      </c>
      <c r="P20" s="489">
        <v>2</v>
      </c>
      <c r="Q20" s="614">
        <v>2</v>
      </c>
      <c r="R20" s="488">
        <v>6</v>
      </c>
      <c r="S20" s="487">
        <v>4</v>
      </c>
      <c r="T20" s="3449"/>
      <c r="U20" s="3448"/>
      <c r="V20" s="491">
        <v>5</v>
      </c>
      <c r="W20" s="615">
        <v>4</v>
      </c>
      <c r="X20" s="617"/>
      <c r="Y20" s="490"/>
      <c r="Z20" s="617">
        <v>25</v>
      </c>
      <c r="AA20" s="618">
        <v>10</v>
      </c>
      <c r="AB20" s="618">
        <v>10</v>
      </c>
      <c r="AC20" s="619" t="s">
        <v>33</v>
      </c>
      <c r="AD20" s="487">
        <f t="shared" si="0"/>
        <v>60</v>
      </c>
    </row>
    <row r="21" spans="1:30" x14ac:dyDescent="0.25">
      <c r="A21" s="479">
        <v>12</v>
      </c>
      <c r="B21" s="607">
        <v>5191421012</v>
      </c>
      <c r="C21" s="488">
        <v>2</v>
      </c>
      <c r="D21" s="489"/>
      <c r="E21" s="642">
        <v>2</v>
      </c>
      <c r="F21" s="488">
        <v>2</v>
      </c>
      <c r="G21" s="487">
        <v>5</v>
      </c>
      <c r="H21" s="617"/>
      <c r="I21" s="490"/>
      <c r="J21" s="491">
        <v>5</v>
      </c>
      <c r="K21" s="487"/>
      <c r="L21" s="3447"/>
      <c r="M21" s="3448"/>
      <c r="N21" s="613">
        <f t="shared" si="1"/>
        <v>16</v>
      </c>
      <c r="O21" s="488"/>
      <c r="P21" s="489">
        <v>2</v>
      </c>
      <c r="Q21" s="614">
        <v>1</v>
      </c>
      <c r="R21" s="488">
        <v>2</v>
      </c>
      <c r="S21" s="487"/>
      <c r="T21" s="3449">
        <v>1</v>
      </c>
      <c r="U21" s="3448"/>
      <c r="V21" s="491"/>
      <c r="W21" s="615"/>
      <c r="X21" s="617"/>
      <c r="Y21" s="490"/>
      <c r="Z21" s="617">
        <v>7</v>
      </c>
      <c r="AA21" s="618">
        <v>9.25</v>
      </c>
      <c r="AB21" s="618">
        <v>9.25</v>
      </c>
      <c r="AC21" s="619" t="s">
        <v>29</v>
      </c>
      <c r="AD21" s="487">
        <f t="shared" si="0"/>
        <v>39</v>
      </c>
    </row>
    <row r="22" spans="1:30" x14ac:dyDescent="0.25">
      <c r="A22" s="479">
        <v>13</v>
      </c>
      <c r="B22" s="607">
        <v>5191421013</v>
      </c>
      <c r="C22" s="488">
        <v>2</v>
      </c>
      <c r="D22" s="489">
        <v>2</v>
      </c>
      <c r="E22" s="642">
        <v>1</v>
      </c>
      <c r="F22" s="488"/>
      <c r="G22" s="487"/>
      <c r="H22" s="617">
        <v>5</v>
      </c>
      <c r="I22" s="490">
        <v>4</v>
      </c>
      <c r="J22" s="491">
        <v>6</v>
      </c>
      <c r="K22" s="487">
        <v>6</v>
      </c>
      <c r="L22" s="3447"/>
      <c r="M22" s="3448"/>
      <c r="N22" s="613">
        <f t="shared" si="1"/>
        <v>26</v>
      </c>
      <c r="O22" s="488">
        <v>2</v>
      </c>
      <c r="P22" s="489">
        <v>2</v>
      </c>
      <c r="Q22" s="614">
        <v>2</v>
      </c>
      <c r="R22" s="488"/>
      <c r="S22" s="487"/>
      <c r="T22" s="3449">
        <v>12</v>
      </c>
      <c r="U22" s="3448"/>
      <c r="V22" s="491"/>
      <c r="W22" s="615"/>
      <c r="X22" s="617">
        <v>6</v>
      </c>
      <c r="Y22" s="490">
        <v>2</v>
      </c>
      <c r="Z22" s="617">
        <v>26</v>
      </c>
      <c r="AA22" s="618">
        <v>10</v>
      </c>
      <c r="AB22" s="618">
        <v>10</v>
      </c>
      <c r="AC22" s="619" t="s">
        <v>27</v>
      </c>
      <c r="AD22" s="487">
        <f t="shared" si="0"/>
        <v>80</v>
      </c>
    </row>
    <row r="23" spans="1:30" x14ac:dyDescent="0.25">
      <c r="A23" s="479">
        <v>14</v>
      </c>
      <c r="B23" s="607">
        <v>5191421014</v>
      </c>
      <c r="C23" s="488">
        <v>2</v>
      </c>
      <c r="D23" s="489"/>
      <c r="E23" s="642">
        <v>1</v>
      </c>
      <c r="F23" s="488">
        <v>4</v>
      </c>
      <c r="G23" s="487">
        <v>5</v>
      </c>
      <c r="H23" s="617"/>
      <c r="I23" s="490"/>
      <c r="J23" s="491">
        <v>6</v>
      </c>
      <c r="K23" s="487">
        <v>4</v>
      </c>
      <c r="L23" s="3447"/>
      <c r="M23" s="3448"/>
      <c r="N23" s="613">
        <f t="shared" si="1"/>
        <v>22</v>
      </c>
      <c r="O23" s="488">
        <v>2</v>
      </c>
      <c r="P23" s="489">
        <v>1</v>
      </c>
      <c r="Q23" s="614">
        <v>2</v>
      </c>
      <c r="R23" s="488"/>
      <c r="S23" s="487"/>
      <c r="T23" s="3449">
        <v>3</v>
      </c>
      <c r="U23" s="3448"/>
      <c r="V23" s="491"/>
      <c r="W23" s="615"/>
      <c r="X23" s="617">
        <v>3</v>
      </c>
      <c r="Y23" s="490"/>
      <c r="Z23" s="617">
        <v>11</v>
      </c>
      <c r="AA23" s="618">
        <v>9.75</v>
      </c>
      <c r="AB23" s="618">
        <v>9.75</v>
      </c>
      <c r="AC23" s="619" t="s">
        <v>31</v>
      </c>
      <c r="AD23" s="487">
        <f t="shared" si="0"/>
        <v>55</v>
      </c>
    </row>
    <row r="24" spans="1:30" x14ac:dyDescent="0.25">
      <c r="A24" s="479">
        <v>15</v>
      </c>
      <c r="B24" s="607">
        <v>5191421015</v>
      </c>
      <c r="C24" s="488">
        <v>2</v>
      </c>
      <c r="D24" s="489"/>
      <c r="E24" s="642">
        <v>2</v>
      </c>
      <c r="F24" s="488">
        <v>2</v>
      </c>
      <c r="G24" s="487">
        <v>5</v>
      </c>
      <c r="H24" s="617"/>
      <c r="I24" s="490"/>
      <c r="J24" s="491">
        <v>5</v>
      </c>
      <c r="K24" s="487"/>
      <c r="L24" s="3447"/>
      <c r="M24" s="3448"/>
      <c r="N24" s="613">
        <f t="shared" si="1"/>
        <v>16</v>
      </c>
      <c r="O24" s="488"/>
      <c r="P24" s="489">
        <v>2</v>
      </c>
      <c r="Q24" s="614">
        <v>2</v>
      </c>
      <c r="R24" s="488"/>
      <c r="S24" s="487"/>
      <c r="T24" s="3449">
        <v>6</v>
      </c>
      <c r="U24" s="3448"/>
      <c r="V24" s="491"/>
      <c r="W24" s="615">
        <v>2</v>
      </c>
      <c r="X24" s="617">
        <v>5</v>
      </c>
      <c r="Y24" s="490">
        <v>2</v>
      </c>
      <c r="Z24" s="617">
        <v>17</v>
      </c>
      <c r="AA24" s="618">
        <v>9.5</v>
      </c>
      <c r="AB24" s="618">
        <v>9.5</v>
      </c>
      <c r="AC24" s="619" t="s">
        <v>32</v>
      </c>
      <c r="AD24" s="487">
        <f t="shared" si="0"/>
        <v>70</v>
      </c>
    </row>
    <row r="25" spans="1:30" x14ac:dyDescent="0.25">
      <c r="A25" s="479">
        <v>16</v>
      </c>
      <c r="B25" s="607">
        <v>5191421016</v>
      </c>
      <c r="C25" s="488">
        <v>2</v>
      </c>
      <c r="D25" s="489">
        <v>2</v>
      </c>
      <c r="E25" s="642">
        <v>2</v>
      </c>
      <c r="F25" s="488"/>
      <c r="G25" s="631">
        <v>5</v>
      </c>
      <c r="H25" s="617">
        <v>6</v>
      </c>
      <c r="I25" s="490"/>
      <c r="J25" s="491"/>
      <c r="K25" s="487">
        <v>3</v>
      </c>
      <c r="L25" s="3447"/>
      <c r="M25" s="3448"/>
      <c r="N25" s="613">
        <v>15</v>
      </c>
      <c r="O25" s="488"/>
      <c r="P25" s="489">
        <v>1</v>
      </c>
      <c r="Q25" s="614">
        <v>1</v>
      </c>
      <c r="R25" s="488">
        <v>1</v>
      </c>
      <c r="S25" s="487"/>
      <c r="T25" s="3449"/>
      <c r="U25" s="3448"/>
      <c r="V25" s="491"/>
      <c r="W25" s="615">
        <v>2</v>
      </c>
      <c r="X25" s="617"/>
      <c r="Y25" s="490">
        <v>3</v>
      </c>
      <c r="Z25" s="617">
        <v>8</v>
      </c>
      <c r="AA25" s="618">
        <v>9.25</v>
      </c>
      <c r="AB25" s="618">
        <v>9.25</v>
      </c>
      <c r="AC25" s="619" t="s">
        <v>28</v>
      </c>
      <c r="AD25" s="487">
        <f t="shared" si="0"/>
        <v>50</v>
      </c>
    </row>
    <row r="26" spans="1:30" x14ac:dyDescent="0.25">
      <c r="A26" s="479">
        <v>17</v>
      </c>
      <c r="B26" s="607">
        <v>5191421017</v>
      </c>
      <c r="C26" s="488">
        <v>2</v>
      </c>
      <c r="D26" s="489">
        <v>0</v>
      </c>
      <c r="E26" s="642">
        <v>2</v>
      </c>
      <c r="F26" s="488">
        <v>2</v>
      </c>
      <c r="G26" s="487">
        <v>4</v>
      </c>
      <c r="H26" s="617"/>
      <c r="I26" s="490"/>
      <c r="J26" s="491"/>
      <c r="K26" s="487"/>
      <c r="L26" s="3447">
        <v>10</v>
      </c>
      <c r="M26" s="3448"/>
      <c r="N26" s="613">
        <f t="shared" si="1"/>
        <v>20</v>
      </c>
      <c r="O26" s="488">
        <v>2</v>
      </c>
      <c r="P26" s="489">
        <v>2</v>
      </c>
      <c r="Q26" s="614">
        <v>2</v>
      </c>
      <c r="R26" s="488"/>
      <c r="S26" s="487"/>
      <c r="T26" s="3449">
        <v>6</v>
      </c>
      <c r="U26" s="3448"/>
      <c r="V26" s="491"/>
      <c r="W26" s="615"/>
      <c r="X26" s="617">
        <v>3</v>
      </c>
      <c r="Y26" s="490"/>
      <c r="Z26" s="617">
        <v>15</v>
      </c>
      <c r="AA26" s="618">
        <v>9.75</v>
      </c>
      <c r="AB26" s="618">
        <v>9.75</v>
      </c>
      <c r="AC26" s="619" t="s">
        <v>30</v>
      </c>
      <c r="AD26" s="487">
        <f t="shared" si="0"/>
        <v>90</v>
      </c>
    </row>
    <row r="27" spans="1:30" x14ac:dyDescent="0.25">
      <c r="A27" s="479">
        <v>18</v>
      </c>
      <c r="B27" s="607">
        <v>5191421018</v>
      </c>
      <c r="C27" s="608">
        <v>1</v>
      </c>
      <c r="D27" s="489"/>
      <c r="E27" s="642"/>
      <c r="F27" s="488"/>
      <c r="G27" s="487">
        <v>4</v>
      </c>
      <c r="H27" s="617">
        <v>5</v>
      </c>
      <c r="I27" s="490">
        <v>2</v>
      </c>
      <c r="J27" s="491"/>
      <c r="K27" s="487"/>
      <c r="L27" s="3447"/>
      <c r="M27" s="3448"/>
      <c r="N27" s="613">
        <v>8</v>
      </c>
      <c r="O27" s="488">
        <v>1</v>
      </c>
      <c r="P27" s="489"/>
      <c r="Q27" s="614"/>
      <c r="R27" s="488"/>
      <c r="S27" s="487">
        <v>0</v>
      </c>
      <c r="T27" s="3449"/>
      <c r="U27" s="3448"/>
      <c r="V27" s="491"/>
      <c r="W27" s="615">
        <v>0</v>
      </c>
      <c r="X27" s="617"/>
      <c r="Y27" s="490"/>
      <c r="Z27" s="617">
        <v>1</v>
      </c>
      <c r="AA27" s="618">
        <v>9.25</v>
      </c>
      <c r="AB27" s="618">
        <v>9.25</v>
      </c>
      <c r="AC27" s="619" t="s">
        <v>28</v>
      </c>
      <c r="AD27" s="487">
        <f t="shared" si="0"/>
        <v>50</v>
      </c>
    </row>
    <row r="28" spans="1:30" x14ac:dyDescent="0.25">
      <c r="A28" s="479">
        <v>19</v>
      </c>
      <c r="B28" s="607">
        <v>5191421019</v>
      </c>
      <c r="C28" s="488">
        <v>2</v>
      </c>
      <c r="D28" s="487">
        <v>2</v>
      </c>
      <c r="E28" s="490">
        <v>2</v>
      </c>
      <c r="F28" s="491"/>
      <c r="G28" s="487"/>
      <c r="H28" s="617">
        <v>6</v>
      </c>
      <c r="I28" s="490">
        <v>6</v>
      </c>
      <c r="J28" s="491"/>
      <c r="K28" s="487"/>
      <c r="L28" s="3447">
        <v>12</v>
      </c>
      <c r="M28" s="3448"/>
      <c r="N28" s="613">
        <f t="shared" si="1"/>
        <v>30</v>
      </c>
      <c r="O28" s="488">
        <v>2</v>
      </c>
      <c r="P28" s="487">
        <v>2</v>
      </c>
      <c r="Q28" s="643">
        <v>2</v>
      </c>
      <c r="R28" s="491">
        <v>6</v>
      </c>
      <c r="S28" s="487">
        <v>5</v>
      </c>
      <c r="T28" s="3449"/>
      <c r="U28" s="3448"/>
      <c r="V28" s="491">
        <v>6</v>
      </c>
      <c r="W28" s="615">
        <v>6</v>
      </c>
      <c r="X28" s="617"/>
      <c r="Y28" s="490"/>
      <c r="Z28" s="617">
        <v>29</v>
      </c>
      <c r="AA28" s="618">
        <v>10</v>
      </c>
      <c r="AB28" s="618">
        <v>10</v>
      </c>
      <c r="AC28" s="619" t="s">
        <v>30</v>
      </c>
      <c r="AD28" s="487">
        <f t="shared" si="0"/>
        <v>90</v>
      </c>
    </row>
    <row r="29" spans="1:30" x14ac:dyDescent="0.25">
      <c r="A29" s="479">
        <v>20</v>
      </c>
      <c r="B29" s="607">
        <v>5191421020</v>
      </c>
      <c r="C29" s="491">
        <v>2</v>
      </c>
      <c r="D29" s="487">
        <v>2</v>
      </c>
      <c r="E29" s="490">
        <v>1</v>
      </c>
      <c r="F29" s="491">
        <v>6</v>
      </c>
      <c r="G29" s="487">
        <v>6</v>
      </c>
      <c r="H29" s="617"/>
      <c r="I29" s="490"/>
      <c r="J29" s="491"/>
      <c r="K29" s="487"/>
      <c r="L29" s="3447">
        <v>11</v>
      </c>
      <c r="M29" s="3448"/>
      <c r="N29" s="613">
        <f t="shared" si="1"/>
        <v>28</v>
      </c>
      <c r="O29" s="491">
        <v>2</v>
      </c>
      <c r="P29" s="487">
        <v>2</v>
      </c>
      <c r="Q29" s="643">
        <v>2</v>
      </c>
      <c r="R29" s="491">
        <v>6</v>
      </c>
      <c r="S29" s="487">
        <v>2</v>
      </c>
      <c r="T29" s="3449">
        <v>4</v>
      </c>
      <c r="U29" s="3448"/>
      <c r="V29" s="491"/>
      <c r="W29" s="615"/>
      <c r="X29" s="617">
        <v>5</v>
      </c>
      <c r="Y29" s="490"/>
      <c r="Z29" s="617">
        <v>19</v>
      </c>
      <c r="AA29" s="618">
        <v>10</v>
      </c>
      <c r="AB29" s="618">
        <v>10</v>
      </c>
      <c r="AC29" s="619" t="s">
        <v>32</v>
      </c>
      <c r="AD29" s="487">
        <f t="shared" si="0"/>
        <v>70</v>
      </c>
    </row>
    <row r="30" spans="1:30" x14ac:dyDescent="0.25">
      <c r="A30" s="479">
        <v>21</v>
      </c>
      <c r="B30" s="607">
        <v>5191421021</v>
      </c>
      <c r="C30" s="488">
        <v>2</v>
      </c>
      <c r="D30" s="487">
        <v>1</v>
      </c>
      <c r="E30" s="490">
        <v>1</v>
      </c>
      <c r="F30" s="491"/>
      <c r="G30" s="487"/>
      <c r="H30" s="617">
        <v>6</v>
      </c>
      <c r="I30" s="490">
        <v>3</v>
      </c>
      <c r="J30" s="491">
        <v>5</v>
      </c>
      <c r="K30" s="487">
        <v>3</v>
      </c>
      <c r="L30" s="3447"/>
      <c r="M30" s="3448"/>
      <c r="N30" s="613">
        <f t="shared" si="1"/>
        <v>21</v>
      </c>
      <c r="O30" s="488">
        <v>2</v>
      </c>
      <c r="P30" s="487">
        <v>2</v>
      </c>
      <c r="Q30" s="643">
        <v>2</v>
      </c>
      <c r="R30" s="491">
        <v>6</v>
      </c>
      <c r="S30" s="487">
        <v>3</v>
      </c>
      <c r="T30" s="3449"/>
      <c r="U30" s="3448"/>
      <c r="V30" s="491"/>
      <c r="W30" s="615"/>
      <c r="X30" s="617">
        <v>5</v>
      </c>
      <c r="Y30" s="490"/>
      <c r="Z30" s="617">
        <v>20</v>
      </c>
      <c r="AA30" s="618">
        <v>10</v>
      </c>
      <c r="AB30" s="618">
        <v>10</v>
      </c>
      <c r="AC30" s="629" t="s">
        <v>32</v>
      </c>
      <c r="AD30" s="487">
        <f t="shared" si="0"/>
        <v>70</v>
      </c>
    </row>
    <row r="31" spans="1:30" x14ac:dyDescent="0.25">
      <c r="A31" s="479">
        <v>22</v>
      </c>
      <c r="B31" s="630">
        <v>5191421022</v>
      </c>
      <c r="C31" s="644"/>
      <c r="D31" s="644"/>
      <c r="E31" s="644"/>
      <c r="F31" s="644"/>
      <c r="G31" s="644"/>
      <c r="H31" s="644"/>
      <c r="I31" s="644"/>
      <c r="J31" s="644"/>
      <c r="K31" s="644"/>
      <c r="L31" s="3442"/>
      <c r="M31" s="3442"/>
      <c r="N31" s="645">
        <f t="shared" si="1"/>
        <v>0</v>
      </c>
      <c r="O31" s="488">
        <v>1</v>
      </c>
      <c r="P31" s="487"/>
      <c r="Q31" s="643">
        <v>2</v>
      </c>
      <c r="R31" s="491">
        <v>4</v>
      </c>
      <c r="S31" s="487"/>
      <c r="T31" s="3449"/>
      <c r="U31" s="3448"/>
      <c r="V31" s="491"/>
      <c r="W31" s="615"/>
      <c r="X31" s="617">
        <v>2</v>
      </c>
      <c r="Y31" s="490"/>
      <c r="Z31" s="617">
        <v>9</v>
      </c>
      <c r="AA31" s="618">
        <v>9</v>
      </c>
      <c r="AB31" s="618">
        <v>9</v>
      </c>
      <c r="AC31" s="619" t="s">
        <v>31</v>
      </c>
      <c r="AD31" s="487">
        <f t="shared" si="0"/>
        <v>55</v>
      </c>
    </row>
    <row r="32" spans="1:30" x14ac:dyDescent="0.25">
      <c r="A32" s="479">
        <v>23</v>
      </c>
      <c r="B32" s="607">
        <v>5191421023</v>
      </c>
      <c r="C32" s="488">
        <v>2</v>
      </c>
      <c r="D32" s="487">
        <v>2</v>
      </c>
      <c r="E32" s="490"/>
      <c r="F32" s="491"/>
      <c r="G32" s="487">
        <v>4</v>
      </c>
      <c r="H32" s="617"/>
      <c r="I32" s="490"/>
      <c r="J32" s="491">
        <v>6</v>
      </c>
      <c r="K32" s="487">
        <v>1</v>
      </c>
      <c r="L32" s="3447"/>
      <c r="M32" s="3448"/>
      <c r="N32" s="613">
        <f>SUM(C32:M32)</f>
        <v>15</v>
      </c>
      <c r="O32" s="488">
        <v>0</v>
      </c>
      <c r="P32" s="487"/>
      <c r="Q32" s="643">
        <v>2</v>
      </c>
      <c r="R32" s="491"/>
      <c r="S32" s="487">
        <v>0</v>
      </c>
      <c r="T32" s="3449"/>
      <c r="U32" s="3448"/>
      <c r="V32" s="491"/>
      <c r="W32" s="615"/>
      <c r="X32" s="617"/>
      <c r="Y32" s="490"/>
      <c r="Z32" s="617">
        <v>2</v>
      </c>
      <c r="AA32" s="618">
        <v>9.25</v>
      </c>
      <c r="AB32" s="618">
        <v>9.25</v>
      </c>
      <c r="AC32" s="619" t="s">
        <v>29</v>
      </c>
      <c r="AD32" s="487">
        <f t="shared" si="0"/>
        <v>39</v>
      </c>
    </row>
    <row r="33" spans="1:30" x14ac:dyDescent="0.25">
      <c r="A33" s="479">
        <v>24</v>
      </c>
      <c r="B33" s="607">
        <v>5191421024</v>
      </c>
      <c r="C33" s="488">
        <v>1</v>
      </c>
      <c r="D33" s="487"/>
      <c r="E33" s="490"/>
      <c r="F33" s="491"/>
      <c r="G33" s="487"/>
      <c r="H33" s="617">
        <v>5</v>
      </c>
      <c r="I33" s="490">
        <v>5</v>
      </c>
      <c r="J33" s="491">
        <v>5</v>
      </c>
      <c r="K33" s="487">
        <v>4</v>
      </c>
      <c r="L33" s="3447"/>
      <c r="M33" s="3448"/>
      <c r="N33" s="613">
        <f t="shared" si="1"/>
        <v>20</v>
      </c>
      <c r="O33" s="488"/>
      <c r="P33" s="487"/>
      <c r="Q33" s="643">
        <v>2</v>
      </c>
      <c r="R33" s="491"/>
      <c r="S33" s="487"/>
      <c r="T33" s="3449"/>
      <c r="U33" s="3448"/>
      <c r="V33" s="491">
        <v>2</v>
      </c>
      <c r="W33" s="615"/>
      <c r="X33" s="617"/>
      <c r="Y33" s="490"/>
      <c r="Z33" s="617">
        <v>4</v>
      </c>
      <c r="AA33" s="618">
        <v>9.25</v>
      </c>
      <c r="AB33" s="618">
        <v>9.25</v>
      </c>
      <c r="AC33" s="619" t="s">
        <v>29</v>
      </c>
      <c r="AD33" s="487">
        <f t="shared" si="0"/>
        <v>39</v>
      </c>
    </row>
    <row r="34" spans="1:30" x14ac:dyDescent="0.25">
      <c r="A34" s="479">
        <v>25</v>
      </c>
      <c r="B34" s="607">
        <v>5191421025</v>
      </c>
      <c r="C34" s="488">
        <v>2</v>
      </c>
      <c r="D34" s="487">
        <v>2</v>
      </c>
      <c r="E34" s="490">
        <v>2</v>
      </c>
      <c r="F34" s="491">
        <v>6</v>
      </c>
      <c r="G34" s="487">
        <v>5</v>
      </c>
      <c r="H34" s="617"/>
      <c r="I34" s="490"/>
      <c r="J34" s="491">
        <v>5</v>
      </c>
      <c r="K34" s="487">
        <v>5</v>
      </c>
      <c r="L34" s="3447"/>
      <c r="M34" s="3448"/>
      <c r="N34" s="613">
        <f t="shared" si="1"/>
        <v>27</v>
      </c>
      <c r="O34" s="488">
        <v>2</v>
      </c>
      <c r="P34" s="487">
        <v>2</v>
      </c>
      <c r="Q34" s="643">
        <v>2</v>
      </c>
      <c r="R34" s="491">
        <v>5</v>
      </c>
      <c r="S34" s="487">
        <v>6</v>
      </c>
      <c r="T34" s="3449"/>
      <c r="U34" s="3448"/>
      <c r="V34" s="491">
        <v>4</v>
      </c>
      <c r="W34" s="615">
        <v>6</v>
      </c>
      <c r="X34" s="617"/>
      <c r="Y34" s="490"/>
      <c r="Z34" s="617">
        <v>27</v>
      </c>
      <c r="AA34" s="618">
        <v>10</v>
      </c>
      <c r="AB34" s="618">
        <v>10</v>
      </c>
      <c r="AC34" s="619" t="s">
        <v>30</v>
      </c>
      <c r="AD34" s="487">
        <f t="shared" si="0"/>
        <v>90</v>
      </c>
    </row>
    <row r="35" spans="1:30" x14ac:dyDescent="0.25">
      <c r="A35" s="479">
        <v>26</v>
      </c>
      <c r="B35" s="607">
        <v>5191421026</v>
      </c>
      <c r="C35" s="488">
        <v>2</v>
      </c>
      <c r="D35" s="487">
        <v>2</v>
      </c>
      <c r="E35" s="490">
        <v>2</v>
      </c>
      <c r="F35" s="491"/>
      <c r="G35" s="487"/>
      <c r="H35" s="617">
        <v>6</v>
      </c>
      <c r="I35" s="490">
        <v>3</v>
      </c>
      <c r="J35" s="491">
        <v>5</v>
      </c>
      <c r="K35" s="487"/>
      <c r="L35" s="3447"/>
      <c r="M35" s="3448"/>
      <c r="N35" s="613">
        <f t="shared" si="1"/>
        <v>20</v>
      </c>
      <c r="O35" s="488">
        <v>1</v>
      </c>
      <c r="P35" s="487">
        <v>1</v>
      </c>
      <c r="Q35" s="643">
        <v>1</v>
      </c>
      <c r="R35" s="491">
        <v>3</v>
      </c>
      <c r="S35" s="487"/>
      <c r="T35" s="3449">
        <v>6</v>
      </c>
      <c r="U35" s="3448"/>
      <c r="V35" s="491"/>
      <c r="W35" s="615"/>
      <c r="X35" s="617"/>
      <c r="Y35" s="490"/>
      <c r="Z35" s="617">
        <v>9</v>
      </c>
      <c r="AA35" s="618">
        <v>9.75</v>
      </c>
      <c r="AB35" s="618">
        <v>9.75</v>
      </c>
      <c r="AC35" s="619" t="s">
        <v>29</v>
      </c>
      <c r="AD35" s="487">
        <f t="shared" si="0"/>
        <v>39</v>
      </c>
    </row>
    <row r="36" spans="1:30" x14ac:dyDescent="0.25">
      <c r="A36" s="479">
        <v>27</v>
      </c>
      <c r="B36" s="607">
        <v>5191421027</v>
      </c>
      <c r="C36" s="488">
        <v>2</v>
      </c>
      <c r="D36" s="487">
        <v>2</v>
      </c>
      <c r="E36" s="490">
        <v>2</v>
      </c>
      <c r="F36" s="491">
        <v>6</v>
      </c>
      <c r="G36" s="487">
        <v>5</v>
      </c>
      <c r="H36" s="617"/>
      <c r="I36" s="490"/>
      <c r="J36" s="491"/>
      <c r="K36" s="487"/>
      <c r="L36" s="3447">
        <v>10</v>
      </c>
      <c r="M36" s="3448"/>
      <c r="N36" s="613">
        <f t="shared" si="1"/>
        <v>27</v>
      </c>
      <c r="O36" s="488">
        <v>2</v>
      </c>
      <c r="P36" s="487">
        <v>2</v>
      </c>
      <c r="Q36" s="643">
        <v>2</v>
      </c>
      <c r="R36" s="491">
        <v>6</v>
      </c>
      <c r="S36" s="487">
        <v>6</v>
      </c>
      <c r="T36" s="3449"/>
      <c r="U36" s="3448"/>
      <c r="V36" s="491">
        <v>6</v>
      </c>
      <c r="W36" s="615">
        <v>6</v>
      </c>
      <c r="X36" s="617"/>
      <c r="Y36" s="490"/>
      <c r="Z36" s="617">
        <v>30</v>
      </c>
      <c r="AA36" s="618">
        <v>9.5</v>
      </c>
      <c r="AB36" s="618">
        <v>9.5</v>
      </c>
      <c r="AC36" s="619" t="s">
        <v>30</v>
      </c>
      <c r="AD36" s="487">
        <f t="shared" si="0"/>
        <v>90</v>
      </c>
    </row>
    <row r="37" spans="1:30" x14ac:dyDescent="0.25">
      <c r="A37" s="479">
        <v>28</v>
      </c>
      <c r="B37" s="607">
        <v>5191421028</v>
      </c>
      <c r="C37" s="488">
        <v>2</v>
      </c>
      <c r="D37" s="487">
        <v>2</v>
      </c>
      <c r="E37" s="490">
        <v>2</v>
      </c>
      <c r="F37" s="491">
        <v>6</v>
      </c>
      <c r="G37" s="487">
        <v>5</v>
      </c>
      <c r="H37" s="617"/>
      <c r="I37" s="490"/>
      <c r="J37" s="491">
        <v>6</v>
      </c>
      <c r="K37" s="487">
        <v>6</v>
      </c>
      <c r="L37" s="3447"/>
      <c r="M37" s="3448"/>
      <c r="N37" s="613">
        <f t="shared" si="1"/>
        <v>29</v>
      </c>
      <c r="O37" s="488">
        <v>1</v>
      </c>
      <c r="P37" s="487">
        <v>1</v>
      </c>
      <c r="Q37" s="643">
        <v>2</v>
      </c>
      <c r="R37" s="491">
        <v>4</v>
      </c>
      <c r="S37" s="487">
        <v>2</v>
      </c>
      <c r="T37" s="3449"/>
      <c r="U37" s="3448"/>
      <c r="V37" s="491"/>
      <c r="W37" s="615"/>
      <c r="X37" s="617">
        <v>6</v>
      </c>
      <c r="Y37" s="490">
        <v>0</v>
      </c>
      <c r="Z37" s="617">
        <v>16</v>
      </c>
      <c r="AA37" s="618">
        <v>10</v>
      </c>
      <c r="AB37" s="618">
        <v>10</v>
      </c>
      <c r="AC37" s="646" t="s">
        <v>27</v>
      </c>
      <c r="AD37" s="487">
        <f t="shared" si="0"/>
        <v>80</v>
      </c>
    </row>
    <row r="38" spans="1:30" x14ac:dyDescent="0.25">
      <c r="A38" s="479">
        <v>29</v>
      </c>
      <c r="B38" s="607">
        <v>5191421029</v>
      </c>
      <c r="C38" s="488">
        <v>2</v>
      </c>
      <c r="D38" s="487">
        <v>2</v>
      </c>
      <c r="E38" s="490"/>
      <c r="F38" s="491"/>
      <c r="G38" s="487"/>
      <c r="H38" s="617">
        <v>6</v>
      </c>
      <c r="I38" s="490">
        <v>6</v>
      </c>
      <c r="J38" s="491">
        <v>5</v>
      </c>
      <c r="K38" s="487"/>
      <c r="L38" s="3447"/>
      <c r="M38" s="3448"/>
      <c r="N38" s="613">
        <f t="shared" si="1"/>
        <v>21</v>
      </c>
      <c r="O38" s="488">
        <v>2</v>
      </c>
      <c r="P38" s="487">
        <v>2</v>
      </c>
      <c r="Q38" s="643">
        <v>1</v>
      </c>
      <c r="R38" s="491">
        <v>6</v>
      </c>
      <c r="S38" s="487">
        <v>2</v>
      </c>
      <c r="T38" s="3449">
        <v>5</v>
      </c>
      <c r="U38" s="3448"/>
      <c r="V38" s="491"/>
      <c r="W38" s="615"/>
      <c r="X38" s="617">
        <v>5</v>
      </c>
      <c r="Y38" s="490"/>
      <c r="Z38" s="617">
        <v>18</v>
      </c>
      <c r="AA38" s="618">
        <v>9.75</v>
      </c>
      <c r="AB38" s="618">
        <v>9.75</v>
      </c>
      <c r="AC38" s="619" t="s">
        <v>27</v>
      </c>
      <c r="AD38" s="487">
        <f t="shared" si="0"/>
        <v>80</v>
      </c>
    </row>
    <row r="39" spans="1:30" x14ac:dyDescent="0.25">
      <c r="A39" s="479">
        <v>30</v>
      </c>
      <c r="B39" s="607">
        <v>5191421030</v>
      </c>
      <c r="C39" s="608">
        <v>2</v>
      </c>
      <c r="D39" s="487"/>
      <c r="E39" s="490">
        <v>1</v>
      </c>
      <c r="F39" s="491">
        <v>3</v>
      </c>
      <c r="G39" s="487">
        <v>5</v>
      </c>
      <c r="H39" s="617"/>
      <c r="I39" s="490"/>
      <c r="J39" s="491">
        <v>2</v>
      </c>
      <c r="K39" s="487"/>
      <c r="L39" s="3447"/>
      <c r="M39" s="3448"/>
      <c r="N39" s="613">
        <f t="shared" si="1"/>
        <v>13</v>
      </c>
      <c r="O39" s="488"/>
      <c r="P39" s="487"/>
      <c r="Q39" s="643">
        <v>2</v>
      </c>
      <c r="R39" s="491"/>
      <c r="S39" s="487"/>
      <c r="T39" s="3449">
        <v>3</v>
      </c>
      <c r="U39" s="3448"/>
      <c r="V39" s="491"/>
      <c r="W39" s="615"/>
      <c r="X39" s="617">
        <v>0</v>
      </c>
      <c r="Y39" s="490">
        <v>2</v>
      </c>
      <c r="Z39" s="617">
        <v>7</v>
      </c>
      <c r="AA39" s="618">
        <v>4.75</v>
      </c>
      <c r="AB39" s="618">
        <v>4.75</v>
      </c>
      <c r="AC39" s="619" t="s">
        <v>29</v>
      </c>
      <c r="AD39" s="487">
        <f t="shared" si="0"/>
        <v>39</v>
      </c>
    </row>
    <row r="40" spans="1:30" x14ac:dyDescent="0.25">
      <c r="A40" s="479">
        <v>31</v>
      </c>
      <c r="B40" s="607">
        <v>5191421031</v>
      </c>
      <c r="C40" s="491">
        <v>2</v>
      </c>
      <c r="D40" s="487">
        <v>1</v>
      </c>
      <c r="E40" s="490"/>
      <c r="F40" s="491">
        <v>6</v>
      </c>
      <c r="G40" s="487">
        <v>5</v>
      </c>
      <c r="H40" s="617"/>
      <c r="I40" s="490"/>
      <c r="J40" s="491">
        <v>4</v>
      </c>
      <c r="K40" s="487"/>
      <c r="L40" s="3447"/>
      <c r="M40" s="3448"/>
      <c r="N40" s="613">
        <f>SUM(C40:M40)</f>
        <v>18</v>
      </c>
      <c r="O40" s="488">
        <v>2</v>
      </c>
      <c r="P40" s="487">
        <v>1</v>
      </c>
      <c r="Q40" s="643">
        <v>2</v>
      </c>
      <c r="R40" s="491">
        <v>5</v>
      </c>
      <c r="S40" s="487"/>
      <c r="T40" s="3449"/>
      <c r="U40" s="3448"/>
      <c r="V40" s="491">
        <v>4</v>
      </c>
      <c r="W40" s="615">
        <v>2</v>
      </c>
      <c r="X40" s="617"/>
      <c r="Y40" s="490"/>
      <c r="Z40" s="617">
        <v>16</v>
      </c>
      <c r="AA40" s="618">
        <v>9.75</v>
      </c>
      <c r="AB40" s="618">
        <v>9.75</v>
      </c>
      <c r="AC40" s="619" t="s">
        <v>32</v>
      </c>
      <c r="AD40" s="487">
        <f t="shared" si="0"/>
        <v>70</v>
      </c>
    </row>
    <row r="41" spans="1:30" x14ac:dyDescent="0.25">
      <c r="A41" s="479">
        <v>32</v>
      </c>
      <c r="B41" s="630">
        <v>5191421032</v>
      </c>
      <c r="C41" s="485">
        <v>2</v>
      </c>
      <c r="D41" s="485"/>
      <c r="E41" s="485">
        <v>1</v>
      </c>
      <c r="F41" s="644">
        <v>5</v>
      </c>
      <c r="G41" s="644">
        <v>5</v>
      </c>
      <c r="H41" s="644"/>
      <c r="I41" s="644"/>
      <c r="J41" s="644"/>
      <c r="K41" s="644"/>
      <c r="L41" s="3442">
        <v>4</v>
      </c>
      <c r="M41" s="3442"/>
      <c r="N41" s="645">
        <f t="shared" si="1"/>
        <v>17</v>
      </c>
      <c r="O41" s="491">
        <v>0</v>
      </c>
      <c r="P41" s="487">
        <v>0</v>
      </c>
      <c r="Q41" s="643">
        <v>0</v>
      </c>
      <c r="R41" s="491">
        <v>2</v>
      </c>
      <c r="S41" s="487">
        <v>0</v>
      </c>
      <c r="T41" s="3449"/>
      <c r="U41" s="3448"/>
      <c r="V41" s="491"/>
      <c r="W41" s="615"/>
      <c r="X41" s="617">
        <v>0</v>
      </c>
      <c r="Y41" s="490">
        <v>0</v>
      </c>
      <c r="Z41" s="617">
        <v>2</v>
      </c>
      <c r="AA41" s="618">
        <v>9.5</v>
      </c>
      <c r="AB41" s="618">
        <v>9.5</v>
      </c>
      <c r="AC41" s="619" t="s">
        <v>27</v>
      </c>
      <c r="AD41" s="487">
        <f t="shared" si="0"/>
        <v>80</v>
      </c>
    </row>
    <row r="42" spans="1:30" x14ac:dyDescent="0.25">
      <c r="A42" s="479">
        <v>33</v>
      </c>
      <c r="B42" s="607">
        <v>5191421033</v>
      </c>
      <c r="C42" s="488">
        <v>2</v>
      </c>
      <c r="D42" s="487">
        <v>2</v>
      </c>
      <c r="E42" s="490">
        <v>2</v>
      </c>
      <c r="F42" s="491">
        <v>6</v>
      </c>
      <c r="G42" s="487">
        <v>6</v>
      </c>
      <c r="H42" s="617"/>
      <c r="I42" s="490"/>
      <c r="J42" s="491"/>
      <c r="K42" s="487"/>
      <c r="L42" s="3447">
        <v>12</v>
      </c>
      <c r="M42" s="3448"/>
      <c r="N42" s="613">
        <f t="shared" si="1"/>
        <v>30</v>
      </c>
      <c r="O42" s="488">
        <v>2</v>
      </c>
      <c r="P42" s="487">
        <v>2</v>
      </c>
      <c r="Q42" s="643">
        <v>2</v>
      </c>
      <c r="R42" s="491"/>
      <c r="S42" s="487"/>
      <c r="T42" s="3449">
        <v>12</v>
      </c>
      <c r="U42" s="3448"/>
      <c r="V42" s="491">
        <v>5</v>
      </c>
      <c r="W42" s="615">
        <v>5</v>
      </c>
      <c r="X42" s="617"/>
      <c r="Y42" s="490">
        <v>3</v>
      </c>
      <c r="Z42" s="617">
        <v>28</v>
      </c>
      <c r="AA42" s="618">
        <v>10</v>
      </c>
      <c r="AB42" s="618">
        <v>10</v>
      </c>
      <c r="AC42" s="619" t="s">
        <v>27</v>
      </c>
      <c r="AD42" s="487">
        <f t="shared" si="0"/>
        <v>80</v>
      </c>
    </row>
    <row r="43" spans="1:30" x14ac:dyDescent="0.25">
      <c r="A43" s="479">
        <v>34</v>
      </c>
      <c r="B43" s="607">
        <v>5191421034</v>
      </c>
      <c r="C43" s="488">
        <v>2</v>
      </c>
      <c r="D43" s="487">
        <v>2</v>
      </c>
      <c r="E43" s="490">
        <v>1</v>
      </c>
      <c r="F43" s="491">
        <v>6</v>
      </c>
      <c r="G43" s="487">
        <v>5</v>
      </c>
      <c r="H43" s="617"/>
      <c r="I43" s="490"/>
      <c r="J43" s="491">
        <v>6</v>
      </c>
      <c r="K43" s="487">
        <v>6</v>
      </c>
      <c r="L43" s="3447"/>
      <c r="M43" s="3448"/>
      <c r="N43" s="613">
        <f t="shared" si="1"/>
        <v>28</v>
      </c>
      <c r="O43" s="491">
        <v>2</v>
      </c>
      <c r="P43" s="487">
        <v>1</v>
      </c>
      <c r="Q43" s="643">
        <v>1</v>
      </c>
      <c r="R43" s="491">
        <v>6</v>
      </c>
      <c r="S43" s="487">
        <v>4</v>
      </c>
      <c r="T43" s="3449"/>
      <c r="U43" s="3448"/>
      <c r="V43" s="491">
        <v>2</v>
      </c>
      <c r="W43" s="615">
        <v>6</v>
      </c>
      <c r="X43" s="617"/>
      <c r="Y43" s="490"/>
      <c r="Z43" s="617">
        <v>22</v>
      </c>
      <c r="AA43" s="618">
        <v>10</v>
      </c>
      <c r="AB43" s="618">
        <v>10</v>
      </c>
      <c r="AC43" s="619" t="s">
        <v>32</v>
      </c>
      <c r="AD43" s="487">
        <f t="shared" si="0"/>
        <v>70</v>
      </c>
    </row>
    <row r="44" spans="1:30" x14ac:dyDescent="0.25">
      <c r="A44" s="479">
        <v>35</v>
      </c>
      <c r="B44" s="607">
        <v>5191421035</v>
      </c>
      <c r="C44" s="488">
        <v>2</v>
      </c>
      <c r="D44" s="487"/>
      <c r="E44" s="490">
        <v>2</v>
      </c>
      <c r="F44" s="491" t="s">
        <v>84</v>
      </c>
      <c r="G44" s="487"/>
      <c r="H44" s="617">
        <v>5</v>
      </c>
      <c r="I44" s="490">
        <v>4</v>
      </c>
      <c r="J44" s="491"/>
      <c r="K44" s="487"/>
      <c r="L44" s="3447">
        <v>10</v>
      </c>
      <c r="M44" s="3448"/>
      <c r="N44" s="613">
        <f t="shared" si="1"/>
        <v>23</v>
      </c>
      <c r="O44" s="488"/>
      <c r="P44" s="487"/>
      <c r="Q44" s="643">
        <v>2</v>
      </c>
      <c r="R44" s="491"/>
      <c r="S44" s="487"/>
      <c r="T44" s="3449"/>
      <c r="U44" s="3448"/>
      <c r="V44" s="491"/>
      <c r="W44" s="615"/>
      <c r="X44" s="617">
        <v>1</v>
      </c>
      <c r="Y44" s="490">
        <v>0</v>
      </c>
      <c r="Z44" s="617">
        <v>3</v>
      </c>
      <c r="AA44" s="618">
        <v>9</v>
      </c>
      <c r="AB44" s="618">
        <v>9</v>
      </c>
      <c r="AC44" s="619" t="s">
        <v>31</v>
      </c>
      <c r="AD44" s="487">
        <f t="shared" si="0"/>
        <v>55</v>
      </c>
    </row>
    <row r="45" spans="1:30" x14ac:dyDescent="0.25">
      <c r="A45" s="479">
        <v>36</v>
      </c>
      <c r="B45" s="607">
        <v>5191421036</v>
      </c>
      <c r="C45" s="488">
        <v>2</v>
      </c>
      <c r="D45" s="487">
        <v>2</v>
      </c>
      <c r="E45" s="490">
        <v>2</v>
      </c>
      <c r="F45" s="491"/>
      <c r="G45" s="487"/>
      <c r="H45" s="617">
        <v>6</v>
      </c>
      <c r="I45" s="490">
        <v>6</v>
      </c>
      <c r="J45" s="491"/>
      <c r="K45" s="487"/>
      <c r="L45" s="3447">
        <v>12</v>
      </c>
      <c r="M45" s="3448"/>
      <c r="N45" s="613">
        <f t="shared" si="1"/>
        <v>30</v>
      </c>
      <c r="O45" s="488">
        <v>2</v>
      </c>
      <c r="P45" s="487">
        <v>2</v>
      </c>
      <c r="Q45" s="643">
        <v>2</v>
      </c>
      <c r="R45" s="491"/>
      <c r="S45" s="487"/>
      <c r="T45" s="3449">
        <v>10</v>
      </c>
      <c r="U45" s="3448"/>
      <c r="V45" s="491"/>
      <c r="W45" s="615"/>
      <c r="X45" s="617">
        <v>6</v>
      </c>
      <c r="Y45" s="490">
        <v>3</v>
      </c>
      <c r="Z45" s="617">
        <v>25</v>
      </c>
      <c r="AA45" s="618">
        <v>10</v>
      </c>
      <c r="AB45" s="618">
        <v>10</v>
      </c>
      <c r="AC45" s="619" t="s">
        <v>27</v>
      </c>
      <c r="AD45" s="487">
        <f t="shared" si="0"/>
        <v>80</v>
      </c>
    </row>
    <row r="46" spans="1:30" x14ac:dyDescent="0.25">
      <c r="A46" s="479">
        <v>37</v>
      </c>
      <c r="B46" s="607">
        <v>5191421037</v>
      </c>
      <c r="C46" s="488">
        <v>2</v>
      </c>
      <c r="D46" s="487">
        <v>2</v>
      </c>
      <c r="E46" s="490">
        <v>1</v>
      </c>
      <c r="F46" s="491">
        <v>3</v>
      </c>
      <c r="G46" s="487">
        <v>5</v>
      </c>
      <c r="H46" s="617"/>
      <c r="I46" s="490"/>
      <c r="J46" s="491"/>
      <c r="K46" s="487"/>
      <c r="L46" s="3447">
        <v>2</v>
      </c>
      <c r="M46" s="3448"/>
      <c r="N46" s="613">
        <f t="shared" si="1"/>
        <v>15</v>
      </c>
      <c r="O46" s="488"/>
      <c r="P46" s="487">
        <v>1</v>
      </c>
      <c r="Q46" s="643">
        <v>2</v>
      </c>
      <c r="R46" s="491">
        <v>3</v>
      </c>
      <c r="S46" s="487"/>
      <c r="T46" s="3449"/>
      <c r="U46" s="3448"/>
      <c r="V46" s="491"/>
      <c r="W46" s="615">
        <v>1</v>
      </c>
      <c r="X46" s="617"/>
      <c r="Y46" s="490"/>
      <c r="Z46" s="617">
        <v>7</v>
      </c>
      <c r="AA46" s="618">
        <v>9.5</v>
      </c>
      <c r="AB46" s="618">
        <v>9.5</v>
      </c>
      <c r="AC46" s="619" t="s">
        <v>29</v>
      </c>
      <c r="AD46" s="487">
        <f t="shared" si="0"/>
        <v>39</v>
      </c>
    </row>
    <row r="47" spans="1:30" x14ac:dyDescent="0.25">
      <c r="A47" s="479">
        <v>38</v>
      </c>
      <c r="B47" s="607">
        <v>5191421038</v>
      </c>
      <c r="C47" s="488">
        <v>1</v>
      </c>
      <c r="D47" s="487"/>
      <c r="E47" s="490">
        <v>1</v>
      </c>
      <c r="F47" s="491"/>
      <c r="G47" s="487">
        <v>5</v>
      </c>
      <c r="H47" s="617"/>
      <c r="I47" s="490"/>
      <c r="J47" s="491">
        <v>5</v>
      </c>
      <c r="K47" s="487"/>
      <c r="L47" s="3447"/>
      <c r="M47" s="3448"/>
      <c r="N47" s="613">
        <f t="shared" si="1"/>
        <v>12</v>
      </c>
      <c r="O47" s="488">
        <v>1</v>
      </c>
      <c r="P47" s="487"/>
      <c r="Q47" s="643">
        <v>2</v>
      </c>
      <c r="R47" s="491">
        <v>5</v>
      </c>
      <c r="S47" s="487"/>
      <c r="T47" s="3449"/>
      <c r="U47" s="3448"/>
      <c r="V47" s="491"/>
      <c r="W47" s="615"/>
      <c r="X47" s="617">
        <v>4</v>
      </c>
      <c r="Y47" s="490"/>
      <c r="Z47" s="617">
        <v>12</v>
      </c>
      <c r="AA47" s="618">
        <v>9.75</v>
      </c>
      <c r="AB47" s="618">
        <v>9.75</v>
      </c>
      <c r="AC47" s="619" t="s">
        <v>29</v>
      </c>
      <c r="AD47" s="487">
        <f t="shared" si="0"/>
        <v>39</v>
      </c>
    </row>
    <row r="48" spans="1:30" x14ac:dyDescent="0.25">
      <c r="A48" s="479">
        <v>39</v>
      </c>
      <c r="B48" s="607">
        <v>5191421039</v>
      </c>
      <c r="C48" s="488">
        <v>2</v>
      </c>
      <c r="D48" s="487">
        <v>2</v>
      </c>
      <c r="E48" s="490"/>
      <c r="F48" s="491">
        <v>6</v>
      </c>
      <c r="G48" s="487">
        <v>6</v>
      </c>
      <c r="H48" s="617"/>
      <c r="I48" s="490"/>
      <c r="J48" s="491">
        <v>2</v>
      </c>
      <c r="K48" s="487">
        <v>6</v>
      </c>
      <c r="L48" s="3447"/>
      <c r="M48" s="3448"/>
      <c r="N48" s="613">
        <f t="shared" si="1"/>
        <v>24</v>
      </c>
      <c r="O48" s="488">
        <v>2</v>
      </c>
      <c r="P48" s="487">
        <v>1</v>
      </c>
      <c r="Q48" s="643">
        <v>2</v>
      </c>
      <c r="R48" s="491">
        <v>6</v>
      </c>
      <c r="S48" s="487">
        <v>2</v>
      </c>
      <c r="T48" s="3449"/>
      <c r="U48" s="3448"/>
      <c r="V48" s="491"/>
      <c r="W48" s="615"/>
      <c r="X48" s="617">
        <v>2</v>
      </c>
      <c r="Y48" s="490">
        <v>1</v>
      </c>
      <c r="Z48" s="617">
        <v>16</v>
      </c>
      <c r="AA48" s="618">
        <v>10</v>
      </c>
      <c r="AB48" s="618">
        <v>10</v>
      </c>
      <c r="AC48" s="619" t="s">
        <v>32</v>
      </c>
      <c r="AD48" s="487">
        <f t="shared" si="0"/>
        <v>70</v>
      </c>
    </row>
    <row r="49" spans="1:30" x14ac:dyDescent="0.25">
      <c r="A49" s="479">
        <v>40</v>
      </c>
      <c r="B49" s="607">
        <v>5191421040</v>
      </c>
      <c r="C49" s="608"/>
      <c r="D49" s="487"/>
      <c r="E49" s="490"/>
      <c r="F49" s="491"/>
      <c r="G49" s="487"/>
      <c r="H49" s="617"/>
      <c r="I49" s="490"/>
      <c r="J49" s="491"/>
      <c r="K49" s="487"/>
      <c r="L49" s="3447"/>
      <c r="M49" s="3448"/>
      <c r="N49" s="613">
        <f t="shared" si="1"/>
        <v>0</v>
      </c>
      <c r="O49" s="488">
        <v>2</v>
      </c>
      <c r="P49" s="487">
        <v>2</v>
      </c>
      <c r="Q49" s="643">
        <v>2</v>
      </c>
      <c r="R49" s="491">
        <v>4</v>
      </c>
      <c r="S49" s="487">
        <v>2</v>
      </c>
      <c r="T49" s="3449">
        <v>4</v>
      </c>
      <c r="U49" s="3448"/>
      <c r="V49" s="491"/>
      <c r="W49" s="615">
        <v>5</v>
      </c>
      <c r="X49" s="617">
        <v>5</v>
      </c>
      <c r="Y49" s="490">
        <v>1</v>
      </c>
      <c r="Z49" s="617">
        <v>18</v>
      </c>
      <c r="AA49" s="618">
        <v>9.75</v>
      </c>
      <c r="AB49" s="618">
        <v>9.75</v>
      </c>
      <c r="AC49" s="619" t="s">
        <v>32</v>
      </c>
      <c r="AD49" s="487">
        <f t="shared" si="0"/>
        <v>70</v>
      </c>
    </row>
    <row r="50" spans="1:30" x14ac:dyDescent="0.25">
      <c r="A50" s="479">
        <v>41</v>
      </c>
      <c r="B50" s="607">
        <v>5191421041</v>
      </c>
      <c r="C50" s="488">
        <v>2</v>
      </c>
      <c r="D50" s="487">
        <v>1</v>
      </c>
      <c r="E50" s="490"/>
      <c r="F50" s="491">
        <v>6</v>
      </c>
      <c r="G50" s="487">
        <v>6</v>
      </c>
      <c r="H50" s="617"/>
      <c r="I50" s="490"/>
      <c r="J50" s="491">
        <v>5</v>
      </c>
      <c r="K50" s="487">
        <v>5</v>
      </c>
      <c r="L50" s="3447"/>
      <c r="M50" s="3448"/>
      <c r="N50" s="613">
        <f t="shared" si="1"/>
        <v>25</v>
      </c>
      <c r="O50" s="488">
        <v>1</v>
      </c>
      <c r="P50" s="487">
        <v>0</v>
      </c>
      <c r="Q50" s="643">
        <v>0</v>
      </c>
      <c r="R50" s="491">
        <v>1</v>
      </c>
      <c r="S50" s="487"/>
      <c r="T50" s="3449"/>
      <c r="U50" s="3448"/>
      <c r="V50" s="491"/>
      <c r="W50" s="615"/>
      <c r="X50" s="617"/>
      <c r="Y50" s="490"/>
      <c r="Z50" s="617">
        <v>2</v>
      </c>
      <c r="AA50" s="618">
        <v>6.75</v>
      </c>
      <c r="AB50" s="618">
        <v>6.75</v>
      </c>
      <c r="AC50" s="619" t="s">
        <v>29</v>
      </c>
      <c r="AD50" s="487">
        <f t="shared" si="0"/>
        <v>39</v>
      </c>
    </row>
    <row r="51" spans="1:30" x14ac:dyDescent="0.25">
      <c r="A51" s="479">
        <v>42</v>
      </c>
      <c r="B51" s="607">
        <v>5191421042</v>
      </c>
      <c r="C51" s="488">
        <v>2</v>
      </c>
      <c r="D51" s="487">
        <v>2</v>
      </c>
      <c r="E51" s="490">
        <v>1</v>
      </c>
      <c r="F51" s="491">
        <v>4</v>
      </c>
      <c r="G51" s="487">
        <v>4</v>
      </c>
      <c r="H51" s="617"/>
      <c r="I51" s="490"/>
      <c r="J51" s="491"/>
      <c r="K51" s="487"/>
      <c r="L51" s="3447">
        <v>2</v>
      </c>
      <c r="M51" s="3448"/>
      <c r="N51" s="613">
        <f t="shared" si="1"/>
        <v>15</v>
      </c>
      <c r="O51" s="488">
        <v>0</v>
      </c>
      <c r="P51" s="487"/>
      <c r="Q51" s="643">
        <v>2</v>
      </c>
      <c r="R51" s="491">
        <v>3</v>
      </c>
      <c r="S51" s="487">
        <v>1</v>
      </c>
      <c r="T51" s="3449"/>
      <c r="U51" s="3448"/>
      <c r="V51" s="491"/>
      <c r="W51" s="615"/>
      <c r="X51" s="617"/>
      <c r="Y51" s="490">
        <v>1</v>
      </c>
      <c r="Z51" s="617">
        <v>7</v>
      </c>
      <c r="AA51" s="618">
        <v>5</v>
      </c>
      <c r="AB51" s="618">
        <v>5</v>
      </c>
      <c r="AC51" s="619" t="s">
        <v>33</v>
      </c>
      <c r="AD51" s="487">
        <f t="shared" si="0"/>
        <v>60</v>
      </c>
    </row>
    <row r="52" spans="1:30" x14ac:dyDescent="0.25">
      <c r="A52" s="479">
        <v>43</v>
      </c>
      <c r="B52" s="607">
        <v>5191421043</v>
      </c>
      <c r="C52" s="488">
        <v>2</v>
      </c>
      <c r="D52" s="487">
        <v>2</v>
      </c>
      <c r="E52" s="490">
        <v>2</v>
      </c>
      <c r="F52" s="491">
        <v>3</v>
      </c>
      <c r="G52" s="487">
        <v>5</v>
      </c>
      <c r="H52" s="617"/>
      <c r="I52" s="490"/>
      <c r="J52" s="491"/>
      <c r="K52" s="487"/>
      <c r="L52" s="3447">
        <v>9</v>
      </c>
      <c r="M52" s="3448"/>
      <c r="N52" s="613">
        <f t="shared" si="1"/>
        <v>23</v>
      </c>
      <c r="O52" s="488">
        <v>2</v>
      </c>
      <c r="P52" s="487">
        <v>1</v>
      </c>
      <c r="Q52" s="643">
        <v>2</v>
      </c>
      <c r="R52" s="491">
        <v>5</v>
      </c>
      <c r="S52" s="487">
        <v>2</v>
      </c>
      <c r="T52" s="3449"/>
      <c r="U52" s="3448"/>
      <c r="V52" s="491">
        <v>2</v>
      </c>
      <c r="W52" s="615">
        <v>2</v>
      </c>
      <c r="X52" s="617"/>
      <c r="Y52" s="490"/>
      <c r="Z52" s="617">
        <v>16</v>
      </c>
      <c r="AA52" s="618">
        <v>9.75</v>
      </c>
      <c r="AB52" s="618">
        <v>9.75</v>
      </c>
      <c r="AC52" s="619" t="s">
        <v>33</v>
      </c>
      <c r="AD52" s="487">
        <f t="shared" si="0"/>
        <v>60</v>
      </c>
    </row>
    <row r="53" spans="1:30" x14ac:dyDescent="0.25">
      <c r="A53" s="479">
        <v>44</v>
      </c>
      <c r="B53" s="607">
        <v>5191421044</v>
      </c>
      <c r="C53" s="488">
        <v>2</v>
      </c>
      <c r="D53" s="487">
        <v>2</v>
      </c>
      <c r="E53" s="490">
        <v>2</v>
      </c>
      <c r="F53" s="491">
        <v>6</v>
      </c>
      <c r="G53" s="487">
        <v>5</v>
      </c>
      <c r="H53" s="617">
        <v>6</v>
      </c>
      <c r="I53" s="490">
        <v>3</v>
      </c>
      <c r="J53" s="491"/>
      <c r="K53" s="487"/>
      <c r="L53" s="3447">
        <v>12</v>
      </c>
      <c r="M53" s="3448"/>
      <c r="N53" s="613">
        <v>29</v>
      </c>
      <c r="O53" s="488">
        <v>2</v>
      </c>
      <c r="P53" s="487">
        <v>2</v>
      </c>
      <c r="Q53" s="643">
        <v>1</v>
      </c>
      <c r="R53" s="491"/>
      <c r="S53" s="487"/>
      <c r="T53" s="3449">
        <v>12</v>
      </c>
      <c r="U53" s="3448"/>
      <c r="V53" s="491">
        <v>6</v>
      </c>
      <c r="W53" s="615">
        <v>4</v>
      </c>
      <c r="X53" s="617">
        <v>5</v>
      </c>
      <c r="Y53" s="490"/>
      <c r="Z53" s="617">
        <v>27</v>
      </c>
      <c r="AA53" s="618">
        <v>10</v>
      </c>
      <c r="AB53" s="618">
        <v>10</v>
      </c>
      <c r="AC53" s="619" t="s">
        <v>30</v>
      </c>
      <c r="AD53" s="487">
        <f t="shared" si="0"/>
        <v>90</v>
      </c>
    </row>
    <row r="54" spans="1:30" x14ac:dyDescent="0.25">
      <c r="A54" s="479">
        <v>45</v>
      </c>
      <c r="B54" s="607">
        <v>5191421045</v>
      </c>
      <c r="C54" s="608">
        <v>2</v>
      </c>
      <c r="D54" s="487">
        <v>2</v>
      </c>
      <c r="E54" s="490">
        <v>1</v>
      </c>
      <c r="F54" s="491">
        <v>5</v>
      </c>
      <c r="G54" s="487">
        <v>5</v>
      </c>
      <c r="H54" s="617"/>
      <c r="I54" s="490"/>
      <c r="J54" s="491"/>
      <c r="K54" s="487"/>
      <c r="L54" s="3447">
        <v>9</v>
      </c>
      <c r="M54" s="3448"/>
      <c r="N54" s="613">
        <f t="shared" si="1"/>
        <v>24</v>
      </c>
      <c r="O54" s="488">
        <v>1</v>
      </c>
      <c r="P54" s="487">
        <v>1</v>
      </c>
      <c r="Q54" s="643">
        <v>1</v>
      </c>
      <c r="R54" s="491">
        <v>4</v>
      </c>
      <c r="S54" s="487"/>
      <c r="T54" s="3449"/>
      <c r="U54" s="3448"/>
      <c r="V54" s="491"/>
      <c r="W54" s="615"/>
      <c r="X54" s="617"/>
      <c r="Y54" s="490">
        <v>0</v>
      </c>
      <c r="Z54" s="617">
        <v>7</v>
      </c>
      <c r="AA54" s="618">
        <v>9.5</v>
      </c>
      <c r="AB54" s="618">
        <v>9.5</v>
      </c>
      <c r="AC54" s="619" t="s">
        <v>33</v>
      </c>
      <c r="AD54" s="487">
        <f t="shared" si="0"/>
        <v>60</v>
      </c>
    </row>
    <row r="55" spans="1:30" x14ac:dyDescent="0.25">
      <c r="A55" s="479">
        <v>46</v>
      </c>
      <c r="B55" s="607">
        <v>5191421046</v>
      </c>
      <c r="C55" s="488">
        <v>2</v>
      </c>
      <c r="D55" s="487">
        <v>2</v>
      </c>
      <c r="E55" s="490">
        <v>1</v>
      </c>
      <c r="F55" s="491">
        <v>5</v>
      </c>
      <c r="G55" s="487">
        <v>5</v>
      </c>
      <c r="H55" s="617"/>
      <c r="I55" s="490"/>
      <c r="J55" s="491"/>
      <c r="K55" s="487"/>
      <c r="L55" s="3447">
        <v>11</v>
      </c>
      <c r="M55" s="3448"/>
      <c r="N55" s="613">
        <f t="shared" si="1"/>
        <v>26</v>
      </c>
      <c r="O55" s="488">
        <v>2</v>
      </c>
      <c r="P55" s="487">
        <v>1</v>
      </c>
      <c r="Q55" s="643">
        <v>1</v>
      </c>
      <c r="R55" s="491">
        <v>4</v>
      </c>
      <c r="S55" s="487"/>
      <c r="T55" s="3449"/>
      <c r="U55" s="3448"/>
      <c r="V55" s="491"/>
      <c r="W55" s="615"/>
      <c r="X55" s="617">
        <v>5</v>
      </c>
      <c r="Y55" s="490"/>
      <c r="Z55" s="617">
        <v>13</v>
      </c>
      <c r="AA55" s="618">
        <v>10</v>
      </c>
      <c r="AB55" s="618">
        <v>10</v>
      </c>
      <c r="AC55" s="619" t="s">
        <v>31</v>
      </c>
      <c r="AD55" s="487">
        <f t="shared" si="0"/>
        <v>55</v>
      </c>
    </row>
    <row r="56" spans="1:30" x14ac:dyDescent="0.25">
      <c r="A56" s="479">
        <v>47</v>
      </c>
      <c r="B56" s="607">
        <v>5191421047</v>
      </c>
      <c r="C56" s="488">
        <v>1</v>
      </c>
      <c r="D56" s="487"/>
      <c r="E56" s="490">
        <v>1</v>
      </c>
      <c r="F56" s="491"/>
      <c r="G56" s="487">
        <v>4</v>
      </c>
      <c r="H56" s="617"/>
      <c r="I56" s="490"/>
      <c r="J56" s="491"/>
      <c r="K56" s="487"/>
      <c r="L56" s="3447">
        <v>2</v>
      </c>
      <c r="M56" s="3448"/>
      <c r="N56" s="613">
        <f t="shared" si="1"/>
        <v>8</v>
      </c>
      <c r="O56" s="488"/>
      <c r="P56" s="487">
        <v>1</v>
      </c>
      <c r="Q56" s="643">
        <v>1</v>
      </c>
      <c r="R56" s="491">
        <v>3</v>
      </c>
      <c r="S56" s="487"/>
      <c r="T56" s="3449"/>
      <c r="U56" s="3448"/>
      <c r="V56" s="491"/>
      <c r="W56" s="615">
        <v>4</v>
      </c>
      <c r="X56" s="617"/>
      <c r="Y56" s="490"/>
      <c r="Z56" s="617">
        <v>9</v>
      </c>
      <c r="AA56" s="618">
        <v>6</v>
      </c>
      <c r="AB56" s="618">
        <v>6</v>
      </c>
      <c r="AC56" s="619" t="s">
        <v>29</v>
      </c>
      <c r="AD56" s="487">
        <f t="shared" si="0"/>
        <v>39</v>
      </c>
    </row>
    <row r="57" spans="1:30" x14ac:dyDescent="0.25">
      <c r="A57" s="479">
        <v>48</v>
      </c>
      <c r="B57" s="607">
        <v>5191421048</v>
      </c>
      <c r="C57" s="488">
        <v>1</v>
      </c>
      <c r="D57" s="487"/>
      <c r="E57" s="490"/>
      <c r="F57" s="491"/>
      <c r="G57" s="487"/>
      <c r="H57" s="617">
        <v>6</v>
      </c>
      <c r="I57" s="490">
        <v>5</v>
      </c>
      <c r="J57" s="491">
        <v>5</v>
      </c>
      <c r="K57" s="487">
        <v>5</v>
      </c>
      <c r="L57" s="3447"/>
      <c r="M57" s="3448"/>
      <c r="N57" s="613">
        <f t="shared" si="1"/>
        <v>22</v>
      </c>
      <c r="O57" s="488">
        <v>2</v>
      </c>
      <c r="P57" s="487">
        <v>2</v>
      </c>
      <c r="Q57" s="643">
        <v>2</v>
      </c>
      <c r="R57" s="491">
        <v>5</v>
      </c>
      <c r="S57" s="487"/>
      <c r="T57" s="3449">
        <v>7</v>
      </c>
      <c r="U57" s="3448"/>
      <c r="V57" s="491"/>
      <c r="W57" s="615"/>
      <c r="X57" s="617"/>
      <c r="Y57" s="490"/>
      <c r="Z57" s="617">
        <v>13</v>
      </c>
      <c r="AA57" s="618">
        <v>7.5</v>
      </c>
      <c r="AB57" s="618">
        <v>7.5</v>
      </c>
      <c r="AC57" s="619" t="s">
        <v>29</v>
      </c>
      <c r="AD57" s="487">
        <f t="shared" si="0"/>
        <v>39</v>
      </c>
    </row>
    <row r="58" spans="1:30" x14ac:dyDescent="0.25">
      <c r="A58" s="479">
        <v>49</v>
      </c>
      <c r="B58" s="607">
        <v>5191421049</v>
      </c>
      <c r="C58" s="488"/>
      <c r="D58" s="487"/>
      <c r="E58" s="490"/>
      <c r="F58" s="491"/>
      <c r="G58" s="487"/>
      <c r="H58" s="617"/>
      <c r="I58" s="490"/>
      <c r="J58" s="491"/>
      <c r="K58" s="487"/>
      <c r="L58" s="3447"/>
      <c r="M58" s="3448"/>
      <c r="N58" s="613">
        <f t="shared" si="1"/>
        <v>0</v>
      </c>
      <c r="O58" s="488">
        <v>1</v>
      </c>
      <c r="P58" s="487">
        <v>2</v>
      </c>
      <c r="Q58" s="643">
        <v>1</v>
      </c>
      <c r="R58" s="491"/>
      <c r="S58" s="487"/>
      <c r="T58" s="3449">
        <v>10</v>
      </c>
      <c r="U58" s="3448"/>
      <c r="V58" s="491">
        <v>3</v>
      </c>
      <c r="W58" s="615">
        <v>0</v>
      </c>
      <c r="X58" s="617"/>
      <c r="Y58" s="490"/>
      <c r="Z58" s="617">
        <v>17</v>
      </c>
      <c r="AA58" s="618">
        <v>9.5</v>
      </c>
      <c r="AB58" s="618">
        <v>9.5</v>
      </c>
      <c r="AC58" s="619" t="s">
        <v>28</v>
      </c>
      <c r="AD58" s="487">
        <f t="shared" si="0"/>
        <v>50</v>
      </c>
    </row>
    <row r="59" spans="1:30" x14ac:dyDescent="0.25">
      <c r="A59" s="479">
        <v>50</v>
      </c>
      <c r="B59" s="607">
        <v>5191421050</v>
      </c>
      <c r="C59" s="488">
        <v>1</v>
      </c>
      <c r="D59" s="487"/>
      <c r="E59" s="490"/>
      <c r="F59" s="491"/>
      <c r="G59" s="487"/>
      <c r="H59" s="617">
        <v>5</v>
      </c>
      <c r="I59" s="490">
        <v>2</v>
      </c>
      <c r="J59" s="491"/>
      <c r="K59" s="487">
        <v>4</v>
      </c>
      <c r="L59" s="3447"/>
      <c r="M59" s="3448"/>
      <c r="N59" s="613">
        <f>SUM(C59:M59)</f>
        <v>12</v>
      </c>
      <c r="O59" s="488">
        <v>1</v>
      </c>
      <c r="P59" s="487"/>
      <c r="Q59" s="643">
        <v>1</v>
      </c>
      <c r="R59" s="491"/>
      <c r="S59" s="487"/>
      <c r="T59" s="3449">
        <v>5</v>
      </c>
      <c r="U59" s="3448"/>
      <c r="V59" s="491">
        <v>3</v>
      </c>
      <c r="W59" s="615"/>
      <c r="X59" s="617"/>
      <c r="Y59" s="490"/>
      <c r="Z59" s="617">
        <v>10</v>
      </c>
      <c r="AA59" s="618">
        <v>8.5</v>
      </c>
      <c r="AB59" s="618">
        <v>8.5</v>
      </c>
      <c r="AC59" s="619" t="s">
        <v>33</v>
      </c>
      <c r="AD59" s="487">
        <f t="shared" si="0"/>
        <v>60</v>
      </c>
    </row>
    <row r="60" spans="1:30" x14ac:dyDescent="0.25">
      <c r="A60" s="479">
        <v>51</v>
      </c>
      <c r="B60" s="607">
        <v>5191421051</v>
      </c>
      <c r="C60" s="626">
        <v>1</v>
      </c>
      <c r="D60" s="623">
        <v>1</v>
      </c>
      <c r="E60" s="624">
        <v>2</v>
      </c>
      <c r="F60" s="622">
        <v>5</v>
      </c>
      <c r="G60" s="487">
        <v>5</v>
      </c>
      <c r="H60" s="625"/>
      <c r="I60" s="624"/>
      <c r="J60" s="622"/>
      <c r="K60" s="623"/>
      <c r="L60" s="3447">
        <v>10</v>
      </c>
      <c r="M60" s="3448"/>
      <c r="N60" s="613">
        <f>SUM(C60:M60)</f>
        <v>24</v>
      </c>
      <c r="O60" s="626">
        <v>2</v>
      </c>
      <c r="P60" s="623">
        <v>2</v>
      </c>
      <c r="Q60" s="647">
        <v>2</v>
      </c>
      <c r="R60" s="622">
        <v>6</v>
      </c>
      <c r="S60" s="487">
        <v>3</v>
      </c>
      <c r="T60" s="3449"/>
      <c r="U60" s="3448"/>
      <c r="V60" s="622"/>
      <c r="W60" s="615"/>
      <c r="X60" s="617">
        <v>5</v>
      </c>
      <c r="Y60" s="490"/>
      <c r="Z60" s="617">
        <v>20</v>
      </c>
      <c r="AA60" s="618">
        <v>8.75</v>
      </c>
      <c r="AB60" s="618">
        <v>8.75</v>
      </c>
      <c r="AC60" s="619" t="s">
        <v>27</v>
      </c>
      <c r="AD60" s="487">
        <f t="shared" si="0"/>
        <v>80</v>
      </c>
    </row>
    <row r="61" spans="1:30" x14ac:dyDescent="0.25">
      <c r="A61" s="479">
        <v>52</v>
      </c>
      <c r="B61" s="607">
        <v>5191421052</v>
      </c>
      <c r="C61" s="626">
        <v>2</v>
      </c>
      <c r="D61" s="623">
        <v>2</v>
      </c>
      <c r="E61" s="624">
        <v>2</v>
      </c>
      <c r="F61" s="622"/>
      <c r="G61" s="487"/>
      <c r="H61" s="625">
        <v>5</v>
      </c>
      <c r="I61" s="624">
        <v>5</v>
      </c>
      <c r="J61" s="622">
        <v>4</v>
      </c>
      <c r="K61" s="623"/>
      <c r="L61" s="3447"/>
      <c r="M61" s="3448"/>
      <c r="N61" s="613">
        <f t="shared" ref="N61:N67" si="2">SUM(C61:M61)</f>
        <v>20</v>
      </c>
      <c r="O61" s="626">
        <v>2</v>
      </c>
      <c r="P61" s="623">
        <v>2</v>
      </c>
      <c r="Q61" s="647">
        <v>1</v>
      </c>
      <c r="R61" s="622">
        <v>4</v>
      </c>
      <c r="S61" s="487">
        <v>4</v>
      </c>
      <c r="T61" s="3449"/>
      <c r="U61" s="3448"/>
      <c r="V61" s="622"/>
      <c r="W61" s="615"/>
      <c r="X61" s="617"/>
      <c r="Y61" s="490"/>
      <c r="Z61" s="617">
        <v>13</v>
      </c>
      <c r="AA61" s="618">
        <v>9.75</v>
      </c>
      <c r="AB61" s="618">
        <v>9.75</v>
      </c>
      <c r="AC61" s="619" t="s">
        <v>32</v>
      </c>
      <c r="AD61" s="487">
        <f t="shared" si="0"/>
        <v>70</v>
      </c>
    </row>
    <row r="62" spans="1:30" x14ac:dyDescent="0.25">
      <c r="A62" s="479">
        <v>53</v>
      </c>
      <c r="B62" s="607">
        <v>5191421053</v>
      </c>
      <c r="C62" s="626">
        <v>2</v>
      </c>
      <c r="D62" s="623">
        <v>1</v>
      </c>
      <c r="E62" s="624">
        <v>1</v>
      </c>
      <c r="F62" s="622"/>
      <c r="G62" s="487"/>
      <c r="H62" s="625">
        <v>6</v>
      </c>
      <c r="I62" s="624">
        <v>2</v>
      </c>
      <c r="J62" s="622">
        <v>5</v>
      </c>
      <c r="K62" s="623">
        <v>4</v>
      </c>
      <c r="L62" s="3447"/>
      <c r="M62" s="3448"/>
      <c r="N62" s="613">
        <f t="shared" si="2"/>
        <v>21</v>
      </c>
      <c r="O62" s="626">
        <v>2</v>
      </c>
      <c r="P62" s="623"/>
      <c r="Q62" s="647">
        <v>2</v>
      </c>
      <c r="R62" s="622">
        <v>1</v>
      </c>
      <c r="S62" s="487"/>
      <c r="T62" s="3449"/>
      <c r="U62" s="3448"/>
      <c r="V62" s="622"/>
      <c r="W62" s="615"/>
      <c r="X62" s="617">
        <v>2</v>
      </c>
      <c r="Y62" s="490">
        <v>2</v>
      </c>
      <c r="Z62" s="617">
        <v>9</v>
      </c>
      <c r="AA62" s="618">
        <v>7</v>
      </c>
      <c r="AB62" s="618">
        <v>7</v>
      </c>
      <c r="AC62" s="619" t="s">
        <v>32</v>
      </c>
      <c r="AD62" s="487">
        <f t="shared" si="0"/>
        <v>70</v>
      </c>
    </row>
    <row r="63" spans="1:30" x14ac:dyDescent="0.25">
      <c r="A63" s="479">
        <v>54</v>
      </c>
      <c r="B63" s="607">
        <v>5191421054</v>
      </c>
      <c r="C63" s="626">
        <v>2</v>
      </c>
      <c r="D63" s="623"/>
      <c r="E63" s="624"/>
      <c r="F63" s="622">
        <v>5</v>
      </c>
      <c r="G63" s="487">
        <v>5</v>
      </c>
      <c r="H63" s="625"/>
      <c r="I63" s="624"/>
      <c r="J63" s="622">
        <v>5</v>
      </c>
      <c r="K63" s="623"/>
      <c r="L63" s="3447"/>
      <c r="M63" s="3448"/>
      <c r="N63" s="613">
        <f t="shared" si="2"/>
        <v>17</v>
      </c>
      <c r="O63" s="626">
        <v>2</v>
      </c>
      <c r="P63" s="623">
        <v>0</v>
      </c>
      <c r="Q63" s="647">
        <v>2</v>
      </c>
      <c r="R63" s="622">
        <v>4</v>
      </c>
      <c r="S63" s="487">
        <v>1</v>
      </c>
      <c r="T63" s="3449"/>
      <c r="U63" s="3448"/>
      <c r="V63" s="622"/>
      <c r="W63" s="615"/>
      <c r="X63" s="617"/>
      <c r="Y63" s="490"/>
      <c r="Z63" s="617">
        <v>9</v>
      </c>
      <c r="AA63" s="618">
        <v>7.5</v>
      </c>
      <c r="AB63" s="618">
        <v>7.5</v>
      </c>
      <c r="AC63" s="619" t="s">
        <v>32</v>
      </c>
      <c r="AD63" s="487">
        <f t="shared" si="0"/>
        <v>70</v>
      </c>
    </row>
    <row r="64" spans="1:30" x14ac:dyDescent="0.25">
      <c r="A64" s="479">
        <v>55</v>
      </c>
      <c r="B64" s="607">
        <v>5191421055</v>
      </c>
      <c r="C64" s="626"/>
      <c r="D64" s="623"/>
      <c r="E64" s="624"/>
      <c r="F64" s="622"/>
      <c r="G64" s="487"/>
      <c r="H64" s="625"/>
      <c r="I64" s="624"/>
      <c r="J64" s="622"/>
      <c r="K64" s="623"/>
      <c r="L64" s="3447"/>
      <c r="M64" s="3448"/>
      <c r="N64" s="613">
        <f t="shared" si="2"/>
        <v>0</v>
      </c>
      <c r="O64" s="626">
        <v>2</v>
      </c>
      <c r="P64" s="623"/>
      <c r="Q64" s="647">
        <v>2</v>
      </c>
      <c r="R64" s="622">
        <v>4</v>
      </c>
      <c r="S64" s="487">
        <v>0</v>
      </c>
      <c r="T64" s="3449">
        <v>0</v>
      </c>
      <c r="U64" s="3448"/>
      <c r="V64" s="622"/>
      <c r="W64" s="615"/>
      <c r="X64" s="617"/>
      <c r="Y64" s="490"/>
      <c r="Z64" s="617">
        <v>8</v>
      </c>
      <c r="AA64" s="618">
        <v>9</v>
      </c>
      <c r="AB64" s="618">
        <v>9</v>
      </c>
      <c r="AC64" s="619" t="s">
        <v>28</v>
      </c>
      <c r="AD64" s="487">
        <f t="shared" si="0"/>
        <v>50</v>
      </c>
    </row>
    <row r="65" spans="1:30" x14ac:dyDescent="0.25">
      <c r="A65" s="479">
        <v>56</v>
      </c>
      <c r="B65" s="607">
        <v>5191421056</v>
      </c>
      <c r="C65" s="626">
        <v>2</v>
      </c>
      <c r="D65" s="623"/>
      <c r="E65" s="624">
        <v>2</v>
      </c>
      <c r="F65" s="622">
        <v>6</v>
      </c>
      <c r="G65" s="487">
        <v>5</v>
      </c>
      <c r="H65" s="625"/>
      <c r="I65" s="624"/>
      <c r="J65" s="622">
        <v>5</v>
      </c>
      <c r="K65" s="623"/>
      <c r="L65" s="3447"/>
      <c r="M65" s="3448"/>
      <c r="N65" s="613">
        <f t="shared" si="2"/>
        <v>20</v>
      </c>
      <c r="O65" s="626">
        <v>2</v>
      </c>
      <c r="P65" s="623">
        <v>1</v>
      </c>
      <c r="Q65" s="647">
        <v>2</v>
      </c>
      <c r="R65" s="622"/>
      <c r="S65" s="487"/>
      <c r="T65" s="3449">
        <v>4</v>
      </c>
      <c r="U65" s="3448"/>
      <c r="V65" s="622"/>
      <c r="W65" s="615"/>
      <c r="X65" s="617">
        <v>2</v>
      </c>
      <c r="Y65" s="490"/>
      <c r="Z65" s="617">
        <v>11</v>
      </c>
      <c r="AA65" s="618">
        <v>7.25</v>
      </c>
      <c r="AB65" s="618">
        <v>7.25</v>
      </c>
      <c r="AC65" s="619" t="s">
        <v>28</v>
      </c>
      <c r="AD65" s="487">
        <f t="shared" si="0"/>
        <v>50</v>
      </c>
    </row>
    <row r="66" spans="1:30" x14ac:dyDescent="0.25">
      <c r="A66" s="479">
        <v>57</v>
      </c>
      <c r="B66" s="607">
        <v>5191421057</v>
      </c>
      <c r="C66" s="626">
        <v>2</v>
      </c>
      <c r="D66" s="623">
        <v>1</v>
      </c>
      <c r="E66" s="624">
        <v>2</v>
      </c>
      <c r="F66" s="622">
        <v>6</v>
      </c>
      <c r="G66" s="487">
        <v>5</v>
      </c>
      <c r="H66" s="625"/>
      <c r="I66" s="624"/>
      <c r="J66" s="622">
        <v>6</v>
      </c>
      <c r="K66" s="623"/>
      <c r="L66" s="3447"/>
      <c r="M66" s="3448"/>
      <c r="N66" s="613">
        <f t="shared" si="2"/>
        <v>22</v>
      </c>
      <c r="O66" s="626">
        <v>1</v>
      </c>
      <c r="P66" s="623">
        <v>2</v>
      </c>
      <c r="Q66" s="647"/>
      <c r="R66" s="622"/>
      <c r="S66" s="487"/>
      <c r="T66" s="3449"/>
      <c r="U66" s="3448"/>
      <c r="V66" s="622">
        <v>12</v>
      </c>
      <c r="W66" s="615">
        <v>6</v>
      </c>
      <c r="X66" s="625"/>
      <c r="Y66" s="624"/>
      <c r="Z66" s="617">
        <v>21</v>
      </c>
      <c r="AA66" s="618">
        <v>10</v>
      </c>
      <c r="AB66" s="618">
        <v>10</v>
      </c>
      <c r="AC66" s="648" t="s">
        <v>32</v>
      </c>
      <c r="AD66" s="487">
        <f t="shared" si="0"/>
        <v>70</v>
      </c>
    </row>
    <row r="67" spans="1:30" ht="17.25" thickBot="1" x14ac:dyDescent="0.3">
      <c r="A67" s="479">
        <v>58</v>
      </c>
      <c r="B67" s="607">
        <v>5191421058</v>
      </c>
      <c r="C67" s="649">
        <v>2</v>
      </c>
      <c r="D67" s="650">
        <v>1</v>
      </c>
      <c r="E67" s="651">
        <v>1</v>
      </c>
      <c r="F67" s="652"/>
      <c r="G67" s="650"/>
      <c r="H67" s="653">
        <v>5</v>
      </c>
      <c r="I67" s="651">
        <v>2</v>
      </c>
      <c r="J67" s="652"/>
      <c r="K67" s="650"/>
      <c r="L67" s="3447"/>
      <c r="M67" s="3448"/>
      <c r="N67" s="613">
        <f t="shared" si="2"/>
        <v>11</v>
      </c>
      <c r="O67" s="649"/>
      <c r="P67" s="650"/>
      <c r="Q67" s="654">
        <v>2</v>
      </c>
      <c r="R67" s="652"/>
      <c r="S67" s="650"/>
      <c r="T67" s="3513">
        <v>4</v>
      </c>
      <c r="U67" s="3514"/>
      <c r="V67" s="652"/>
      <c r="W67" s="655"/>
      <c r="X67" s="650">
        <v>2</v>
      </c>
      <c r="Y67" s="651"/>
      <c r="Z67" s="617">
        <v>8</v>
      </c>
      <c r="AA67" s="618">
        <v>8.75</v>
      </c>
      <c r="AB67" s="618">
        <v>8.75</v>
      </c>
      <c r="AC67" s="656" t="s">
        <v>31</v>
      </c>
      <c r="AD67" s="487">
        <f t="shared" si="0"/>
        <v>55</v>
      </c>
    </row>
    <row r="68" spans="1:30" x14ac:dyDescent="0.25">
      <c r="C68" s="494">
        <f t="shared" ref="C68:L68" si="3">COUNT(C11:C67)</f>
        <v>53</v>
      </c>
      <c r="D68" s="494">
        <f t="shared" si="3"/>
        <v>38</v>
      </c>
      <c r="E68" s="494">
        <f t="shared" si="3"/>
        <v>40</v>
      </c>
      <c r="F68" s="494">
        <f t="shared" si="3"/>
        <v>31</v>
      </c>
      <c r="G68" s="494">
        <f t="shared" si="3"/>
        <v>37</v>
      </c>
      <c r="H68" s="494">
        <f t="shared" si="3"/>
        <v>19</v>
      </c>
      <c r="I68" s="494">
        <f t="shared" si="3"/>
        <v>18</v>
      </c>
      <c r="J68" s="494">
        <f t="shared" si="3"/>
        <v>32</v>
      </c>
      <c r="K68" s="494">
        <f t="shared" si="3"/>
        <v>21</v>
      </c>
      <c r="L68" s="3510">
        <f t="shared" si="3"/>
        <v>17</v>
      </c>
      <c r="M68" s="3510"/>
      <c r="N68" s="494"/>
      <c r="O68" s="494">
        <f t="shared" ref="O68:Y68" si="4">COUNT(O10:O67)</f>
        <v>46</v>
      </c>
      <c r="P68" s="494">
        <f t="shared" si="4"/>
        <v>44</v>
      </c>
      <c r="Q68" s="494">
        <f t="shared" si="4"/>
        <v>55</v>
      </c>
      <c r="R68" s="494">
        <f t="shared" si="4"/>
        <v>39</v>
      </c>
      <c r="S68" s="494">
        <f t="shared" si="4"/>
        <v>24</v>
      </c>
      <c r="T68" s="3515">
        <f t="shared" si="4"/>
        <v>22</v>
      </c>
      <c r="U68" s="3515"/>
      <c r="V68" s="494">
        <f t="shared" si="4"/>
        <v>15</v>
      </c>
      <c r="W68" s="494">
        <f t="shared" si="4"/>
        <v>18</v>
      </c>
      <c r="X68" s="494">
        <f t="shared" si="4"/>
        <v>27</v>
      </c>
      <c r="Y68" s="494">
        <f t="shared" si="4"/>
        <v>17</v>
      </c>
      <c r="AA68" s="494">
        <f t="shared" ref="AA68:AB68" si="5">COUNT(AA10:AA67)</f>
        <v>58</v>
      </c>
      <c r="AB68" s="494">
        <f t="shared" si="5"/>
        <v>58</v>
      </c>
    </row>
    <row r="69" spans="1:30" ht="29.25" customHeight="1" x14ac:dyDescent="0.25">
      <c r="A69" s="657" t="s">
        <v>34</v>
      </c>
      <c r="B69" s="658">
        <v>55</v>
      </c>
      <c r="C69" s="496">
        <f>C9*(B69/100)</f>
        <v>1.1000000000000001</v>
      </c>
      <c r="D69" s="496">
        <f>D9*(B69/100)</f>
        <v>1.1000000000000001</v>
      </c>
      <c r="E69" s="496">
        <f>E9*(B69/100)</f>
        <v>1.1000000000000001</v>
      </c>
      <c r="F69" s="496">
        <f t="shared" ref="F69" si="6">F9*(B69/100)</f>
        <v>3.3000000000000003</v>
      </c>
      <c r="G69" s="496">
        <v>3</v>
      </c>
      <c r="H69" s="496">
        <v>3</v>
      </c>
      <c r="I69" s="496">
        <v>3</v>
      </c>
      <c r="J69" s="496">
        <v>3</v>
      </c>
      <c r="K69" s="496">
        <v>3</v>
      </c>
      <c r="L69" s="3510">
        <v>6</v>
      </c>
      <c r="M69" s="3510"/>
      <c r="N69" s="494"/>
      <c r="O69" s="496">
        <f>O9*(B69/100)</f>
        <v>1.1000000000000001</v>
      </c>
      <c r="P69" s="496">
        <f>P9*(B69/100)</f>
        <v>1.1000000000000001</v>
      </c>
      <c r="Q69" s="496">
        <f>Q9*(B69/100)</f>
        <v>1.1000000000000001</v>
      </c>
      <c r="R69" s="496">
        <f>R9*(B69/100)</f>
        <v>3.3000000000000003</v>
      </c>
      <c r="S69" s="496">
        <f>S9*(B69/100)</f>
        <v>3.3000000000000003</v>
      </c>
      <c r="T69" s="3516">
        <f>T9*(B69/100)</f>
        <v>6.6000000000000005</v>
      </c>
      <c r="U69" s="3516"/>
      <c r="V69" s="496">
        <f>V9*(B69/100)</f>
        <v>3.3000000000000003</v>
      </c>
      <c r="W69" s="496">
        <f>W9*(B69/100)</f>
        <v>3.3000000000000003</v>
      </c>
      <c r="X69" s="496">
        <v>3</v>
      </c>
      <c r="Y69" s="496">
        <v>3</v>
      </c>
      <c r="AA69" s="496">
        <v>5</v>
      </c>
      <c r="AB69" s="496">
        <v>5</v>
      </c>
    </row>
    <row r="70" spans="1:30" ht="41.25" customHeight="1" x14ac:dyDescent="0.25">
      <c r="A70" s="3506" t="s">
        <v>35</v>
      </c>
      <c r="B70" s="3506"/>
      <c r="C70" s="494">
        <f t="shared" ref="C70:L70" si="7">COUNTIF(C11:C67,"&gt;=" &amp;C69)</f>
        <v>44</v>
      </c>
      <c r="D70" s="494">
        <f t="shared" si="7"/>
        <v>28</v>
      </c>
      <c r="E70" s="494">
        <f t="shared" si="7"/>
        <v>21</v>
      </c>
      <c r="F70" s="494">
        <f t="shared" si="7"/>
        <v>25</v>
      </c>
      <c r="G70" s="494">
        <f t="shared" si="7"/>
        <v>37</v>
      </c>
      <c r="H70" s="494">
        <f t="shared" si="7"/>
        <v>18</v>
      </c>
      <c r="I70" s="494">
        <f t="shared" si="7"/>
        <v>14</v>
      </c>
      <c r="J70" s="494">
        <f t="shared" si="7"/>
        <v>30</v>
      </c>
      <c r="K70" s="494">
        <f t="shared" si="7"/>
        <v>20</v>
      </c>
      <c r="L70" s="3510">
        <f t="shared" si="7"/>
        <v>13</v>
      </c>
      <c r="M70" s="3510"/>
      <c r="N70" s="494"/>
      <c r="O70" s="494">
        <f t="shared" ref="O70:Y70" si="8">COUNTIF(O10:O60,"&gt;=" &amp;O69)</f>
        <v>27</v>
      </c>
      <c r="P70" s="494">
        <f t="shared" si="8"/>
        <v>22</v>
      </c>
      <c r="Q70" s="494">
        <f t="shared" si="8"/>
        <v>34</v>
      </c>
      <c r="R70" s="494">
        <f t="shared" si="8"/>
        <v>24</v>
      </c>
      <c r="S70" s="494">
        <f t="shared" si="8"/>
        <v>5</v>
      </c>
      <c r="T70" s="3507">
        <f t="shared" si="8"/>
        <v>7</v>
      </c>
      <c r="U70" s="3507"/>
      <c r="V70" s="494">
        <f t="shared" si="8"/>
        <v>8</v>
      </c>
      <c r="W70" s="494">
        <f t="shared" si="8"/>
        <v>10</v>
      </c>
      <c r="X70" s="494">
        <f t="shared" si="8"/>
        <v>18</v>
      </c>
      <c r="Y70" s="494">
        <f t="shared" si="8"/>
        <v>4</v>
      </c>
      <c r="AA70" s="494">
        <f>COUNTIF(AA10:AA67,"&gt;=" &amp;AA69)</f>
        <v>57</v>
      </c>
      <c r="AB70" s="494">
        <f>COUNTIF(AB10:AB67,"&gt;=" &amp;AB69)</f>
        <v>57</v>
      </c>
      <c r="AD70" s="487">
        <f>COUNTIF(AD10:AD67,"&gt;="&amp;B69)</f>
        <v>41</v>
      </c>
    </row>
    <row r="71" spans="1:30" ht="54.75" customHeight="1" x14ac:dyDescent="0.25">
      <c r="A71" s="3508" t="s">
        <v>36</v>
      </c>
      <c r="B71" s="3508"/>
      <c r="C71" s="494">
        <f t="shared" ref="C71:Y71" si="9">C70/C68</f>
        <v>0.83018867924528306</v>
      </c>
      <c r="D71" s="494">
        <f t="shared" si="9"/>
        <v>0.73684210526315785</v>
      </c>
      <c r="E71" s="494">
        <f t="shared" si="9"/>
        <v>0.52500000000000002</v>
      </c>
      <c r="F71" s="494">
        <f t="shared" si="9"/>
        <v>0.80645161290322576</v>
      </c>
      <c r="G71" s="494">
        <f t="shared" si="9"/>
        <v>1</v>
      </c>
      <c r="H71" s="494">
        <f t="shared" si="9"/>
        <v>0.94736842105263153</v>
      </c>
      <c r="I71" s="494">
        <f t="shared" si="9"/>
        <v>0.77777777777777779</v>
      </c>
      <c r="J71" s="494">
        <f t="shared" si="9"/>
        <v>0.9375</v>
      </c>
      <c r="K71" s="494">
        <f t="shared" si="9"/>
        <v>0.95238095238095233</v>
      </c>
      <c r="L71" s="3510">
        <f t="shared" si="9"/>
        <v>0.76470588235294112</v>
      </c>
      <c r="M71" s="3510"/>
      <c r="N71" s="494"/>
      <c r="O71" s="494">
        <f t="shared" si="9"/>
        <v>0.58695652173913049</v>
      </c>
      <c r="P71" s="494">
        <f t="shared" si="9"/>
        <v>0.5</v>
      </c>
      <c r="Q71" s="494">
        <f t="shared" si="9"/>
        <v>0.61818181818181817</v>
      </c>
      <c r="R71" s="494">
        <f t="shared" si="9"/>
        <v>0.61538461538461542</v>
      </c>
      <c r="S71" s="494">
        <f t="shared" si="9"/>
        <v>0.20833333333333334</v>
      </c>
      <c r="T71" s="3509">
        <f t="shared" si="9"/>
        <v>0.31818181818181818</v>
      </c>
      <c r="U71" s="3509"/>
      <c r="V71" s="494">
        <f t="shared" si="9"/>
        <v>0.53333333333333333</v>
      </c>
      <c r="W71" s="659">
        <f t="shared" si="9"/>
        <v>0.55555555555555558</v>
      </c>
      <c r="X71" s="659">
        <f t="shared" si="9"/>
        <v>0.66666666666666663</v>
      </c>
      <c r="Y71" s="659">
        <f t="shared" si="9"/>
        <v>0.23529411764705882</v>
      </c>
      <c r="AA71" s="659">
        <f t="shared" ref="AA71:AB71" si="10">AA70/AA68</f>
        <v>0.98275862068965514</v>
      </c>
      <c r="AB71" s="659">
        <f t="shared" si="10"/>
        <v>0.98275862068965514</v>
      </c>
      <c r="AD71" s="487">
        <f>(AD70/A67)*100</f>
        <v>70.689655172413794</v>
      </c>
    </row>
    <row r="72" spans="1:30" x14ac:dyDescent="0.25">
      <c r="C72" s="478" t="s">
        <v>22</v>
      </c>
      <c r="D72" s="478" t="s">
        <v>21</v>
      </c>
      <c r="E72" s="482" t="s">
        <v>21</v>
      </c>
      <c r="F72" s="3477" t="s">
        <v>20</v>
      </c>
      <c r="G72" s="3496"/>
      <c r="H72" s="3495" t="s">
        <v>20</v>
      </c>
      <c r="I72" s="3478"/>
      <c r="J72" s="3497" t="s">
        <v>21</v>
      </c>
      <c r="K72" s="3498"/>
      <c r="L72" s="3497" t="s">
        <v>40</v>
      </c>
      <c r="M72" s="3498"/>
      <c r="N72" s="494"/>
      <c r="O72" s="478" t="s">
        <v>41</v>
      </c>
      <c r="P72" s="479" t="s">
        <v>42</v>
      </c>
      <c r="Q72" s="601" t="s">
        <v>42</v>
      </c>
      <c r="R72" s="478" t="s">
        <v>41</v>
      </c>
      <c r="S72" s="479" t="s">
        <v>41</v>
      </c>
      <c r="T72" s="3495" t="s">
        <v>41</v>
      </c>
      <c r="U72" s="3478"/>
      <c r="V72" s="478" t="s">
        <v>42</v>
      </c>
      <c r="W72" s="479" t="s">
        <v>42</v>
      </c>
      <c r="X72" s="479" t="s">
        <v>42</v>
      </c>
      <c r="Y72" s="480" t="s">
        <v>42</v>
      </c>
    </row>
    <row r="74" spans="1:30" s="1116" customFormat="1" ht="24" customHeight="1" x14ac:dyDescent="0.3">
      <c r="D74" s="989" t="s">
        <v>38</v>
      </c>
      <c r="E74" s="2804" t="s">
        <v>39</v>
      </c>
      <c r="F74" s="2804"/>
      <c r="G74" s="2804" t="s">
        <v>37</v>
      </c>
      <c r="H74" s="2804"/>
      <c r="I74" s="194"/>
      <c r="J74" s="989"/>
      <c r="M74" s="1181"/>
      <c r="W74" s="1181"/>
    </row>
    <row r="75" spans="1:30" s="1116" customFormat="1" ht="24" customHeight="1" x14ac:dyDescent="0.3">
      <c r="B75" s="989" t="s">
        <v>22</v>
      </c>
      <c r="C75" s="1141">
        <f>AVERAGE(C71,D71,F71,G71,H71,I71,AA71,AB71)*100</f>
        <v>88.301822970267324</v>
      </c>
      <c r="D75" s="1141">
        <f t="shared" ref="D75:D78" si="11">IF(C75&gt;=70,3,IF(AND(C75&gt;=60,C75&lt;70),2,IF(AND(C75&gt;=50,C75&lt;60),1)))</f>
        <v>3</v>
      </c>
      <c r="E75" s="3349">
        <f>IF(AD71&gt;=70,3,IF(AND(AD71&gt;=60,AD71&lt;70),2,IF(AND(AD71&gt;=50,AD71&lt;60),1)))</f>
        <v>3</v>
      </c>
      <c r="F75" s="3349"/>
      <c r="G75" s="1150">
        <f>(70/100)*E75+(30/100)*D75</f>
        <v>2.9999999999999996</v>
      </c>
      <c r="H75" s="1150"/>
      <c r="I75" s="1150"/>
      <c r="J75" s="1150"/>
      <c r="M75" s="1181"/>
      <c r="W75" s="1181"/>
    </row>
    <row r="76" spans="1:30" s="1116" customFormat="1" ht="24" customHeight="1" x14ac:dyDescent="0.3">
      <c r="B76" s="989" t="s">
        <v>40</v>
      </c>
      <c r="C76" s="1141">
        <f>AVERAGE(D71,E71,J71,K71,L71,AA71,AB71)*100</f>
        <v>84.027802591090875</v>
      </c>
      <c r="D76" s="1141">
        <f t="shared" si="11"/>
        <v>3</v>
      </c>
      <c r="E76" s="3349">
        <f>IF(AD71&gt;=70,3,IF(AND(AD71&gt;=60,AD71&lt;70),2,IF(AND(AD71&gt;=50,AD71&lt;60),1)))</f>
        <v>3</v>
      </c>
      <c r="F76" s="3349"/>
      <c r="G76" s="1150">
        <f t="shared" ref="G76:G78" si="12">(70/100)*E76+(30/100)*D76</f>
        <v>2.9999999999999996</v>
      </c>
      <c r="H76" s="1150"/>
      <c r="I76" s="1150"/>
      <c r="J76" s="1150"/>
      <c r="M76" s="1181"/>
      <c r="W76" s="1181"/>
    </row>
    <row r="77" spans="1:30" s="1116" customFormat="1" ht="24" customHeight="1" x14ac:dyDescent="0.3">
      <c r="B77" s="989" t="s">
        <v>41</v>
      </c>
      <c r="C77" s="1141">
        <f>AVERAGE(O71,R71,S71,T71,AA71,AB71)*100</f>
        <v>61.572892166970128</v>
      </c>
      <c r="D77" s="1141">
        <f t="shared" si="11"/>
        <v>2</v>
      </c>
      <c r="E77" s="3349">
        <f>IF(AD71&gt;=70,3,IF(AND(AD71&gt;=60,AD71&lt;70),2,IF(AND(AD71&gt;=50,AD71&lt;60),1)))</f>
        <v>3</v>
      </c>
      <c r="F77" s="3349"/>
      <c r="G77" s="1150">
        <f t="shared" si="12"/>
        <v>2.6999999999999997</v>
      </c>
      <c r="H77" s="1150"/>
      <c r="I77" s="1150"/>
      <c r="J77" s="1150"/>
      <c r="M77" s="1181"/>
      <c r="W77" s="1181"/>
    </row>
    <row r="78" spans="1:30" s="1116" customFormat="1" ht="24" customHeight="1" x14ac:dyDescent="0.3">
      <c r="B78" s="989" t="s">
        <v>42</v>
      </c>
      <c r="C78" s="1141">
        <f>AVERAGE(P71,Q71,V71,W71,X71,Y71,AA71,AB71)*100</f>
        <v>63.431859159546775</v>
      </c>
      <c r="D78" s="1141">
        <f t="shared" si="11"/>
        <v>2</v>
      </c>
      <c r="E78" s="3349">
        <f>IF(AD71&gt;=70,3,IF(AND(AD71&gt;=60,AD71&lt;70),2,IF(AND(AD71&gt;=50,AD71&lt;60),1)))</f>
        <v>3</v>
      </c>
      <c r="F78" s="3349"/>
      <c r="G78" s="1150">
        <f t="shared" si="12"/>
        <v>2.6999999999999997</v>
      </c>
      <c r="H78" s="1150"/>
      <c r="I78" s="1150"/>
      <c r="J78" s="1150"/>
      <c r="M78" s="1181"/>
      <c r="W78" s="1181"/>
    </row>
    <row r="79" spans="1:30" s="1116" customFormat="1" ht="24" customHeight="1" x14ac:dyDescent="0.3">
      <c r="B79" s="2715" t="s">
        <v>44</v>
      </c>
      <c r="C79" s="2715"/>
      <c r="D79" s="2715"/>
      <c r="E79" s="2715"/>
      <c r="F79" s="2715"/>
      <c r="G79" s="1240">
        <f>AVERAGE(G75:G78)</f>
        <v>2.8499999999999996</v>
      </c>
      <c r="H79" s="1240"/>
      <c r="I79" s="1240"/>
      <c r="J79" s="1240"/>
      <c r="M79" s="1181"/>
      <c r="W79" s="1181"/>
    </row>
    <row r="80" spans="1:30" s="1116" customFormat="1" ht="24" customHeight="1" x14ac:dyDescent="0.3">
      <c r="M80" s="1181"/>
      <c r="W80" s="1181"/>
    </row>
    <row r="81" spans="1:23" s="1116" customFormat="1" ht="24" customHeight="1" x14ac:dyDescent="0.3">
      <c r="A81" s="2715" t="s">
        <v>134</v>
      </c>
      <c r="B81" s="2715"/>
      <c r="M81" s="1181"/>
      <c r="W81" s="1181"/>
    </row>
    <row r="82" spans="1:23" s="1116" customFormat="1" ht="24" customHeight="1" x14ac:dyDescent="0.3">
      <c r="M82" s="1181"/>
      <c r="W82" s="1181"/>
    </row>
    <row r="83" spans="1:23" s="1116" customFormat="1" ht="24" customHeight="1" x14ac:dyDescent="0.3">
      <c r="B83" s="1145" t="s">
        <v>45</v>
      </c>
      <c r="C83" s="1397" t="s">
        <v>68</v>
      </c>
      <c r="D83" s="1397" t="s">
        <v>69</v>
      </c>
      <c r="E83" s="1397" t="s">
        <v>70</v>
      </c>
      <c r="F83" s="1397" t="s">
        <v>71</v>
      </c>
      <c r="G83" s="1397" t="s">
        <v>72</v>
      </c>
      <c r="H83" s="1397" t="s">
        <v>73</v>
      </c>
      <c r="I83" s="1397" t="s">
        <v>74</v>
      </c>
      <c r="J83" s="1398" t="s">
        <v>75</v>
      </c>
      <c r="K83" s="1397" t="s">
        <v>76</v>
      </c>
      <c r="L83" s="1397" t="s">
        <v>77</v>
      </c>
      <c r="M83" s="1397" t="s">
        <v>78</v>
      </c>
      <c r="N83" s="1397" t="s">
        <v>79</v>
      </c>
      <c r="T83" s="1181"/>
    </row>
    <row r="84" spans="1:23" s="1116" customFormat="1" ht="24" customHeight="1" x14ac:dyDescent="0.3">
      <c r="B84" s="1283" t="s">
        <v>20</v>
      </c>
      <c r="C84" s="1153">
        <v>3</v>
      </c>
      <c r="D84" s="1153">
        <v>3</v>
      </c>
      <c r="E84" s="1153">
        <v>2</v>
      </c>
      <c r="F84" s="1153">
        <v>1</v>
      </c>
      <c r="G84" s="1153">
        <v>2</v>
      </c>
      <c r="H84" s="1153"/>
      <c r="I84" s="1153"/>
      <c r="J84" s="1153"/>
      <c r="K84" s="1153"/>
      <c r="L84" s="1153"/>
      <c r="M84" s="1153"/>
      <c r="N84" s="1153">
        <v>2</v>
      </c>
      <c r="T84" s="1181"/>
    </row>
    <row r="85" spans="1:23" s="1116" customFormat="1" ht="24" customHeight="1" x14ac:dyDescent="0.3">
      <c r="B85" s="1283" t="s">
        <v>21</v>
      </c>
      <c r="C85" s="1153">
        <v>3</v>
      </c>
      <c r="D85" s="1153">
        <v>3</v>
      </c>
      <c r="E85" s="1153">
        <v>2</v>
      </c>
      <c r="F85" s="1153">
        <v>1</v>
      </c>
      <c r="G85" s="1153">
        <v>2</v>
      </c>
      <c r="H85" s="1153">
        <v>1</v>
      </c>
      <c r="I85" s="1153"/>
      <c r="J85" s="1153"/>
      <c r="K85" s="1153"/>
      <c r="L85" s="1153"/>
      <c r="M85" s="1153"/>
      <c r="N85" s="1153">
        <v>2</v>
      </c>
      <c r="T85" s="1181"/>
    </row>
    <row r="86" spans="1:23" s="1116" customFormat="1" ht="24" customHeight="1" x14ac:dyDescent="0.3">
      <c r="B86" s="1283" t="s">
        <v>23</v>
      </c>
      <c r="C86" s="1153">
        <v>3</v>
      </c>
      <c r="D86" s="1153">
        <v>3</v>
      </c>
      <c r="E86" s="1153">
        <v>3</v>
      </c>
      <c r="F86" s="1153">
        <v>1</v>
      </c>
      <c r="G86" s="1153">
        <v>3</v>
      </c>
      <c r="H86" s="1153">
        <v>2</v>
      </c>
      <c r="I86" s="1153"/>
      <c r="J86" s="1153"/>
      <c r="K86" s="1153"/>
      <c r="L86" s="1153"/>
      <c r="M86" s="1153"/>
      <c r="N86" s="1153">
        <v>2</v>
      </c>
      <c r="T86" s="1181"/>
    </row>
    <row r="87" spans="1:23" s="1116" customFormat="1" ht="24" customHeight="1" x14ac:dyDescent="0.3">
      <c r="B87" s="1283" t="s">
        <v>25</v>
      </c>
      <c r="C87" s="1153">
        <v>2</v>
      </c>
      <c r="D87" s="1153">
        <v>2</v>
      </c>
      <c r="E87" s="1153">
        <v>3</v>
      </c>
      <c r="F87" s="1153">
        <v>1</v>
      </c>
      <c r="G87" s="1153">
        <v>1</v>
      </c>
      <c r="H87" s="1153"/>
      <c r="I87" s="1153"/>
      <c r="J87" s="1153"/>
      <c r="K87" s="1153"/>
      <c r="L87" s="1153"/>
      <c r="M87" s="1153"/>
      <c r="N87" s="1153">
        <v>2</v>
      </c>
      <c r="T87" s="1181"/>
    </row>
    <row r="88" spans="1:23" s="1116" customFormat="1" ht="24" customHeight="1" x14ac:dyDescent="0.3">
      <c r="B88" s="1399" t="s">
        <v>10</v>
      </c>
      <c r="C88" s="1400">
        <f t="shared" ref="C88:H88" si="13">AVERAGE(C84:C87)</f>
        <v>2.75</v>
      </c>
      <c r="D88" s="1400">
        <f t="shared" si="13"/>
        <v>2.75</v>
      </c>
      <c r="E88" s="1400">
        <f t="shared" si="13"/>
        <v>2.5</v>
      </c>
      <c r="F88" s="1400">
        <f t="shared" si="13"/>
        <v>1</v>
      </c>
      <c r="G88" s="1400">
        <f t="shared" si="13"/>
        <v>2</v>
      </c>
      <c r="H88" s="1400">
        <f t="shared" si="13"/>
        <v>1.5</v>
      </c>
      <c r="I88" s="1400"/>
      <c r="J88" s="1400"/>
      <c r="K88" s="1400"/>
      <c r="L88" s="1400"/>
      <c r="M88" s="1400"/>
      <c r="N88" s="1400">
        <f>AVERAGE(N84:N87)</f>
        <v>2</v>
      </c>
      <c r="T88" s="1181"/>
    </row>
    <row r="89" spans="1:23" s="1116" customFormat="1" ht="24" customHeight="1" x14ac:dyDescent="0.3">
      <c r="B89" s="1155" t="s">
        <v>58</v>
      </c>
      <c r="C89" s="3486">
        <f>AVERAGE(C88:N88)</f>
        <v>2.0714285714285716</v>
      </c>
      <c r="D89" s="3487"/>
      <c r="E89" s="3487"/>
      <c r="F89" s="3487"/>
      <c r="G89" s="3487"/>
      <c r="H89" s="3487"/>
      <c r="I89" s="3487"/>
      <c r="J89" s="3487"/>
      <c r="K89" s="3487"/>
      <c r="L89" s="3487"/>
      <c r="M89" s="3487"/>
      <c r="N89" s="3488"/>
      <c r="O89" s="1322"/>
      <c r="P89" s="1322"/>
      <c r="Q89" s="1322"/>
      <c r="W89" s="1181"/>
    </row>
    <row r="90" spans="1:23" s="1116" customFormat="1" ht="24" customHeight="1" x14ac:dyDescent="0.3">
      <c r="C90" s="1243"/>
      <c r="M90" s="1181"/>
      <c r="W90" s="1181"/>
    </row>
    <row r="91" spans="1:23" s="1116" customFormat="1" ht="24" customHeight="1" x14ac:dyDescent="0.3">
      <c r="M91" s="1181"/>
      <c r="W91" s="1181"/>
    </row>
    <row r="92" spans="1:23" s="1116" customFormat="1" ht="24" customHeight="1" x14ac:dyDescent="0.3">
      <c r="A92" s="2715" t="s">
        <v>148</v>
      </c>
      <c r="B92" s="2715"/>
      <c r="M92" s="1181"/>
      <c r="W92" s="1181"/>
    </row>
    <row r="93" spans="1:23" s="1116" customFormat="1" ht="24" customHeight="1" x14ac:dyDescent="0.3">
      <c r="M93" s="1181"/>
      <c r="W93" s="1181"/>
    </row>
    <row r="94" spans="1:23" s="1116" customFormat="1" ht="24" customHeight="1" x14ac:dyDescent="0.3">
      <c r="B94" s="1145" t="s">
        <v>45</v>
      </c>
      <c r="C94" s="1397" t="s">
        <v>68</v>
      </c>
      <c r="D94" s="1397" t="s">
        <v>69</v>
      </c>
      <c r="E94" s="1397" t="s">
        <v>70</v>
      </c>
      <c r="F94" s="1397" t="s">
        <v>71</v>
      </c>
      <c r="G94" s="1397" t="s">
        <v>72</v>
      </c>
      <c r="H94" s="1397" t="s">
        <v>73</v>
      </c>
      <c r="I94" s="1397" t="s">
        <v>74</v>
      </c>
      <c r="J94" s="1398" t="s">
        <v>75</v>
      </c>
      <c r="K94" s="1397" t="s">
        <v>76</v>
      </c>
      <c r="L94" s="1397" t="s">
        <v>77</v>
      </c>
      <c r="M94" s="1397" t="s">
        <v>78</v>
      </c>
      <c r="N94" s="1397" t="s">
        <v>79</v>
      </c>
      <c r="T94" s="1181"/>
    </row>
    <row r="95" spans="1:23" s="1116" customFormat="1" ht="24" customHeight="1" x14ac:dyDescent="0.3">
      <c r="B95" s="1283" t="s">
        <v>20</v>
      </c>
      <c r="C95" s="1157">
        <f>G75*C84/3</f>
        <v>2.9999999999999996</v>
      </c>
      <c r="D95" s="1157">
        <f>G75*D84/3</f>
        <v>2.9999999999999996</v>
      </c>
      <c r="E95" s="1157">
        <f>G75*E84/3</f>
        <v>1.9999999999999998</v>
      </c>
      <c r="F95" s="1157">
        <f>G75*F84/3</f>
        <v>0.99999999999999989</v>
      </c>
      <c r="G95" s="1157">
        <f>G75*G84/3</f>
        <v>1.9999999999999998</v>
      </c>
      <c r="H95" s="1157"/>
      <c r="I95" s="1157"/>
      <c r="J95" s="1157"/>
      <c r="K95" s="1157"/>
      <c r="L95" s="1157"/>
      <c r="M95" s="1157"/>
      <c r="N95" s="1157">
        <f>G75*N84/3</f>
        <v>1.9999999999999998</v>
      </c>
      <c r="T95" s="1181"/>
    </row>
    <row r="96" spans="1:23" s="1116" customFormat="1" ht="24" customHeight="1" x14ac:dyDescent="0.3">
      <c r="B96" s="1283" t="s">
        <v>21</v>
      </c>
      <c r="C96" s="1157">
        <f>G76*C85/3</f>
        <v>2.9999999999999996</v>
      </c>
      <c r="D96" s="1157">
        <f>G76*D85/3</f>
        <v>2.9999999999999996</v>
      </c>
      <c r="E96" s="1157">
        <f>G76*E85/3</f>
        <v>1.9999999999999998</v>
      </c>
      <c r="F96" s="1157">
        <f>G76*F85/3</f>
        <v>0.99999999999999989</v>
      </c>
      <c r="G96" s="1157">
        <f>G76*G85/3</f>
        <v>1.9999999999999998</v>
      </c>
      <c r="H96" s="1157">
        <f>G76*H85/3</f>
        <v>0.99999999999999989</v>
      </c>
      <c r="I96" s="1157"/>
      <c r="J96" s="1157"/>
      <c r="K96" s="1157"/>
      <c r="L96" s="1157"/>
      <c r="M96" s="1157"/>
      <c r="N96" s="1157">
        <f>G76*N85/3</f>
        <v>1.9999999999999998</v>
      </c>
      <c r="T96" s="1181"/>
    </row>
    <row r="97" spans="1:23" s="1116" customFormat="1" ht="24" customHeight="1" x14ac:dyDescent="0.3">
      <c r="B97" s="1283" t="s">
        <v>23</v>
      </c>
      <c r="C97" s="1157">
        <f>G77*C86/3</f>
        <v>2.6999999999999997</v>
      </c>
      <c r="D97" s="1157">
        <f>G77*D86/3</f>
        <v>2.6999999999999997</v>
      </c>
      <c r="E97" s="1157">
        <f>G77*E86/3</f>
        <v>2.6999999999999997</v>
      </c>
      <c r="F97" s="1157">
        <f>G77*F86/3</f>
        <v>0.89999999999999991</v>
      </c>
      <c r="G97" s="1157">
        <f>G77*G86/3</f>
        <v>2.6999999999999997</v>
      </c>
      <c r="H97" s="1157">
        <f>G77*H86/3</f>
        <v>1.7999999999999998</v>
      </c>
      <c r="I97" s="1157"/>
      <c r="J97" s="1157"/>
      <c r="K97" s="1157"/>
      <c r="L97" s="1157"/>
      <c r="M97" s="1157"/>
      <c r="N97" s="1157">
        <f>G77*N86/3</f>
        <v>1.7999999999999998</v>
      </c>
      <c r="T97" s="1181"/>
    </row>
    <row r="98" spans="1:23" s="1116" customFormat="1" ht="24" customHeight="1" x14ac:dyDescent="0.3">
      <c r="B98" s="1283" t="s">
        <v>25</v>
      </c>
      <c r="C98" s="1157">
        <f>G78*C87/3</f>
        <v>1.7999999999999998</v>
      </c>
      <c r="D98" s="1157">
        <f>G78*D87/3</f>
        <v>1.7999999999999998</v>
      </c>
      <c r="E98" s="1157">
        <f>G78*E87/3</f>
        <v>2.6999999999999997</v>
      </c>
      <c r="F98" s="1157">
        <f>G78*F87/3</f>
        <v>0.89999999999999991</v>
      </c>
      <c r="G98" s="1157">
        <f>G78*G87/3</f>
        <v>0.89999999999999991</v>
      </c>
      <c r="H98" s="1157"/>
      <c r="I98" s="1157"/>
      <c r="J98" s="1157"/>
      <c r="K98" s="1157"/>
      <c r="L98" s="1157"/>
      <c r="M98" s="1157"/>
      <c r="N98" s="1157">
        <f>G78*N87/3</f>
        <v>1.7999999999999998</v>
      </c>
      <c r="T98" s="1181"/>
    </row>
    <row r="99" spans="1:23" s="1116" customFormat="1" ht="24" customHeight="1" x14ac:dyDescent="0.3">
      <c r="B99" s="1399" t="s">
        <v>10</v>
      </c>
      <c r="C99" s="1401">
        <f t="shared" ref="C99:N99" si="14">AVERAGE(C95:C98)</f>
        <v>2.625</v>
      </c>
      <c r="D99" s="1401">
        <f t="shared" si="14"/>
        <v>2.625</v>
      </c>
      <c r="E99" s="1401">
        <f t="shared" si="14"/>
        <v>2.3499999999999996</v>
      </c>
      <c r="F99" s="1401">
        <f t="shared" si="14"/>
        <v>0.94999999999999984</v>
      </c>
      <c r="G99" s="1401">
        <f t="shared" si="14"/>
        <v>1.9</v>
      </c>
      <c r="H99" s="1401">
        <f t="shared" si="14"/>
        <v>1.4</v>
      </c>
      <c r="I99" s="1401"/>
      <c r="J99" s="1401"/>
      <c r="K99" s="1401"/>
      <c r="L99" s="1401"/>
      <c r="M99" s="1401"/>
      <c r="N99" s="1401">
        <f t="shared" si="14"/>
        <v>1.8999999999999997</v>
      </c>
      <c r="T99" s="1181"/>
    </row>
    <row r="100" spans="1:23" s="1116" customFormat="1" ht="24" customHeight="1" x14ac:dyDescent="0.3">
      <c r="B100" s="1155" t="s">
        <v>58</v>
      </c>
      <c r="C100" s="3483">
        <f>AVERAGE(C99:N99)</f>
        <v>1.9642857142857142</v>
      </c>
      <c r="D100" s="3484"/>
      <c r="E100" s="3484"/>
      <c r="F100" s="3484"/>
      <c r="G100" s="3484"/>
      <c r="H100" s="3484"/>
      <c r="I100" s="3484"/>
      <c r="J100" s="3484"/>
      <c r="K100" s="3484"/>
      <c r="L100" s="3484"/>
      <c r="M100" s="3484"/>
      <c r="N100" s="3485"/>
      <c r="O100" s="1186"/>
      <c r="P100" s="1186"/>
      <c r="Q100" s="1186"/>
      <c r="W100" s="1181"/>
    </row>
    <row r="101" spans="1:23" s="1116" customFormat="1" ht="24" customHeight="1" x14ac:dyDescent="0.3">
      <c r="M101" s="1181"/>
      <c r="W101" s="1181"/>
    </row>
    <row r="102" spans="1:23" s="1116" customFormat="1" ht="24" customHeight="1" x14ac:dyDescent="0.3">
      <c r="A102" s="2715" t="s">
        <v>137</v>
      </c>
      <c r="B102" s="2715"/>
      <c r="C102" s="1240"/>
      <c r="D102" s="1240"/>
      <c r="K102" s="2715" t="s">
        <v>149</v>
      </c>
      <c r="L102" s="2715"/>
      <c r="M102" s="2715"/>
      <c r="N102" s="1240"/>
      <c r="O102" s="1240"/>
      <c r="W102" s="1181"/>
    </row>
    <row r="103" spans="1:23" s="1116" customFormat="1" ht="24" customHeight="1" x14ac:dyDescent="0.3">
      <c r="A103" s="1142"/>
      <c r="B103" s="1142"/>
      <c r="C103" s="1240"/>
      <c r="D103" s="1240"/>
      <c r="K103" s="1142"/>
      <c r="L103" s="1142"/>
      <c r="M103" s="1248"/>
      <c r="N103" s="1240"/>
      <c r="O103" s="1240"/>
      <c r="W103" s="1181"/>
    </row>
    <row r="104" spans="1:23" s="1116" customFormat="1" ht="24" customHeight="1" x14ac:dyDescent="0.3">
      <c r="B104" s="1145" t="s">
        <v>59</v>
      </c>
      <c r="C104" s="1397" t="s">
        <v>60</v>
      </c>
      <c r="D104" s="1397" t="s">
        <v>61</v>
      </c>
      <c r="E104" s="1397" t="s">
        <v>62</v>
      </c>
      <c r="M104" s="1249" t="s">
        <v>59</v>
      </c>
      <c r="N104" s="1397" t="s">
        <v>60</v>
      </c>
      <c r="O104" s="1397" t="s">
        <v>61</v>
      </c>
      <c r="P104" s="1397" t="s">
        <v>62</v>
      </c>
      <c r="W104" s="1181"/>
    </row>
    <row r="105" spans="1:23" s="1116" customFormat="1" ht="24" customHeight="1" x14ac:dyDescent="0.3">
      <c r="B105" s="1159" t="s">
        <v>20</v>
      </c>
      <c r="C105" s="1153">
        <v>3</v>
      </c>
      <c r="D105" s="1153">
        <v>2</v>
      </c>
      <c r="E105" s="1153"/>
      <c r="M105" s="1250" t="s">
        <v>20</v>
      </c>
      <c r="N105" s="1157">
        <f>G75*C105/3</f>
        <v>2.9999999999999996</v>
      </c>
      <c r="O105" s="1157">
        <f>G75*D105/3</f>
        <v>1.9999999999999998</v>
      </c>
      <c r="P105" s="1157"/>
      <c r="W105" s="1181"/>
    </row>
    <row r="106" spans="1:23" s="1116" customFormat="1" ht="24" customHeight="1" x14ac:dyDescent="0.3">
      <c r="B106" s="1283" t="s">
        <v>21</v>
      </c>
      <c r="C106" s="1153">
        <v>3</v>
      </c>
      <c r="D106" s="1153">
        <v>2</v>
      </c>
      <c r="E106" s="1153">
        <v>1</v>
      </c>
      <c r="M106" s="1402" t="s">
        <v>21</v>
      </c>
      <c r="N106" s="1157">
        <f>G76*C106/3</f>
        <v>2.9999999999999996</v>
      </c>
      <c r="O106" s="1157">
        <f>G76*D106/3</f>
        <v>1.9999999999999998</v>
      </c>
      <c r="P106" s="1157">
        <f>G76*E106/3</f>
        <v>0.99999999999999989</v>
      </c>
      <c r="W106" s="1181"/>
    </row>
    <row r="107" spans="1:23" s="1116" customFormat="1" ht="24" customHeight="1" x14ac:dyDescent="0.3">
      <c r="B107" s="1283" t="s">
        <v>23</v>
      </c>
      <c r="C107" s="1153">
        <v>3</v>
      </c>
      <c r="D107" s="1153">
        <v>3</v>
      </c>
      <c r="E107" s="1153">
        <v>1</v>
      </c>
      <c r="M107" s="1402" t="s">
        <v>23</v>
      </c>
      <c r="N107" s="1157">
        <f>G77*C107/3</f>
        <v>2.6999999999999997</v>
      </c>
      <c r="O107" s="1157">
        <f>G77*D107/3</f>
        <v>2.6999999999999997</v>
      </c>
      <c r="P107" s="1157">
        <f>G77*E107/3</f>
        <v>0.89999999999999991</v>
      </c>
      <c r="W107" s="1181"/>
    </row>
    <row r="108" spans="1:23" s="1116" customFormat="1" ht="24" customHeight="1" x14ac:dyDescent="0.3">
      <c r="B108" s="1283" t="s">
        <v>25</v>
      </c>
      <c r="C108" s="1153">
        <v>2</v>
      </c>
      <c r="D108" s="1153">
        <v>2</v>
      </c>
      <c r="E108" s="1153"/>
      <c r="M108" s="1402" t="s">
        <v>25</v>
      </c>
      <c r="N108" s="1157">
        <f>G78*C108/3</f>
        <v>1.7999999999999998</v>
      </c>
      <c r="O108" s="1157">
        <f>G78*D108/3</f>
        <v>1.7999999999999998</v>
      </c>
      <c r="P108" s="1157"/>
      <c r="W108" s="1181"/>
    </row>
    <row r="109" spans="1:23" s="1116" customFormat="1" ht="24" customHeight="1" x14ac:dyDescent="0.3">
      <c r="B109" s="1277" t="s">
        <v>10</v>
      </c>
      <c r="C109" s="1160">
        <f>AVERAGE(C105:C108)</f>
        <v>2.75</v>
      </c>
      <c r="D109" s="1160">
        <f>AVERAGE(D105:D108)</f>
        <v>2.25</v>
      </c>
      <c r="E109" s="1160">
        <f>AVERAGE(E105:E108)</f>
        <v>1</v>
      </c>
      <c r="M109" s="1403" t="s">
        <v>10</v>
      </c>
      <c r="N109" s="1157">
        <f>AVERAGE(N105:N108)</f>
        <v>2.625</v>
      </c>
      <c r="O109" s="1157">
        <f>AVERAGE(O105:O108)</f>
        <v>2.125</v>
      </c>
      <c r="P109" s="1157">
        <f>AVERAGE(P105:P108)</f>
        <v>0.95</v>
      </c>
      <c r="W109" s="1181"/>
    </row>
    <row r="110" spans="1:23" s="1116" customFormat="1" ht="24" customHeight="1" x14ac:dyDescent="0.3">
      <c r="A110" s="1141"/>
      <c r="B110" s="1279" t="s">
        <v>58</v>
      </c>
      <c r="C110" s="3486">
        <f>AVERAGE(C109:E109)</f>
        <v>2</v>
      </c>
      <c r="D110" s="3487"/>
      <c r="E110" s="3488"/>
      <c r="F110" s="1141"/>
      <c r="G110" s="1141"/>
      <c r="H110" s="1141"/>
      <c r="I110" s="1141"/>
      <c r="J110" s="1141"/>
      <c r="K110" s="1141"/>
      <c r="L110" s="1141"/>
      <c r="M110" s="1404" t="s">
        <v>58</v>
      </c>
      <c r="N110" s="3486">
        <f>AVERAGE(N109:P109)</f>
        <v>1.9000000000000001</v>
      </c>
      <c r="O110" s="3487"/>
      <c r="P110" s="3488"/>
      <c r="Q110" s="1141"/>
      <c r="W110" s="1181"/>
    </row>
    <row r="113" spans="1:17" x14ac:dyDescent="0.25">
      <c r="A113" s="3489"/>
      <c r="B113" s="3489"/>
      <c r="C113" s="3489"/>
      <c r="D113" s="3489"/>
      <c r="E113" s="3489"/>
      <c r="F113" s="3489"/>
      <c r="G113" s="3489"/>
      <c r="H113" s="3489"/>
      <c r="I113" s="3489"/>
      <c r="J113" s="3489"/>
      <c r="K113" s="3489"/>
      <c r="L113" s="3489"/>
      <c r="M113" s="3489"/>
      <c r="N113" s="3489"/>
      <c r="O113" s="3489"/>
      <c r="P113" s="3489"/>
      <c r="Q113" s="3489"/>
    </row>
    <row r="114" spans="1:17" x14ac:dyDescent="0.25">
      <c r="A114" s="681"/>
      <c r="B114" s="681"/>
      <c r="C114" s="681"/>
      <c r="D114" s="681"/>
      <c r="E114" s="681"/>
      <c r="F114" s="681"/>
      <c r="G114" s="681"/>
      <c r="H114" s="681"/>
      <c r="I114" s="681"/>
      <c r="J114" s="681"/>
      <c r="K114" s="681"/>
      <c r="L114" s="681"/>
      <c r="M114" s="681"/>
      <c r="N114" s="681"/>
      <c r="O114" s="681"/>
      <c r="P114" s="681"/>
      <c r="Q114" s="681"/>
    </row>
    <row r="115" spans="1:17" x14ac:dyDescent="0.25">
      <c r="A115" s="3490"/>
      <c r="B115" s="3490"/>
      <c r="C115" s="3490"/>
      <c r="D115" s="3490"/>
      <c r="E115" s="3490"/>
      <c r="F115" s="3490"/>
      <c r="G115" s="3490"/>
      <c r="H115" s="3490"/>
      <c r="I115" s="3490"/>
      <c r="J115" s="3490"/>
      <c r="K115" s="3490"/>
      <c r="L115" s="3490"/>
      <c r="M115" s="3490"/>
      <c r="N115" s="3490"/>
      <c r="O115" s="3490"/>
      <c r="P115" s="3490"/>
      <c r="Q115" s="3490"/>
    </row>
    <row r="116" spans="1:17" x14ac:dyDescent="0.25">
      <c r="A116" s="3490"/>
      <c r="B116" s="3490"/>
      <c r="C116" s="3490"/>
      <c r="D116" s="3490"/>
      <c r="E116" s="3490"/>
      <c r="F116" s="3490"/>
      <c r="G116" s="3490"/>
      <c r="H116" s="3490"/>
      <c r="I116" s="3490"/>
      <c r="J116" s="3490"/>
      <c r="K116" s="3490"/>
      <c r="L116" s="3490"/>
      <c r="M116" s="3490"/>
      <c r="N116" s="3490"/>
      <c r="O116" s="3490"/>
      <c r="P116" s="3490"/>
      <c r="Q116" s="3490"/>
    </row>
    <row r="117" spans="1:17" x14ac:dyDescent="0.25">
      <c r="A117" s="3490"/>
      <c r="B117" s="3490"/>
      <c r="C117" s="3490"/>
      <c r="D117" s="3490"/>
      <c r="E117" s="3490"/>
      <c r="F117" s="3490"/>
      <c r="G117" s="3490"/>
      <c r="H117" s="3490"/>
      <c r="I117" s="3490"/>
      <c r="J117" s="3490"/>
      <c r="K117" s="3490"/>
      <c r="L117" s="3490"/>
      <c r="M117" s="3490"/>
      <c r="N117" s="3490"/>
      <c r="O117" s="3490"/>
      <c r="P117" s="3490"/>
      <c r="Q117" s="3490"/>
    </row>
    <row r="118" spans="1:17" x14ac:dyDescent="0.25">
      <c r="A118" s="3490"/>
      <c r="B118" s="3490"/>
      <c r="C118" s="3490"/>
      <c r="D118" s="3490"/>
      <c r="E118" s="3490"/>
      <c r="F118" s="3490"/>
      <c r="G118" s="3490"/>
      <c r="H118" s="3490"/>
      <c r="I118" s="3490"/>
      <c r="J118" s="3490"/>
      <c r="K118" s="3490"/>
      <c r="L118" s="3490"/>
      <c r="M118" s="3490"/>
      <c r="N118" s="3490"/>
      <c r="O118" s="3490"/>
      <c r="P118" s="3490"/>
      <c r="Q118" s="3490"/>
    </row>
    <row r="119" spans="1:17" x14ac:dyDescent="0.25">
      <c r="A119" s="3490"/>
      <c r="B119" s="3490"/>
      <c r="C119" s="3490"/>
      <c r="D119" s="3490"/>
      <c r="E119" s="3490"/>
      <c r="F119" s="3490"/>
      <c r="G119" s="3490"/>
      <c r="H119" s="3490"/>
      <c r="I119" s="3490"/>
      <c r="J119" s="3490"/>
      <c r="K119" s="3490"/>
      <c r="L119" s="3490"/>
      <c r="M119" s="3490"/>
      <c r="N119" s="3490"/>
      <c r="O119" s="3490"/>
      <c r="P119" s="3490"/>
      <c r="Q119" s="3490"/>
    </row>
    <row r="120" spans="1:17" x14ac:dyDescent="0.25">
      <c r="A120" s="3490"/>
      <c r="B120" s="3490"/>
      <c r="C120" s="3490"/>
      <c r="D120" s="3490"/>
      <c r="E120" s="3490"/>
      <c r="F120" s="3490"/>
      <c r="G120" s="3490"/>
      <c r="H120" s="3490"/>
      <c r="I120" s="3490"/>
      <c r="J120" s="3490"/>
      <c r="K120" s="3490"/>
      <c r="L120" s="3490"/>
      <c r="M120" s="3490"/>
      <c r="N120" s="3490"/>
      <c r="O120" s="3490"/>
      <c r="P120" s="3490"/>
      <c r="Q120" s="3490"/>
    </row>
    <row r="121" spans="1:17" x14ac:dyDescent="0.25">
      <c r="A121" s="3489"/>
      <c r="B121" s="3489"/>
      <c r="C121" s="3489"/>
      <c r="D121" s="3489"/>
      <c r="E121" s="3489"/>
      <c r="F121" s="3489"/>
      <c r="G121" s="3489"/>
      <c r="H121" s="3489"/>
      <c r="I121" s="3489"/>
      <c r="J121" s="3489"/>
      <c r="K121" s="3489"/>
      <c r="L121" s="3489"/>
      <c r="M121" s="3489"/>
      <c r="N121" s="3489"/>
      <c r="O121" s="3489"/>
      <c r="P121" s="3489"/>
      <c r="Q121" s="3489"/>
    </row>
    <row r="122" spans="1:17" x14ac:dyDescent="0.25">
      <c r="A122" s="3491"/>
      <c r="B122" s="3491"/>
      <c r="C122" s="3491"/>
      <c r="D122" s="3491"/>
      <c r="E122" s="3491"/>
      <c r="F122" s="3491"/>
      <c r="G122" s="3491"/>
      <c r="H122" s="3491"/>
      <c r="I122" s="3491"/>
      <c r="J122" s="3491"/>
      <c r="K122" s="3491"/>
      <c r="L122" s="3491"/>
      <c r="M122" s="3491"/>
      <c r="N122" s="3491"/>
      <c r="O122" s="3491"/>
      <c r="P122" s="3491"/>
      <c r="Q122" s="3491"/>
    </row>
    <row r="123" spans="1:17" x14ac:dyDescent="0.25">
      <c r="A123" s="3482"/>
      <c r="B123" s="3482"/>
      <c r="C123" s="3482"/>
      <c r="D123" s="3482"/>
      <c r="E123" s="3482"/>
      <c r="F123" s="3482"/>
      <c r="G123" s="3482"/>
      <c r="H123" s="3482"/>
      <c r="I123" s="3482"/>
      <c r="J123" s="3482"/>
      <c r="K123" s="3482"/>
      <c r="L123" s="3482"/>
      <c r="M123" s="3482"/>
      <c r="N123" s="3482"/>
      <c r="O123" s="3482"/>
      <c r="P123" s="3482"/>
      <c r="Q123" s="3482"/>
    </row>
    <row r="124" spans="1:17" x14ac:dyDescent="0.25">
      <c r="A124" s="3511"/>
      <c r="B124" s="3511"/>
      <c r="C124" s="3511"/>
      <c r="D124" s="3511"/>
      <c r="E124" s="3511"/>
      <c r="F124" s="3511"/>
      <c r="G124" s="3511"/>
      <c r="H124" s="3511"/>
      <c r="I124" s="3511"/>
      <c r="J124" s="3511"/>
      <c r="K124" s="3511"/>
      <c r="L124" s="3511"/>
      <c r="M124" s="3511"/>
      <c r="N124" s="3511"/>
      <c r="O124" s="3511"/>
      <c r="P124" s="3511"/>
      <c r="Q124" s="3511"/>
    </row>
    <row r="125" spans="1:17" x14ac:dyDescent="0.25">
      <c r="A125" s="3512"/>
      <c r="B125" s="3512"/>
      <c r="C125" s="3512"/>
      <c r="D125" s="3512"/>
      <c r="E125" s="3512"/>
      <c r="F125" s="3512"/>
      <c r="G125" s="3512"/>
      <c r="H125" s="3512"/>
      <c r="I125" s="3512"/>
      <c r="J125" s="3512"/>
      <c r="K125" s="3512"/>
      <c r="L125" s="3512"/>
      <c r="M125" s="3512"/>
      <c r="N125" s="3512"/>
      <c r="O125" s="3512"/>
      <c r="P125" s="3512"/>
      <c r="Q125" s="3512"/>
    </row>
    <row r="126" spans="1:17" x14ac:dyDescent="0.25">
      <c r="A126" s="3512"/>
      <c r="B126" s="3512"/>
      <c r="C126" s="3512"/>
      <c r="D126" s="3512"/>
      <c r="E126" s="3512"/>
      <c r="F126" s="3512"/>
      <c r="G126" s="3512"/>
      <c r="H126" s="3512"/>
      <c r="I126" s="3512"/>
      <c r="J126" s="3512"/>
      <c r="K126" s="3512"/>
      <c r="L126" s="3512"/>
      <c r="M126" s="3512"/>
      <c r="N126" s="3512"/>
      <c r="O126" s="3512"/>
      <c r="P126" s="3512"/>
      <c r="Q126" s="3512"/>
    </row>
    <row r="127" spans="1:17" x14ac:dyDescent="0.25">
      <c r="A127" s="3482"/>
      <c r="B127" s="3482"/>
      <c r="C127" s="3482"/>
      <c r="D127" s="3482"/>
      <c r="E127" s="3482"/>
      <c r="F127" s="3482"/>
      <c r="G127" s="3482"/>
      <c r="H127" s="3482"/>
      <c r="I127" s="3482"/>
      <c r="J127" s="3482"/>
      <c r="K127" s="3482"/>
      <c r="L127" s="3482"/>
      <c r="M127" s="3482"/>
      <c r="N127" s="3482"/>
      <c r="O127" s="3482"/>
      <c r="P127" s="3482"/>
      <c r="Q127" s="3482"/>
    </row>
  </sheetData>
  <mergeCells count="195">
    <mergeCell ref="L65:M65"/>
    <mergeCell ref="L66:M66"/>
    <mergeCell ref="A123:Q123"/>
    <mergeCell ref="A124:Q124"/>
    <mergeCell ref="A125:Q125"/>
    <mergeCell ref="A126:Q126"/>
    <mergeCell ref="F72:G72"/>
    <mergeCell ref="T72:U72"/>
    <mergeCell ref="E74:F74"/>
    <mergeCell ref="G74:H74"/>
    <mergeCell ref="E75:F75"/>
    <mergeCell ref="E76:F76"/>
    <mergeCell ref="E77:F77"/>
    <mergeCell ref="E78:F78"/>
    <mergeCell ref="B79:F79"/>
    <mergeCell ref="C89:N89"/>
    <mergeCell ref="A81:B81"/>
    <mergeCell ref="H72:I72"/>
    <mergeCell ref="J72:K72"/>
    <mergeCell ref="L72:M72"/>
    <mergeCell ref="T66:U66"/>
    <mergeCell ref="T67:U67"/>
    <mergeCell ref="T68:U68"/>
    <mergeCell ref="T69:U69"/>
    <mergeCell ref="A70:B70"/>
    <mergeCell ref="T70:U70"/>
    <mergeCell ref="A71:B71"/>
    <mergeCell ref="T71:U71"/>
    <mergeCell ref="L71:M71"/>
    <mergeCell ref="L69:M69"/>
    <mergeCell ref="L70:M70"/>
    <mergeCell ref="L67:M67"/>
    <mergeCell ref="L68:M68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AD6:AD8"/>
    <mergeCell ref="T7:U7"/>
    <mergeCell ref="F8:G8"/>
    <mergeCell ref="H8:I8"/>
    <mergeCell ref="J8:K8"/>
    <mergeCell ref="L8:M8"/>
    <mergeCell ref="T8:U8"/>
    <mergeCell ref="T9:U9"/>
    <mergeCell ref="T11:U11"/>
    <mergeCell ref="F6:G6"/>
    <mergeCell ref="O6:Q6"/>
    <mergeCell ref="R6:S6"/>
    <mergeCell ref="T6:U6"/>
    <mergeCell ref="V6:W6"/>
    <mergeCell ref="X6:Y6"/>
    <mergeCell ref="AA6:AA8"/>
    <mergeCell ref="AB6:AB8"/>
    <mergeCell ref="AC6:AC8"/>
    <mergeCell ref="A127:Q127"/>
    <mergeCell ref="A92:B92"/>
    <mergeCell ref="C100:N100"/>
    <mergeCell ref="A102:B102"/>
    <mergeCell ref="K102:M102"/>
    <mergeCell ref="C110:E110"/>
    <mergeCell ref="N110:P110"/>
    <mergeCell ref="A113:Q113"/>
    <mergeCell ref="A115:Q115"/>
    <mergeCell ref="A116:Q116"/>
    <mergeCell ref="A117:Q117"/>
    <mergeCell ref="A118:Q118"/>
    <mergeCell ref="A119:Q119"/>
    <mergeCell ref="A120:Q120"/>
    <mergeCell ref="A121:Q121"/>
    <mergeCell ref="A122:Q122"/>
    <mergeCell ref="L63:M63"/>
    <mergeCell ref="L64:M64"/>
    <mergeCell ref="L61:M61"/>
    <mergeCell ref="L62:M62"/>
    <mergeCell ref="L59:M59"/>
    <mergeCell ref="L60:M60"/>
    <mergeCell ref="L57:M57"/>
    <mergeCell ref="L58:M58"/>
    <mergeCell ref="L55:M55"/>
    <mergeCell ref="L56:M56"/>
    <mergeCell ref="L53:M53"/>
    <mergeCell ref="L54:M54"/>
    <mergeCell ref="L51:M51"/>
    <mergeCell ref="L52:M52"/>
    <mergeCell ref="L49:M49"/>
    <mergeCell ref="L50:M50"/>
    <mergeCell ref="L47:M47"/>
    <mergeCell ref="L48:M48"/>
    <mergeCell ref="L45:M45"/>
    <mergeCell ref="L46:M46"/>
    <mergeCell ref="L43:M43"/>
    <mergeCell ref="L44:M44"/>
    <mergeCell ref="L41:M41"/>
    <mergeCell ref="L42:M42"/>
    <mergeCell ref="L39:M39"/>
    <mergeCell ref="L40:M40"/>
    <mergeCell ref="L37:M37"/>
    <mergeCell ref="L38:M38"/>
    <mergeCell ref="L35:M35"/>
    <mergeCell ref="L36:M36"/>
    <mergeCell ref="L33:M33"/>
    <mergeCell ref="L34:M34"/>
    <mergeCell ref="L31:M31"/>
    <mergeCell ref="L32:M32"/>
    <mergeCell ref="L29:M29"/>
    <mergeCell ref="L30:M30"/>
    <mergeCell ref="L27:M27"/>
    <mergeCell ref="L28:M28"/>
    <mergeCell ref="L25:M25"/>
    <mergeCell ref="L26:M26"/>
    <mergeCell ref="L23:M23"/>
    <mergeCell ref="L24:M24"/>
    <mergeCell ref="L21:M21"/>
    <mergeCell ref="L22:M22"/>
    <mergeCell ref="L19:M19"/>
    <mergeCell ref="L20:M20"/>
    <mergeCell ref="L17:M17"/>
    <mergeCell ref="L18:M18"/>
    <mergeCell ref="L15:M15"/>
    <mergeCell ref="L16:M16"/>
    <mergeCell ref="L13:M13"/>
    <mergeCell ref="L14:M14"/>
    <mergeCell ref="L11:M11"/>
    <mergeCell ref="L12:M12"/>
    <mergeCell ref="L10:M10"/>
    <mergeCell ref="T10:U10"/>
    <mergeCell ref="A3:B3"/>
    <mergeCell ref="C4:M4"/>
    <mergeCell ref="A2:B2"/>
    <mergeCell ref="C2:M2"/>
    <mergeCell ref="C3:M3"/>
    <mergeCell ref="O2:W2"/>
    <mergeCell ref="O3:W3"/>
    <mergeCell ref="O4:W4"/>
    <mergeCell ref="A6:A8"/>
    <mergeCell ref="H6:I6"/>
    <mergeCell ref="J6:K6"/>
    <mergeCell ref="L6:M6"/>
    <mergeCell ref="B6:B7"/>
    <mergeCell ref="A5:B5"/>
    <mergeCell ref="C5:N5"/>
    <mergeCell ref="O5:X5"/>
    <mergeCell ref="L9:M9"/>
    <mergeCell ref="C6:E6"/>
  </mergeCells>
  <conditionalFormatting sqref="AC10:AC67">
    <cfRule type="containsText" dxfId="83" priority="1" operator="containsText" text="F">
      <formula>NOT(ISERROR(SEARCH("F",AC10)))</formula>
    </cfRule>
  </conditionalFormatting>
  <pageMargins left="0.7" right="0.7" top="0.75" bottom="0.75" header="0.3" footer="0.3"/>
  <pageSetup paperSize="8" scale="4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1"/>
  <sheetViews>
    <sheetView topLeftCell="A100" zoomScale="70" zoomScaleNormal="70" zoomScaleSheetLayoutView="20" workbookViewId="0">
      <selection activeCell="G102" sqref="G102"/>
    </sheetView>
  </sheetViews>
  <sheetFormatPr defaultColWidth="11.28515625" defaultRowHeight="30.75" customHeight="1" x14ac:dyDescent="0.3"/>
  <cols>
    <col min="1" max="1" width="11.42578125" style="1095" bestFit="1" customWidth="1"/>
    <col min="2" max="2" width="24" style="1095" customWidth="1"/>
    <col min="3" max="12" width="11.42578125" style="1095" bestFit="1" customWidth="1"/>
    <col min="13" max="13" width="11.42578125" style="1370" bestFit="1" customWidth="1"/>
    <col min="14" max="22" width="11.42578125" style="1095" bestFit="1" customWidth="1"/>
    <col min="23" max="23" width="21.140625" style="1370" bestFit="1" customWidth="1"/>
    <col min="24" max="28" width="11.42578125" style="1095" bestFit="1" customWidth="1"/>
    <col min="29" max="29" width="11.28515625" style="1095"/>
    <col min="30" max="30" width="11.42578125" style="1095" bestFit="1" customWidth="1"/>
    <col min="31" max="16384" width="11.28515625" style="1095"/>
  </cols>
  <sheetData>
    <row r="1" spans="1:30" ht="30.75" customHeight="1" x14ac:dyDescent="0.3">
      <c r="A1" s="1530"/>
    </row>
    <row r="2" spans="1:30" ht="30.75" customHeight="1" x14ac:dyDescent="0.3">
      <c r="A2" s="3521" t="s">
        <v>0</v>
      </c>
      <c r="B2" s="3522"/>
      <c r="C2" s="3523" t="s">
        <v>267</v>
      </c>
      <c r="D2" s="3524"/>
      <c r="E2" s="3524"/>
      <c r="F2" s="3524"/>
      <c r="G2" s="3524"/>
      <c r="H2" s="3524"/>
      <c r="I2" s="3524"/>
      <c r="J2" s="3524"/>
      <c r="K2" s="3524"/>
      <c r="L2" s="3524"/>
      <c r="M2" s="3525"/>
      <c r="N2" s="861" t="s">
        <v>63</v>
      </c>
      <c r="O2" s="3526" t="s">
        <v>155</v>
      </c>
      <c r="P2" s="3527"/>
      <c r="Q2" s="3527"/>
      <c r="R2" s="3527"/>
      <c r="S2" s="3527"/>
      <c r="T2" s="3527"/>
      <c r="U2" s="3527"/>
      <c r="V2" s="3527"/>
      <c r="W2" s="3527"/>
      <c r="X2" s="1077"/>
      <c r="Y2" s="1077"/>
      <c r="Z2" s="1077"/>
      <c r="AA2" s="1077"/>
      <c r="AB2" s="1077"/>
      <c r="AC2" s="1077"/>
      <c r="AD2" s="1077"/>
    </row>
    <row r="3" spans="1:30" ht="30.75" customHeight="1" x14ac:dyDescent="0.3">
      <c r="A3" s="3521" t="s">
        <v>1</v>
      </c>
      <c r="B3" s="3522"/>
      <c r="C3" s="3523" t="s">
        <v>268</v>
      </c>
      <c r="D3" s="3524"/>
      <c r="E3" s="3524"/>
      <c r="F3" s="3524"/>
      <c r="G3" s="3524"/>
      <c r="H3" s="3524"/>
      <c r="I3" s="3524"/>
      <c r="J3" s="3524"/>
      <c r="K3" s="3524"/>
      <c r="L3" s="3524"/>
      <c r="M3" s="3525"/>
      <c r="N3" s="862" t="s">
        <v>64</v>
      </c>
      <c r="O3" s="3526" t="s">
        <v>232</v>
      </c>
      <c r="P3" s="3527"/>
      <c r="Q3" s="3527"/>
      <c r="R3" s="3527"/>
      <c r="S3" s="3527"/>
      <c r="T3" s="3527"/>
      <c r="U3" s="3527"/>
      <c r="V3" s="3527"/>
      <c r="W3" s="3527"/>
      <c r="X3" s="1077"/>
      <c r="Y3" s="1077"/>
      <c r="Z3" s="1077"/>
      <c r="AA3" s="1077"/>
      <c r="AB3" s="1077"/>
      <c r="AC3" s="1077"/>
      <c r="AD3" s="1077"/>
    </row>
    <row r="4" spans="1:30" ht="30.75" customHeight="1" thickBot="1" x14ac:dyDescent="0.35">
      <c r="A4" s="2179"/>
      <c r="B4" s="2180" t="s">
        <v>2</v>
      </c>
      <c r="C4" s="3544" t="s">
        <v>139</v>
      </c>
      <c r="D4" s="3545"/>
      <c r="E4" s="3545"/>
      <c r="F4" s="3545"/>
      <c r="G4" s="3545"/>
      <c r="H4" s="3545"/>
      <c r="I4" s="3545"/>
      <c r="J4" s="3545"/>
      <c r="K4" s="3545"/>
      <c r="L4" s="3545"/>
      <c r="M4" s="3546"/>
      <c r="N4" s="2180" t="s">
        <v>65</v>
      </c>
      <c r="O4" s="3547" t="s">
        <v>66</v>
      </c>
      <c r="P4" s="3548"/>
      <c r="Q4" s="3548"/>
      <c r="R4" s="3548"/>
      <c r="S4" s="3548"/>
      <c r="T4" s="3548"/>
      <c r="U4" s="3548"/>
      <c r="V4" s="3548"/>
      <c r="W4" s="3548"/>
      <c r="X4" s="1077"/>
      <c r="Y4" s="1077"/>
      <c r="Z4" s="1077"/>
      <c r="AA4" s="1077"/>
      <c r="AB4" s="1077"/>
      <c r="AC4" s="1077"/>
      <c r="AD4" s="1077"/>
    </row>
    <row r="5" spans="1:30" ht="30.75" customHeight="1" thickBot="1" x14ac:dyDescent="0.35">
      <c r="A5" s="3549"/>
      <c r="B5" s="3550"/>
      <c r="C5" s="3551" t="s">
        <v>3</v>
      </c>
      <c r="D5" s="3552"/>
      <c r="E5" s="3552"/>
      <c r="F5" s="3552"/>
      <c r="G5" s="3552"/>
      <c r="H5" s="3552"/>
      <c r="I5" s="3552"/>
      <c r="J5" s="3552"/>
      <c r="K5" s="3552"/>
      <c r="L5" s="3552"/>
      <c r="M5" s="3552"/>
      <c r="N5" s="3553"/>
      <c r="O5" s="3554" t="s">
        <v>4</v>
      </c>
      <c r="P5" s="3555"/>
      <c r="Q5" s="3555"/>
      <c r="R5" s="3555"/>
      <c r="S5" s="3555"/>
      <c r="T5" s="3555"/>
      <c r="U5" s="3555"/>
      <c r="V5" s="3555"/>
      <c r="W5" s="3555"/>
      <c r="X5" s="3555"/>
      <c r="Y5" s="2066"/>
      <c r="Z5" s="1535"/>
      <c r="AA5" s="1535"/>
      <c r="AB5" s="1535"/>
      <c r="AC5" s="1535"/>
      <c r="AD5" s="2181"/>
    </row>
    <row r="6" spans="1:30" ht="30.75" customHeight="1" thickBot="1" x14ac:dyDescent="0.35">
      <c r="A6" s="3528"/>
      <c r="B6" s="3531" t="s">
        <v>5</v>
      </c>
      <c r="C6" s="3533" t="s">
        <v>6</v>
      </c>
      <c r="D6" s="3534"/>
      <c r="E6" s="3535"/>
      <c r="F6" s="3536" t="s">
        <v>7</v>
      </c>
      <c r="G6" s="3537"/>
      <c r="H6" s="3538" t="s">
        <v>8</v>
      </c>
      <c r="I6" s="3539"/>
      <c r="J6" s="3560" t="s">
        <v>9</v>
      </c>
      <c r="K6" s="3538"/>
      <c r="L6" s="3538" t="s">
        <v>236</v>
      </c>
      <c r="M6" s="3539"/>
      <c r="N6" s="2071" t="s">
        <v>146</v>
      </c>
      <c r="O6" s="3533" t="s">
        <v>6</v>
      </c>
      <c r="P6" s="3534"/>
      <c r="Q6" s="3535"/>
      <c r="R6" s="3537" t="s">
        <v>7</v>
      </c>
      <c r="S6" s="3537"/>
      <c r="T6" s="3538" t="s">
        <v>8</v>
      </c>
      <c r="U6" s="3538"/>
      <c r="V6" s="3538" t="s">
        <v>9</v>
      </c>
      <c r="W6" s="3538"/>
      <c r="X6" s="3538" t="s">
        <v>236</v>
      </c>
      <c r="Y6" s="3538"/>
      <c r="Z6" s="1538" t="s">
        <v>147</v>
      </c>
      <c r="AA6" s="3517" t="s">
        <v>151</v>
      </c>
      <c r="AB6" s="3517" t="s">
        <v>152</v>
      </c>
      <c r="AC6" s="3517" t="s">
        <v>11</v>
      </c>
      <c r="AD6" s="3520" t="s">
        <v>12</v>
      </c>
    </row>
    <row r="7" spans="1:30" ht="30.75" customHeight="1" x14ac:dyDescent="0.3">
      <c r="A7" s="3529"/>
      <c r="B7" s="3532"/>
      <c r="C7" s="1547" t="s">
        <v>13</v>
      </c>
      <c r="D7" s="2039" t="s">
        <v>14</v>
      </c>
      <c r="E7" s="1550" t="s">
        <v>15</v>
      </c>
      <c r="F7" s="1547" t="s">
        <v>13</v>
      </c>
      <c r="G7" s="2039" t="s">
        <v>14</v>
      </c>
      <c r="H7" s="2039" t="s">
        <v>13</v>
      </c>
      <c r="I7" s="1550" t="s">
        <v>14</v>
      </c>
      <c r="J7" s="1547" t="s">
        <v>13</v>
      </c>
      <c r="K7" s="2182" t="s">
        <v>14</v>
      </c>
      <c r="L7" s="2064" t="s">
        <v>13</v>
      </c>
      <c r="M7" s="2039" t="s">
        <v>14</v>
      </c>
      <c r="N7" s="2067"/>
      <c r="O7" s="1547" t="s">
        <v>13</v>
      </c>
      <c r="P7" s="2039" t="s">
        <v>14</v>
      </c>
      <c r="Q7" s="1550" t="s">
        <v>15</v>
      </c>
      <c r="R7" s="2183" t="s">
        <v>13</v>
      </c>
      <c r="S7" s="2039" t="s">
        <v>14</v>
      </c>
      <c r="T7" s="2039" t="s">
        <v>13</v>
      </c>
      <c r="U7" s="2039" t="s">
        <v>14</v>
      </c>
      <c r="V7" s="2039" t="s">
        <v>13</v>
      </c>
      <c r="W7" s="2182" t="s">
        <v>14</v>
      </c>
      <c r="X7" s="2039" t="s">
        <v>13</v>
      </c>
      <c r="Y7" s="2039" t="s">
        <v>14</v>
      </c>
      <c r="Z7" s="2039"/>
      <c r="AA7" s="3518"/>
      <c r="AB7" s="3518"/>
      <c r="AC7" s="3518"/>
      <c r="AD7" s="3520"/>
    </row>
    <row r="8" spans="1:30" ht="30.75" customHeight="1" x14ac:dyDescent="0.3">
      <c r="A8" s="3530"/>
      <c r="B8" s="2184" t="s">
        <v>19</v>
      </c>
      <c r="C8" s="1547" t="s">
        <v>22</v>
      </c>
      <c r="D8" s="1547" t="s">
        <v>21</v>
      </c>
      <c r="E8" s="1548" t="s">
        <v>21</v>
      </c>
      <c r="F8" s="3540" t="s">
        <v>20</v>
      </c>
      <c r="G8" s="3541"/>
      <c r="H8" s="3542" t="s">
        <v>20</v>
      </c>
      <c r="I8" s="3543"/>
      <c r="J8" s="3556" t="s">
        <v>21</v>
      </c>
      <c r="K8" s="3557"/>
      <c r="L8" s="3558" t="s">
        <v>40</v>
      </c>
      <c r="M8" s="3559"/>
      <c r="N8" s="1548"/>
      <c r="O8" s="1547" t="s">
        <v>269</v>
      </c>
      <c r="P8" s="2039" t="s">
        <v>269</v>
      </c>
      <c r="Q8" s="1550" t="s">
        <v>269</v>
      </c>
      <c r="R8" s="2183" t="s">
        <v>269</v>
      </c>
      <c r="S8" s="2039" t="s">
        <v>269</v>
      </c>
      <c r="T8" s="2039" t="s">
        <v>269</v>
      </c>
      <c r="U8" s="2039" t="s">
        <v>269</v>
      </c>
      <c r="V8" s="2039" t="s">
        <v>269</v>
      </c>
      <c r="W8" s="2039" t="s">
        <v>269</v>
      </c>
      <c r="X8" s="2039" t="s">
        <v>269</v>
      </c>
      <c r="Y8" s="2039" t="s">
        <v>269</v>
      </c>
      <c r="Z8" s="2039" t="s">
        <v>237</v>
      </c>
      <c r="AA8" s="3519"/>
      <c r="AB8" s="3519"/>
      <c r="AC8" s="3519"/>
      <c r="AD8" s="3520"/>
    </row>
    <row r="9" spans="1:30" ht="30.75" customHeight="1" x14ac:dyDescent="0.3">
      <c r="A9" s="2039" t="s">
        <v>18</v>
      </c>
      <c r="B9" s="2182" t="s">
        <v>26</v>
      </c>
      <c r="C9" s="1547">
        <v>2</v>
      </c>
      <c r="D9" s="2039">
        <v>2</v>
      </c>
      <c r="E9" s="1550">
        <v>2</v>
      </c>
      <c r="F9" s="1547">
        <v>6</v>
      </c>
      <c r="G9" s="2039">
        <v>6</v>
      </c>
      <c r="H9" s="2039">
        <v>6</v>
      </c>
      <c r="I9" s="1550">
        <v>6</v>
      </c>
      <c r="J9" s="1547">
        <v>6</v>
      </c>
      <c r="K9" s="2185">
        <v>6</v>
      </c>
      <c r="L9" s="2039">
        <v>6</v>
      </c>
      <c r="M9" s="2039">
        <v>6</v>
      </c>
      <c r="N9" s="1553">
        <v>30</v>
      </c>
      <c r="O9" s="1547">
        <v>2</v>
      </c>
      <c r="P9" s="2039">
        <v>2</v>
      </c>
      <c r="Q9" s="1550">
        <v>2</v>
      </c>
      <c r="R9" s="2183">
        <v>6</v>
      </c>
      <c r="S9" s="2039">
        <v>6</v>
      </c>
      <c r="T9" s="2039">
        <v>6</v>
      </c>
      <c r="U9" s="2039">
        <v>6</v>
      </c>
      <c r="V9" s="2039">
        <v>6</v>
      </c>
      <c r="W9" s="1947">
        <v>6</v>
      </c>
      <c r="X9" s="1548">
        <v>6</v>
      </c>
      <c r="Y9" s="1547">
        <v>6</v>
      </c>
      <c r="Z9" s="2039">
        <v>30</v>
      </c>
      <c r="AA9" s="2044">
        <v>10</v>
      </c>
      <c r="AB9" s="2044">
        <v>10</v>
      </c>
      <c r="AC9" s="2044"/>
      <c r="AD9" s="2044"/>
    </row>
    <row r="10" spans="1:30" ht="30.75" customHeight="1" x14ac:dyDescent="0.3">
      <c r="A10" s="2039">
        <v>1</v>
      </c>
      <c r="B10" s="2186">
        <v>5191421001</v>
      </c>
      <c r="C10" s="1597">
        <v>2</v>
      </c>
      <c r="D10" s="1376">
        <v>2</v>
      </c>
      <c r="E10" s="1558">
        <v>2</v>
      </c>
      <c r="F10" s="1559">
        <v>4</v>
      </c>
      <c r="G10" s="1376">
        <v>4</v>
      </c>
      <c r="H10" s="2187">
        <v>4</v>
      </c>
      <c r="I10" s="1558">
        <v>4</v>
      </c>
      <c r="J10" s="1559">
        <v>6</v>
      </c>
      <c r="K10" s="1073"/>
      <c r="L10" s="1371">
        <v>5</v>
      </c>
      <c r="M10" s="1371">
        <v>3</v>
      </c>
      <c r="N10" s="1562">
        <v>22</v>
      </c>
      <c r="O10" s="1563"/>
      <c r="P10" s="1564">
        <v>2</v>
      </c>
      <c r="Q10" s="1565">
        <v>2</v>
      </c>
      <c r="R10" s="2188"/>
      <c r="S10" s="1561"/>
      <c r="T10" s="1557">
        <v>4</v>
      </c>
      <c r="U10" s="1371">
        <v>3</v>
      </c>
      <c r="V10" s="1371">
        <v>3</v>
      </c>
      <c r="W10" s="2189">
        <v>3</v>
      </c>
      <c r="X10" s="2188"/>
      <c r="Y10" s="1371"/>
      <c r="Z10" s="1371">
        <v>17</v>
      </c>
      <c r="AA10" s="1890">
        <v>10</v>
      </c>
      <c r="AB10" s="1890">
        <v>10</v>
      </c>
      <c r="AC10" s="2190" t="s">
        <v>31</v>
      </c>
      <c r="AD10" s="1371">
        <f>IF(AC10="O",100,IF(AC10="A+",90,IF(AC10="A",80,IF(AC10="B+",70,IF(AC10="B",60,IF(AC10="C",55,IF(AC10="P",50,IF(AC10="F",39))))))))</f>
        <v>55</v>
      </c>
    </row>
    <row r="11" spans="1:30" ht="30.75" customHeight="1" x14ac:dyDescent="0.3">
      <c r="A11" s="2191">
        <v>2</v>
      </c>
      <c r="B11" s="2192">
        <v>5191421002</v>
      </c>
      <c r="C11" s="2193">
        <v>2</v>
      </c>
      <c r="D11" s="2194">
        <v>2</v>
      </c>
      <c r="E11" s="2195">
        <v>2</v>
      </c>
      <c r="F11" s="2193"/>
      <c r="G11" s="2194">
        <v>5</v>
      </c>
      <c r="H11" s="2196"/>
      <c r="I11" s="2195"/>
      <c r="J11" s="2193">
        <v>3</v>
      </c>
      <c r="K11" s="2194">
        <v>3</v>
      </c>
      <c r="L11" s="1371"/>
      <c r="M11" s="2197"/>
      <c r="N11" s="2198">
        <f t="shared" ref="N11:N58" si="0">SUM(C11:M11)</f>
        <v>17</v>
      </c>
      <c r="O11" s="2199">
        <v>2</v>
      </c>
      <c r="P11" s="2200">
        <v>2</v>
      </c>
      <c r="Q11" s="2201">
        <v>2</v>
      </c>
      <c r="R11" s="2202">
        <v>6</v>
      </c>
      <c r="S11" s="2195">
        <v>3</v>
      </c>
      <c r="T11" s="2193"/>
      <c r="U11" s="2194"/>
      <c r="V11" s="2194">
        <v>3</v>
      </c>
      <c r="W11" s="2203">
        <v>2</v>
      </c>
      <c r="X11" s="2196"/>
      <c r="Y11" s="2194"/>
      <c r="Z11" s="2194">
        <v>20</v>
      </c>
      <c r="AA11" s="2204">
        <v>10</v>
      </c>
      <c r="AB11" s="2204">
        <v>10</v>
      </c>
      <c r="AC11" s="2190" t="s">
        <v>31</v>
      </c>
      <c r="AD11" s="1371">
        <f>IF(AC11="O",100,IF(AC11="A+",90,IF(AC11="A",80,IF(AC11="B+",70,IF(AC11="B",60,IF(AC11="C",55,IF(AC11="P",50,IF(AC11="F",39))))))))</f>
        <v>55</v>
      </c>
    </row>
    <row r="12" spans="1:30" s="1073" customFormat="1" ht="30.75" customHeight="1" x14ac:dyDescent="0.3">
      <c r="A12" s="2039">
        <v>3</v>
      </c>
      <c r="B12" s="1892">
        <v>5191421003</v>
      </c>
      <c r="C12" s="1564">
        <v>2</v>
      </c>
      <c r="D12" s="1564">
        <v>2</v>
      </c>
      <c r="E12" s="1564">
        <v>2</v>
      </c>
      <c r="F12" s="1564"/>
      <c r="G12" s="1371"/>
      <c r="H12" s="1371">
        <v>5</v>
      </c>
      <c r="I12" s="1371">
        <v>3</v>
      </c>
      <c r="J12" s="1371">
        <v>4</v>
      </c>
      <c r="K12" s="1371">
        <v>4</v>
      </c>
      <c r="L12" s="1371"/>
      <c r="M12" s="1371"/>
      <c r="N12" s="1562">
        <v>22</v>
      </c>
      <c r="O12" s="1564">
        <v>2</v>
      </c>
      <c r="P12" s="1564">
        <v>2</v>
      </c>
      <c r="Q12" s="1564">
        <v>2</v>
      </c>
      <c r="R12" s="1564">
        <v>5</v>
      </c>
      <c r="S12" s="1371">
        <v>4</v>
      </c>
      <c r="T12" s="1371"/>
      <c r="U12" s="1371"/>
      <c r="V12" s="1371">
        <v>3</v>
      </c>
      <c r="W12" s="1384">
        <v>3</v>
      </c>
      <c r="X12" s="1371"/>
      <c r="Y12" s="1371"/>
      <c r="Z12" s="1371">
        <v>21</v>
      </c>
      <c r="AA12" s="1890">
        <v>10</v>
      </c>
      <c r="AB12" s="1890">
        <v>10</v>
      </c>
      <c r="AC12" s="2190" t="s">
        <v>32</v>
      </c>
      <c r="AD12" s="1371">
        <f t="shared" ref="AD12:AD67" si="1">IF(AC12="O",100,IF(AC12="A+",90,IF(AC12="A",80,IF(AC12="B+",70,IF(AC12="B",60,IF(AC12="C",55,IF(AC12="P",50,IF(AC12="F",39))))))))</f>
        <v>70</v>
      </c>
    </row>
    <row r="13" spans="1:30" s="1073" customFormat="1" ht="30.75" customHeight="1" x14ac:dyDescent="0.3">
      <c r="A13" s="2039">
        <v>4</v>
      </c>
      <c r="B13" s="1892">
        <v>5191421004</v>
      </c>
      <c r="C13" s="1902">
        <v>2</v>
      </c>
      <c r="D13" s="1564">
        <v>2</v>
      </c>
      <c r="E13" s="1564">
        <v>2</v>
      </c>
      <c r="F13" s="1564"/>
      <c r="G13" s="1371"/>
      <c r="H13" s="1371">
        <v>2</v>
      </c>
      <c r="I13" s="1371">
        <v>2</v>
      </c>
      <c r="J13" s="1371">
        <v>2</v>
      </c>
      <c r="K13" s="1371">
        <v>2</v>
      </c>
      <c r="L13" s="1371"/>
      <c r="M13" s="1371"/>
      <c r="N13" s="1562">
        <f t="shared" si="0"/>
        <v>14</v>
      </c>
      <c r="O13" s="1564">
        <v>2</v>
      </c>
      <c r="P13" s="1564">
        <v>2</v>
      </c>
      <c r="Q13" s="1564">
        <v>2</v>
      </c>
      <c r="R13" s="1564">
        <v>4</v>
      </c>
      <c r="S13" s="1371">
        <v>3</v>
      </c>
      <c r="T13" s="1371"/>
      <c r="U13" s="1371"/>
      <c r="V13" s="1371">
        <v>4</v>
      </c>
      <c r="W13" s="1384">
        <v>3</v>
      </c>
      <c r="X13" s="1371"/>
      <c r="Y13" s="1371"/>
      <c r="Z13" s="1371">
        <v>20</v>
      </c>
      <c r="AA13" s="1890">
        <v>10</v>
      </c>
      <c r="AB13" s="1890">
        <v>10</v>
      </c>
      <c r="AC13" s="2190" t="s">
        <v>33</v>
      </c>
      <c r="AD13" s="1371">
        <f t="shared" si="1"/>
        <v>60</v>
      </c>
    </row>
    <row r="14" spans="1:30" ht="30.75" customHeight="1" x14ac:dyDescent="0.3">
      <c r="A14" s="1540">
        <v>5</v>
      </c>
      <c r="B14" s="1586">
        <v>5191421005</v>
      </c>
      <c r="C14" s="1587">
        <v>2</v>
      </c>
      <c r="D14" s="1588">
        <v>2</v>
      </c>
      <c r="E14" s="1589">
        <v>2</v>
      </c>
      <c r="F14" s="1587">
        <v>3</v>
      </c>
      <c r="G14" s="1382">
        <v>3</v>
      </c>
      <c r="H14" s="1594"/>
      <c r="I14" s="1590"/>
      <c r="J14" s="1591">
        <v>3</v>
      </c>
      <c r="K14" s="1382">
        <v>3</v>
      </c>
      <c r="L14" s="1371"/>
      <c r="M14" s="1592"/>
      <c r="N14" s="2198">
        <f t="shared" si="0"/>
        <v>18</v>
      </c>
      <c r="O14" s="1587">
        <v>2</v>
      </c>
      <c r="P14" s="1588">
        <v>2</v>
      </c>
      <c r="Q14" s="1589">
        <v>2</v>
      </c>
      <c r="R14" s="1948"/>
      <c r="S14" s="1590"/>
      <c r="T14" s="1591">
        <v>3</v>
      </c>
      <c r="U14" s="1382">
        <v>4</v>
      </c>
      <c r="V14" s="1382">
        <v>4</v>
      </c>
      <c r="W14" s="2205">
        <v>3</v>
      </c>
      <c r="X14" s="1594"/>
      <c r="Y14" s="1382"/>
      <c r="Z14" s="1382">
        <v>20</v>
      </c>
      <c r="AA14" s="1905">
        <v>10</v>
      </c>
      <c r="AB14" s="1905">
        <v>10</v>
      </c>
      <c r="AC14" s="2190" t="s">
        <v>33</v>
      </c>
      <c r="AD14" s="1371">
        <f t="shared" si="1"/>
        <v>60</v>
      </c>
    </row>
    <row r="15" spans="1:30" ht="30.75" customHeight="1" x14ac:dyDescent="0.3">
      <c r="A15" s="2039">
        <v>6</v>
      </c>
      <c r="B15" s="2186">
        <v>5191421006</v>
      </c>
      <c r="C15" s="1563">
        <v>2</v>
      </c>
      <c r="D15" s="1564">
        <v>2</v>
      </c>
      <c r="E15" s="1565">
        <v>2</v>
      </c>
      <c r="F15" s="1563"/>
      <c r="G15" s="1371"/>
      <c r="H15" s="2206">
        <v>5</v>
      </c>
      <c r="I15" s="1561">
        <v>5</v>
      </c>
      <c r="J15" s="1557">
        <v>5</v>
      </c>
      <c r="K15" s="1371">
        <v>5</v>
      </c>
      <c r="L15" s="1371"/>
      <c r="M15" s="1584"/>
      <c r="N15" s="2198">
        <f t="shared" si="0"/>
        <v>26</v>
      </c>
      <c r="O15" s="1563">
        <v>2</v>
      </c>
      <c r="P15" s="1564">
        <v>2</v>
      </c>
      <c r="Q15" s="1565">
        <v>2</v>
      </c>
      <c r="R15" s="2188"/>
      <c r="S15" s="1561"/>
      <c r="T15" s="1557">
        <v>3</v>
      </c>
      <c r="U15" s="1371">
        <v>2</v>
      </c>
      <c r="V15" s="1371"/>
      <c r="W15" s="2189"/>
      <c r="X15" s="2206">
        <v>5</v>
      </c>
      <c r="Y15" s="1371">
        <v>3</v>
      </c>
      <c r="Z15" s="1371">
        <v>19</v>
      </c>
      <c r="AA15" s="1890">
        <v>10</v>
      </c>
      <c r="AB15" s="1890">
        <v>10</v>
      </c>
      <c r="AC15" s="2190" t="s">
        <v>32</v>
      </c>
      <c r="AD15" s="1371">
        <f t="shared" si="1"/>
        <v>70</v>
      </c>
    </row>
    <row r="16" spans="1:30" ht="30.75" customHeight="1" x14ac:dyDescent="0.3">
      <c r="A16" s="2039">
        <v>7</v>
      </c>
      <c r="B16" s="2186">
        <v>5191421007</v>
      </c>
      <c r="C16" s="1563"/>
      <c r="D16" s="1564">
        <v>2</v>
      </c>
      <c r="E16" s="1565">
        <v>2</v>
      </c>
      <c r="F16" s="1563"/>
      <c r="G16" s="1371"/>
      <c r="H16" s="2206"/>
      <c r="I16" s="1561"/>
      <c r="J16" s="1557"/>
      <c r="K16" s="1371"/>
      <c r="L16" s="1371">
        <v>5</v>
      </c>
      <c r="M16" s="1371">
        <v>5</v>
      </c>
      <c r="N16" s="1562">
        <f t="shared" si="0"/>
        <v>14</v>
      </c>
      <c r="O16" s="1563"/>
      <c r="P16" s="1564"/>
      <c r="Q16" s="1565"/>
      <c r="R16" s="2188"/>
      <c r="S16" s="1561"/>
      <c r="T16" s="1557"/>
      <c r="U16" s="1371"/>
      <c r="V16" s="1371"/>
      <c r="W16" s="2189"/>
      <c r="X16" s="2206"/>
      <c r="Y16" s="1371"/>
      <c r="Z16" s="1371"/>
      <c r="AA16" s="1890">
        <v>10</v>
      </c>
      <c r="AB16" s="1890">
        <v>10</v>
      </c>
      <c r="AC16" s="2190" t="s">
        <v>31</v>
      </c>
      <c r="AD16" s="1371">
        <f t="shared" si="1"/>
        <v>55</v>
      </c>
    </row>
    <row r="17" spans="1:30" ht="30.75" customHeight="1" x14ac:dyDescent="0.3">
      <c r="A17" s="2039">
        <v>8</v>
      </c>
      <c r="B17" s="2186">
        <v>5191421008</v>
      </c>
      <c r="C17" s="1563">
        <v>2</v>
      </c>
      <c r="D17" s="1564">
        <v>2</v>
      </c>
      <c r="E17" s="1565">
        <v>2</v>
      </c>
      <c r="F17" s="1563">
        <v>3</v>
      </c>
      <c r="G17" s="1371">
        <v>3</v>
      </c>
      <c r="H17" s="2206">
        <v>3</v>
      </c>
      <c r="I17" s="1561">
        <v>2</v>
      </c>
      <c r="J17" s="1557"/>
      <c r="K17" s="1371"/>
      <c r="L17" s="1371"/>
      <c r="M17" s="1371"/>
      <c r="N17" s="1562">
        <f t="shared" si="0"/>
        <v>17</v>
      </c>
      <c r="O17" s="1563">
        <v>2</v>
      </c>
      <c r="P17" s="1564">
        <v>2</v>
      </c>
      <c r="Q17" s="1565">
        <v>2</v>
      </c>
      <c r="R17" s="2188"/>
      <c r="S17" s="1561"/>
      <c r="T17" s="1557"/>
      <c r="U17" s="1371"/>
      <c r="V17" s="1371">
        <v>4</v>
      </c>
      <c r="W17" s="2189">
        <v>3</v>
      </c>
      <c r="X17" s="2206">
        <v>3</v>
      </c>
      <c r="Y17" s="1371">
        <v>2</v>
      </c>
      <c r="Z17" s="1371">
        <v>18</v>
      </c>
      <c r="AA17" s="1890">
        <v>10</v>
      </c>
      <c r="AB17" s="1890">
        <v>10</v>
      </c>
      <c r="AC17" s="2190" t="s">
        <v>31</v>
      </c>
      <c r="AD17" s="1371">
        <f t="shared" si="1"/>
        <v>55</v>
      </c>
    </row>
    <row r="18" spans="1:30" ht="30.75" customHeight="1" x14ac:dyDescent="0.3">
      <c r="A18" s="2039">
        <v>9</v>
      </c>
      <c r="B18" s="2186">
        <v>5191421009</v>
      </c>
      <c r="C18" s="1557">
        <v>2</v>
      </c>
      <c r="D18" s="1557">
        <v>2</v>
      </c>
      <c r="E18" s="1557">
        <v>2</v>
      </c>
      <c r="F18" s="1557">
        <v>3</v>
      </c>
      <c r="G18" s="1371">
        <v>5</v>
      </c>
      <c r="H18" s="2206"/>
      <c r="I18" s="1561"/>
      <c r="J18" s="1557">
        <v>6</v>
      </c>
      <c r="K18" s="1371">
        <v>6</v>
      </c>
      <c r="L18" s="1371"/>
      <c r="M18" s="1371"/>
      <c r="N18" s="1562">
        <v>26</v>
      </c>
      <c r="O18" s="1563">
        <v>2</v>
      </c>
      <c r="P18" s="1564">
        <v>2</v>
      </c>
      <c r="Q18" s="1565">
        <v>2</v>
      </c>
      <c r="R18" s="2188"/>
      <c r="S18" s="1561"/>
      <c r="T18" s="1557">
        <v>3</v>
      </c>
      <c r="U18" s="1371">
        <v>3</v>
      </c>
      <c r="V18" s="1371"/>
      <c r="W18" s="2189"/>
      <c r="X18" s="2206">
        <v>3</v>
      </c>
      <c r="Y18" s="1371">
        <v>3</v>
      </c>
      <c r="Z18" s="1371">
        <v>18</v>
      </c>
      <c r="AA18" s="1890">
        <v>10</v>
      </c>
      <c r="AB18" s="1890">
        <v>10</v>
      </c>
      <c r="AC18" s="2190" t="s">
        <v>32</v>
      </c>
      <c r="AD18" s="1371">
        <f t="shared" si="1"/>
        <v>70</v>
      </c>
    </row>
    <row r="19" spans="1:30" ht="30.75" customHeight="1" x14ac:dyDescent="0.3">
      <c r="A19" s="2039">
        <v>10</v>
      </c>
      <c r="B19" s="2186">
        <v>5191421010</v>
      </c>
      <c r="C19" s="1563">
        <v>2</v>
      </c>
      <c r="D19" s="1564">
        <v>2</v>
      </c>
      <c r="E19" s="1565">
        <v>2</v>
      </c>
      <c r="F19" s="1563"/>
      <c r="G19" s="1371"/>
      <c r="H19" s="2206">
        <v>3</v>
      </c>
      <c r="I19" s="1561">
        <v>3</v>
      </c>
      <c r="J19" s="1557">
        <v>3</v>
      </c>
      <c r="K19" s="1371">
        <v>5</v>
      </c>
      <c r="L19" s="1371"/>
      <c r="M19" s="1371"/>
      <c r="N19" s="1562">
        <f t="shared" si="0"/>
        <v>20</v>
      </c>
      <c r="O19" s="1563">
        <v>1</v>
      </c>
      <c r="P19" s="1564">
        <v>2</v>
      </c>
      <c r="Q19" s="1565">
        <v>1</v>
      </c>
      <c r="R19" s="2188">
        <v>1</v>
      </c>
      <c r="S19" s="1561">
        <v>3</v>
      </c>
      <c r="T19" s="1557"/>
      <c r="U19" s="1371"/>
      <c r="V19" s="1371">
        <v>3</v>
      </c>
      <c r="W19" s="2189">
        <v>3</v>
      </c>
      <c r="X19" s="2206"/>
      <c r="Y19" s="1371"/>
      <c r="Z19" s="1371">
        <v>14</v>
      </c>
      <c r="AA19" s="1890">
        <v>10</v>
      </c>
      <c r="AB19" s="1890">
        <v>10</v>
      </c>
      <c r="AC19" s="2190" t="s">
        <v>32</v>
      </c>
      <c r="AD19" s="1371">
        <f t="shared" si="1"/>
        <v>70</v>
      </c>
    </row>
    <row r="20" spans="1:30" ht="30.75" customHeight="1" x14ac:dyDescent="0.3">
      <c r="A20" s="2039">
        <v>11</v>
      </c>
      <c r="B20" s="2186">
        <v>5191421011</v>
      </c>
      <c r="C20" s="1563">
        <v>2</v>
      </c>
      <c r="D20" s="1564">
        <v>2</v>
      </c>
      <c r="E20" s="1565">
        <v>2</v>
      </c>
      <c r="F20" s="1563">
        <v>5</v>
      </c>
      <c r="G20" s="1371">
        <v>5</v>
      </c>
      <c r="H20" s="2206"/>
      <c r="I20" s="1561"/>
      <c r="J20" s="1557">
        <v>5</v>
      </c>
      <c r="K20" s="1371">
        <v>6</v>
      </c>
      <c r="L20" s="1371"/>
      <c r="M20" s="1371"/>
      <c r="N20" s="1562">
        <f t="shared" si="0"/>
        <v>27</v>
      </c>
      <c r="O20" s="1563">
        <v>2</v>
      </c>
      <c r="P20" s="1564">
        <v>2</v>
      </c>
      <c r="Q20" s="1565">
        <v>2</v>
      </c>
      <c r="R20" s="2188">
        <v>3</v>
      </c>
      <c r="S20" s="1561">
        <v>4</v>
      </c>
      <c r="T20" s="1557"/>
      <c r="U20" s="1371"/>
      <c r="V20" s="1371">
        <v>4</v>
      </c>
      <c r="W20" s="2189">
        <v>3</v>
      </c>
      <c r="X20" s="2206"/>
      <c r="Y20" s="1371"/>
      <c r="Z20" s="1371">
        <v>20</v>
      </c>
      <c r="AA20" s="1890">
        <v>10</v>
      </c>
      <c r="AB20" s="1890">
        <v>10</v>
      </c>
      <c r="AC20" s="2190" t="s">
        <v>31</v>
      </c>
      <c r="AD20" s="1371">
        <f t="shared" si="1"/>
        <v>55</v>
      </c>
    </row>
    <row r="21" spans="1:30" ht="30.75" customHeight="1" x14ac:dyDescent="0.3">
      <c r="A21" s="2039">
        <v>12</v>
      </c>
      <c r="B21" s="2186">
        <v>5191421012</v>
      </c>
      <c r="C21" s="1563">
        <v>2</v>
      </c>
      <c r="D21" s="1564">
        <v>2</v>
      </c>
      <c r="E21" s="1565">
        <v>2</v>
      </c>
      <c r="F21" s="1563"/>
      <c r="G21" s="1371"/>
      <c r="H21" s="2206">
        <v>3</v>
      </c>
      <c r="I21" s="1561">
        <v>3</v>
      </c>
      <c r="J21" s="1557">
        <v>3</v>
      </c>
      <c r="K21" s="1371">
        <v>3</v>
      </c>
      <c r="L21" s="1371"/>
      <c r="M21" s="1371"/>
      <c r="N21" s="1562">
        <v>18</v>
      </c>
      <c r="O21" s="1563"/>
      <c r="P21" s="1564">
        <v>2</v>
      </c>
      <c r="Q21" s="1565"/>
      <c r="R21" s="2188"/>
      <c r="S21" s="1561"/>
      <c r="T21" s="1557">
        <v>3</v>
      </c>
      <c r="U21" s="1371">
        <v>3</v>
      </c>
      <c r="V21" s="1371">
        <v>3</v>
      </c>
      <c r="W21" s="2189">
        <v>3</v>
      </c>
      <c r="X21" s="2206"/>
      <c r="Y21" s="1371"/>
      <c r="Z21" s="1371">
        <v>14</v>
      </c>
      <c r="AA21" s="1890">
        <v>10</v>
      </c>
      <c r="AB21" s="1890">
        <v>10</v>
      </c>
      <c r="AC21" s="2190" t="s">
        <v>31</v>
      </c>
      <c r="AD21" s="1371">
        <f t="shared" si="1"/>
        <v>55</v>
      </c>
    </row>
    <row r="22" spans="1:30" ht="30.75" customHeight="1" x14ac:dyDescent="0.3">
      <c r="A22" s="2039">
        <v>13</v>
      </c>
      <c r="B22" s="2186">
        <v>5191421013</v>
      </c>
      <c r="C22" s="1563">
        <v>2</v>
      </c>
      <c r="D22" s="1564">
        <v>2</v>
      </c>
      <c r="E22" s="1565">
        <v>2</v>
      </c>
      <c r="F22" s="1563">
        <v>4</v>
      </c>
      <c r="G22" s="1371">
        <v>5</v>
      </c>
      <c r="H22" s="2206"/>
      <c r="I22" s="1561"/>
      <c r="J22" s="1557">
        <v>3</v>
      </c>
      <c r="K22" s="1371">
        <v>3</v>
      </c>
      <c r="L22" s="1371"/>
      <c r="M22" s="1371"/>
      <c r="N22" s="1562">
        <f t="shared" si="0"/>
        <v>21</v>
      </c>
      <c r="O22" s="1563">
        <v>2</v>
      </c>
      <c r="P22" s="1564">
        <v>2</v>
      </c>
      <c r="Q22" s="1565">
        <v>2</v>
      </c>
      <c r="R22" s="2188">
        <v>4</v>
      </c>
      <c r="S22" s="1561">
        <v>5</v>
      </c>
      <c r="T22" s="1557"/>
      <c r="U22" s="1371"/>
      <c r="V22" s="1371"/>
      <c r="W22" s="2189"/>
      <c r="X22" s="2206">
        <v>6</v>
      </c>
      <c r="Y22" s="1371">
        <v>4</v>
      </c>
      <c r="Z22" s="1371">
        <v>25</v>
      </c>
      <c r="AA22" s="1890">
        <v>10</v>
      </c>
      <c r="AB22" s="1890">
        <v>10</v>
      </c>
      <c r="AC22" s="2190" t="s">
        <v>27</v>
      </c>
      <c r="AD22" s="1371">
        <f t="shared" si="1"/>
        <v>80</v>
      </c>
    </row>
    <row r="23" spans="1:30" ht="30.75" customHeight="1" x14ac:dyDescent="0.3">
      <c r="A23" s="2039">
        <v>14</v>
      </c>
      <c r="B23" s="2186">
        <v>5191421014</v>
      </c>
      <c r="C23" s="1563">
        <v>2</v>
      </c>
      <c r="D23" s="1564">
        <v>2</v>
      </c>
      <c r="E23" s="1565">
        <v>2</v>
      </c>
      <c r="F23" s="1563">
        <v>3</v>
      </c>
      <c r="G23" s="1371">
        <v>5</v>
      </c>
      <c r="H23" s="2206"/>
      <c r="I23" s="1561"/>
      <c r="J23" s="1557">
        <v>3</v>
      </c>
      <c r="K23" s="1371">
        <v>2</v>
      </c>
      <c r="L23" s="1371"/>
      <c r="M23" s="1371"/>
      <c r="N23" s="1562">
        <f t="shared" si="0"/>
        <v>19</v>
      </c>
      <c r="O23" s="1563">
        <v>2</v>
      </c>
      <c r="P23" s="1564">
        <v>2</v>
      </c>
      <c r="Q23" s="1565">
        <v>2</v>
      </c>
      <c r="R23" s="2188">
        <v>3</v>
      </c>
      <c r="S23" s="1561">
        <v>4</v>
      </c>
      <c r="T23" s="1557"/>
      <c r="U23" s="1371"/>
      <c r="V23" s="1371"/>
      <c r="W23" s="2189"/>
      <c r="X23" s="2206">
        <v>4</v>
      </c>
      <c r="Y23" s="1371">
        <v>2</v>
      </c>
      <c r="Z23" s="1371">
        <v>19</v>
      </c>
      <c r="AA23" s="1890">
        <v>10</v>
      </c>
      <c r="AB23" s="1890">
        <v>10</v>
      </c>
      <c r="AC23" s="2190" t="s">
        <v>31</v>
      </c>
      <c r="AD23" s="1371">
        <f t="shared" si="1"/>
        <v>55</v>
      </c>
    </row>
    <row r="24" spans="1:30" ht="30.75" customHeight="1" x14ac:dyDescent="0.3">
      <c r="A24" s="2039">
        <v>15</v>
      </c>
      <c r="B24" s="2186">
        <v>5191421015</v>
      </c>
      <c r="C24" s="1563">
        <v>2</v>
      </c>
      <c r="D24" s="1564">
        <v>2</v>
      </c>
      <c r="E24" s="1565">
        <v>2</v>
      </c>
      <c r="F24" s="1563">
        <v>3</v>
      </c>
      <c r="G24" s="1371">
        <v>3</v>
      </c>
      <c r="H24" s="2206"/>
      <c r="I24" s="1561"/>
      <c r="J24" s="1557">
        <v>3</v>
      </c>
      <c r="K24" s="1371">
        <v>3</v>
      </c>
      <c r="L24" s="1371"/>
      <c r="M24" s="1371"/>
      <c r="N24" s="1562">
        <f t="shared" si="0"/>
        <v>18</v>
      </c>
      <c r="O24" s="1563">
        <v>2</v>
      </c>
      <c r="P24" s="1564">
        <v>2</v>
      </c>
      <c r="Q24" s="1565">
        <v>2</v>
      </c>
      <c r="R24" s="2188"/>
      <c r="S24" s="1561"/>
      <c r="T24" s="1557"/>
      <c r="U24" s="1371"/>
      <c r="V24" s="1371">
        <v>4</v>
      </c>
      <c r="W24" s="2189">
        <v>3</v>
      </c>
      <c r="X24" s="2206">
        <v>4</v>
      </c>
      <c r="Y24" s="1371">
        <v>4</v>
      </c>
      <c r="Z24" s="1371">
        <v>21</v>
      </c>
      <c r="AA24" s="1890">
        <v>10</v>
      </c>
      <c r="AB24" s="1890">
        <v>10</v>
      </c>
      <c r="AC24" s="2190" t="s">
        <v>32</v>
      </c>
      <c r="AD24" s="1371">
        <f t="shared" si="1"/>
        <v>70</v>
      </c>
    </row>
    <row r="25" spans="1:30" ht="30.75" customHeight="1" x14ac:dyDescent="0.3">
      <c r="A25" s="2039">
        <v>16</v>
      </c>
      <c r="B25" s="2186">
        <v>5191421016</v>
      </c>
      <c r="C25" s="1563">
        <v>2</v>
      </c>
      <c r="D25" s="1564">
        <v>2</v>
      </c>
      <c r="E25" s="1565">
        <v>2</v>
      </c>
      <c r="F25" s="1563"/>
      <c r="G25" s="1902"/>
      <c r="H25" s="2206">
        <v>3</v>
      </c>
      <c r="I25" s="1561">
        <v>3</v>
      </c>
      <c r="J25" s="1557">
        <v>3</v>
      </c>
      <c r="K25" s="1371">
        <v>1</v>
      </c>
      <c r="L25" s="1371"/>
      <c r="M25" s="1371"/>
      <c r="N25" s="1562">
        <v>17</v>
      </c>
      <c r="O25" s="1563">
        <v>2</v>
      </c>
      <c r="P25" s="1564">
        <v>2</v>
      </c>
      <c r="Q25" s="1565">
        <v>2</v>
      </c>
      <c r="R25" s="2188"/>
      <c r="S25" s="1561"/>
      <c r="T25" s="1557">
        <v>3</v>
      </c>
      <c r="U25" s="1371">
        <v>3</v>
      </c>
      <c r="V25" s="1371">
        <v>3</v>
      </c>
      <c r="W25" s="2189">
        <v>3</v>
      </c>
      <c r="X25" s="2206"/>
      <c r="Y25" s="1371"/>
      <c r="Z25" s="1371">
        <v>18</v>
      </c>
      <c r="AA25" s="1890">
        <v>10</v>
      </c>
      <c r="AB25" s="1890">
        <v>10</v>
      </c>
      <c r="AC25" s="2190" t="s">
        <v>31</v>
      </c>
      <c r="AD25" s="1371">
        <f t="shared" si="1"/>
        <v>55</v>
      </c>
    </row>
    <row r="26" spans="1:30" ht="30.75" customHeight="1" x14ac:dyDescent="0.3">
      <c r="A26" s="2039">
        <v>17</v>
      </c>
      <c r="B26" s="2186">
        <v>5191421017</v>
      </c>
      <c r="C26" s="1563">
        <v>2</v>
      </c>
      <c r="D26" s="1564">
        <v>2</v>
      </c>
      <c r="E26" s="1565">
        <v>2</v>
      </c>
      <c r="F26" s="1563"/>
      <c r="G26" s="1371"/>
      <c r="H26" s="2206">
        <v>3</v>
      </c>
      <c r="I26" s="1561">
        <v>3</v>
      </c>
      <c r="J26" s="1557">
        <v>3</v>
      </c>
      <c r="K26" s="1371">
        <v>4</v>
      </c>
      <c r="L26" s="1371"/>
      <c r="M26" s="1371"/>
      <c r="N26" s="1562">
        <f t="shared" si="0"/>
        <v>19</v>
      </c>
      <c r="O26" s="1563">
        <v>2</v>
      </c>
      <c r="P26" s="1564">
        <v>2</v>
      </c>
      <c r="Q26" s="1565">
        <v>2</v>
      </c>
      <c r="R26" s="2188">
        <v>4</v>
      </c>
      <c r="S26" s="1561">
        <v>4</v>
      </c>
      <c r="T26" s="1557"/>
      <c r="U26" s="1371"/>
      <c r="V26" s="1371">
        <v>4</v>
      </c>
      <c r="W26" s="2189">
        <v>4</v>
      </c>
      <c r="X26" s="2206"/>
      <c r="Y26" s="1371"/>
      <c r="Z26" s="1371">
        <v>22</v>
      </c>
      <c r="AA26" s="1890">
        <v>10</v>
      </c>
      <c r="AB26" s="1890">
        <v>10</v>
      </c>
      <c r="AC26" s="2190" t="s">
        <v>32</v>
      </c>
      <c r="AD26" s="1371">
        <f t="shared" si="1"/>
        <v>70</v>
      </c>
    </row>
    <row r="27" spans="1:30" ht="30.75" customHeight="1" x14ac:dyDescent="0.3">
      <c r="A27" s="2039">
        <v>18</v>
      </c>
      <c r="B27" s="2186">
        <v>5191421018</v>
      </c>
      <c r="C27" s="1597">
        <v>2</v>
      </c>
      <c r="D27" s="1564">
        <v>2</v>
      </c>
      <c r="E27" s="1565">
        <v>2</v>
      </c>
      <c r="F27" s="1563"/>
      <c r="G27" s="1371"/>
      <c r="H27" s="2206">
        <v>3</v>
      </c>
      <c r="I27" s="1561">
        <v>2</v>
      </c>
      <c r="J27" s="1557">
        <v>3</v>
      </c>
      <c r="K27" s="1371">
        <v>2</v>
      </c>
      <c r="L27" s="1371"/>
      <c r="M27" s="1371"/>
      <c r="N27" s="1562">
        <v>16</v>
      </c>
      <c r="O27" s="1563">
        <v>2</v>
      </c>
      <c r="P27" s="1564"/>
      <c r="Q27" s="1565">
        <v>2</v>
      </c>
      <c r="R27" s="2188"/>
      <c r="S27" s="1561"/>
      <c r="T27" s="1557"/>
      <c r="U27" s="1371"/>
      <c r="V27" s="1371">
        <v>3</v>
      </c>
      <c r="W27" s="2189"/>
      <c r="X27" s="2206">
        <v>3</v>
      </c>
      <c r="Y27" s="1371">
        <v>3</v>
      </c>
      <c r="Z27" s="1371">
        <v>13</v>
      </c>
      <c r="AA27" s="1890">
        <v>10</v>
      </c>
      <c r="AB27" s="1890">
        <v>10</v>
      </c>
      <c r="AC27" s="2190" t="s">
        <v>31</v>
      </c>
      <c r="AD27" s="1371">
        <f t="shared" si="1"/>
        <v>55</v>
      </c>
    </row>
    <row r="28" spans="1:30" ht="30.75" customHeight="1" x14ac:dyDescent="0.3">
      <c r="A28" s="2039">
        <v>19</v>
      </c>
      <c r="B28" s="2186">
        <v>5191421019</v>
      </c>
      <c r="C28" s="1563">
        <v>2</v>
      </c>
      <c r="D28" s="1371">
        <v>2</v>
      </c>
      <c r="E28" s="1561">
        <v>2</v>
      </c>
      <c r="F28" s="1557"/>
      <c r="G28" s="1371"/>
      <c r="H28" s="2206">
        <v>4</v>
      </c>
      <c r="I28" s="1561">
        <v>4</v>
      </c>
      <c r="J28" s="1557">
        <v>4</v>
      </c>
      <c r="K28" s="1371">
        <v>4</v>
      </c>
      <c r="L28" s="1371"/>
      <c r="M28" s="1371"/>
      <c r="N28" s="1562">
        <f t="shared" si="0"/>
        <v>22</v>
      </c>
      <c r="O28" s="1563">
        <v>2</v>
      </c>
      <c r="P28" s="1371">
        <v>2</v>
      </c>
      <c r="Q28" s="1561">
        <v>2</v>
      </c>
      <c r="R28" s="2206">
        <v>3</v>
      </c>
      <c r="S28" s="1561">
        <v>3</v>
      </c>
      <c r="T28" s="1557"/>
      <c r="U28" s="1371"/>
      <c r="V28" s="1371">
        <v>3</v>
      </c>
      <c r="W28" s="2189">
        <v>4</v>
      </c>
      <c r="X28" s="2206"/>
      <c r="Y28" s="1371"/>
      <c r="Z28" s="1371">
        <v>19</v>
      </c>
      <c r="AA28" s="1890">
        <v>10</v>
      </c>
      <c r="AB28" s="1890">
        <v>10</v>
      </c>
      <c r="AC28" s="2190" t="s">
        <v>32</v>
      </c>
      <c r="AD28" s="1371">
        <f t="shared" si="1"/>
        <v>70</v>
      </c>
    </row>
    <row r="29" spans="1:30" ht="30.75" customHeight="1" x14ac:dyDescent="0.3">
      <c r="A29" s="2039">
        <v>20</v>
      </c>
      <c r="B29" s="2186">
        <v>5191421020</v>
      </c>
      <c r="C29" s="1557">
        <v>2</v>
      </c>
      <c r="D29" s="1371">
        <v>2</v>
      </c>
      <c r="E29" s="1561">
        <v>2</v>
      </c>
      <c r="F29" s="1557"/>
      <c r="G29" s="1371"/>
      <c r="H29" s="2206">
        <v>5</v>
      </c>
      <c r="I29" s="1561">
        <v>5</v>
      </c>
      <c r="J29" s="1557">
        <v>4</v>
      </c>
      <c r="K29" s="1371">
        <v>5</v>
      </c>
      <c r="L29" s="1371"/>
      <c r="M29" s="1371"/>
      <c r="N29" s="1562">
        <f t="shared" si="0"/>
        <v>25</v>
      </c>
      <c r="O29" s="1557">
        <v>2</v>
      </c>
      <c r="P29" s="1371">
        <v>2</v>
      </c>
      <c r="Q29" s="1561">
        <v>2</v>
      </c>
      <c r="R29" s="2206"/>
      <c r="S29" s="1561"/>
      <c r="T29" s="1557">
        <v>4</v>
      </c>
      <c r="U29" s="1371">
        <v>4</v>
      </c>
      <c r="V29" s="1371">
        <v>4</v>
      </c>
      <c r="W29" s="2189">
        <v>4</v>
      </c>
      <c r="X29" s="2206"/>
      <c r="Y29" s="1371"/>
      <c r="Z29" s="1371">
        <v>22</v>
      </c>
      <c r="AA29" s="1890">
        <v>10</v>
      </c>
      <c r="AB29" s="1890">
        <v>10</v>
      </c>
      <c r="AC29" s="2190" t="s">
        <v>32</v>
      </c>
      <c r="AD29" s="1371">
        <f t="shared" si="1"/>
        <v>70</v>
      </c>
    </row>
    <row r="30" spans="1:30" ht="30.75" customHeight="1" x14ac:dyDescent="0.3">
      <c r="A30" s="2039">
        <v>21</v>
      </c>
      <c r="B30" s="2186">
        <v>5191421021</v>
      </c>
      <c r="C30" s="1563">
        <v>1</v>
      </c>
      <c r="D30" s="1371">
        <v>2</v>
      </c>
      <c r="E30" s="1561">
        <v>0</v>
      </c>
      <c r="F30" s="1557"/>
      <c r="G30" s="1371"/>
      <c r="H30" s="2206">
        <v>4</v>
      </c>
      <c r="I30" s="1561">
        <v>3</v>
      </c>
      <c r="J30" s="1557">
        <v>2</v>
      </c>
      <c r="K30" s="1371">
        <v>4</v>
      </c>
      <c r="L30" s="1371"/>
      <c r="M30" s="1371"/>
      <c r="N30" s="1562">
        <f t="shared" si="0"/>
        <v>16</v>
      </c>
      <c r="O30" s="1563">
        <v>2</v>
      </c>
      <c r="P30" s="1371">
        <v>2</v>
      </c>
      <c r="Q30" s="1561">
        <v>2</v>
      </c>
      <c r="R30" s="2206"/>
      <c r="S30" s="1561"/>
      <c r="T30" s="1557">
        <v>3</v>
      </c>
      <c r="U30" s="1371">
        <v>3</v>
      </c>
      <c r="V30" s="1371"/>
      <c r="W30" s="2189"/>
      <c r="X30" s="2206">
        <v>3</v>
      </c>
      <c r="Y30" s="1371">
        <v>3</v>
      </c>
      <c r="Z30" s="1371">
        <v>18</v>
      </c>
      <c r="AA30" s="1890">
        <v>10</v>
      </c>
      <c r="AB30" s="1890">
        <v>10</v>
      </c>
      <c r="AC30" s="2190" t="s">
        <v>31</v>
      </c>
      <c r="AD30" s="1371">
        <f t="shared" si="1"/>
        <v>55</v>
      </c>
    </row>
    <row r="31" spans="1:30" ht="30.75" customHeight="1" x14ac:dyDescent="0.3">
      <c r="A31" s="2039">
        <v>22</v>
      </c>
      <c r="B31" s="1892">
        <v>5191421022</v>
      </c>
      <c r="C31" s="1369"/>
      <c r="D31" s="1369"/>
      <c r="E31" s="1369"/>
      <c r="F31" s="1369"/>
      <c r="G31" s="1369"/>
      <c r="H31" s="1369"/>
      <c r="I31" s="1369"/>
      <c r="J31" s="1369"/>
      <c r="K31" s="1369"/>
      <c r="L31" s="1371"/>
      <c r="M31" s="1371"/>
      <c r="N31" s="1562">
        <f t="shared" si="0"/>
        <v>0</v>
      </c>
      <c r="O31" s="1563">
        <v>2</v>
      </c>
      <c r="P31" s="1371">
        <v>2</v>
      </c>
      <c r="Q31" s="1561">
        <v>2</v>
      </c>
      <c r="R31" s="2206"/>
      <c r="S31" s="1561"/>
      <c r="T31" s="1557"/>
      <c r="U31" s="1371"/>
      <c r="V31" s="1371">
        <v>4</v>
      </c>
      <c r="W31" s="2189">
        <v>3</v>
      </c>
      <c r="X31" s="2206">
        <v>3</v>
      </c>
      <c r="Y31" s="1371">
        <v>3</v>
      </c>
      <c r="Z31" s="1371">
        <v>19</v>
      </c>
      <c r="AA31" s="1890">
        <v>10</v>
      </c>
      <c r="AB31" s="1890">
        <v>10</v>
      </c>
      <c r="AC31" s="2190" t="s">
        <v>31</v>
      </c>
      <c r="AD31" s="1371">
        <f t="shared" si="1"/>
        <v>55</v>
      </c>
    </row>
    <row r="32" spans="1:30" ht="30.75" customHeight="1" x14ac:dyDescent="0.3">
      <c r="A32" s="2039">
        <v>23</v>
      </c>
      <c r="B32" s="2186">
        <v>5191421023</v>
      </c>
      <c r="C32" s="1563">
        <v>2</v>
      </c>
      <c r="D32" s="1371">
        <v>2</v>
      </c>
      <c r="E32" s="1561">
        <v>2</v>
      </c>
      <c r="F32" s="1557"/>
      <c r="G32" s="1371"/>
      <c r="H32" s="2206">
        <v>2</v>
      </c>
      <c r="I32" s="1561">
        <v>2</v>
      </c>
      <c r="J32" s="1557">
        <v>2</v>
      </c>
      <c r="K32" s="1371"/>
      <c r="L32" s="1371"/>
      <c r="M32" s="1371"/>
      <c r="N32" s="1562">
        <f>SUM(C32:M32)</f>
        <v>12</v>
      </c>
      <c r="O32" s="1563">
        <v>2</v>
      </c>
      <c r="P32" s="1371">
        <v>2</v>
      </c>
      <c r="Q32" s="1561">
        <v>2</v>
      </c>
      <c r="R32" s="2206"/>
      <c r="S32" s="1561"/>
      <c r="T32" s="1557">
        <v>3</v>
      </c>
      <c r="U32" s="1371">
        <v>3</v>
      </c>
      <c r="V32" s="1371">
        <v>3</v>
      </c>
      <c r="W32" s="2189"/>
      <c r="X32" s="2206"/>
      <c r="Y32" s="1371"/>
      <c r="Z32" s="1371">
        <v>15</v>
      </c>
      <c r="AA32" s="1890">
        <v>10</v>
      </c>
      <c r="AB32" s="1890">
        <v>10</v>
      </c>
      <c r="AC32" s="2190" t="s">
        <v>28</v>
      </c>
      <c r="AD32" s="1371">
        <f t="shared" si="1"/>
        <v>50</v>
      </c>
    </row>
    <row r="33" spans="1:30" ht="30.75" customHeight="1" x14ac:dyDescent="0.3">
      <c r="A33" s="2039">
        <v>24</v>
      </c>
      <c r="B33" s="2186">
        <v>5191421024</v>
      </c>
      <c r="C33" s="1563">
        <v>2</v>
      </c>
      <c r="D33" s="1371">
        <v>2</v>
      </c>
      <c r="E33" s="1561">
        <v>2</v>
      </c>
      <c r="F33" s="1557"/>
      <c r="G33" s="1371"/>
      <c r="H33" s="2206">
        <v>3</v>
      </c>
      <c r="I33" s="1561">
        <v>3</v>
      </c>
      <c r="J33" s="1557">
        <v>2</v>
      </c>
      <c r="K33" s="1371">
        <v>3</v>
      </c>
      <c r="L33" s="1371"/>
      <c r="M33" s="1371"/>
      <c r="N33" s="1562">
        <f t="shared" si="0"/>
        <v>17</v>
      </c>
      <c r="O33" s="1563">
        <v>0</v>
      </c>
      <c r="P33" s="1371">
        <v>2</v>
      </c>
      <c r="Q33" s="1561">
        <v>1</v>
      </c>
      <c r="R33" s="2206"/>
      <c r="S33" s="1561"/>
      <c r="T33" s="1557">
        <v>3</v>
      </c>
      <c r="U33" s="1371">
        <v>3</v>
      </c>
      <c r="V33" s="1371">
        <v>4</v>
      </c>
      <c r="W33" s="2189">
        <v>4</v>
      </c>
      <c r="X33" s="2206"/>
      <c r="Y33" s="1371"/>
      <c r="Z33" s="1371">
        <v>17</v>
      </c>
      <c r="AA33" s="1890">
        <v>10</v>
      </c>
      <c r="AB33" s="1890">
        <v>10</v>
      </c>
      <c r="AC33" s="2190" t="s">
        <v>33</v>
      </c>
      <c r="AD33" s="1371">
        <f t="shared" si="1"/>
        <v>60</v>
      </c>
    </row>
    <row r="34" spans="1:30" ht="30.75" customHeight="1" x14ac:dyDescent="0.3">
      <c r="A34" s="2039">
        <v>25</v>
      </c>
      <c r="B34" s="2186">
        <v>5191421025</v>
      </c>
      <c r="C34" s="1563">
        <v>2</v>
      </c>
      <c r="D34" s="1371">
        <v>2</v>
      </c>
      <c r="E34" s="1561">
        <v>2</v>
      </c>
      <c r="F34" s="1557"/>
      <c r="G34" s="1371"/>
      <c r="H34" s="2206">
        <v>6</v>
      </c>
      <c r="I34" s="1561">
        <v>6</v>
      </c>
      <c r="J34" s="1557">
        <v>4</v>
      </c>
      <c r="K34" s="1371">
        <v>6</v>
      </c>
      <c r="L34" s="1371"/>
      <c r="M34" s="1371"/>
      <c r="N34" s="1562">
        <f t="shared" si="0"/>
        <v>28</v>
      </c>
      <c r="O34" s="1563">
        <v>2</v>
      </c>
      <c r="P34" s="1371">
        <v>2</v>
      </c>
      <c r="Q34" s="1561">
        <v>2</v>
      </c>
      <c r="R34" s="2206">
        <v>6</v>
      </c>
      <c r="S34" s="1561">
        <v>4</v>
      </c>
      <c r="T34" s="1557"/>
      <c r="U34" s="1371"/>
      <c r="V34" s="1371">
        <v>4</v>
      </c>
      <c r="W34" s="2189">
        <v>4</v>
      </c>
      <c r="X34" s="2206"/>
      <c r="Y34" s="1371"/>
      <c r="Z34" s="1371">
        <v>24</v>
      </c>
      <c r="AA34" s="1890">
        <v>10</v>
      </c>
      <c r="AB34" s="1890">
        <v>10</v>
      </c>
      <c r="AC34" s="2190" t="s">
        <v>82</v>
      </c>
      <c r="AD34" s="1371">
        <f t="shared" si="1"/>
        <v>100</v>
      </c>
    </row>
    <row r="35" spans="1:30" ht="30.75" customHeight="1" x14ac:dyDescent="0.3">
      <c r="A35" s="2039">
        <v>26</v>
      </c>
      <c r="B35" s="2186">
        <v>5191421026</v>
      </c>
      <c r="C35" s="1563">
        <v>2</v>
      </c>
      <c r="D35" s="1371">
        <v>2</v>
      </c>
      <c r="E35" s="1561">
        <v>2</v>
      </c>
      <c r="F35" s="1557"/>
      <c r="G35" s="1371"/>
      <c r="H35" s="2206">
        <v>3</v>
      </c>
      <c r="I35" s="1561">
        <v>3</v>
      </c>
      <c r="J35" s="1557">
        <v>4</v>
      </c>
      <c r="K35" s="1371">
        <v>4</v>
      </c>
      <c r="L35" s="1371"/>
      <c r="M35" s="1371"/>
      <c r="N35" s="1562">
        <f t="shared" si="0"/>
        <v>20</v>
      </c>
      <c r="O35" s="1563">
        <v>2</v>
      </c>
      <c r="P35" s="1371">
        <v>2</v>
      </c>
      <c r="Q35" s="1561">
        <v>2</v>
      </c>
      <c r="R35" s="2206"/>
      <c r="S35" s="1561"/>
      <c r="T35" s="1557">
        <v>4</v>
      </c>
      <c r="U35" s="1371">
        <v>3</v>
      </c>
      <c r="V35" s="1371">
        <v>4</v>
      </c>
      <c r="W35" s="2189">
        <v>3</v>
      </c>
      <c r="X35" s="2206"/>
      <c r="Y35" s="1371"/>
      <c r="Z35" s="1371">
        <v>20</v>
      </c>
      <c r="AA35" s="1890">
        <v>10</v>
      </c>
      <c r="AB35" s="1890">
        <v>10</v>
      </c>
      <c r="AC35" s="2190" t="s">
        <v>33</v>
      </c>
      <c r="AD35" s="1371">
        <f t="shared" si="1"/>
        <v>60</v>
      </c>
    </row>
    <row r="36" spans="1:30" ht="30.75" customHeight="1" x14ac:dyDescent="0.3">
      <c r="A36" s="2039">
        <v>27</v>
      </c>
      <c r="B36" s="2186">
        <v>5191421027</v>
      </c>
      <c r="C36" s="1563">
        <v>2</v>
      </c>
      <c r="D36" s="1371">
        <v>2</v>
      </c>
      <c r="E36" s="1561">
        <v>2</v>
      </c>
      <c r="F36" s="1557">
        <v>3</v>
      </c>
      <c r="G36" s="1371">
        <v>3</v>
      </c>
      <c r="H36" s="2206"/>
      <c r="I36" s="1561"/>
      <c r="J36" s="1557"/>
      <c r="K36" s="1371">
        <v>2</v>
      </c>
      <c r="L36" s="1371"/>
      <c r="M36" s="1371"/>
      <c r="N36" s="1562">
        <f t="shared" si="0"/>
        <v>14</v>
      </c>
      <c r="O36" s="1563">
        <v>1</v>
      </c>
      <c r="P36" s="1371">
        <v>0</v>
      </c>
      <c r="Q36" s="1561">
        <v>1</v>
      </c>
      <c r="R36" s="2206"/>
      <c r="S36" s="1561"/>
      <c r="T36" s="1557">
        <v>3</v>
      </c>
      <c r="U36" s="1371">
        <v>3</v>
      </c>
      <c r="V36" s="1371">
        <v>4</v>
      </c>
      <c r="W36" s="2189">
        <v>3</v>
      </c>
      <c r="X36" s="2206"/>
      <c r="Y36" s="1371"/>
      <c r="Z36" s="1371">
        <v>15</v>
      </c>
      <c r="AA36" s="1890">
        <v>10</v>
      </c>
      <c r="AB36" s="1890">
        <v>10</v>
      </c>
      <c r="AC36" s="2190" t="s">
        <v>31</v>
      </c>
      <c r="AD36" s="1371">
        <f t="shared" si="1"/>
        <v>55</v>
      </c>
    </row>
    <row r="37" spans="1:30" ht="30.75" customHeight="1" x14ac:dyDescent="0.3">
      <c r="A37" s="2039">
        <v>28</v>
      </c>
      <c r="B37" s="2186">
        <v>5191421028</v>
      </c>
      <c r="C37" s="1563">
        <v>2</v>
      </c>
      <c r="D37" s="1371">
        <v>2</v>
      </c>
      <c r="E37" s="1561">
        <v>2</v>
      </c>
      <c r="F37" s="1557"/>
      <c r="G37" s="1371"/>
      <c r="H37" s="2206">
        <v>6</v>
      </c>
      <c r="I37" s="1561">
        <v>6</v>
      </c>
      <c r="J37" s="1557">
        <v>6</v>
      </c>
      <c r="K37" s="1371">
        <v>6</v>
      </c>
      <c r="L37" s="1371"/>
      <c r="M37" s="1371"/>
      <c r="N37" s="1562">
        <f t="shared" si="0"/>
        <v>30</v>
      </c>
      <c r="O37" s="1563">
        <v>2</v>
      </c>
      <c r="P37" s="1371">
        <v>2</v>
      </c>
      <c r="Q37" s="1561">
        <v>2</v>
      </c>
      <c r="R37" s="2206"/>
      <c r="S37" s="1561"/>
      <c r="T37" s="1557">
        <v>5</v>
      </c>
      <c r="U37" s="1371">
        <v>4</v>
      </c>
      <c r="V37" s="1371">
        <v>6</v>
      </c>
      <c r="W37" s="2189">
        <v>5</v>
      </c>
      <c r="X37" s="2206"/>
      <c r="Y37" s="1371"/>
      <c r="Z37" s="1371">
        <v>26</v>
      </c>
      <c r="AA37" s="1890">
        <v>10</v>
      </c>
      <c r="AB37" s="1890">
        <v>10</v>
      </c>
      <c r="AC37" s="2207" t="s">
        <v>27</v>
      </c>
      <c r="AD37" s="1371">
        <f t="shared" si="1"/>
        <v>80</v>
      </c>
    </row>
    <row r="38" spans="1:30" ht="30.75" customHeight="1" x14ac:dyDescent="0.3">
      <c r="A38" s="2039">
        <v>29</v>
      </c>
      <c r="B38" s="2186">
        <v>5191421029</v>
      </c>
      <c r="C38" s="1563">
        <v>2</v>
      </c>
      <c r="D38" s="1371">
        <v>2</v>
      </c>
      <c r="E38" s="1561">
        <v>0</v>
      </c>
      <c r="F38" s="1557">
        <v>3</v>
      </c>
      <c r="G38" s="1371">
        <v>3</v>
      </c>
      <c r="H38" s="2206"/>
      <c r="I38" s="1561"/>
      <c r="J38" s="1557"/>
      <c r="K38" s="1371"/>
      <c r="L38" s="1371">
        <v>3</v>
      </c>
      <c r="M38" s="1371">
        <v>3</v>
      </c>
      <c r="N38" s="1562">
        <f t="shared" si="0"/>
        <v>16</v>
      </c>
      <c r="O38" s="1563">
        <v>2</v>
      </c>
      <c r="P38" s="1371">
        <v>2</v>
      </c>
      <c r="Q38" s="1561">
        <v>2</v>
      </c>
      <c r="R38" s="2206"/>
      <c r="S38" s="1561"/>
      <c r="T38" s="1557">
        <v>3</v>
      </c>
      <c r="U38" s="1371">
        <v>3</v>
      </c>
      <c r="V38" s="1371"/>
      <c r="W38" s="2189"/>
      <c r="X38" s="2206">
        <v>4</v>
      </c>
      <c r="Y38" s="1371">
        <v>4</v>
      </c>
      <c r="Z38" s="1371">
        <v>20</v>
      </c>
      <c r="AA38" s="1890">
        <v>10</v>
      </c>
      <c r="AB38" s="1890">
        <v>10</v>
      </c>
      <c r="AC38" s="2190" t="s">
        <v>33</v>
      </c>
      <c r="AD38" s="1371">
        <f t="shared" si="1"/>
        <v>60</v>
      </c>
    </row>
    <row r="39" spans="1:30" ht="30.75" customHeight="1" x14ac:dyDescent="0.3">
      <c r="A39" s="2039">
        <v>30</v>
      </c>
      <c r="B39" s="2186">
        <v>5191421030</v>
      </c>
      <c r="C39" s="1597">
        <v>2</v>
      </c>
      <c r="D39" s="1371">
        <v>2</v>
      </c>
      <c r="E39" s="1561">
        <v>2</v>
      </c>
      <c r="F39" s="1557">
        <v>6</v>
      </c>
      <c r="G39" s="1371">
        <v>3</v>
      </c>
      <c r="H39" s="2206"/>
      <c r="I39" s="1561"/>
      <c r="J39" s="1557"/>
      <c r="K39" s="1371"/>
      <c r="L39" s="1371">
        <v>3</v>
      </c>
      <c r="M39" s="1371"/>
      <c r="N39" s="1562">
        <v>18</v>
      </c>
      <c r="O39" s="1563">
        <v>2</v>
      </c>
      <c r="P39" s="1371">
        <v>2</v>
      </c>
      <c r="Q39" s="1561">
        <v>2</v>
      </c>
      <c r="R39" s="2206"/>
      <c r="S39" s="1561"/>
      <c r="T39" s="1557">
        <v>3</v>
      </c>
      <c r="U39" s="1371">
        <v>3</v>
      </c>
      <c r="V39" s="1371"/>
      <c r="W39" s="2189"/>
      <c r="X39" s="2206">
        <v>3</v>
      </c>
      <c r="Y39" s="1371">
        <v>1</v>
      </c>
      <c r="Z39" s="1371">
        <v>16</v>
      </c>
      <c r="AA39" s="1890">
        <v>10</v>
      </c>
      <c r="AB39" s="1890">
        <v>10</v>
      </c>
      <c r="AC39" s="2190" t="s">
        <v>28</v>
      </c>
      <c r="AD39" s="1371">
        <f t="shared" si="1"/>
        <v>50</v>
      </c>
    </row>
    <row r="40" spans="1:30" ht="30.75" customHeight="1" x14ac:dyDescent="0.3">
      <c r="A40" s="2039">
        <v>31</v>
      </c>
      <c r="B40" s="2186">
        <v>5191421031</v>
      </c>
      <c r="C40" s="1557">
        <v>2</v>
      </c>
      <c r="D40" s="1371">
        <v>2</v>
      </c>
      <c r="E40" s="1561">
        <v>2</v>
      </c>
      <c r="F40" s="1557">
        <v>2</v>
      </c>
      <c r="G40" s="1371">
        <v>2</v>
      </c>
      <c r="H40" s="2206"/>
      <c r="I40" s="1561"/>
      <c r="J40" s="1557"/>
      <c r="K40" s="1371"/>
      <c r="L40" s="1371">
        <v>4</v>
      </c>
      <c r="M40" s="1371">
        <v>2</v>
      </c>
      <c r="N40" s="1562">
        <f>SUM(C40:M40)</f>
        <v>16</v>
      </c>
      <c r="O40" s="1563">
        <v>0</v>
      </c>
      <c r="P40" s="1371">
        <v>2</v>
      </c>
      <c r="Q40" s="1561"/>
      <c r="R40" s="2206"/>
      <c r="S40" s="1561"/>
      <c r="T40" s="1557">
        <v>3</v>
      </c>
      <c r="U40" s="1371">
        <v>1</v>
      </c>
      <c r="V40" s="1371"/>
      <c r="W40" s="2189"/>
      <c r="X40" s="2206">
        <v>4</v>
      </c>
      <c r="Y40" s="1371">
        <v>2</v>
      </c>
      <c r="Z40" s="1371">
        <v>12</v>
      </c>
      <c r="AA40" s="1890">
        <v>10</v>
      </c>
      <c r="AB40" s="1890">
        <v>10</v>
      </c>
      <c r="AC40" s="2190" t="s">
        <v>28</v>
      </c>
      <c r="AD40" s="1371">
        <f t="shared" si="1"/>
        <v>50</v>
      </c>
    </row>
    <row r="41" spans="1:30" ht="30.75" customHeight="1" x14ac:dyDescent="0.3">
      <c r="A41" s="2039">
        <v>32</v>
      </c>
      <c r="B41" s="1892">
        <v>5191421032</v>
      </c>
      <c r="C41" s="1376">
        <v>2</v>
      </c>
      <c r="D41" s="1376">
        <v>2</v>
      </c>
      <c r="E41" s="1376">
        <v>2</v>
      </c>
      <c r="F41" s="1376">
        <v>2</v>
      </c>
      <c r="G41" s="1376">
        <v>5</v>
      </c>
      <c r="H41" s="1369"/>
      <c r="I41" s="1369"/>
      <c r="J41" s="1376">
        <v>2</v>
      </c>
      <c r="K41" s="1376">
        <v>5</v>
      </c>
      <c r="L41" s="1371"/>
      <c r="M41" s="1371"/>
      <c r="N41" s="1562">
        <f t="shared" si="0"/>
        <v>20</v>
      </c>
      <c r="O41" s="1557">
        <v>2</v>
      </c>
      <c r="P41" s="1371">
        <v>2</v>
      </c>
      <c r="Q41" s="1561">
        <v>2</v>
      </c>
      <c r="R41" s="2206"/>
      <c r="S41" s="1561"/>
      <c r="T41" s="1557">
        <v>3</v>
      </c>
      <c r="U41" s="1371">
        <v>3</v>
      </c>
      <c r="V41" s="1371"/>
      <c r="W41" s="2189"/>
      <c r="X41" s="2206">
        <v>5</v>
      </c>
      <c r="Y41" s="1371">
        <v>3</v>
      </c>
      <c r="Z41" s="1371">
        <v>20</v>
      </c>
      <c r="AA41" s="1890">
        <v>10</v>
      </c>
      <c r="AB41" s="1890">
        <v>10</v>
      </c>
      <c r="AC41" s="2190" t="s">
        <v>31</v>
      </c>
      <c r="AD41" s="1371">
        <f t="shared" si="1"/>
        <v>55</v>
      </c>
    </row>
    <row r="42" spans="1:30" ht="30.75" customHeight="1" x14ac:dyDescent="0.3">
      <c r="A42" s="2039">
        <v>33</v>
      </c>
      <c r="B42" s="2186">
        <v>5191421033</v>
      </c>
      <c r="C42" s="1563">
        <v>2</v>
      </c>
      <c r="D42" s="1371">
        <v>2</v>
      </c>
      <c r="E42" s="1561">
        <v>2</v>
      </c>
      <c r="F42" s="1557"/>
      <c r="G42" s="1371"/>
      <c r="H42" s="2206">
        <v>3</v>
      </c>
      <c r="I42" s="1561">
        <v>3</v>
      </c>
      <c r="J42" s="1557">
        <v>4</v>
      </c>
      <c r="K42" s="1371">
        <v>5</v>
      </c>
      <c r="L42" s="1371"/>
      <c r="M42" s="1371"/>
      <c r="N42" s="1562">
        <f t="shared" si="0"/>
        <v>21</v>
      </c>
      <c r="O42" s="1563">
        <v>1</v>
      </c>
      <c r="P42" s="1371">
        <v>2</v>
      </c>
      <c r="Q42" s="1561">
        <v>1</v>
      </c>
      <c r="R42" s="2206"/>
      <c r="S42" s="1561"/>
      <c r="T42" s="1557">
        <v>3</v>
      </c>
      <c r="U42" s="1371">
        <v>2</v>
      </c>
      <c r="V42" s="1371">
        <v>4</v>
      </c>
      <c r="W42" s="2189">
        <v>3</v>
      </c>
      <c r="X42" s="2206"/>
      <c r="Y42" s="1371"/>
      <c r="Z42" s="1371">
        <v>16</v>
      </c>
      <c r="AA42" s="1890">
        <v>10</v>
      </c>
      <c r="AB42" s="1890">
        <v>10</v>
      </c>
      <c r="AC42" s="2190" t="s">
        <v>33</v>
      </c>
      <c r="AD42" s="1371">
        <f t="shared" si="1"/>
        <v>60</v>
      </c>
    </row>
    <row r="43" spans="1:30" ht="30.75" customHeight="1" x14ac:dyDescent="0.3">
      <c r="A43" s="2039">
        <v>34</v>
      </c>
      <c r="B43" s="2186">
        <v>5191421034</v>
      </c>
      <c r="C43" s="1563">
        <v>2</v>
      </c>
      <c r="D43" s="1371">
        <v>2</v>
      </c>
      <c r="E43" s="1561">
        <v>2</v>
      </c>
      <c r="F43" s="1557"/>
      <c r="G43" s="1371"/>
      <c r="H43" s="2206">
        <v>4</v>
      </c>
      <c r="I43" s="1561">
        <v>3</v>
      </c>
      <c r="J43" s="1557"/>
      <c r="K43" s="1371"/>
      <c r="L43" s="1371">
        <v>4</v>
      </c>
      <c r="M43" s="1371">
        <v>4</v>
      </c>
      <c r="N43" s="1562">
        <f t="shared" si="0"/>
        <v>21</v>
      </c>
      <c r="O43" s="1557">
        <v>2</v>
      </c>
      <c r="P43" s="1371">
        <v>2</v>
      </c>
      <c r="Q43" s="1561">
        <v>2</v>
      </c>
      <c r="R43" s="2206">
        <v>2</v>
      </c>
      <c r="S43" s="1561">
        <v>2</v>
      </c>
      <c r="T43" s="1557"/>
      <c r="U43" s="1371"/>
      <c r="V43" s="1371">
        <v>2</v>
      </c>
      <c r="W43" s="2189">
        <v>2</v>
      </c>
      <c r="X43" s="2206"/>
      <c r="Y43" s="1371"/>
      <c r="Z43" s="1371">
        <v>14</v>
      </c>
      <c r="AA43" s="1890">
        <v>10</v>
      </c>
      <c r="AB43" s="1890">
        <v>10</v>
      </c>
      <c r="AC43" s="2190" t="s">
        <v>31</v>
      </c>
      <c r="AD43" s="1371">
        <f t="shared" si="1"/>
        <v>55</v>
      </c>
    </row>
    <row r="44" spans="1:30" ht="30.75" customHeight="1" x14ac:dyDescent="0.3">
      <c r="A44" s="2039">
        <v>35</v>
      </c>
      <c r="B44" s="2186">
        <v>5191421035</v>
      </c>
      <c r="C44" s="1563">
        <v>2</v>
      </c>
      <c r="D44" s="1371">
        <v>2</v>
      </c>
      <c r="E44" s="1561">
        <v>2</v>
      </c>
      <c r="F44" s="1557"/>
      <c r="G44" s="1371"/>
      <c r="H44" s="2206">
        <v>3</v>
      </c>
      <c r="I44" s="1561">
        <v>3</v>
      </c>
      <c r="J44" s="1557">
        <v>3</v>
      </c>
      <c r="K44" s="1371">
        <v>4</v>
      </c>
      <c r="L44" s="1371"/>
      <c r="M44" s="1371"/>
      <c r="N44" s="1562">
        <f t="shared" si="0"/>
        <v>19</v>
      </c>
      <c r="O44" s="1563">
        <v>1</v>
      </c>
      <c r="P44" s="1371">
        <v>1</v>
      </c>
      <c r="Q44" s="1561"/>
      <c r="R44" s="2206"/>
      <c r="S44" s="1561"/>
      <c r="T44" s="1557">
        <v>3</v>
      </c>
      <c r="U44" s="1371">
        <v>3</v>
      </c>
      <c r="V44" s="1371"/>
      <c r="W44" s="2189"/>
      <c r="X44" s="2206">
        <v>3</v>
      </c>
      <c r="Y44" s="1371">
        <v>3</v>
      </c>
      <c r="Z44" s="1371">
        <v>14</v>
      </c>
      <c r="AA44" s="1890">
        <v>10</v>
      </c>
      <c r="AB44" s="1890">
        <v>10</v>
      </c>
      <c r="AC44" s="2190" t="s">
        <v>28</v>
      </c>
      <c r="AD44" s="1371">
        <f t="shared" si="1"/>
        <v>50</v>
      </c>
    </row>
    <row r="45" spans="1:30" ht="30.75" customHeight="1" x14ac:dyDescent="0.3">
      <c r="A45" s="2039">
        <v>36</v>
      </c>
      <c r="B45" s="2186">
        <v>5191421036</v>
      </c>
      <c r="C45" s="1563">
        <v>2</v>
      </c>
      <c r="D45" s="1371">
        <v>2</v>
      </c>
      <c r="E45" s="1561">
        <v>2</v>
      </c>
      <c r="F45" s="1557"/>
      <c r="G45" s="1371"/>
      <c r="H45" s="2206">
        <v>3</v>
      </c>
      <c r="I45" s="1561">
        <v>3</v>
      </c>
      <c r="J45" s="1557"/>
      <c r="K45" s="1371"/>
      <c r="L45" s="1371">
        <v>4</v>
      </c>
      <c r="M45" s="1371">
        <v>4</v>
      </c>
      <c r="N45" s="1562">
        <f t="shared" si="0"/>
        <v>20</v>
      </c>
      <c r="O45" s="1563">
        <v>2</v>
      </c>
      <c r="P45" s="1371">
        <v>2</v>
      </c>
      <c r="Q45" s="1561">
        <v>1</v>
      </c>
      <c r="R45" s="2206"/>
      <c r="S45" s="1561"/>
      <c r="T45" s="1557">
        <v>3</v>
      </c>
      <c r="U45" s="1371">
        <v>3</v>
      </c>
      <c r="V45" s="1371">
        <v>4</v>
      </c>
      <c r="W45" s="2189">
        <v>4</v>
      </c>
      <c r="X45" s="2206"/>
      <c r="Y45" s="1371"/>
      <c r="Z45" s="1371">
        <v>16</v>
      </c>
      <c r="AA45" s="1890">
        <v>10</v>
      </c>
      <c r="AB45" s="1890">
        <v>10</v>
      </c>
      <c r="AC45" s="2190" t="s">
        <v>33</v>
      </c>
      <c r="AD45" s="1371">
        <f t="shared" si="1"/>
        <v>60</v>
      </c>
    </row>
    <row r="46" spans="1:30" ht="30.75" customHeight="1" x14ac:dyDescent="0.3">
      <c r="A46" s="2039">
        <v>37</v>
      </c>
      <c r="B46" s="2186">
        <v>5191421037</v>
      </c>
      <c r="C46" s="1563">
        <v>2</v>
      </c>
      <c r="D46" s="1371">
        <v>2</v>
      </c>
      <c r="E46" s="1561">
        <v>2</v>
      </c>
      <c r="F46" s="1557">
        <v>3</v>
      </c>
      <c r="G46" s="1371">
        <v>4</v>
      </c>
      <c r="H46" s="2206"/>
      <c r="I46" s="1561"/>
      <c r="J46" s="1557">
        <v>3</v>
      </c>
      <c r="K46" s="1371">
        <v>5</v>
      </c>
      <c r="L46" s="1371"/>
      <c r="M46" s="1371"/>
      <c r="N46" s="1562">
        <f t="shared" si="0"/>
        <v>21</v>
      </c>
      <c r="O46" s="1563">
        <v>2</v>
      </c>
      <c r="P46" s="1371">
        <v>2</v>
      </c>
      <c r="Q46" s="1561">
        <v>2</v>
      </c>
      <c r="R46" s="2206">
        <v>3</v>
      </c>
      <c r="S46" s="1561">
        <v>3</v>
      </c>
      <c r="T46" s="1557"/>
      <c r="U46" s="1371"/>
      <c r="V46" s="1371">
        <v>3</v>
      </c>
      <c r="W46" s="2189">
        <v>2</v>
      </c>
      <c r="X46" s="2206"/>
      <c r="Y46" s="1371"/>
      <c r="Z46" s="1371">
        <v>17</v>
      </c>
      <c r="AA46" s="1890">
        <v>10</v>
      </c>
      <c r="AB46" s="1890">
        <v>10</v>
      </c>
      <c r="AC46" s="2190" t="s">
        <v>31</v>
      </c>
      <c r="AD46" s="1371">
        <f t="shared" si="1"/>
        <v>55</v>
      </c>
    </row>
    <row r="47" spans="1:30" ht="30.75" customHeight="1" x14ac:dyDescent="0.3">
      <c r="A47" s="2039">
        <v>38</v>
      </c>
      <c r="B47" s="2186">
        <v>5191421038</v>
      </c>
      <c r="C47" s="1563">
        <v>2</v>
      </c>
      <c r="D47" s="1371">
        <v>2</v>
      </c>
      <c r="E47" s="1561">
        <v>2</v>
      </c>
      <c r="F47" s="1557"/>
      <c r="G47" s="1371"/>
      <c r="H47" s="2206">
        <v>3</v>
      </c>
      <c r="I47" s="1561">
        <v>3</v>
      </c>
      <c r="J47" s="1557"/>
      <c r="K47" s="1371"/>
      <c r="L47" s="1371">
        <v>4</v>
      </c>
      <c r="M47" s="1371">
        <v>5</v>
      </c>
      <c r="N47" s="1562">
        <f t="shared" si="0"/>
        <v>21</v>
      </c>
      <c r="O47" s="1563">
        <v>2</v>
      </c>
      <c r="P47" s="1371">
        <v>2</v>
      </c>
      <c r="Q47" s="1561">
        <v>2</v>
      </c>
      <c r="R47" s="2206"/>
      <c r="S47" s="1561"/>
      <c r="T47" s="1557">
        <v>3</v>
      </c>
      <c r="U47" s="1371">
        <v>3</v>
      </c>
      <c r="V47" s="1371">
        <v>3</v>
      </c>
      <c r="W47" s="2189">
        <v>3</v>
      </c>
      <c r="X47" s="2206"/>
      <c r="Y47" s="1371"/>
      <c r="Z47" s="1371">
        <v>18</v>
      </c>
      <c r="AA47" s="1890">
        <v>10</v>
      </c>
      <c r="AB47" s="1890">
        <v>10</v>
      </c>
      <c r="AC47" s="2190" t="s">
        <v>31</v>
      </c>
      <c r="AD47" s="1371">
        <f t="shared" si="1"/>
        <v>55</v>
      </c>
    </row>
    <row r="48" spans="1:30" ht="30.75" customHeight="1" x14ac:dyDescent="0.3">
      <c r="A48" s="2039">
        <v>39</v>
      </c>
      <c r="B48" s="2186">
        <v>5191421039</v>
      </c>
      <c r="C48" s="1563">
        <v>2</v>
      </c>
      <c r="D48" s="1371">
        <v>2</v>
      </c>
      <c r="E48" s="1561">
        <v>2</v>
      </c>
      <c r="F48" s="1557"/>
      <c r="G48" s="1371"/>
      <c r="H48" s="2206">
        <v>4</v>
      </c>
      <c r="I48" s="1561">
        <v>4</v>
      </c>
      <c r="J48" s="1557"/>
      <c r="K48" s="1371"/>
      <c r="L48" s="1371">
        <v>3</v>
      </c>
      <c r="M48" s="1371">
        <v>5</v>
      </c>
      <c r="N48" s="1562">
        <f t="shared" si="0"/>
        <v>22</v>
      </c>
      <c r="O48" s="1563">
        <v>2</v>
      </c>
      <c r="P48" s="1371">
        <v>2</v>
      </c>
      <c r="Q48" s="1561">
        <v>2</v>
      </c>
      <c r="R48" s="2206">
        <v>4</v>
      </c>
      <c r="S48" s="1561">
        <v>4</v>
      </c>
      <c r="T48" s="1557"/>
      <c r="U48" s="1371"/>
      <c r="V48" s="1371">
        <v>4</v>
      </c>
      <c r="W48" s="2189">
        <v>3</v>
      </c>
      <c r="X48" s="2206"/>
      <c r="Y48" s="1371"/>
      <c r="Z48" s="1371">
        <v>21</v>
      </c>
      <c r="AA48" s="1890">
        <v>10</v>
      </c>
      <c r="AB48" s="1890">
        <v>10</v>
      </c>
      <c r="AC48" s="2190" t="s">
        <v>32</v>
      </c>
      <c r="AD48" s="1371">
        <f t="shared" si="1"/>
        <v>70</v>
      </c>
    </row>
    <row r="49" spans="1:30" ht="30.75" customHeight="1" x14ac:dyDescent="0.3">
      <c r="A49" s="2039">
        <v>40</v>
      </c>
      <c r="B49" s="2186">
        <v>5191421040</v>
      </c>
      <c r="C49" s="1597"/>
      <c r="D49" s="1371"/>
      <c r="E49" s="1561"/>
      <c r="F49" s="1557"/>
      <c r="G49" s="1371"/>
      <c r="H49" s="2206"/>
      <c r="I49" s="1561"/>
      <c r="J49" s="1557"/>
      <c r="K49" s="1371"/>
      <c r="L49" s="1371"/>
      <c r="M49" s="1371"/>
      <c r="N49" s="1562">
        <f t="shared" si="0"/>
        <v>0</v>
      </c>
      <c r="O49" s="1563">
        <v>1</v>
      </c>
      <c r="P49" s="1371">
        <v>1</v>
      </c>
      <c r="Q49" s="1561">
        <v>1</v>
      </c>
      <c r="R49" s="2206"/>
      <c r="S49" s="1561"/>
      <c r="T49" s="1557"/>
      <c r="U49" s="1371"/>
      <c r="V49" s="1371">
        <v>6</v>
      </c>
      <c r="W49" s="2189">
        <v>3</v>
      </c>
      <c r="X49" s="2206">
        <v>4</v>
      </c>
      <c r="Y49" s="1371">
        <v>3</v>
      </c>
      <c r="Z49" s="1371">
        <v>19</v>
      </c>
      <c r="AA49" s="1890">
        <v>10</v>
      </c>
      <c r="AB49" s="1890">
        <v>10</v>
      </c>
      <c r="AC49" s="2190" t="s">
        <v>32</v>
      </c>
      <c r="AD49" s="1371">
        <f t="shared" si="1"/>
        <v>70</v>
      </c>
    </row>
    <row r="50" spans="1:30" ht="30.75" customHeight="1" x14ac:dyDescent="0.3">
      <c r="A50" s="2039">
        <v>41</v>
      </c>
      <c r="B50" s="2186">
        <v>5191421041</v>
      </c>
      <c r="C50" s="1563">
        <v>2</v>
      </c>
      <c r="D50" s="1371">
        <v>2</v>
      </c>
      <c r="E50" s="1561">
        <v>2</v>
      </c>
      <c r="F50" s="1557"/>
      <c r="G50" s="1371"/>
      <c r="H50" s="2206">
        <v>5</v>
      </c>
      <c r="I50" s="1561">
        <v>4</v>
      </c>
      <c r="J50" s="1557">
        <v>4</v>
      </c>
      <c r="K50" s="1371">
        <v>2</v>
      </c>
      <c r="L50" s="1371"/>
      <c r="M50" s="1371"/>
      <c r="N50" s="1562">
        <f t="shared" si="0"/>
        <v>21</v>
      </c>
      <c r="O50" s="1563">
        <v>2</v>
      </c>
      <c r="P50" s="1371">
        <v>2</v>
      </c>
      <c r="Q50" s="1561">
        <v>2</v>
      </c>
      <c r="R50" s="2206">
        <v>4</v>
      </c>
      <c r="S50" s="1561">
        <v>4</v>
      </c>
      <c r="T50" s="1557"/>
      <c r="U50" s="1371"/>
      <c r="V50" s="1371"/>
      <c r="W50" s="2189"/>
      <c r="X50" s="2206">
        <v>3</v>
      </c>
      <c r="Y50" s="1371">
        <v>2</v>
      </c>
      <c r="Z50" s="1371">
        <v>19</v>
      </c>
      <c r="AA50" s="1890">
        <v>10</v>
      </c>
      <c r="AB50" s="1890">
        <v>10</v>
      </c>
      <c r="AC50" s="2190" t="s">
        <v>32</v>
      </c>
      <c r="AD50" s="1371">
        <f t="shared" si="1"/>
        <v>70</v>
      </c>
    </row>
    <row r="51" spans="1:30" ht="30.75" customHeight="1" x14ac:dyDescent="0.3">
      <c r="A51" s="2039">
        <v>42</v>
      </c>
      <c r="B51" s="2186">
        <v>5191421042</v>
      </c>
      <c r="C51" s="1563">
        <v>2</v>
      </c>
      <c r="D51" s="1371">
        <v>2</v>
      </c>
      <c r="E51" s="1561">
        <v>2</v>
      </c>
      <c r="F51" s="1557"/>
      <c r="G51" s="1371">
        <v>4</v>
      </c>
      <c r="H51" s="2206"/>
      <c r="I51" s="1561"/>
      <c r="J51" s="1557">
        <v>3</v>
      </c>
      <c r="K51" s="1371">
        <v>4</v>
      </c>
      <c r="L51" s="1371"/>
      <c r="M51" s="1371"/>
      <c r="N51" s="1562">
        <f t="shared" si="0"/>
        <v>17</v>
      </c>
      <c r="O51" s="1563">
        <v>2</v>
      </c>
      <c r="P51" s="1371">
        <v>2</v>
      </c>
      <c r="Q51" s="1561">
        <v>2</v>
      </c>
      <c r="R51" s="2206">
        <v>3</v>
      </c>
      <c r="S51" s="1561">
        <v>3</v>
      </c>
      <c r="T51" s="1557"/>
      <c r="U51" s="1371"/>
      <c r="V51" s="1371">
        <v>3</v>
      </c>
      <c r="W51" s="2189">
        <v>3</v>
      </c>
      <c r="X51" s="2206"/>
      <c r="Y51" s="1371"/>
      <c r="Z51" s="1371">
        <v>18</v>
      </c>
      <c r="AA51" s="1890">
        <v>10</v>
      </c>
      <c r="AB51" s="1890">
        <v>10</v>
      </c>
      <c r="AC51" s="2190" t="s">
        <v>31</v>
      </c>
      <c r="AD51" s="1371">
        <f t="shared" si="1"/>
        <v>55</v>
      </c>
    </row>
    <row r="52" spans="1:30" ht="30.75" customHeight="1" x14ac:dyDescent="0.3">
      <c r="A52" s="2039">
        <v>43</v>
      </c>
      <c r="B52" s="2186">
        <v>5191421043</v>
      </c>
      <c r="C52" s="1563">
        <v>2</v>
      </c>
      <c r="D52" s="1371">
        <v>2</v>
      </c>
      <c r="E52" s="1561">
        <v>2</v>
      </c>
      <c r="F52" s="1557"/>
      <c r="G52" s="1371"/>
      <c r="H52" s="2206">
        <v>6</v>
      </c>
      <c r="I52" s="1561">
        <v>6</v>
      </c>
      <c r="J52" s="1557">
        <v>6</v>
      </c>
      <c r="K52" s="1371">
        <v>6</v>
      </c>
      <c r="L52" s="1371"/>
      <c r="M52" s="1371"/>
      <c r="N52" s="1562">
        <f t="shared" si="0"/>
        <v>30</v>
      </c>
      <c r="O52" s="1563">
        <v>2</v>
      </c>
      <c r="P52" s="1371">
        <v>2</v>
      </c>
      <c r="Q52" s="1561">
        <v>2</v>
      </c>
      <c r="R52" s="2206">
        <v>5</v>
      </c>
      <c r="S52" s="1561">
        <v>5</v>
      </c>
      <c r="T52" s="1557"/>
      <c r="U52" s="1371"/>
      <c r="V52" s="1371">
        <v>5</v>
      </c>
      <c r="W52" s="2189">
        <v>2</v>
      </c>
      <c r="X52" s="2206"/>
      <c r="Y52" s="1371"/>
      <c r="Z52" s="1371">
        <v>23</v>
      </c>
      <c r="AA52" s="1890">
        <v>10</v>
      </c>
      <c r="AB52" s="1890">
        <v>10</v>
      </c>
      <c r="AC52" s="2190" t="s">
        <v>27</v>
      </c>
      <c r="AD52" s="1371">
        <f t="shared" si="1"/>
        <v>80</v>
      </c>
    </row>
    <row r="53" spans="1:30" ht="30.75" customHeight="1" x14ac:dyDescent="0.3">
      <c r="A53" s="2039">
        <v>44</v>
      </c>
      <c r="B53" s="2186">
        <v>5191421044</v>
      </c>
      <c r="C53" s="1563">
        <v>2</v>
      </c>
      <c r="D53" s="1371">
        <v>2</v>
      </c>
      <c r="E53" s="1561">
        <v>2</v>
      </c>
      <c r="F53" s="1557"/>
      <c r="G53" s="1371"/>
      <c r="H53" s="2206">
        <v>6</v>
      </c>
      <c r="I53" s="1561">
        <v>6</v>
      </c>
      <c r="J53" s="1557">
        <v>6</v>
      </c>
      <c r="K53" s="1371">
        <v>6</v>
      </c>
      <c r="L53" s="1371"/>
      <c r="M53" s="1371"/>
      <c r="N53" s="1562">
        <v>30</v>
      </c>
      <c r="O53" s="1563">
        <v>2</v>
      </c>
      <c r="P53" s="1371">
        <v>2</v>
      </c>
      <c r="Q53" s="1561">
        <v>2</v>
      </c>
      <c r="R53" s="2206">
        <v>5</v>
      </c>
      <c r="S53" s="1561">
        <v>4</v>
      </c>
      <c r="T53" s="1557"/>
      <c r="U53" s="1371"/>
      <c r="V53" s="1371">
        <v>4</v>
      </c>
      <c r="W53" s="2189">
        <v>4</v>
      </c>
      <c r="X53" s="2206"/>
      <c r="Y53" s="1371"/>
      <c r="Z53" s="1371">
        <v>23</v>
      </c>
      <c r="AA53" s="1890">
        <v>10</v>
      </c>
      <c r="AB53" s="1890">
        <v>10</v>
      </c>
      <c r="AC53" s="2190" t="s">
        <v>32</v>
      </c>
      <c r="AD53" s="1371">
        <f t="shared" si="1"/>
        <v>70</v>
      </c>
    </row>
    <row r="54" spans="1:30" ht="30.75" customHeight="1" x14ac:dyDescent="0.3">
      <c r="A54" s="2039">
        <v>45</v>
      </c>
      <c r="B54" s="2186">
        <v>5191421045</v>
      </c>
      <c r="C54" s="1597">
        <v>2</v>
      </c>
      <c r="D54" s="1371">
        <v>2</v>
      </c>
      <c r="E54" s="1561">
        <v>2</v>
      </c>
      <c r="F54" s="1557"/>
      <c r="G54" s="1371"/>
      <c r="H54" s="2206">
        <v>3</v>
      </c>
      <c r="I54" s="1561">
        <v>6</v>
      </c>
      <c r="J54" s="1557">
        <v>3</v>
      </c>
      <c r="K54" s="1371">
        <v>3</v>
      </c>
      <c r="L54" s="1371"/>
      <c r="M54" s="1371"/>
      <c r="N54" s="1562">
        <f t="shared" si="0"/>
        <v>21</v>
      </c>
      <c r="O54" s="1563">
        <v>2</v>
      </c>
      <c r="P54" s="1371">
        <v>2</v>
      </c>
      <c r="Q54" s="1561">
        <v>2</v>
      </c>
      <c r="R54" s="2206"/>
      <c r="S54" s="1561"/>
      <c r="T54" s="1557">
        <v>4</v>
      </c>
      <c r="U54" s="1371">
        <v>4</v>
      </c>
      <c r="V54" s="1371"/>
      <c r="W54" s="2189"/>
      <c r="X54" s="2206">
        <v>4</v>
      </c>
      <c r="Y54" s="1371">
        <v>3</v>
      </c>
      <c r="Z54" s="1371">
        <v>21</v>
      </c>
      <c r="AA54" s="1890">
        <v>10</v>
      </c>
      <c r="AB54" s="1890">
        <v>10</v>
      </c>
      <c r="AC54" s="2190" t="s">
        <v>32</v>
      </c>
      <c r="AD54" s="1371">
        <f t="shared" si="1"/>
        <v>70</v>
      </c>
    </row>
    <row r="55" spans="1:30" ht="30.75" customHeight="1" x14ac:dyDescent="0.3">
      <c r="A55" s="2039">
        <v>46</v>
      </c>
      <c r="B55" s="2186">
        <v>5191421046</v>
      </c>
      <c r="C55" s="1563">
        <v>2</v>
      </c>
      <c r="D55" s="1371">
        <v>2</v>
      </c>
      <c r="E55" s="1561">
        <v>2</v>
      </c>
      <c r="F55" s="1557"/>
      <c r="G55" s="1371"/>
      <c r="H55" s="2206">
        <v>4</v>
      </c>
      <c r="I55" s="1561">
        <v>4</v>
      </c>
      <c r="J55" s="1557">
        <v>5</v>
      </c>
      <c r="K55" s="1371">
        <v>5</v>
      </c>
      <c r="L55" s="1371"/>
      <c r="M55" s="1371"/>
      <c r="N55" s="1562">
        <f t="shared" si="0"/>
        <v>24</v>
      </c>
      <c r="O55" s="1563">
        <v>2</v>
      </c>
      <c r="P55" s="1371">
        <v>2</v>
      </c>
      <c r="Q55" s="1561">
        <v>2</v>
      </c>
      <c r="R55" s="2206">
        <v>3</v>
      </c>
      <c r="S55" s="1561">
        <v>4</v>
      </c>
      <c r="T55" s="1557"/>
      <c r="U55" s="1371"/>
      <c r="V55" s="1371">
        <v>5</v>
      </c>
      <c r="W55" s="2189">
        <v>3</v>
      </c>
      <c r="X55" s="2206"/>
      <c r="Y55" s="1371"/>
      <c r="Z55" s="1371">
        <v>21</v>
      </c>
      <c r="AA55" s="1890">
        <v>10</v>
      </c>
      <c r="AB55" s="1890">
        <v>10</v>
      </c>
      <c r="AC55" s="2190" t="s">
        <v>32</v>
      </c>
      <c r="AD55" s="1371">
        <f t="shared" si="1"/>
        <v>70</v>
      </c>
    </row>
    <row r="56" spans="1:30" ht="30.75" customHeight="1" x14ac:dyDescent="0.3">
      <c r="A56" s="2039">
        <v>47</v>
      </c>
      <c r="B56" s="2186">
        <v>5191421047</v>
      </c>
      <c r="C56" s="1563"/>
      <c r="D56" s="1371">
        <v>2</v>
      </c>
      <c r="E56" s="1561">
        <v>2</v>
      </c>
      <c r="F56" s="1557"/>
      <c r="G56" s="1371">
        <v>6</v>
      </c>
      <c r="H56" s="2206"/>
      <c r="I56" s="1561"/>
      <c r="J56" s="1557">
        <v>4</v>
      </c>
      <c r="K56" s="1371"/>
      <c r="L56" s="1371"/>
      <c r="M56" s="1371"/>
      <c r="N56" s="1562">
        <f t="shared" si="0"/>
        <v>14</v>
      </c>
      <c r="O56" s="1563">
        <v>2</v>
      </c>
      <c r="P56" s="1371">
        <v>2</v>
      </c>
      <c r="Q56" s="1561">
        <v>2</v>
      </c>
      <c r="R56" s="2206"/>
      <c r="S56" s="1561"/>
      <c r="T56" s="1557"/>
      <c r="U56" s="1371"/>
      <c r="V56" s="1371">
        <v>4</v>
      </c>
      <c r="W56" s="2189">
        <v>3</v>
      </c>
      <c r="X56" s="2206">
        <v>3</v>
      </c>
      <c r="Y56" s="1371">
        <v>2</v>
      </c>
      <c r="Z56" s="1371">
        <v>18</v>
      </c>
      <c r="AA56" s="1890">
        <v>10</v>
      </c>
      <c r="AB56" s="1890">
        <v>10</v>
      </c>
      <c r="AC56" s="2190" t="s">
        <v>28</v>
      </c>
      <c r="AD56" s="1371">
        <f t="shared" si="1"/>
        <v>50</v>
      </c>
    </row>
    <row r="57" spans="1:30" ht="30.75" customHeight="1" x14ac:dyDescent="0.3">
      <c r="A57" s="2039">
        <v>48</v>
      </c>
      <c r="B57" s="2186">
        <v>5191421048</v>
      </c>
      <c r="C57" s="1563">
        <v>2</v>
      </c>
      <c r="D57" s="1371">
        <v>2</v>
      </c>
      <c r="E57" s="1561">
        <v>2</v>
      </c>
      <c r="F57" s="1557"/>
      <c r="G57" s="1371"/>
      <c r="H57" s="2206">
        <v>3</v>
      </c>
      <c r="I57" s="1561">
        <v>3</v>
      </c>
      <c r="J57" s="1557">
        <v>4</v>
      </c>
      <c r="K57" s="1371">
        <v>4</v>
      </c>
      <c r="L57" s="1371"/>
      <c r="M57" s="1371"/>
      <c r="N57" s="1562">
        <f t="shared" si="0"/>
        <v>20</v>
      </c>
      <c r="O57" s="1563">
        <v>1</v>
      </c>
      <c r="P57" s="1371">
        <v>1</v>
      </c>
      <c r="Q57" s="1561"/>
      <c r="R57" s="2206">
        <v>3</v>
      </c>
      <c r="S57" s="1561">
        <v>2</v>
      </c>
      <c r="T57" s="1557"/>
      <c r="U57" s="1371"/>
      <c r="V57" s="1371">
        <v>3</v>
      </c>
      <c r="W57" s="2189">
        <v>4</v>
      </c>
      <c r="X57" s="2206"/>
      <c r="Y57" s="1371"/>
      <c r="Z57" s="1371">
        <v>14</v>
      </c>
      <c r="AA57" s="1890">
        <v>10</v>
      </c>
      <c r="AB57" s="1890">
        <v>10</v>
      </c>
      <c r="AC57" s="2190" t="s">
        <v>31</v>
      </c>
      <c r="AD57" s="1371">
        <f t="shared" si="1"/>
        <v>55</v>
      </c>
    </row>
    <row r="58" spans="1:30" ht="30.75" customHeight="1" x14ac:dyDescent="0.3">
      <c r="A58" s="2039">
        <v>49</v>
      </c>
      <c r="B58" s="2186">
        <v>5191421049</v>
      </c>
      <c r="C58" s="1563"/>
      <c r="D58" s="1371"/>
      <c r="E58" s="1561"/>
      <c r="F58" s="1557"/>
      <c r="G58" s="1371"/>
      <c r="H58" s="2206"/>
      <c r="I58" s="1561"/>
      <c r="J58" s="1557"/>
      <c r="K58" s="1371"/>
      <c r="L58" s="1371"/>
      <c r="M58" s="1371"/>
      <c r="N58" s="1562">
        <f t="shared" si="0"/>
        <v>0</v>
      </c>
      <c r="O58" s="1563">
        <v>2</v>
      </c>
      <c r="P58" s="1371">
        <v>2</v>
      </c>
      <c r="Q58" s="1561">
        <v>2</v>
      </c>
      <c r="R58" s="2206"/>
      <c r="S58" s="1561"/>
      <c r="T58" s="1557">
        <v>3</v>
      </c>
      <c r="U58" s="1371">
        <v>3</v>
      </c>
      <c r="V58" s="1371">
        <v>3</v>
      </c>
      <c r="W58" s="2189">
        <v>3</v>
      </c>
      <c r="X58" s="2206"/>
      <c r="Y58" s="1371"/>
      <c r="Z58" s="1371">
        <v>18</v>
      </c>
      <c r="AA58" s="1890">
        <v>10</v>
      </c>
      <c r="AB58" s="1890">
        <v>10</v>
      </c>
      <c r="AC58" s="2190" t="s">
        <v>33</v>
      </c>
      <c r="AD58" s="1371">
        <f t="shared" si="1"/>
        <v>60</v>
      </c>
    </row>
    <row r="59" spans="1:30" ht="30.75" customHeight="1" x14ac:dyDescent="0.3">
      <c r="A59" s="2039">
        <v>50</v>
      </c>
      <c r="B59" s="2186">
        <v>5191421050</v>
      </c>
      <c r="C59" s="1563">
        <v>2</v>
      </c>
      <c r="D59" s="1371">
        <v>2</v>
      </c>
      <c r="E59" s="1561">
        <v>2</v>
      </c>
      <c r="F59" s="1557">
        <v>3</v>
      </c>
      <c r="G59" s="1371">
        <v>3</v>
      </c>
      <c r="H59" s="2206"/>
      <c r="I59" s="1561"/>
      <c r="J59" s="1557">
        <v>3</v>
      </c>
      <c r="K59" s="1371"/>
      <c r="L59" s="1371"/>
      <c r="M59" s="1371"/>
      <c r="N59" s="1562">
        <f>SUM(C59:M59)</f>
        <v>15</v>
      </c>
      <c r="O59" s="1563">
        <v>2</v>
      </c>
      <c r="P59" s="1371">
        <v>2</v>
      </c>
      <c r="Q59" s="1561">
        <v>2</v>
      </c>
      <c r="R59" s="2206">
        <v>4</v>
      </c>
      <c r="S59" s="1561">
        <v>3</v>
      </c>
      <c r="T59" s="1557"/>
      <c r="U59" s="1371"/>
      <c r="V59" s="1371">
        <v>3</v>
      </c>
      <c r="W59" s="2189">
        <v>3</v>
      </c>
      <c r="X59" s="2206"/>
      <c r="Y59" s="1371"/>
      <c r="Z59" s="1371">
        <v>19</v>
      </c>
      <c r="AA59" s="1890">
        <v>10</v>
      </c>
      <c r="AB59" s="1890">
        <v>10</v>
      </c>
      <c r="AC59" s="2190" t="s">
        <v>31</v>
      </c>
      <c r="AD59" s="1371">
        <f t="shared" si="1"/>
        <v>55</v>
      </c>
    </row>
    <row r="60" spans="1:30" ht="30.75" customHeight="1" x14ac:dyDescent="0.3">
      <c r="A60" s="2039">
        <v>51</v>
      </c>
      <c r="B60" s="2186">
        <v>5191421051</v>
      </c>
      <c r="C60" s="2199">
        <v>2</v>
      </c>
      <c r="D60" s="2194">
        <v>2</v>
      </c>
      <c r="E60" s="2195">
        <v>2</v>
      </c>
      <c r="F60" s="2193"/>
      <c r="G60" s="1371"/>
      <c r="H60" s="2196">
        <v>5</v>
      </c>
      <c r="I60" s="2195">
        <v>4</v>
      </c>
      <c r="J60" s="2193">
        <v>3</v>
      </c>
      <c r="K60" s="2194">
        <v>4</v>
      </c>
      <c r="L60" s="1371"/>
      <c r="M60" s="1371"/>
      <c r="N60" s="1562">
        <f>SUM(C60:M60)</f>
        <v>22</v>
      </c>
      <c r="O60" s="2199">
        <v>2</v>
      </c>
      <c r="P60" s="2194">
        <v>2</v>
      </c>
      <c r="Q60" s="2195">
        <v>2</v>
      </c>
      <c r="R60" s="2196">
        <v>4</v>
      </c>
      <c r="S60" s="2195">
        <v>2</v>
      </c>
      <c r="T60" s="2193"/>
      <c r="U60" s="2194"/>
      <c r="V60" s="2194">
        <v>4</v>
      </c>
      <c r="W60" s="2203">
        <v>3</v>
      </c>
      <c r="X60" s="2206"/>
      <c r="Y60" s="1371"/>
      <c r="Z60" s="1371">
        <v>19</v>
      </c>
      <c r="AA60" s="1890">
        <v>10</v>
      </c>
      <c r="AB60" s="1890">
        <v>10</v>
      </c>
      <c r="AC60" s="2190" t="s">
        <v>32</v>
      </c>
      <c r="AD60" s="1371">
        <f t="shared" si="1"/>
        <v>70</v>
      </c>
    </row>
    <row r="61" spans="1:30" ht="30.75" customHeight="1" x14ac:dyDescent="0.3">
      <c r="A61" s="2039">
        <v>52</v>
      </c>
      <c r="B61" s="2186">
        <v>5191421052</v>
      </c>
      <c r="C61" s="2199">
        <v>2</v>
      </c>
      <c r="D61" s="2194">
        <v>2</v>
      </c>
      <c r="E61" s="2195">
        <v>2</v>
      </c>
      <c r="F61" s="2193"/>
      <c r="G61" s="1371"/>
      <c r="H61" s="2196">
        <v>5</v>
      </c>
      <c r="I61" s="2195">
        <v>5</v>
      </c>
      <c r="J61" s="2193">
        <v>3</v>
      </c>
      <c r="K61" s="2194">
        <v>3</v>
      </c>
      <c r="L61" s="1371"/>
      <c r="M61" s="1371"/>
      <c r="N61" s="1562">
        <v>22</v>
      </c>
      <c r="O61" s="2199">
        <v>2</v>
      </c>
      <c r="P61" s="2194">
        <v>2</v>
      </c>
      <c r="Q61" s="2195">
        <v>2</v>
      </c>
      <c r="R61" s="2196">
        <v>6</v>
      </c>
      <c r="S61" s="2195">
        <v>4</v>
      </c>
      <c r="T61" s="2193"/>
      <c r="U61" s="2194"/>
      <c r="V61" s="2194"/>
      <c r="W61" s="2203"/>
      <c r="X61" s="2206">
        <v>4</v>
      </c>
      <c r="Y61" s="1371">
        <v>2</v>
      </c>
      <c r="Z61" s="1371">
        <v>22</v>
      </c>
      <c r="AA61" s="1890">
        <v>10</v>
      </c>
      <c r="AB61" s="1890">
        <v>10</v>
      </c>
      <c r="AC61" s="2190" t="s">
        <v>33</v>
      </c>
      <c r="AD61" s="1371">
        <f>IF(AC61="O",100,IF(AC61="A+",90,IF(AC61="A",80,IF(AC61="B+",70,IF(AC61="B",60,IF(AC61="C",55,IF(AC61="P",50,IF(AC61="F",39))))))))</f>
        <v>60</v>
      </c>
    </row>
    <row r="62" spans="1:30" ht="30.75" customHeight="1" x14ac:dyDescent="0.3">
      <c r="A62" s="2039">
        <v>53</v>
      </c>
      <c r="B62" s="2186">
        <v>5191421053</v>
      </c>
      <c r="C62" s="2199">
        <v>2</v>
      </c>
      <c r="D62" s="2194">
        <v>2</v>
      </c>
      <c r="E62" s="2195">
        <v>2</v>
      </c>
      <c r="F62" s="2193">
        <v>3</v>
      </c>
      <c r="G62" s="1371">
        <v>5</v>
      </c>
      <c r="H62" s="2196"/>
      <c r="I62" s="2195"/>
      <c r="J62" s="2193">
        <v>3</v>
      </c>
      <c r="K62" s="2194">
        <v>5</v>
      </c>
      <c r="L62" s="1371"/>
      <c r="M62" s="1371"/>
      <c r="N62" s="1562">
        <f t="shared" ref="N62:N66" si="2">SUM(C62:M62)</f>
        <v>22</v>
      </c>
      <c r="O62" s="2199">
        <v>2</v>
      </c>
      <c r="P62" s="2194">
        <v>2</v>
      </c>
      <c r="Q62" s="2195">
        <v>2</v>
      </c>
      <c r="R62" s="2196">
        <v>2</v>
      </c>
      <c r="S62" s="2195">
        <v>4</v>
      </c>
      <c r="T62" s="2193"/>
      <c r="U62" s="2194"/>
      <c r="V62" s="2194">
        <v>4</v>
      </c>
      <c r="W62" s="2203">
        <v>3</v>
      </c>
      <c r="X62" s="2206"/>
      <c r="Y62" s="1371"/>
      <c r="Z62" s="1371">
        <v>19</v>
      </c>
      <c r="AA62" s="1890">
        <v>10</v>
      </c>
      <c r="AB62" s="1890">
        <v>10</v>
      </c>
      <c r="AC62" s="2190" t="s">
        <v>33</v>
      </c>
      <c r="AD62" s="1371">
        <f t="shared" si="1"/>
        <v>60</v>
      </c>
    </row>
    <row r="63" spans="1:30" ht="30.75" customHeight="1" x14ac:dyDescent="0.3">
      <c r="A63" s="2039">
        <v>54</v>
      </c>
      <c r="B63" s="2186">
        <v>5191421054</v>
      </c>
      <c r="C63" s="2199">
        <v>2</v>
      </c>
      <c r="D63" s="2194">
        <v>2</v>
      </c>
      <c r="E63" s="2195">
        <v>2</v>
      </c>
      <c r="F63" s="2193"/>
      <c r="G63" s="1371"/>
      <c r="H63" s="2196">
        <v>5</v>
      </c>
      <c r="I63" s="2195">
        <v>3</v>
      </c>
      <c r="J63" s="2193">
        <v>3</v>
      </c>
      <c r="K63" s="2194">
        <v>2</v>
      </c>
      <c r="L63" s="1371"/>
      <c r="M63" s="1371"/>
      <c r="N63" s="1562">
        <v>19</v>
      </c>
      <c r="O63" s="2199">
        <v>2</v>
      </c>
      <c r="P63" s="2194">
        <v>2</v>
      </c>
      <c r="Q63" s="2195">
        <v>2</v>
      </c>
      <c r="R63" s="2196">
        <v>3</v>
      </c>
      <c r="S63" s="2195">
        <v>5</v>
      </c>
      <c r="T63" s="2193"/>
      <c r="U63" s="2194"/>
      <c r="V63" s="2194">
        <v>4</v>
      </c>
      <c r="W63" s="2203">
        <v>3</v>
      </c>
      <c r="X63" s="2206"/>
      <c r="Y63" s="1371"/>
      <c r="Z63" s="1371">
        <v>21</v>
      </c>
      <c r="AA63" s="1890">
        <v>10</v>
      </c>
      <c r="AB63" s="1890">
        <v>10</v>
      </c>
      <c r="AC63" s="2190" t="s">
        <v>32</v>
      </c>
      <c r="AD63" s="1371">
        <f t="shared" si="1"/>
        <v>70</v>
      </c>
    </row>
    <row r="64" spans="1:30" ht="30.75" customHeight="1" x14ac:dyDescent="0.3">
      <c r="A64" s="2039">
        <v>55</v>
      </c>
      <c r="B64" s="2186">
        <v>5191421055</v>
      </c>
      <c r="C64" s="2199"/>
      <c r="D64" s="2194"/>
      <c r="E64" s="2195"/>
      <c r="F64" s="2193"/>
      <c r="G64" s="1371"/>
      <c r="H64" s="2196"/>
      <c r="I64" s="2195"/>
      <c r="J64" s="2193"/>
      <c r="K64" s="2194"/>
      <c r="L64" s="1371"/>
      <c r="M64" s="1371"/>
      <c r="N64" s="1562">
        <f t="shared" si="2"/>
        <v>0</v>
      </c>
      <c r="O64" s="2199">
        <v>2</v>
      </c>
      <c r="P64" s="2194">
        <v>2</v>
      </c>
      <c r="Q64" s="2195">
        <v>2</v>
      </c>
      <c r="R64" s="2196"/>
      <c r="S64" s="2195"/>
      <c r="T64" s="2193"/>
      <c r="U64" s="2194"/>
      <c r="V64" s="2194">
        <v>4</v>
      </c>
      <c r="W64" s="2203">
        <v>2</v>
      </c>
      <c r="X64" s="2206"/>
      <c r="Y64" s="1371"/>
      <c r="Z64" s="1371">
        <v>12</v>
      </c>
      <c r="AA64" s="1890">
        <v>10</v>
      </c>
      <c r="AB64" s="1890">
        <v>10</v>
      </c>
      <c r="AC64" s="2190" t="s">
        <v>31</v>
      </c>
      <c r="AD64" s="1371">
        <f t="shared" si="1"/>
        <v>55</v>
      </c>
    </row>
    <row r="65" spans="1:30" ht="30.75" customHeight="1" x14ac:dyDescent="0.3">
      <c r="A65" s="2039">
        <v>56</v>
      </c>
      <c r="B65" s="2186">
        <v>5191421056</v>
      </c>
      <c r="C65" s="2199">
        <v>2</v>
      </c>
      <c r="D65" s="2194">
        <v>2</v>
      </c>
      <c r="E65" s="2195"/>
      <c r="F65" s="2193"/>
      <c r="G65" s="1371">
        <v>5</v>
      </c>
      <c r="H65" s="2196"/>
      <c r="I65" s="2195"/>
      <c r="J65" s="2193">
        <v>4</v>
      </c>
      <c r="K65" s="2194">
        <v>4</v>
      </c>
      <c r="L65" s="1371"/>
      <c r="M65" s="1371"/>
      <c r="N65" s="1562">
        <f t="shared" si="2"/>
        <v>17</v>
      </c>
      <c r="O65" s="2199">
        <v>2</v>
      </c>
      <c r="P65" s="2194">
        <v>2</v>
      </c>
      <c r="Q65" s="2195">
        <v>2</v>
      </c>
      <c r="R65" s="2196"/>
      <c r="S65" s="2195"/>
      <c r="T65" s="2193">
        <v>3</v>
      </c>
      <c r="U65" s="2194">
        <v>3</v>
      </c>
      <c r="V65" s="2194">
        <v>4</v>
      </c>
      <c r="W65" s="2203">
        <v>4</v>
      </c>
      <c r="X65" s="2206"/>
      <c r="Y65" s="1371"/>
      <c r="Z65" s="1371">
        <v>20</v>
      </c>
      <c r="AA65" s="1890">
        <v>10</v>
      </c>
      <c r="AB65" s="1890">
        <v>10</v>
      </c>
      <c r="AC65" s="2190" t="s">
        <v>31</v>
      </c>
      <c r="AD65" s="1371">
        <f t="shared" si="1"/>
        <v>55</v>
      </c>
    </row>
    <row r="66" spans="1:30" ht="30.75" customHeight="1" x14ac:dyDescent="0.3">
      <c r="A66" s="2039">
        <v>57</v>
      </c>
      <c r="B66" s="2186">
        <v>5191421057</v>
      </c>
      <c r="C66" s="2199">
        <v>2</v>
      </c>
      <c r="D66" s="2194">
        <v>2</v>
      </c>
      <c r="E66" s="2195">
        <v>2</v>
      </c>
      <c r="F66" s="2193"/>
      <c r="G66" s="1371">
        <v>6</v>
      </c>
      <c r="H66" s="2196"/>
      <c r="I66" s="2195"/>
      <c r="J66" s="2193"/>
      <c r="K66" s="2194"/>
      <c r="L66" s="1371">
        <v>6</v>
      </c>
      <c r="M66" s="1371">
        <v>6</v>
      </c>
      <c r="N66" s="1562">
        <f t="shared" si="2"/>
        <v>24</v>
      </c>
      <c r="O66" s="2199">
        <v>2</v>
      </c>
      <c r="P66" s="2194">
        <v>2</v>
      </c>
      <c r="Q66" s="2195">
        <v>2</v>
      </c>
      <c r="R66" s="2196">
        <v>3</v>
      </c>
      <c r="S66" s="2195">
        <v>2</v>
      </c>
      <c r="T66" s="2193"/>
      <c r="U66" s="2194"/>
      <c r="V66" s="2194">
        <v>5</v>
      </c>
      <c r="W66" s="2203">
        <v>5</v>
      </c>
      <c r="X66" s="2196"/>
      <c r="Y66" s="2194"/>
      <c r="Z66" s="1371">
        <v>21</v>
      </c>
      <c r="AA66" s="1890">
        <v>10</v>
      </c>
      <c r="AB66" s="1890">
        <v>10</v>
      </c>
      <c r="AC66" s="2208" t="s">
        <v>32</v>
      </c>
      <c r="AD66" s="1371">
        <f t="shared" si="1"/>
        <v>70</v>
      </c>
    </row>
    <row r="67" spans="1:30" ht="30.75" customHeight="1" thickBot="1" x14ac:dyDescent="0.35">
      <c r="A67" s="2039">
        <v>58</v>
      </c>
      <c r="B67" s="2186">
        <v>5191421058</v>
      </c>
      <c r="C67" s="1600">
        <v>2</v>
      </c>
      <c r="D67" s="1601">
        <v>2</v>
      </c>
      <c r="E67" s="1602">
        <v>2</v>
      </c>
      <c r="F67" s="1603"/>
      <c r="G67" s="1601"/>
      <c r="H67" s="1606"/>
      <c r="I67" s="1602">
        <v>6</v>
      </c>
      <c r="J67" s="1603"/>
      <c r="K67" s="1601"/>
      <c r="L67" s="1371">
        <v>4</v>
      </c>
      <c r="M67" s="1371"/>
      <c r="N67" s="1562">
        <v>16</v>
      </c>
      <c r="O67" s="1600">
        <v>2</v>
      </c>
      <c r="P67" s="1601">
        <v>2</v>
      </c>
      <c r="Q67" s="1602">
        <v>2</v>
      </c>
      <c r="R67" s="2206"/>
      <c r="S67" s="1371"/>
      <c r="T67" s="1371">
        <v>4</v>
      </c>
      <c r="U67" s="1371">
        <v>4</v>
      </c>
      <c r="V67" s="1371">
        <v>1</v>
      </c>
      <c r="W67" s="1384"/>
      <c r="X67" s="1371"/>
      <c r="Y67" s="1371"/>
      <c r="Z67" s="1371">
        <v>15</v>
      </c>
      <c r="AA67" s="1890">
        <v>10</v>
      </c>
      <c r="AB67" s="1890">
        <v>10</v>
      </c>
      <c r="AC67" s="2209" t="s">
        <v>31</v>
      </c>
      <c r="AD67" s="1371">
        <f t="shared" si="1"/>
        <v>55</v>
      </c>
    </row>
    <row r="68" spans="1:30" ht="30.75" customHeight="1" x14ac:dyDescent="0.3">
      <c r="C68" s="2065">
        <f t="shared" ref="C68:M68" si="3">COUNT(C11:C67)</f>
        <v>51</v>
      </c>
      <c r="D68" s="2065">
        <f t="shared" si="3"/>
        <v>53</v>
      </c>
      <c r="E68" s="2065">
        <f t="shared" si="3"/>
        <v>52</v>
      </c>
      <c r="F68" s="2065">
        <f t="shared" si="3"/>
        <v>15</v>
      </c>
      <c r="G68" s="2065">
        <f t="shared" si="3"/>
        <v>20</v>
      </c>
      <c r="H68" s="2065">
        <f t="shared" si="3"/>
        <v>32</v>
      </c>
      <c r="I68" s="2065">
        <f t="shared" si="3"/>
        <v>33</v>
      </c>
      <c r="J68" s="2065">
        <f t="shared" si="3"/>
        <v>41</v>
      </c>
      <c r="K68" s="2065">
        <f t="shared" si="3"/>
        <v>39</v>
      </c>
      <c r="L68" s="2065">
        <f t="shared" si="3"/>
        <v>10</v>
      </c>
      <c r="M68" s="2065">
        <f t="shared" si="3"/>
        <v>8</v>
      </c>
      <c r="N68" s="2065"/>
      <c r="O68" s="2065">
        <f t="shared" ref="O68:W68" si="4">COUNT(O10:O67)</f>
        <v>55</v>
      </c>
      <c r="P68" s="2065">
        <f t="shared" si="4"/>
        <v>56</v>
      </c>
      <c r="Q68" s="2065">
        <f t="shared" si="4"/>
        <v>53</v>
      </c>
      <c r="R68" s="2065">
        <f t="shared" si="4"/>
        <v>25</v>
      </c>
      <c r="S68" s="2065">
        <f t="shared" si="4"/>
        <v>25</v>
      </c>
      <c r="T68" s="2065">
        <f t="shared" si="4"/>
        <v>25</v>
      </c>
      <c r="U68" s="2065">
        <f t="shared" si="4"/>
        <v>25</v>
      </c>
      <c r="V68" s="2065">
        <f t="shared" si="4"/>
        <v>44</v>
      </c>
      <c r="W68" s="2065">
        <f t="shared" si="4"/>
        <v>41</v>
      </c>
      <c r="X68" s="2065"/>
      <c r="Y68" s="2065"/>
      <c r="AA68" s="2065">
        <f t="shared" ref="AA68:AB68" si="5">COUNT(AA10:AA67)</f>
        <v>58</v>
      </c>
      <c r="AB68" s="2065">
        <f t="shared" si="5"/>
        <v>58</v>
      </c>
    </row>
    <row r="69" spans="1:30" ht="30.75" customHeight="1" x14ac:dyDescent="0.3">
      <c r="A69" s="1608" t="s">
        <v>34</v>
      </c>
      <c r="B69" s="2040">
        <v>55</v>
      </c>
      <c r="C69" s="1609">
        <f>C9*(B69/100)</f>
        <v>1.1000000000000001</v>
      </c>
      <c r="D69" s="1609">
        <f>D9*(B69/100)</f>
        <v>1.1000000000000001</v>
      </c>
      <c r="E69" s="1609">
        <f>E9*(B69/100)</f>
        <v>1.1000000000000001</v>
      </c>
      <c r="F69" s="1609">
        <f t="shared" ref="F69" si="6">F9*(B69/100)</f>
        <v>3.3000000000000003</v>
      </c>
      <c r="G69" s="1609">
        <v>3</v>
      </c>
      <c r="H69" s="1609">
        <v>3</v>
      </c>
      <c r="I69" s="1609">
        <v>3</v>
      </c>
      <c r="J69" s="1609">
        <v>3</v>
      </c>
      <c r="K69" s="1609">
        <v>3</v>
      </c>
      <c r="L69" s="1609">
        <v>3</v>
      </c>
      <c r="M69" s="1609">
        <v>3</v>
      </c>
      <c r="N69" s="2065"/>
      <c r="O69" s="1609">
        <f>O9*(B69/100)</f>
        <v>1.1000000000000001</v>
      </c>
      <c r="P69" s="1609">
        <f>P9*(B69/100)</f>
        <v>1.1000000000000001</v>
      </c>
      <c r="Q69" s="1609">
        <f>Q9*(B69/100)</f>
        <v>1.1000000000000001</v>
      </c>
      <c r="R69" s="1609">
        <f>R9*(B69/100)</f>
        <v>3.3000000000000003</v>
      </c>
      <c r="S69" s="1609">
        <f>S9*(B69/100)</f>
        <v>3.3000000000000003</v>
      </c>
      <c r="T69" s="1609">
        <f>T9*(B69/100)</f>
        <v>3.3000000000000003</v>
      </c>
      <c r="U69" s="1609">
        <f>U9*(B69/100)</f>
        <v>3.3000000000000003</v>
      </c>
      <c r="V69" s="1609">
        <f>V9*(B69/100)</f>
        <v>3.3000000000000003</v>
      </c>
      <c r="W69" s="1609">
        <f>W9*(B69/100)</f>
        <v>3.3000000000000003</v>
      </c>
      <c r="X69" s="1609"/>
      <c r="Y69" s="1609"/>
      <c r="AA69" s="1609">
        <v>5</v>
      </c>
      <c r="AB69" s="1609">
        <v>5</v>
      </c>
    </row>
    <row r="70" spans="1:30" ht="30.75" customHeight="1" x14ac:dyDescent="0.3">
      <c r="A70" s="2853" t="s">
        <v>35</v>
      </c>
      <c r="B70" s="2853"/>
      <c r="C70" s="2065">
        <f t="shared" ref="C70:M70" si="7">COUNTIF(C11:C67,"&gt;=" &amp;C69)</f>
        <v>50</v>
      </c>
      <c r="D70" s="2065">
        <f t="shared" si="7"/>
        <v>53</v>
      </c>
      <c r="E70" s="2065">
        <f t="shared" si="7"/>
        <v>50</v>
      </c>
      <c r="F70" s="2065">
        <f t="shared" si="7"/>
        <v>3</v>
      </c>
      <c r="G70" s="2065">
        <f t="shared" si="7"/>
        <v>19</v>
      </c>
      <c r="H70" s="2065">
        <f t="shared" si="7"/>
        <v>30</v>
      </c>
      <c r="I70" s="2065">
        <f t="shared" si="7"/>
        <v>29</v>
      </c>
      <c r="J70" s="2065">
        <f t="shared" si="7"/>
        <v>36</v>
      </c>
      <c r="K70" s="2065">
        <f t="shared" si="7"/>
        <v>32</v>
      </c>
      <c r="L70" s="2065">
        <f t="shared" si="7"/>
        <v>10</v>
      </c>
      <c r="M70" s="2065">
        <f t="shared" si="7"/>
        <v>7</v>
      </c>
      <c r="N70" s="2065"/>
      <c r="O70" s="2065">
        <f t="shared" ref="O70:W70" si="8">COUNTIF(O10:O60,"&gt;=" &amp;O69)</f>
        <v>40</v>
      </c>
      <c r="P70" s="2065">
        <f t="shared" si="8"/>
        <v>45</v>
      </c>
      <c r="Q70" s="2065">
        <f t="shared" si="8"/>
        <v>40</v>
      </c>
      <c r="R70" s="2065">
        <f t="shared" si="8"/>
        <v>12</v>
      </c>
      <c r="S70" s="2065">
        <f t="shared" si="8"/>
        <v>11</v>
      </c>
      <c r="T70" s="2065">
        <f t="shared" si="8"/>
        <v>5</v>
      </c>
      <c r="U70" s="2065">
        <f t="shared" si="8"/>
        <v>4</v>
      </c>
      <c r="V70" s="2065">
        <f t="shared" si="8"/>
        <v>22</v>
      </c>
      <c r="W70" s="2065">
        <f t="shared" si="8"/>
        <v>9</v>
      </c>
      <c r="X70" s="2065"/>
      <c r="Y70" s="2065"/>
      <c r="AA70" s="2065">
        <f>COUNTIF(AA10:AA67,"&gt;=" &amp;AA69)</f>
        <v>58</v>
      </c>
      <c r="AB70" s="2065">
        <f>COUNTIF(AB10:AB67,"&gt;=" &amp;AB69)</f>
        <v>58</v>
      </c>
      <c r="AD70" s="2065">
        <f>COUNTIF(AD10:AD67,"&gt;="&amp;B69)</f>
        <v>53</v>
      </c>
    </row>
    <row r="71" spans="1:30" ht="30.75" customHeight="1" x14ac:dyDescent="0.3">
      <c r="A71" s="2863" t="s">
        <v>36</v>
      </c>
      <c r="B71" s="2863"/>
      <c r="C71" s="2065">
        <f t="shared" ref="C71:W71" si="9">C70/C68</f>
        <v>0.98039215686274506</v>
      </c>
      <c r="D71" s="2065">
        <f t="shared" si="9"/>
        <v>1</v>
      </c>
      <c r="E71" s="2065">
        <f t="shared" si="9"/>
        <v>0.96153846153846156</v>
      </c>
      <c r="F71" s="2065">
        <f t="shared" si="9"/>
        <v>0.2</v>
      </c>
      <c r="G71" s="2065">
        <f t="shared" si="9"/>
        <v>0.95</v>
      </c>
      <c r="H71" s="2065">
        <f t="shared" si="9"/>
        <v>0.9375</v>
      </c>
      <c r="I71" s="2065">
        <f t="shared" si="9"/>
        <v>0.87878787878787878</v>
      </c>
      <c r="J71" s="2065">
        <f t="shared" si="9"/>
        <v>0.87804878048780488</v>
      </c>
      <c r="K71" s="2065">
        <f t="shared" si="9"/>
        <v>0.82051282051282048</v>
      </c>
      <c r="L71" s="2065">
        <f t="shared" si="9"/>
        <v>1</v>
      </c>
      <c r="M71" s="2065">
        <f t="shared" si="9"/>
        <v>0.875</v>
      </c>
      <c r="N71" s="2065"/>
      <c r="O71" s="2065">
        <f t="shared" si="9"/>
        <v>0.72727272727272729</v>
      </c>
      <c r="P71" s="2065">
        <f t="shared" si="9"/>
        <v>0.8035714285714286</v>
      </c>
      <c r="Q71" s="2065">
        <f t="shared" si="9"/>
        <v>0.75471698113207553</v>
      </c>
      <c r="R71" s="2065">
        <f t="shared" si="9"/>
        <v>0.48</v>
      </c>
      <c r="S71" s="2065">
        <f t="shared" si="9"/>
        <v>0.44</v>
      </c>
      <c r="T71" s="2065">
        <f t="shared" si="9"/>
        <v>0.2</v>
      </c>
      <c r="U71" s="2065">
        <f t="shared" si="9"/>
        <v>0.16</v>
      </c>
      <c r="V71" s="2065">
        <f t="shared" si="9"/>
        <v>0.5</v>
      </c>
      <c r="W71" s="2210">
        <f t="shared" si="9"/>
        <v>0.21951219512195122</v>
      </c>
      <c r="X71" s="2065"/>
      <c r="Y71" s="2065"/>
      <c r="AA71" s="2210">
        <f t="shared" ref="AA71:AB71" si="10">AA70/AA68</f>
        <v>1</v>
      </c>
      <c r="AB71" s="2210">
        <f t="shared" si="10"/>
        <v>1</v>
      </c>
      <c r="AD71" s="2065">
        <f>(AD70/A67)*100</f>
        <v>91.379310344827587</v>
      </c>
    </row>
    <row r="72" spans="1:30" ht="30.75" customHeight="1" x14ac:dyDescent="0.3">
      <c r="C72" s="1547" t="s">
        <v>22</v>
      </c>
      <c r="D72" s="1547" t="s">
        <v>21</v>
      </c>
      <c r="E72" s="1548" t="s">
        <v>21</v>
      </c>
      <c r="F72" s="3540" t="s">
        <v>20</v>
      </c>
      <c r="G72" s="3541"/>
      <c r="H72" s="3542" t="s">
        <v>20</v>
      </c>
      <c r="I72" s="3543"/>
      <c r="J72" s="3556" t="s">
        <v>21</v>
      </c>
      <c r="K72" s="3557"/>
      <c r="L72" s="3558" t="s">
        <v>40</v>
      </c>
      <c r="M72" s="3559"/>
      <c r="N72" s="2065"/>
      <c r="O72" s="2039"/>
      <c r="P72" s="2039"/>
      <c r="Q72" s="2039"/>
      <c r="R72" s="2039"/>
      <c r="S72" s="2039"/>
      <c r="T72" s="2039"/>
      <c r="U72" s="2039"/>
      <c r="V72" s="2039"/>
      <c r="W72" s="2064"/>
      <c r="X72" s="2065"/>
      <c r="Y72" s="2065"/>
    </row>
    <row r="74" spans="1:30" ht="30.75" customHeight="1" x14ac:dyDescent="0.3">
      <c r="D74" s="2040" t="s">
        <v>38</v>
      </c>
      <c r="E74" s="2635" t="s">
        <v>39</v>
      </c>
      <c r="F74" s="2635"/>
      <c r="G74" s="2635" t="s">
        <v>37</v>
      </c>
      <c r="H74" s="2635"/>
      <c r="I74" s="1114"/>
      <c r="J74" s="2040"/>
    </row>
    <row r="75" spans="1:30" ht="30.75" customHeight="1" x14ac:dyDescent="0.3">
      <c r="B75" s="2040" t="s">
        <v>22</v>
      </c>
      <c r="C75" s="2065">
        <f>AVERAGE(C71,D71,I71,)*100</f>
        <v>71.479500891265602</v>
      </c>
      <c r="D75" s="2065">
        <f t="shared" ref="D75:D79" si="11">IF(C75&gt;=70,3,IF(AND(C75&gt;=60,C75&lt;70),2,IF(AND(C75&gt;=50,C75&lt;60),1)))</f>
        <v>3</v>
      </c>
      <c r="E75" s="3561">
        <f>IF(AD71&gt;=70,3,IF(AND(AD71&gt;=60,AD71&lt;70),2,IF(AND(AD71&gt;=50,AD71&lt;60),1)))</f>
        <v>3</v>
      </c>
      <c r="F75" s="3561"/>
      <c r="G75" s="1373">
        <f>(70/100)*E75+(30/100)*D75</f>
        <v>2.9999999999999996</v>
      </c>
      <c r="H75" s="1373"/>
      <c r="I75" s="1373"/>
      <c r="J75" s="1373"/>
    </row>
    <row r="76" spans="1:30" ht="30.75" customHeight="1" x14ac:dyDescent="0.3">
      <c r="B76" s="2040" t="s">
        <v>40</v>
      </c>
      <c r="C76" s="2065">
        <f>AVERAGE(E71,F71,K71)*100</f>
        <v>66.068376068376068</v>
      </c>
      <c r="D76" s="2065">
        <f t="shared" si="11"/>
        <v>2</v>
      </c>
      <c r="E76" s="3561">
        <f>IF(AD71&gt;=70,3,IF(AND(AD71&gt;=60,AD71&lt;70),2,IF(AND(AD71&gt;=50,AD71&lt;60),1)))</f>
        <v>3</v>
      </c>
      <c r="F76" s="3561"/>
      <c r="G76" s="1373">
        <f t="shared" ref="G76:G79" si="12">(70/100)*E76+(30/100)*D76</f>
        <v>2.6999999999999997</v>
      </c>
      <c r="H76" s="1373"/>
      <c r="I76" s="1373"/>
      <c r="J76" s="1373"/>
    </row>
    <row r="77" spans="1:30" ht="30.75" customHeight="1" x14ac:dyDescent="0.3">
      <c r="B77" s="2040" t="s">
        <v>41</v>
      </c>
      <c r="C77" s="2065">
        <f>AVERAGE(G71,M71,O71,P71)*100</f>
        <v>83.896103896103895</v>
      </c>
      <c r="D77" s="2065">
        <f t="shared" si="11"/>
        <v>3</v>
      </c>
      <c r="E77" s="3561">
        <f>IF(AD71&gt;=70,3,IF(AND(AD71&gt;=60,AD71&lt;70),2,IF(AND(AD71&gt;=50,AD71&lt;60),1)))</f>
        <v>3</v>
      </c>
      <c r="F77" s="3561"/>
      <c r="G77" s="1373">
        <f t="shared" si="12"/>
        <v>2.9999999999999996</v>
      </c>
      <c r="H77" s="1373"/>
      <c r="I77" s="1373"/>
      <c r="J77" s="1373"/>
    </row>
    <row r="78" spans="1:30" ht="30.75" customHeight="1" x14ac:dyDescent="0.3">
      <c r="B78" s="2040" t="s">
        <v>42</v>
      </c>
      <c r="C78" s="2065">
        <f>AVERAGE(Q71,T71)*100</f>
        <v>47.735849056603776</v>
      </c>
      <c r="D78" s="2065" t="b">
        <f t="shared" si="11"/>
        <v>0</v>
      </c>
      <c r="E78" s="3561">
        <f>IF(AD71&gt;=70,3,IF(AND(AD71&gt;=60,AD71&lt;70),2,IF(AND(AD71&gt;=50,AD71&lt;60),1)))</f>
        <v>3</v>
      </c>
      <c r="F78" s="3561"/>
      <c r="G78" s="1373">
        <f t="shared" si="12"/>
        <v>2.0999999999999996</v>
      </c>
      <c r="H78" s="1373"/>
      <c r="I78" s="1373"/>
      <c r="J78" s="1373"/>
    </row>
    <row r="79" spans="1:30" ht="30.75" customHeight="1" x14ac:dyDescent="0.3">
      <c r="B79" s="2040" t="s">
        <v>43</v>
      </c>
      <c r="C79" s="2065">
        <f>AVERAGE(Q71,R71,U71)*100</f>
        <v>46.490566037735846</v>
      </c>
      <c r="D79" s="2065" t="b">
        <f t="shared" si="11"/>
        <v>0</v>
      </c>
      <c r="E79" s="3561">
        <f>IF(AD71&gt;=70,3,IF(AND(AD71&gt;=60,AD71&lt;70),2,IF(AND(AD71&gt;=50,AD71&lt;60),1)))</f>
        <v>3</v>
      </c>
      <c r="F79" s="3561"/>
      <c r="G79" s="1373">
        <f t="shared" si="12"/>
        <v>2.0999999999999996</v>
      </c>
      <c r="H79" s="1373"/>
      <c r="I79" s="1373"/>
      <c r="J79" s="1373"/>
    </row>
    <row r="80" spans="1:30" ht="30.75" customHeight="1" x14ac:dyDescent="0.3">
      <c r="B80" s="2862" t="s">
        <v>44</v>
      </c>
      <c r="C80" s="2862"/>
      <c r="D80" s="2862"/>
      <c r="E80" s="2862"/>
      <c r="F80" s="2862"/>
      <c r="G80" s="1375">
        <f>AVERAGE(G75:G79)</f>
        <v>2.5799999999999996</v>
      </c>
      <c r="H80" s="1375"/>
      <c r="I80" s="1375"/>
      <c r="J80" s="1375"/>
    </row>
    <row r="82" spans="1:23" ht="30.75" customHeight="1" x14ac:dyDescent="0.3">
      <c r="A82" s="2862" t="s">
        <v>134</v>
      </c>
      <c r="B82" s="2862"/>
    </row>
    <row r="84" spans="1:23" ht="30.75" customHeight="1" x14ac:dyDescent="0.3">
      <c r="B84" s="1376" t="s">
        <v>45</v>
      </c>
      <c r="C84" s="2211" t="s">
        <v>68</v>
      </c>
      <c r="D84" s="2211" t="s">
        <v>69</v>
      </c>
      <c r="E84" s="2211" t="s">
        <v>70</v>
      </c>
      <c r="F84" s="2211" t="s">
        <v>71</v>
      </c>
      <c r="G84" s="2211" t="s">
        <v>72</v>
      </c>
      <c r="H84" s="2211" t="s">
        <v>73</v>
      </c>
      <c r="I84" s="2211" t="s">
        <v>74</v>
      </c>
      <c r="J84" s="2212" t="s">
        <v>75</v>
      </c>
      <c r="K84" s="2211" t="s">
        <v>76</v>
      </c>
      <c r="L84" s="2211" t="s">
        <v>77</v>
      </c>
      <c r="M84" s="2211" t="s">
        <v>78</v>
      </c>
      <c r="N84" s="2211" t="s">
        <v>79</v>
      </c>
      <c r="T84" s="1370"/>
      <c r="W84" s="1095"/>
    </row>
    <row r="85" spans="1:23" ht="30.75" customHeight="1" x14ac:dyDescent="0.3">
      <c r="B85" s="2213" t="s">
        <v>20</v>
      </c>
      <c r="C85" s="1380">
        <v>3</v>
      </c>
      <c r="D85" s="1380">
        <v>3</v>
      </c>
      <c r="E85" s="1380">
        <v>2</v>
      </c>
      <c r="F85" s="1380">
        <v>1</v>
      </c>
      <c r="G85" s="1380">
        <v>2</v>
      </c>
      <c r="H85" s="1380"/>
      <c r="I85" s="1380"/>
      <c r="J85" s="1380"/>
      <c r="K85" s="1380"/>
      <c r="L85" s="1380"/>
      <c r="M85" s="1380"/>
      <c r="N85" s="1380">
        <v>2</v>
      </c>
      <c r="T85" s="1370"/>
      <c r="W85" s="1095"/>
    </row>
    <row r="86" spans="1:23" ht="30.75" customHeight="1" x14ac:dyDescent="0.3">
      <c r="B86" s="2213" t="s">
        <v>21</v>
      </c>
      <c r="C86" s="1380">
        <v>3</v>
      </c>
      <c r="D86" s="1380">
        <v>3</v>
      </c>
      <c r="E86" s="1380">
        <v>2</v>
      </c>
      <c r="F86" s="1380">
        <v>1</v>
      </c>
      <c r="G86" s="1380">
        <v>2</v>
      </c>
      <c r="H86" s="1380">
        <v>1</v>
      </c>
      <c r="I86" s="1380"/>
      <c r="J86" s="1380"/>
      <c r="K86" s="1380"/>
      <c r="L86" s="1380"/>
      <c r="M86" s="1380"/>
      <c r="N86" s="1380">
        <v>2</v>
      </c>
      <c r="T86" s="1370"/>
      <c r="W86" s="1095"/>
    </row>
    <row r="87" spans="1:23" ht="30.75" customHeight="1" x14ac:dyDescent="0.3">
      <c r="B87" s="2213" t="s">
        <v>23</v>
      </c>
      <c r="C87" s="1380">
        <v>3</v>
      </c>
      <c r="D87" s="1380">
        <v>3</v>
      </c>
      <c r="E87" s="1380">
        <v>3</v>
      </c>
      <c r="F87" s="1380">
        <v>1</v>
      </c>
      <c r="G87" s="1380">
        <v>3</v>
      </c>
      <c r="H87" s="1380">
        <v>2</v>
      </c>
      <c r="I87" s="1380"/>
      <c r="J87" s="1380"/>
      <c r="K87" s="1380"/>
      <c r="L87" s="1380"/>
      <c r="M87" s="1380"/>
      <c r="N87" s="1380">
        <v>2</v>
      </c>
      <c r="T87" s="1370"/>
      <c r="W87" s="1095"/>
    </row>
    <row r="88" spans="1:23" ht="30.75" customHeight="1" x14ac:dyDescent="0.3">
      <c r="B88" s="2213" t="s">
        <v>25</v>
      </c>
      <c r="C88" s="1380">
        <v>2</v>
      </c>
      <c r="D88" s="1380">
        <v>2</v>
      </c>
      <c r="E88" s="1380">
        <v>3</v>
      </c>
      <c r="F88" s="1380">
        <v>1</v>
      </c>
      <c r="G88" s="1380">
        <v>1</v>
      </c>
      <c r="H88" s="1380"/>
      <c r="I88" s="1380"/>
      <c r="J88" s="1380"/>
      <c r="K88" s="1380"/>
      <c r="L88" s="1380"/>
      <c r="M88" s="1380"/>
      <c r="N88" s="1380">
        <v>2</v>
      </c>
      <c r="T88" s="1370"/>
      <c r="W88" s="1095"/>
    </row>
    <row r="89" spans="1:23" ht="30.75" customHeight="1" x14ac:dyDescent="0.3">
      <c r="B89" s="2213" t="s">
        <v>24</v>
      </c>
      <c r="C89" s="1380">
        <v>2</v>
      </c>
      <c r="D89" s="1380">
        <v>2</v>
      </c>
      <c r="E89" s="1380">
        <v>3</v>
      </c>
      <c r="F89" s="1380">
        <v>1</v>
      </c>
      <c r="G89" s="1380">
        <v>3</v>
      </c>
      <c r="H89" s="1380"/>
      <c r="I89" s="1380"/>
      <c r="J89" s="1380"/>
      <c r="K89" s="1380"/>
      <c r="L89" s="1380"/>
      <c r="M89" s="1380"/>
      <c r="N89" s="1380">
        <v>1</v>
      </c>
      <c r="T89" s="1370"/>
      <c r="W89" s="1095"/>
    </row>
    <row r="90" spans="1:23" ht="30.75" customHeight="1" x14ac:dyDescent="0.3">
      <c r="B90" s="2214" t="s">
        <v>10</v>
      </c>
      <c r="C90" s="1916">
        <f t="shared" ref="C90:H90" si="13">AVERAGE(C85:C89)</f>
        <v>2.6</v>
      </c>
      <c r="D90" s="1916">
        <f t="shared" si="13"/>
        <v>2.6</v>
      </c>
      <c r="E90" s="1916">
        <f t="shared" si="13"/>
        <v>2.6</v>
      </c>
      <c r="F90" s="1916">
        <f t="shared" si="13"/>
        <v>1</v>
      </c>
      <c r="G90" s="1916">
        <f t="shared" si="13"/>
        <v>2.2000000000000002</v>
      </c>
      <c r="H90" s="1916">
        <f t="shared" si="13"/>
        <v>1.5</v>
      </c>
      <c r="I90" s="1916"/>
      <c r="J90" s="1916"/>
      <c r="K90" s="1916"/>
      <c r="L90" s="1916"/>
      <c r="M90" s="1916"/>
      <c r="N90" s="1916">
        <f>AVERAGE(N85:N89)</f>
        <v>1.8</v>
      </c>
      <c r="T90" s="1370"/>
      <c r="W90" s="1095"/>
    </row>
    <row r="91" spans="1:23" ht="30.75" customHeight="1" x14ac:dyDescent="0.3">
      <c r="B91" s="2054" t="s">
        <v>58</v>
      </c>
      <c r="C91" s="3542">
        <f>AVERAGE(C90:N90)</f>
        <v>2.0428571428571431</v>
      </c>
      <c r="D91" s="3563"/>
      <c r="E91" s="3563"/>
      <c r="F91" s="3563"/>
      <c r="G91" s="3563"/>
      <c r="H91" s="3563"/>
      <c r="I91" s="3563"/>
      <c r="J91" s="3563"/>
      <c r="K91" s="3563"/>
      <c r="L91" s="3563"/>
      <c r="M91" s="3563"/>
      <c r="N91" s="3541"/>
      <c r="O91" s="1072"/>
      <c r="P91" s="1072"/>
      <c r="Q91" s="1072"/>
    </row>
    <row r="92" spans="1:23" ht="30.75" customHeight="1" x14ac:dyDescent="0.3">
      <c r="C92" s="1383"/>
    </row>
    <row r="94" spans="1:23" ht="30.75" customHeight="1" x14ac:dyDescent="0.3">
      <c r="A94" s="2862" t="s">
        <v>148</v>
      </c>
      <c r="B94" s="2862"/>
    </row>
    <row r="96" spans="1:23" ht="30.75" customHeight="1" x14ac:dyDescent="0.3">
      <c r="B96" s="1376" t="s">
        <v>45</v>
      </c>
      <c r="C96" s="2211" t="s">
        <v>68</v>
      </c>
      <c r="D96" s="2211" t="s">
        <v>69</v>
      </c>
      <c r="E96" s="2211" t="s">
        <v>70</v>
      </c>
      <c r="F96" s="2211" t="s">
        <v>71</v>
      </c>
      <c r="G96" s="2211" t="s">
        <v>72</v>
      </c>
      <c r="H96" s="2211" t="s">
        <v>73</v>
      </c>
      <c r="I96" s="2211" t="s">
        <v>74</v>
      </c>
      <c r="J96" s="2212" t="s">
        <v>75</v>
      </c>
      <c r="K96" s="2211" t="s">
        <v>76</v>
      </c>
      <c r="L96" s="2211" t="s">
        <v>77</v>
      </c>
      <c r="M96" s="2211" t="s">
        <v>78</v>
      </c>
      <c r="N96" s="2211" t="s">
        <v>79</v>
      </c>
      <c r="T96" s="1370"/>
      <c r="W96" s="1095"/>
    </row>
    <row r="97" spans="1:23" ht="30.75" customHeight="1" x14ac:dyDescent="0.3">
      <c r="B97" s="2213" t="s">
        <v>20</v>
      </c>
      <c r="C97" s="1384">
        <f>G75*C85/3</f>
        <v>2.9999999999999996</v>
      </c>
      <c r="D97" s="1384">
        <f>G75*D85/3</f>
        <v>2.9999999999999996</v>
      </c>
      <c r="E97" s="1384">
        <f>G75*E85/3</f>
        <v>1.9999999999999998</v>
      </c>
      <c r="F97" s="1384">
        <f>G75*F85/3</f>
        <v>0.99999999999999989</v>
      </c>
      <c r="G97" s="1384">
        <f>G75*G85/3</f>
        <v>1.9999999999999998</v>
      </c>
      <c r="H97" s="1384"/>
      <c r="I97" s="1384"/>
      <c r="J97" s="1384"/>
      <c r="K97" s="1384"/>
      <c r="L97" s="1384"/>
      <c r="M97" s="1384"/>
      <c r="N97" s="1384">
        <f>G75*N85/3</f>
        <v>1.9999999999999998</v>
      </c>
      <c r="T97" s="1370"/>
      <c r="W97" s="1095"/>
    </row>
    <row r="98" spans="1:23" ht="30.75" customHeight="1" x14ac:dyDescent="0.3">
      <c r="B98" s="2213" t="s">
        <v>21</v>
      </c>
      <c r="C98" s="1384">
        <f>G76*C86/3</f>
        <v>2.6999999999999997</v>
      </c>
      <c r="D98" s="1384">
        <f>G76*D86/3</f>
        <v>2.6999999999999997</v>
      </c>
      <c r="E98" s="1384">
        <f>G76*E86/3</f>
        <v>1.7999999999999998</v>
      </c>
      <c r="F98" s="1384">
        <f>G76*F86/3</f>
        <v>0.89999999999999991</v>
      </c>
      <c r="G98" s="1384">
        <f>G76*G86/3</f>
        <v>1.7999999999999998</v>
      </c>
      <c r="H98" s="1384">
        <f>G76*H86/3</f>
        <v>0.89999999999999991</v>
      </c>
      <c r="I98" s="1384"/>
      <c r="J98" s="1384"/>
      <c r="K98" s="1384"/>
      <c r="L98" s="1384"/>
      <c r="M98" s="1384"/>
      <c r="N98" s="1384">
        <f>G76*N86/3</f>
        <v>1.7999999999999998</v>
      </c>
      <c r="T98" s="1370"/>
      <c r="W98" s="1095"/>
    </row>
    <row r="99" spans="1:23" ht="30.75" customHeight="1" x14ac:dyDescent="0.3">
      <c r="B99" s="2213" t="s">
        <v>23</v>
      </c>
      <c r="C99" s="1384">
        <f>G77*C87/3</f>
        <v>2.9999999999999996</v>
      </c>
      <c r="D99" s="1384">
        <f>G77*D87/3</f>
        <v>2.9999999999999996</v>
      </c>
      <c r="E99" s="1384">
        <f>G77*E87/3</f>
        <v>2.9999999999999996</v>
      </c>
      <c r="F99" s="1384">
        <f>G77*F87/3</f>
        <v>0.99999999999999989</v>
      </c>
      <c r="G99" s="1384">
        <f>G77*G87/3</f>
        <v>2.9999999999999996</v>
      </c>
      <c r="H99" s="1384">
        <f>G77*H87/3</f>
        <v>1.9999999999999998</v>
      </c>
      <c r="I99" s="1384"/>
      <c r="J99" s="1384"/>
      <c r="K99" s="1384"/>
      <c r="L99" s="1384"/>
      <c r="M99" s="1384"/>
      <c r="N99" s="1384">
        <f>G77*N87/3</f>
        <v>1.9999999999999998</v>
      </c>
      <c r="T99" s="1370"/>
      <c r="W99" s="1095"/>
    </row>
    <row r="100" spans="1:23" ht="30.75" customHeight="1" x14ac:dyDescent="0.3">
      <c r="B100" s="2213" t="s">
        <v>25</v>
      </c>
      <c r="C100" s="1384">
        <f>G78*C88/3</f>
        <v>1.3999999999999997</v>
      </c>
      <c r="D100" s="1384">
        <f>G78*D88/3</f>
        <v>1.3999999999999997</v>
      </c>
      <c r="E100" s="1384">
        <f>G78*E88/3</f>
        <v>2.0999999999999996</v>
      </c>
      <c r="F100" s="1384">
        <f>G78*F88/3</f>
        <v>0.69999999999999984</v>
      </c>
      <c r="G100" s="1384">
        <f>G78*G88/3</f>
        <v>0.69999999999999984</v>
      </c>
      <c r="H100" s="1384"/>
      <c r="I100" s="1384"/>
      <c r="J100" s="1384"/>
      <c r="K100" s="1384"/>
      <c r="L100" s="1384"/>
      <c r="M100" s="1384"/>
      <c r="N100" s="1384">
        <f>G78*N88/3</f>
        <v>1.3999999999999997</v>
      </c>
      <c r="T100" s="1370"/>
      <c r="W100" s="1095"/>
    </row>
    <row r="101" spans="1:23" ht="30.75" customHeight="1" x14ac:dyDescent="0.3">
      <c r="B101" s="2213" t="s">
        <v>24</v>
      </c>
      <c r="C101" s="1384">
        <f>G79*C89/3</f>
        <v>1.3999999999999997</v>
      </c>
      <c r="D101" s="1384">
        <f>G79*D89/3</f>
        <v>1.3999999999999997</v>
      </c>
      <c r="E101" s="1384">
        <f>G79*E89/3</f>
        <v>2.0999999999999996</v>
      </c>
      <c r="F101" s="1384">
        <f>G79*F89/3</f>
        <v>0.69999999999999984</v>
      </c>
      <c r="G101" s="1384">
        <f>G79*G89/3</f>
        <v>2.0999999999999996</v>
      </c>
      <c r="H101" s="1384"/>
      <c r="I101" s="1384"/>
      <c r="J101" s="1384"/>
      <c r="K101" s="1384"/>
      <c r="L101" s="1384"/>
      <c r="M101" s="1384"/>
      <c r="N101" s="1384">
        <f>G79*N89/3</f>
        <v>0.69999999999999984</v>
      </c>
      <c r="T101" s="1370"/>
      <c r="W101" s="1095"/>
    </row>
    <row r="102" spans="1:23" ht="30.75" customHeight="1" x14ac:dyDescent="0.3">
      <c r="B102" s="2214" t="s">
        <v>10</v>
      </c>
      <c r="C102" s="1621">
        <f t="shared" ref="C102:N102" si="14">AVERAGE(C97:C101)</f>
        <v>2.2999999999999998</v>
      </c>
      <c r="D102" s="1621">
        <f t="shared" si="14"/>
        <v>2.2999999999999998</v>
      </c>
      <c r="E102" s="1621">
        <f t="shared" si="14"/>
        <v>2.1999999999999997</v>
      </c>
      <c r="F102" s="1621">
        <f t="shared" si="14"/>
        <v>0.86</v>
      </c>
      <c r="G102" s="1621">
        <f t="shared" si="14"/>
        <v>1.9199999999999995</v>
      </c>
      <c r="H102" s="1621">
        <f t="shared" si="14"/>
        <v>1.4499999999999997</v>
      </c>
      <c r="I102" s="1621"/>
      <c r="J102" s="1621"/>
      <c r="K102" s="1621"/>
      <c r="L102" s="1621"/>
      <c r="M102" s="1621"/>
      <c r="N102" s="1621">
        <f t="shared" si="14"/>
        <v>1.5799999999999998</v>
      </c>
      <c r="T102" s="1370"/>
      <c r="W102" s="1095"/>
    </row>
    <row r="103" spans="1:23" ht="30.75" customHeight="1" x14ac:dyDescent="0.3">
      <c r="B103" s="2054" t="s">
        <v>58</v>
      </c>
      <c r="C103" s="3564">
        <f>AVERAGE(C102:N102)</f>
        <v>1.8014285714285712</v>
      </c>
      <c r="D103" s="3565"/>
      <c r="E103" s="3565"/>
      <c r="F103" s="3565"/>
      <c r="G103" s="3565"/>
      <c r="H103" s="3565"/>
      <c r="I103" s="3565"/>
      <c r="J103" s="3565"/>
      <c r="K103" s="3565"/>
      <c r="L103" s="3565"/>
      <c r="M103" s="3565"/>
      <c r="N103" s="3566"/>
      <c r="O103" s="1069"/>
      <c r="P103" s="1069"/>
      <c r="Q103" s="1069"/>
    </row>
    <row r="105" spans="1:23" ht="30.75" customHeight="1" x14ac:dyDescent="0.3">
      <c r="A105" s="2862" t="s">
        <v>137</v>
      </c>
      <c r="B105" s="2862"/>
      <c r="C105" s="1375"/>
      <c r="D105" s="1375"/>
      <c r="K105" s="2862" t="s">
        <v>149</v>
      </c>
      <c r="L105" s="2862"/>
      <c r="M105" s="2862"/>
      <c r="N105" s="1375"/>
      <c r="O105" s="1375"/>
    </row>
    <row r="106" spans="1:23" ht="30.75" customHeight="1" x14ac:dyDescent="0.3">
      <c r="A106" s="2069"/>
      <c r="B106" s="2069"/>
      <c r="C106" s="1375"/>
      <c r="D106" s="1375"/>
      <c r="K106" s="2069"/>
      <c r="L106" s="2069"/>
      <c r="M106" s="1387"/>
      <c r="N106" s="1375"/>
      <c r="O106" s="1375"/>
    </row>
    <row r="107" spans="1:23" ht="30.75" customHeight="1" x14ac:dyDescent="0.3">
      <c r="B107" s="1376" t="s">
        <v>59</v>
      </c>
      <c r="C107" s="2211" t="s">
        <v>60</v>
      </c>
      <c r="D107" s="2211" t="s">
        <v>61</v>
      </c>
      <c r="E107" s="2211" t="s">
        <v>62</v>
      </c>
      <c r="M107" s="1388" t="s">
        <v>59</v>
      </c>
      <c r="N107" s="2211" t="s">
        <v>60</v>
      </c>
      <c r="O107" s="2211" t="s">
        <v>61</v>
      </c>
      <c r="P107" s="2211" t="s">
        <v>62</v>
      </c>
    </row>
    <row r="108" spans="1:23" ht="30.75" customHeight="1" x14ac:dyDescent="0.3">
      <c r="B108" s="1389" t="s">
        <v>20</v>
      </c>
      <c r="C108" s="1380">
        <v>3</v>
      </c>
      <c r="D108" s="1380">
        <v>2</v>
      </c>
      <c r="E108" s="1380"/>
      <c r="M108" s="1390" t="s">
        <v>20</v>
      </c>
      <c r="N108" s="1384">
        <f>G75*C108/3</f>
        <v>2.9999999999999996</v>
      </c>
      <c r="O108" s="1384">
        <f>G75*D108/3</f>
        <v>1.9999999999999998</v>
      </c>
      <c r="P108" s="1384"/>
    </row>
    <row r="109" spans="1:23" ht="30.75" customHeight="1" x14ac:dyDescent="0.3">
      <c r="B109" s="2213" t="s">
        <v>21</v>
      </c>
      <c r="C109" s="1380">
        <v>3</v>
      </c>
      <c r="D109" s="1380">
        <v>2</v>
      </c>
      <c r="E109" s="1380">
        <v>1</v>
      </c>
      <c r="M109" s="2215" t="s">
        <v>21</v>
      </c>
      <c r="N109" s="1384">
        <f>G76*C109/3</f>
        <v>2.6999999999999997</v>
      </c>
      <c r="O109" s="1384">
        <f>G76*D109/3</f>
        <v>1.7999999999999998</v>
      </c>
      <c r="P109" s="1384">
        <f>G76*E109/3</f>
        <v>0.89999999999999991</v>
      </c>
    </row>
    <row r="110" spans="1:23" ht="30.75" customHeight="1" x14ac:dyDescent="0.3">
      <c r="B110" s="2213" t="s">
        <v>23</v>
      </c>
      <c r="C110" s="1380">
        <v>3</v>
      </c>
      <c r="D110" s="1380">
        <v>3</v>
      </c>
      <c r="E110" s="1380">
        <v>1</v>
      </c>
      <c r="M110" s="2215" t="s">
        <v>23</v>
      </c>
      <c r="N110" s="1384">
        <f>G77*C110/3</f>
        <v>2.9999999999999996</v>
      </c>
      <c r="O110" s="1384">
        <f>G77*D110/3</f>
        <v>2.9999999999999996</v>
      </c>
      <c r="P110" s="1384">
        <f>G77*E110/3</f>
        <v>0.99999999999999989</v>
      </c>
    </row>
    <row r="111" spans="1:23" ht="30.75" customHeight="1" x14ac:dyDescent="0.3">
      <c r="B111" s="2213" t="s">
        <v>25</v>
      </c>
      <c r="C111" s="1380">
        <v>2</v>
      </c>
      <c r="D111" s="1380">
        <v>2</v>
      </c>
      <c r="E111" s="1380"/>
      <c r="M111" s="2215" t="s">
        <v>25</v>
      </c>
      <c r="N111" s="1384">
        <f>G78*C111/3</f>
        <v>1.3999999999999997</v>
      </c>
      <c r="O111" s="1384">
        <f>G78*D111/3</f>
        <v>1.3999999999999997</v>
      </c>
      <c r="P111" s="1384"/>
    </row>
    <row r="112" spans="1:23" ht="30.75" customHeight="1" x14ac:dyDescent="0.3">
      <c r="B112" s="2213" t="s">
        <v>24</v>
      </c>
      <c r="C112" s="1380">
        <v>3</v>
      </c>
      <c r="D112" s="1380">
        <v>3</v>
      </c>
      <c r="E112" s="1380"/>
      <c r="M112" s="2215" t="s">
        <v>24</v>
      </c>
      <c r="N112" s="1384">
        <f>G79*C112/3</f>
        <v>2.0999999999999996</v>
      </c>
      <c r="O112" s="1384">
        <f>G79*D112/3</f>
        <v>2.0999999999999996</v>
      </c>
      <c r="P112" s="1384"/>
    </row>
    <row r="113" spans="1:17" ht="30.75" customHeight="1" x14ac:dyDescent="0.3">
      <c r="B113" s="2184" t="s">
        <v>10</v>
      </c>
      <c r="C113" s="1393">
        <f>AVERAGE(C108:C112)</f>
        <v>2.8</v>
      </c>
      <c r="D113" s="1393">
        <f t="shared" ref="D113:E113" si="15">AVERAGE(D108:D112)</f>
        <v>2.4</v>
      </c>
      <c r="E113" s="1393">
        <f t="shared" si="15"/>
        <v>1</v>
      </c>
      <c r="M113" s="2216" t="s">
        <v>10</v>
      </c>
      <c r="N113" s="1384">
        <f>AVERAGE(N108:N112)</f>
        <v>2.44</v>
      </c>
      <c r="O113" s="1384">
        <f t="shared" ref="O113:P113" si="16">AVERAGE(O108:O112)</f>
        <v>2.0599999999999996</v>
      </c>
      <c r="P113" s="1384">
        <f t="shared" si="16"/>
        <v>0.95</v>
      </c>
    </row>
    <row r="114" spans="1:17" ht="30.75" customHeight="1" x14ac:dyDescent="0.3">
      <c r="A114" s="2065"/>
      <c r="B114" s="2182" t="s">
        <v>58</v>
      </c>
      <c r="C114" s="3542">
        <f>AVERAGE(C113:E113)</f>
        <v>2.0666666666666664</v>
      </c>
      <c r="D114" s="3563"/>
      <c r="E114" s="3541"/>
      <c r="F114" s="2065"/>
      <c r="G114" s="2065"/>
      <c r="H114" s="2065"/>
      <c r="I114" s="2065"/>
      <c r="J114" s="2065"/>
      <c r="K114" s="2065"/>
      <c r="L114" s="2065"/>
      <c r="M114" s="2185" t="s">
        <v>58</v>
      </c>
      <c r="N114" s="3542">
        <f>AVERAGE(N113:P113)</f>
        <v>1.8166666666666667</v>
      </c>
      <c r="O114" s="3563"/>
      <c r="P114" s="3541"/>
      <c r="Q114" s="2065"/>
    </row>
    <row r="117" spans="1:17" ht="30.75" customHeight="1" x14ac:dyDescent="0.3">
      <c r="A117" s="3567"/>
      <c r="B117" s="3567"/>
      <c r="C117" s="3567"/>
      <c r="D117" s="3567"/>
      <c r="E117" s="3567"/>
      <c r="F117" s="3567"/>
      <c r="G117" s="3567"/>
      <c r="H117" s="3567"/>
      <c r="I117" s="3567"/>
      <c r="J117" s="3567"/>
      <c r="K117" s="3567"/>
      <c r="L117" s="3567"/>
      <c r="M117" s="3567"/>
      <c r="N117" s="3567"/>
      <c r="O117" s="3567"/>
      <c r="P117" s="3567"/>
      <c r="Q117" s="3567"/>
    </row>
    <row r="118" spans="1:17" ht="30.75" customHeight="1" x14ac:dyDescent="0.3">
      <c r="A118" s="2068"/>
      <c r="B118" s="2068"/>
      <c r="C118" s="2068"/>
      <c r="D118" s="2068"/>
      <c r="E118" s="2068"/>
      <c r="F118" s="2068"/>
      <c r="G118" s="2068"/>
      <c r="H118" s="2068"/>
      <c r="I118" s="2068"/>
      <c r="J118" s="2068"/>
      <c r="K118" s="2068"/>
      <c r="L118" s="2068"/>
      <c r="M118" s="2068"/>
      <c r="N118" s="2068"/>
      <c r="O118" s="2068"/>
      <c r="P118" s="2068"/>
      <c r="Q118" s="2068"/>
    </row>
    <row r="119" spans="1:17" ht="30.75" customHeight="1" x14ac:dyDescent="0.3">
      <c r="A119" s="3562"/>
      <c r="B119" s="3562"/>
      <c r="C119" s="3562"/>
      <c r="D119" s="3562"/>
      <c r="E119" s="3562"/>
      <c r="F119" s="3562"/>
      <c r="G119" s="3562"/>
      <c r="H119" s="3562"/>
      <c r="I119" s="3562"/>
      <c r="J119" s="3562"/>
      <c r="K119" s="3562"/>
      <c r="L119" s="3562"/>
      <c r="M119" s="3562"/>
      <c r="N119" s="3562"/>
      <c r="O119" s="3562"/>
      <c r="P119" s="3562"/>
      <c r="Q119" s="3562"/>
    </row>
    <row r="120" spans="1:17" ht="30.75" customHeight="1" x14ac:dyDescent="0.3">
      <c r="A120" s="3562"/>
      <c r="B120" s="3562"/>
      <c r="C120" s="3562"/>
      <c r="D120" s="3562"/>
      <c r="E120" s="3562"/>
      <c r="F120" s="3562"/>
      <c r="G120" s="3562"/>
      <c r="H120" s="3562"/>
      <c r="I120" s="3562"/>
      <c r="J120" s="3562"/>
      <c r="K120" s="3562"/>
      <c r="L120" s="3562"/>
      <c r="M120" s="3562"/>
      <c r="N120" s="3562"/>
      <c r="O120" s="3562"/>
      <c r="P120" s="3562"/>
      <c r="Q120" s="3562"/>
    </row>
    <row r="121" spans="1:17" ht="30.75" customHeight="1" x14ac:dyDescent="0.3">
      <c r="A121" s="3562"/>
      <c r="B121" s="3562"/>
      <c r="C121" s="3562"/>
      <c r="D121" s="3562"/>
      <c r="E121" s="3562"/>
      <c r="F121" s="3562"/>
      <c r="G121" s="3562"/>
      <c r="H121" s="3562"/>
      <c r="I121" s="3562"/>
      <c r="J121" s="3562"/>
      <c r="K121" s="3562"/>
      <c r="L121" s="3562"/>
      <c r="M121" s="3562"/>
      <c r="N121" s="3562"/>
      <c r="O121" s="3562"/>
      <c r="P121" s="3562"/>
      <c r="Q121" s="3562"/>
    </row>
    <row r="122" spans="1:17" ht="30.75" customHeight="1" x14ac:dyDescent="0.3">
      <c r="A122" s="3562"/>
      <c r="B122" s="3562"/>
      <c r="C122" s="3562"/>
      <c r="D122" s="3562"/>
      <c r="E122" s="3562"/>
      <c r="F122" s="3562"/>
      <c r="G122" s="3562"/>
      <c r="H122" s="3562"/>
      <c r="I122" s="3562"/>
      <c r="J122" s="3562"/>
      <c r="K122" s="3562"/>
      <c r="L122" s="3562"/>
      <c r="M122" s="3562"/>
      <c r="N122" s="3562"/>
      <c r="O122" s="3562"/>
      <c r="P122" s="3562"/>
      <c r="Q122" s="3562"/>
    </row>
    <row r="123" spans="1:17" ht="30.75" customHeight="1" x14ac:dyDescent="0.3">
      <c r="A123" s="3562"/>
      <c r="B123" s="3562"/>
      <c r="C123" s="3562"/>
      <c r="D123" s="3562"/>
      <c r="E123" s="3562"/>
      <c r="F123" s="3562"/>
      <c r="G123" s="3562"/>
      <c r="H123" s="3562"/>
      <c r="I123" s="3562"/>
      <c r="J123" s="3562"/>
      <c r="K123" s="3562"/>
      <c r="L123" s="3562"/>
      <c r="M123" s="3562"/>
      <c r="N123" s="3562"/>
      <c r="O123" s="3562"/>
      <c r="P123" s="3562"/>
      <c r="Q123" s="3562"/>
    </row>
    <row r="124" spans="1:17" ht="30.75" customHeight="1" x14ac:dyDescent="0.3">
      <c r="A124" s="3562"/>
      <c r="B124" s="3562"/>
      <c r="C124" s="3562"/>
      <c r="D124" s="3562"/>
      <c r="E124" s="3562"/>
      <c r="F124" s="3562"/>
      <c r="G124" s="3562"/>
      <c r="H124" s="3562"/>
      <c r="I124" s="3562"/>
      <c r="J124" s="3562"/>
      <c r="K124" s="3562"/>
      <c r="L124" s="3562"/>
      <c r="M124" s="3562"/>
      <c r="N124" s="3562"/>
      <c r="O124" s="3562"/>
      <c r="P124" s="3562"/>
      <c r="Q124" s="3562"/>
    </row>
    <row r="125" spans="1:17" ht="30.75" customHeight="1" x14ac:dyDescent="0.3">
      <c r="A125" s="3567"/>
      <c r="B125" s="3567"/>
      <c r="C125" s="3567"/>
      <c r="D125" s="3567"/>
      <c r="E125" s="3567"/>
      <c r="F125" s="3567"/>
      <c r="G125" s="3567"/>
      <c r="H125" s="3567"/>
      <c r="I125" s="3567"/>
      <c r="J125" s="3567"/>
      <c r="K125" s="3567"/>
      <c r="L125" s="3567"/>
      <c r="M125" s="3567"/>
      <c r="N125" s="3567"/>
      <c r="O125" s="3567"/>
      <c r="P125" s="3567"/>
      <c r="Q125" s="3567"/>
    </row>
    <row r="126" spans="1:17" ht="30.75" customHeight="1" x14ac:dyDescent="0.3">
      <c r="A126" s="3569"/>
      <c r="B126" s="3569"/>
      <c r="C126" s="3569"/>
      <c r="D126" s="3569"/>
      <c r="E126" s="3569"/>
      <c r="F126" s="3569"/>
      <c r="G126" s="3569"/>
      <c r="H126" s="3569"/>
      <c r="I126" s="3569"/>
      <c r="J126" s="3569"/>
      <c r="K126" s="3569"/>
      <c r="L126" s="3569"/>
      <c r="M126" s="3569"/>
      <c r="N126" s="3569"/>
      <c r="O126" s="3569"/>
      <c r="P126" s="3569"/>
      <c r="Q126" s="3569"/>
    </row>
    <row r="127" spans="1:17" ht="30.75" customHeight="1" x14ac:dyDescent="0.3">
      <c r="A127" s="3568"/>
      <c r="B127" s="3568"/>
      <c r="C127" s="3568"/>
      <c r="D127" s="3568"/>
      <c r="E127" s="3568"/>
      <c r="F127" s="3568"/>
      <c r="G127" s="3568"/>
      <c r="H127" s="3568"/>
      <c r="I127" s="3568"/>
      <c r="J127" s="3568"/>
      <c r="K127" s="3568"/>
      <c r="L127" s="3568"/>
      <c r="M127" s="3568"/>
      <c r="N127" s="3568"/>
      <c r="O127" s="3568"/>
      <c r="P127" s="3568"/>
      <c r="Q127" s="3568"/>
    </row>
    <row r="128" spans="1:17" ht="30.75" customHeight="1" x14ac:dyDescent="0.3">
      <c r="A128" s="3570"/>
      <c r="B128" s="3570"/>
      <c r="C128" s="3570"/>
      <c r="D128" s="3570"/>
      <c r="E128" s="3570"/>
      <c r="F128" s="3570"/>
      <c r="G128" s="3570"/>
      <c r="H128" s="3570"/>
      <c r="I128" s="3570"/>
      <c r="J128" s="3570"/>
      <c r="K128" s="3570"/>
      <c r="L128" s="3570"/>
      <c r="M128" s="3570"/>
      <c r="N128" s="3570"/>
      <c r="O128" s="3570"/>
      <c r="P128" s="3570"/>
      <c r="Q128" s="3570"/>
    </row>
    <row r="129" spans="1:17" ht="30.75" customHeight="1" x14ac:dyDescent="0.3">
      <c r="A129" s="3571"/>
      <c r="B129" s="3571"/>
      <c r="C129" s="3571"/>
      <c r="D129" s="3571"/>
      <c r="E129" s="3571"/>
      <c r="F129" s="3571"/>
      <c r="G129" s="3571"/>
      <c r="H129" s="3571"/>
      <c r="I129" s="3571"/>
      <c r="J129" s="3571"/>
      <c r="K129" s="3571"/>
      <c r="L129" s="3571"/>
      <c r="M129" s="3571"/>
      <c r="N129" s="3571"/>
      <c r="O129" s="3571"/>
      <c r="P129" s="3571"/>
      <c r="Q129" s="3571"/>
    </row>
    <row r="130" spans="1:17" ht="30.75" customHeight="1" x14ac:dyDescent="0.3">
      <c r="A130" s="3571"/>
      <c r="B130" s="3571"/>
      <c r="C130" s="3571"/>
      <c r="D130" s="3571"/>
      <c r="E130" s="3571"/>
      <c r="F130" s="3571"/>
      <c r="G130" s="3571"/>
      <c r="H130" s="3571"/>
      <c r="I130" s="3571"/>
      <c r="J130" s="3571"/>
      <c r="K130" s="3571"/>
      <c r="L130" s="3571"/>
      <c r="M130" s="3571"/>
      <c r="N130" s="3571"/>
      <c r="O130" s="3571"/>
      <c r="P130" s="3571"/>
      <c r="Q130" s="3571"/>
    </row>
    <row r="131" spans="1:17" ht="30.75" customHeight="1" x14ac:dyDescent="0.3">
      <c r="A131" s="3568"/>
      <c r="B131" s="3568"/>
      <c r="C131" s="3568"/>
      <c r="D131" s="3568"/>
      <c r="E131" s="3568"/>
      <c r="F131" s="3568"/>
      <c r="G131" s="3568"/>
      <c r="H131" s="3568"/>
      <c r="I131" s="3568"/>
      <c r="J131" s="3568"/>
      <c r="K131" s="3568"/>
      <c r="L131" s="3568"/>
      <c r="M131" s="3568"/>
      <c r="N131" s="3568"/>
      <c r="O131" s="3568"/>
      <c r="P131" s="3568"/>
      <c r="Q131" s="3568"/>
    </row>
  </sheetData>
  <mergeCells count="67">
    <mergeCell ref="A131:Q131"/>
    <mergeCell ref="A120:Q120"/>
    <mergeCell ref="A121:Q121"/>
    <mergeCell ref="A122:Q122"/>
    <mergeCell ref="A123:Q123"/>
    <mergeCell ref="A124:Q124"/>
    <mergeCell ref="A125:Q125"/>
    <mergeCell ref="A126:Q126"/>
    <mergeCell ref="A127:Q127"/>
    <mergeCell ref="A128:Q128"/>
    <mergeCell ref="A129:Q129"/>
    <mergeCell ref="A130:Q130"/>
    <mergeCell ref="A119:Q119"/>
    <mergeCell ref="E79:F79"/>
    <mergeCell ref="B80:F80"/>
    <mergeCell ref="A82:B82"/>
    <mergeCell ref="C91:N91"/>
    <mergeCell ref="A94:B94"/>
    <mergeCell ref="C103:N103"/>
    <mergeCell ref="A105:B105"/>
    <mergeCell ref="K105:M105"/>
    <mergeCell ref="C114:E114"/>
    <mergeCell ref="N114:P114"/>
    <mergeCell ref="A117:Q117"/>
    <mergeCell ref="E78:F78"/>
    <mergeCell ref="A70:B70"/>
    <mergeCell ref="A71:B71"/>
    <mergeCell ref="F72:G72"/>
    <mergeCell ref="H72:I72"/>
    <mergeCell ref="E74:F74"/>
    <mergeCell ref="G74:H74"/>
    <mergeCell ref="E75:F75"/>
    <mergeCell ref="E76:F76"/>
    <mergeCell ref="E77:F77"/>
    <mergeCell ref="J72:K72"/>
    <mergeCell ref="L72:M72"/>
    <mergeCell ref="X6:Y6"/>
    <mergeCell ref="AA6:AA8"/>
    <mergeCell ref="AB6:AB8"/>
    <mergeCell ref="O6:Q6"/>
    <mergeCell ref="R6:S6"/>
    <mergeCell ref="T6:U6"/>
    <mergeCell ref="V6:W6"/>
    <mergeCell ref="O4:W4"/>
    <mergeCell ref="A5:B5"/>
    <mergeCell ref="C5:N5"/>
    <mergeCell ref="O5:X5"/>
    <mergeCell ref="J8:K8"/>
    <mergeCell ref="L8:M8"/>
    <mergeCell ref="J6:K6"/>
    <mergeCell ref="L6:M6"/>
    <mergeCell ref="AC6:AC8"/>
    <mergeCell ref="AD6:AD8"/>
    <mergeCell ref="A2:B2"/>
    <mergeCell ref="C2:M2"/>
    <mergeCell ref="O2:W2"/>
    <mergeCell ref="A3:B3"/>
    <mergeCell ref="C3:M3"/>
    <mergeCell ref="O3:W3"/>
    <mergeCell ref="A6:A8"/>
    <mergeCell ref="B6:B7"/>
    <mergeCell ref="C6:E6"/>
    <mergeCell ref="F6:G6"/>
    <mergeCell ref="H6:I6"/>
    <mergeCell ref="F8:G8"/>
    <mergeCell ref="H8:I8"/>
    <mergeCell ref="C4:M4"/>
  </mergeCells>
  <conditionalFormatting sqref="AA10:AC67">
    <cfRule type="containsText" dxfId="82" priority="1" operator="containsText" text="F">
      <formula>NOT(ISERROR(SEARCH("F",AA10)))</formula>
    </cfRule>
  </conditionalFormatting>
  <pageMargins left="0.7" right="0.7" top="0.75" bottom="0.75" header="0.3" footer="0.3"/>
  <pageSetup paperSize="8" scale="11" orientation="portrait" r:id="rId1"/>
  <rowBreaks count="3" manualBreakCount="3">
    <brk id="73" max="29" man="1"/>
    <brk id="84" max="29" man="1"/>
    <brk id="126" max="29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1"/>
  <sheetViews>
    <sheetView topLeftCell="A109" zoomScale="70" zoomScaleNormal="80" workbookViewId="0">
      <selection activeCell="A70" sqref="A70:B70"/>
    </sheetView>
  </sheetViews>
  <sheetFormatPr defaultRowHeight="27" customHeight="1" x14ac:dyDescent="0.25"/>
  <cols>
    <col min="1" max="1" width="15.140625" style="493" bestFit="1" customWidth="1"/>
    <col min="2" max="2" width="18.28515625" style="493" bestFit="1" customWidth="1"/>
    <col min="3" max="12" width="13" style="493" customWidth="1"/>
    <col min="13" max="13" width="13" style="595" customWidth="1"/>
    <col min="14" max="22" width="13" style="493" customWidth="1"/>
    <col min="23" max="23" width="13" style="595" customWidth="1"/>
    <col min="24" max="30" width="13" style="493" customWidth="1"/>
    <col min="31" max="16384" width="9.140625" style="493"/>
  </cols>
  <sheetData>
    <row r="1" spans="1:30" ht="27" customHeight="1" x14ac:dyDescent="0.25">
      <c r="A1" s="594"/>
    </row>
    <row r="2" spans="1:30" ht="27" customHeight="1" x14ac:dyDescent="0.25">
      <c r="A2" s="3450" t="s">
        <v>0</v>
      </c>
      <c r="B2" s="3451"/>
      <c r="C2" s="3455" t="s">
        <v>270</v>
      </c>
      <c r="D2" s="3456"/>
      <c r="E2" s="3456"/>
      <c r="F2" s="3456"/>
      <c r="G2" s="3456"/>
      <c r="H2" s="3456"/>
      <c r="I2" s="3456"/>
      <c r="J2" s="3456"/>
      <c r="K2" s="3456"/>
      <c r="L2" s="3456"/>
      <c r="M2" s="3457"/>
      <c r="N2" s="473" t="s">
        <v>63</v>
      </c>
      <c r="O2" s="3458" t="s">
        <v>155</v>
      </c>
      <c r="P2" s="3459"/>
      <c r="Q2" s="3459"/>
      <c r="R2" s="3459"/>
      <c r="S2" s="3459"/>
      <c r="T2" s="3459"/>
      <c r="U2" s="3459"/>
      <c r="V2" s="3459"/>
      <c r="W2" s="3459"/>
      <c r="X2" s="474"/>
      <c r="Y2" s="474"/>
      <c r="Z2" s="474"/>
      <c r="AA2" s="474"/>
      <c r="AB2" s="474"/>
      <c r="AC2" s="474"/>
      <c r="AD2" s="474"/>
    </row>
    <row r="3" spans="1:30" ht="27" customHeight="1" x14ac:dyDescent="0.25">
      <c r="A3" s="3450" t="s">
        <v>1</v>
      </c>
      <c r="B3" s="3451"/>
      <c r="C3" s="3455" t="s">
        <v>268</v>
      </c>
      <c r="D3" s="3456"/>
      <c r="E3" s="3456"/>
      <c r="F3" s="3456"/>
      <c r="G3" s="3456"/>
      <c r="H3" s="3456"/>
      <c r="I3" s="3456"/>
      <c r="J3" s="3456"/>
      <c r="K3" s="3456"/>
      <c r="L3" s="3456"/>
      <c r="M3" s="3457"/>
      <c r="N3" s="475" t="s">
        <v>64</v>
      </c>
      <c r="O3" s="3458" t="s">
        <v>232</v>
      </c>
      <c r="P3" s="3459"/>
      <c r="Q3" s="3459"/>
      <c r="R3" s="3459"/>
      <c r="S3" s="3459"/>
      <c r="T3" s="3459"/>
      <c r="U3" s="3459"/>
      <c r="V3" s="3459"/>
      <c r="W3" s="3459"/>
      <c r="X3" s="474"/>
      <c r="Y3" s="474"/>
      <c r="Z3" s="474"/>
      <c r="AA3" s="474"/>
      <c r="AB3" s="474"/>
      <c r="AC3" s="474"/>
      <c r="AD3" s="474"/>
    </row>
    <row r="4" spans="1:30" ht="27" customHeight="1" thickBot="1" x14ac:dyDescent="0.3">
      <c r="A4" s="596"/>
      <c r="B4" s="597" t="s">
        <v>2</v>
      </c>
      <c r="C4" s="3452" t="s">
        <v>139</v>
      </c>
      <c r="D4" s="3453"/>
      <c r="E4" s="3453"/>
      <c r="F4" s="3453"/>
      <c r="G4" s="3453"/>
      <c r="H4" s="3453"/>
      <c r="I4" s="3453"/>
      <c r="J4" s="3453"/>
      <c r="K4" s="3453"/>
      <c r="L4" s="3453"/>
      <c r="M4" s="3454"/>
      <c r="N4" s="597" t="s">
        <v>65</v>
      </c>
      <c r="O4" s="3460" t="s">
        <v>66</v>
      </c>
      <c r="P4" s="3461"/>
      <c r="Q4" s="3461"/>
      <c r="R4" s="3461"/>
      <c r="S4" s="3461"/>
      <c r="T4" s="3461"/>
      <c r="U4" s="3461"/>
      <c r="V4" s="3461"/>
      <c r="W4" s="3461"/>
      <c r="X4" s="474"/>
      <c r="Y4" s="474"/>
      <c r="Z4" s="474"/>
      <c r="AA4" s="474"/>
      <c r="AB4" s="474"/>
      <c r="AC4" s="474"/>
      <c r="AD4" s="474"/>
    </row>
    <row r="5" spans="1:30" ht="27" customHeight="1" thickBot="1" x14ac:dyDescent="0.3">
      <c r="A5" s="3470"/>
      <c r="B5" s="3471"/>
      <c r="C5" s="3472" t="s">
        <v>3</v>
      </c>
      <c r="D5" s="3473"/>
      <c r="E5" s="3473"/>
      <c r="F5" s="3473"/>
      <c r="G5" s="3473"/>
      <c r="H5" s="3473"/>
      <c r="I5" s="3473"/>
      <c r="J5" s="3473"/>
      <c r="K5" s="3473"/>
      <c r="L5" s="3473"/>
      <c r="M5" s="3473"/>
      <c r="N5" s="3474"/>
      <c r="O5" s="3475" t="s">
        <v>4</v>
      </c>
      <c r="P5" s="3476"/>
      <c r="Q5" s="3476"/>
      <c r="R5" s="3476"/>
      <c r="S5" s="3476"/>
      <c r="T5" s="3476"/>
      <c r="U5" s="3476"/>
      <c r="V5" s="3476"/>
      <c r="W5" s="3476"/>
      <c r="X5" s="3476"/>
      <c r="Y5" s="987"/>
      <c r="Z5" s="598"/>
      <c r="AA5" s="598"/>
      <c r="AB5" s="598"/>
      <c r="AC5" s="598"/>
      <c r="AD5" s="1451"/>
    </row>
    <row r="6" spans="1:30" ht="27" customHeight="1" thickBot="1" x14ac:dyDescent="0.3">
      <c r="A6" s="3462"/>
      <c r="B6" s="3468" t="s">
        <v>5</v>
      </c>
      <c r="C6" s="3479" t="s">
        <v>6</v>
      </c>
      <c r="D6" s="3480"/>
      <c r="E6" s="3481"/>
      <c r="F6" s="3501" t="s">
        <v>7</v>
      </c>
      <c r="G6" s="3502"/>
      <c r="H6" s="3465" t="s">
        <v>8</v>
      </c>
      <c r="I6" s="3466"/>
      <c r="J6" s="3467" t="s">
        <v>9</v>
      </c>
      <c r="K6" s="3465"/>
      <c r="L6" s="3465" t="s">
        <v>236</v>
      </c>
      <c r="M6" s="3466"/>
      <c r="N6" s="986" t="s">
        <v>146</v>
      </c>
      <c r="O6" s="3479" t="s">
        <v>6</v>
      </c>
      <c r="P6" s="3480"/>
      <c r="Q6" s="3481"/>
      <c r="R6" s="3502" t="s">
        <v>7</v>
      </c>
      <c r="S6" s="3502"/>
      <c r="T6" s="3465" t="s">
        <v>8</v>
      </c>
      <c r="U6" s="3465"/>
      <c r="V6" s="3465" t="s">
        <v>9</v>
      </c>
      <c r="W6" s="3465"/>
      <c r="X6" s="3465" t="s">
        <v>236</v>
      </c>
      <c r="Y6" s="3465"/>
      <c r="Z6" s="1004" t="s">
        <v>147</v>
      </c>
      <c r="AA6" s="3503" t="s">
        <v>151</v>
      </c>
      <c r="AB6" s="3503" t="s">
        <v>152</v>
      </c>
      <c r="AC6" s="3572" t="s">
        <v>11</v>
      </c>
      <c r="AD6" s="3575" t="s">
        <v>12</v>
      </c>
    </row>
    <row r="7" spans="1:30" ht="27" customHeight="1" x14ac:dyDescent="0.25">
      <c r="A7" s="3463"/>
      <c r="B7" s="3469"/>
      <c r="C7" s="478" t="s">
        <v>13</v>
      </c>
      <c r="D7" s="985" t="s">
        <v>14</v>
      </c>
      <c r="E7" s="480" t="s">
        <v>15</v>
      </c>
      <c r="F7" s="478" t="s">
        <v>13</v>
      </c>
      <c r="G7" s="985" t="s">
        <v>14</v>
      </c>
      <c r="H7" s="985" t="s">
        <v>13</v>
      </c>
      <c r="I7" s="480" t="s">
        <v>14</v>
      </c>
      <c r="J7" s="478" t="s">
        <v>13</v>
      </c>
      <c r="K7" s="998" t="s">
        <v>14</v>
      </c>
      <c r="L7" s="984" t="s">
        <v>13</v>
      </c>
      <c r="M7" s="985" t="s">
        <v>14</v>
      </c>
      <c r="N7" s="995"/>
      <c r="O7" s="478" t="s">
        <v>13</v>
      </c>
      <c r="P7" s="985" t="s">
        <v>14</v>
      </c>
      <c r="Q7" s="480" t="s">
        <v>15</v>
      </c>
      <c r="R7" s="999" t="s">
        <v>13</v>
      </c>
      <c r="S7" s="985" t="s">
        <v>14</v>
      </c>
      <c r="T7" s="985" t="s">
        <v>13</v>
      </c>
      <c r="U7" s="985" t="s">
        <v>14</v>
      </c>
      <c r="V7" s="985" t="s">
        <v>13</v>
      </c>
      <c r="W7" s="998" t="s">
        <v>14</v>
      </c>
      <c r="X7" s="985" t="s">
        <v>13</v>
      </c>
      <c r="Y7" s="985" t="s">
        <v>14</v>
      </c>
      <c r="Z7" s="985"/>
      <c r="AA7" s="3504"/>
      <c r="AB7" s="3504"/>
      <c r="AC7" s="3573"/>
      <c r="AD7" s="3575"/>
    </row>
    <row r="8" spans="1:30" ht="27" customHeight="1" x14ac:dyDescent="0.25">
      <c r="A8" s="3464"/>
      <c r="B8" s="997" t="s">
        <v>19</v>
      </c>
      <c r="C8" s="478" t="s">
        <v>22</v>
      </c>
      <c r="D8" s="478" t="s">
        <v>21</v>
      </c>
      <c r="E8" s="482" t="s">
        <v>21</v>
      </c>
      <c r="F8" s="3477" t="s">
        <v>20</v>
      </c>
      <c r="G8" s="3496"/>
      <c r="H8" s="3495" t="s">
        <v>20</v>
      </c>
      <c r="I8" s="3478"/>
      <c r="J8" s="3497" t="s">
        <v>21</v>
      </c>
      <c r="K8" s="3498"/>
      <c r="L8" s="3499" t="s">
        <v>269</v>
      </c>
      <c r="M8" s="3500"/>
      <c r="N8" s="482"/>
      <c r="O8" s="478" t="s">
        <v>269</v>
      </c>
      <c r="P8" s="985" t="s">
        <v>269</v>
      </c>
      <c r="Q8" s="480" t="s">
        <v>269</v>
      </c>
      <c r="R8" s="999" t="s">
        <v>269</v>
      </c>
      <c r="S8" s="985" t="s">
        <v>269</v>
      </c>
      <c r="T8" s="985" t="s">
        <v>269</v>
      </c>
      <c r="U8" s="985" t="s">
        <v>269</v>
      </c>
      <c r="V8" s="985" t="s">
        <v>269</v>
      </c>
      <c r="W8" s="985" t="s">
        <v>269</v>
      </c>
      <c r="X8" s="985" t="s">
        <v>269</v>
      </c>
      <c r="Y8" s="985" t="s">
        <v>269</v>
      </c>
      <c r="Z8" s="985" t="s">
        <v>237</v>
      </c>
      <c r="AA8" s="3505"/>
      <c r="AB8" s="3505"/>
      <c r="AC8" s="3573"/>
      <c r="AD8" s="3575"/>
    </row>
    <row r="9" spans="1:30" ht="27" customHeight="1" x14ac:dyDescent="0.25">
      <c r="A9" s="985" t="s">
        <v>18</v>
      </c>
      <c r="B9" s="998" t="s">
        <v>26</v>
      </c>
      <c r="C9" s="478">
        <v>2</v>
      </c>
      <c r="D9" s="985">
        <v>2</v>
      </c>
      <c r="E9" s="480">
        <v>2</v>
      </c>
      <c r="F9" s="478">
        <v>6</v>
      </c>
      <c r="G9" s="985">
        <v>6</v>
      </c>
      <c r="H9" s="985">
        <v>6</v>
      </c>
      <c r="I9" s="480">
        <v>6</v>
      </c>
      <c r="J9" s="478">
        <v>6</v>
      </c>
      <c r="K9" s="680">
        <v>6</v>
      </c>
      <c r="L9" s="985">
        <v>6</v>
      </c>
      <c r="M9" s="985">
        <v>6</v>
      </c>
      <c r="N9" s="994">
        <v>30</v>
      </c>
      <c r="O9" s="478">
        <v>2</v>
      </c>
      <c r="P9" s="985">
        <v>2</v>
      </c>
      <c r="Q9" s="480">
        <v>2</v>
      </c>
      <c r="R9" s="999">
        <v>6</v>
      </c>
      <c r="S9" s="985">
        <v>6</v>
      </c>
      <c r="T9" s="985">
        <v>6</v>
      </c>
      <c r="U9" s="985">
        <v>6</v>
      </c>
      <c r="V9" s="985">
        <v>6</v>
      </c>
      <c r="W9" s="605">
        <v>6</v>
      </c>
      <c r="X9" s="482">
        <v>6</v>
      </c>
      <c r="Y9" s="478">
        <v>6</v>
      </c>
      <c r="Z9" s="985">
        <v>30</v>
      </c>
      <c r="AA9" s="483">
        <v>10</v>
      </c>
      <c r="AB9" s="483">
        <v>10</v>
      </c>
      <c r="AC9" s="3574"/>
      <c r="AD9" s="3575"/>
    </row>
    <row r="10" spans="1:30" ht="27" customHeight="1" x14ac:dyDescent="0.25">
      <c r="A10" s="985">
        <v>1</v>
      </c>
      <c r="B10" s="607">
        <v>5191421001</v>
      </c>
      <c r="C10" s="608">
        <v>2</v>
      </c>
      <c r="D10" s="1007">
        <v>2</v>
      </c>
      <c r="E10" s="486">
        <v>2</v>
      </c>
      <c r="F10" s="771"/>
      <c r="G10" s="644"/>
      <c r="H10" s="610">
        <v>4</v>
      </c>
      <c r="I10" s="486">
        <v>4</v>
      </c>
      <c r="J10" s="609">
        <v>3</v>
      </c>
      <c r="K10" s="612"/>
      <c r="L10" s="990"/>
      <c r="M10" s="990"/>
      <c r="N10" s="645">
        <v>17</v>
      </c>
      <c r="O10" s="488">
        <v>2</v>
      </c>
      <c r="P10" s="489">
        <v>2</v>
      </c>
      <c r="Q10" s="642"/>
      <c r="R10" s="616">
        <v>3</v>
      </c>
      <c r="S10" s="490">
        <v>5</v>
      </c>
      <c r="T10" s="491"/>
      <c r="U10" s="990"/>
      <c r="V10" s="990"/>
      <c r="W10" s="492"/>
      <c r="X10" s="616"/>
      <c r="Y10" s="990"/>
      <c r="Z10" s="990">
        <v>17</v>
      </c>
      <c r="AA10" s="738">
        <v>10</v>
      </c>
      <c r="AB10" s="738">
        <v>10</v>
      </c>
      <c r="AC10" s="619" t="s">
        <v>27</v>
      </c>
      <c r="AD10" s="990">
        <f>IF(AC11="O",100,IF(AC11="A+",90,IF(AC11="A",80,IF(AC11="B+",70,IF(AC11="B",60,IF(AC11="C",55,IF(AC11="P",50,IF(AC11="F",39))))))))</f>
        <v>60</v>
      </c>
    </row>
    <row r="11" spans="1:30" ht="27" customHeight="1" x14ac:dyDescent="0.25">
      <c r="A11" s="620">
        <v>2</v>
      </c>
      <c r="B11" s="621">
        <v>5191421002</v>
      </c>
      <c r="C11" s="622">
        <v>2</v>
      </c>
      <c r="D11" s="623">
        <v>2</v>
      </c>
      <c r="E11" s="624">
        <v>2</v>
      </c>
      <c r="F11" s="622">
        <v>3</v>
      </c>
      <c r="G11" s="623">
        <v>4</v>
      </c>
      <c r="H11" s="625"/>
      <c r="I11" s="624"/>
      <c r="J11" s="622">
        <v>2</v>
      </c>
      <c r="K11" s="623"/>
      <c r="L11" s="990"/>
      <c r="M11" s="992"/>
      <c r="N11" s="613">
        <v>15</v>
      </c>
      <c r="O11" s="626">
        <v>2</v>
      </c>
      <c r="P11" s="627">
        <v>2</v>
      </c>
      <c r="Q11" s="1452">
        <v>2</v>
      </c>
      <c r="R11" s="1453">
        <v>4</v>
      </c>
      <c r="S11" s="624">
        <v>3</v>
      </c>
      <c r="T11" s="622"/>
      <c r="U11" s="623"/>
      <c r="V11" s="623">
        <v>3</v>
      </c>
      <c r="W11" s="1454">
        <v>1</v>
      </c>
      <c r="X11" s="625"/>
      <c r="Y11" s="623"/>
      <c r="Z11" s="623">
        <v>17</v>
      </c>
      <c r="AA11" s="1455">
        <v>10</v>
      </c>
      <c r="AB11" s="1455">
        <v>10</v>
      </c>
      <c r="AC11" s="619" t="s">
        <v>33</v>
      </c>
      <c r="AD11" s="990">
        <f t="shared" ref="AD11:AD67" si="0">IF(AC12="O",100,IF(AC12="A+",90,IF(AC12="A",80,IF(AC12="B+",70,IF(AC12="B",60,IF(AC12="C",55,IF(AC12="P",50,IF(AC12="F",39))))))))</f>
        <v>90</v>
      </c>
    </row>
    <row r="12" spans="1:30" s="612" customFormat="1" ht="27" customHeight="1" x14ac:dyDescent="0.25">
      <c r="A12" s="985">
        <v>3</v>
      </c>
      <c r="B12" s="630">
        <v>5191421003</v>
      </c>
      <c r="C12" s="489">
        <v>2</v>
      </c>
      <c r="D12" s="489">
        <v>2</v>
      </c>
      <c r="E12" s="489">
        <v>2</v>
      </c>
      <c r="F12" s="489"/>
      <c r="G12" s="990"/>
      <c r="H12" s="990">
        <v>4</v>
      </c>
      <c r="I12" s="990">
        <v>5</v>
      </c>
      <c r="J12" s="990">
        <v>5</v>
      </c>
      <c r="K12" s="990">
        <v>3</v>
      </c>
      <c r="L12" s="990"/>
      <c r="M12" s="990"/>
      <c r="N12" s="645">
        <v>23</v>
      </c>
      <c r="O12" s="489">
        <v>2</v>
      </c>
      <c r="P12" s="489">
        <v>2</v>
      </c>
      <c r="Q12" s="489">
        <v>2</v>
      </c>
      <c r="R12" s="489">
        <v>3</v>
      </c>
      <c r="S12" s="990">
        <v>3</v>
      </c>
      <c r="T12" s="990"/>
      <c r="U12" s="990"/>
      <c r="V12" s="990">
        <v>3</v>
      </c>
      <c r="W12" s="615">
        <v>3</v>
      </c>
      <c r="X12" s="990"/>
      <c r="Y12" s="990"/>
      <c r="Z12" s="990">
        <v>18</v>
      </c>
      <c r="AA12" s="738">
        <v>10</v>
      </c>
      <c r="AB12" s="738">
        <v>10</v>
      </c>
      <c r="AC12" s="619" t="s">
        <v>30</v>
      </c>
      <c r="AD12" s="990">
        <f t="shared" si="0"/>
        <v>70</v>
      </c>
    </row>
    <row r="13" spans="1:30" s="612" customFormat="1" ht="27" customHeight="1" x14ac:dyDescent="0.25">
      <c r="A13" s="985">
        <v>4</v>
      </c>
      <c r="B13" s="630">
        <v>5191421004</v>
      </c>
      <c r="C13" s="631">
        <v>2</v>
      </c>
      <c r="D13" s="489">
        <v>2</v>
      </c>
      <c r="E13" s="489">
        <v>2</v>
      </c>
      <c r="F13" s="489">
        <v>2</v>
      </c>
      <c r="G13" s="990">
        <v>2</v>
      </c>
      <c r="H13" s="990"/>
      <c r="I13" s="990"/>
      <c r="J13" s="990">
        <v>2</v>
      </c>
      <c r="K13" s="990">
        <v>3</v>
      </c>
      <c r="L13" s="990"/>
      <c r="M13" s="990"/>
      <c r="N13" s="645">
        <v>15</v>
      </c>
      <c r="O13" s="489">
        <v>2</v>
      </c>
      <c r="P13" s="489">
        <v>2</v>
      </c>
      <c r="Q13" s="489">
        <v>2</v>
      </c>
      <c r="R13" s="489">
        <v>2</v>
      </c>
      <c r="S13" s="990">
        <v>2</v>
      </c>
      <c r="T13" s="990"/>
      <c r="U13" s="990"/>
      <c r="V13" s="990">
        <v>2</v>
      </c>
      <c r="W13" s="615">
        <v>5</v>
      </c>
      <c r="X13" s="990"/>
      <c r="Y13" s="990"/>
      <c r="Z13" s="990">
        <v>17</v>
      </c>
      <c r="AA13" s="738">
        <v>10</v>
      </c>
      <c r="AB13" s="738">
        <v>10</v>
      </c>
      <c r="AC13" s="619" t="s">
        <v>32</v>
      </c>
      <c r="AD13" s="990">
        <f t="shared" si="0"/>
        <v>90</v>
      </c>
    </row>
    <row r="14" spans="1:30" ht="27" customHeight="1" x14ac:dyDescent="0.25">
      <c r="A14" s="632">
        <v>5</v>
      </c>
      <c r="B14" s="633">
        <v>5191421005</v>
      </c>
      <c r="C14" s="634">
        <v>2</v>
      </c>
      <c r="D14" s="635">
        <v>2</v>
      </c>
      <c r="E14" s="636">
        <v>2</v>
      </c>
      <c r="F14" s="634">
        <v>3</v>
      </c>
      <c r="G14" s="637">
        <v>5</v>
      </c>
      <c r="H14" s="638"/>
      <c r="I14" s="639"/>
      <c r="J14" s="640">
        <v>3</v>
      </c>
      <c r="K14" s="637">
        <v>4</v>
      </c>
      <c r="L14" s="990"/>
      <c r="M14" s="991"/>
      <c r="N14" s="613">
        <v>21</v>
      </c>
      <c r="O14" s="634">
        <v>2</v>
      </c>
      <c r="P14" s="635">
        <v>1</v>
      </c>
      <c r="Q14" s="636">
        <v>0</v>
      </c>
      <c r="R14" s="865">
        <v>3</v>
      </c>
      <c r="S14" s="639">
        <v>3</v>
      </c>
      <c r="T14" s="640"/>
      <c r="U14" s="637"/>
      <c r="V14" s="637">
        <v>3</v>
      </c>
      <c r="W14" s="1456">
        <v>4</v>
      </c>
      <c r="X14" s="638"/>
      <c r="Y14" s="637"/>
      <c r="Z14" s="637">
        <v>16</v>
      </c>
      <c r="AA14" s="1457">
        <v>10</v>
      </c>
      <c r="AB14" s="1457">
        <v>10</v>
      </c>
      <c r="AC14" s="619" t="s">
        <v>30</v>
      </c>
      <c r="AD14" s="990">
        <f t="shared" si="0"/>
        <v>70</v>
      </c>
    </row>
    <row r="15" spans="1:30" ht="27" customHeight="1" x14ac:dyDescent="0.25">
      <c r="A15" s="985">
        <v>6</v>
      </c>
      <c r="B15" s="607">
        <v>5191421006</v>
      </c>
      <c r="C15" s="488">
        <v>2</v>
      </c>
      <c r="D15" s="489">
        <v>2</v>
      </c>
      <c r="E15" s="642">
        <v>2</v>
      </c>
      <c r="F15" s="488">
        <v>5</v>
      </c>
      <c r="G15" s="990">
        <v>5</v>
      </c>
      <c r="H15" s="617"/>
      <c r="I15" s="490"/>
      <c r="J15" s="491"/>
      <c r="K15" s="990"/>
      <c r="L15" s="990">
        <v>5</v>
      </c>
      <c r="M15" s="993">
        <v>5</v>
      </c>
      <c r="N15" s="613">
        <v>26</v>
      </c>
      <c r="O15" s="488">
        <v>2</v>
      </c>
      <c r="P15" s="489">
        <v>2</v>
      </c>
      <c r="Q15" s="642">
        <v>2</v>
      </c>
      <c r="R15" s="616">
        <v>4</v>
      </c>
      <c r="S15" s="490">
        <v>5</v>
      </c>
      <c r="T15" s="491"/>
      <c r="U15" s="990"/>
      <c r="V15" s="990">
        <v>3</v>
      </c>
      <c r="W15" s="492">
        <v>3</v>
      </c>
      <c r="X15" s="617"/>
      <c r="Y15" s="990"/>
      <c r="Z15" s="990">
        <v>21</v>
      </c>
      <c r="AA15" s="738">
        <v>10</v>
      </c>
      <c r="AB15" s="738">
        <v>10</v>
      </c>
      <c r="AC15" s="619" t="s">
        <v>32</v>
      </c>
      <c r="AD15" s="990">
        <f t="shared" si="0"/>
        <v>70</v>
      </c>
    </row>
    <row r="16" spans="1:30" ht="27" customHeight="1" x14ac:dyDescent="0.25">
      <c r="A16" s="985">
        <v>7</v>
      </c>
      <c r="B16" s="607">
        <v>5191421007</v>
      </c>
      <c r="C16" s="488">
        <v>2</v>
      </c>
      <c r="D16" s="489">
        <v>2</v>
      </c>
      <c r="E16" s="642"/>
      <c r="F16" s="488">
        <v>5</v>
      </c>
      <c r="G16" s="990">
        <v>5</v>
      </c>
      <c r="H16" s="617"/>
      <c r="I16" s="490"/>
      <c r="J16" s="491">
        <v>5</v>
      </c>
      <c r="K16" s="990">
        <v>5</v>
      </c>
      <c r="L16" s="990"/>
      <c r="M16" s="990"/>
      <c r="N16" s="645">
        <v>24</v>
      </c>
      <c r="AA16" s="738">
        <v>10</v>
      </c>
      <c r="AB16" s="738">
        <v>10</v>
      </c>
      <c r="AC16" s="619" t="s">
        <v>32</v>
      </c>
      <c r="AD16" s="990">
        <f t="shared" si="0"/>
        <v>80</v>
      </c>
    </row>
    <row r="17" spans="1:30" ht="27" customHeight="1" x14ac:dyDescent="0.25">
      <c r="A17" s="985">
        <v>8</v>
      </c>
      <c r="B17" s="607">
        <v>5191421008</v>
      </c>
      <c r="C17" s="488">
        <v>2</v>
      </c>
      <c r="D17" s="489">
        <v>2</v>
      </c>
      <c r="E17" s="642">
        <v>2</v>
      </c>
      <c r="F17" s="488">
        <v>3</v>
      </c>
      <c r="G17" s="990">
        <v>3</v>
      </c>
      <c r="H17" s="617"/>
      <c r="I17" s="490"/>
      <c r="J17" s="491">
        <v>2</v>
      </c>
      <c r="K17" s="990">
        <v>3</v>
      </c>
      <c r="L17" s="990"/>
      <c r="M17" s="990"/>
      <c r="N17" s="645">
        <v>17</v>
      </c>
      <c r="O17" s="488">
        <v>2</v>
      </c>
      <c r="P17" s="489">
        <v>1</v>
      </c>
      <c r="Q17" s="642"/>
      <c r="R17" s="616">
        <v>3</v>
      </c>
      <c r="S17" s="490">
        <v>3</v>
      </c>
      <c r="T17" s="491"/>
      <c r="U17" s="990"/>
      <c r="V17" s="990">
        <v>3</v>
      </c>
      <c r="W17" s="492">
        <v>3</v>
      </c>
      <c r="X17" s="617"/>
      <c r="Y17" s="990"/>
      <c r="Z17" s="990">
        <v>15</v>
      </c>
      <c r="AA17" s="738">
        <v>10</v>
      </c>
      <c r="AB17" s="738">
        <v>10</v>
      </c>
      <c r="AC17" s="619" t="s">
        <v>27</v>
      </c>
      <c r="AD17" s="990">
        <f t="shared" si="0"/>
        <v>90</v>
      </c>
    </row>
    <row r="18" spans="1:30" ht="27" customHeight="1" x14ac:dyDescent="0.25">
      <c r="A18" s="985">
        <v>9</v>
      </c>
      <c r="B18" s="607">
        <v>5191421009</v>
      </c>
      <c r="C18" s="491">
        <v>2</v>
      </c>
      <c r="D18" s="491">
        <v>2</v>
      </c>
      <c r="E18" s="491">
        <v>2</v>
      </c>
      <c r="F18" s="491">
        <v>6</v>
      </c>
      <c r="G18" s="990">
        <v>5</v>
      </c>
      <c r="H18" s="617"/>
      <c r="I18" s="490"/>
      <c r="J18" s="491"/>
      <c r="K18" s="990"/>
      <c r="L18" s="990">
        <v>4</v>
      </c>
      <c r="M18" s="990">
        <v>5</v>
      </c>
      <c r="N18" s="645">
        <v>23</v>
      </c>
      <c r="O18" s="488">
        <v>2</v>
      </c>
      <c r="P18" s="489">
        <v>2</v>
      </c>
      <c r="Q18" s="642">
        <v>0</v>
      </c>
      <c r="R18" s="616">
        <v>3</v>
      </c>
      <c r="S18" s="490">
        <v>3</v>
      </c>
      <c r="T18" s="491"/>
      <c r="U18" s="990"/>
      <c r="V18" s="990">
        <v>3</v>
      </c>
      <c r="W18" s="492">
        <v>3</v>
      </c>
      <c r="X18" s="617"/>
      <c r="Y18" s="990"/>
      <c r="Z18" s="990">
        <v>16</v>
      </c>
      <c r="AA18" s="738">
        <v>10</v>
      </c>
      <c r="AB18" s="738">
        <v>10</v>
      </c>
      <c r="AC18" s="619" t="s">
        <v>30</v>
      </c>
      <c r="AD18" s="990">
        <f t="shared" si="0"/>
        <v>80</v>
      </c>
    </row>
    <row r="19" spans="1:30" ht="27" customHeight="1" x14ac:dyDescent="0.25">
      <c r="A19" s="985">
        <v>10</v>
      </c>
      <c r="B19" s="607">
        <v>5191421010</v>
      </c>
      <c r="C19" s="488">
        <v>2</v>
      </c>
      <c r="D19" s="489">
        <v>2</v>
      </c>
      <c r="E19" s="642">
        <v>2</v>
      </c>
      <c r="F19" s="488">
        <v>3</v>
      </c>
      <c r="G19" s="990">
        <v>3</v>
      </c>
      <c r="H19" s="617"/>
      <c r="I19" s="490"/>
      <c r="J19" s="491"/>
      <c r="K19" s="990"/>
      <c r="L19" s="990">
        <v>2</v>
      </c>
      <c r="M19" s="990">
        <v>4</v>
      </c>
      <c r="N19" s="645">
        <v>18</v>
      </c>
      <c r="O19" s="488">
        <v>1</v>
      </c>
      <c r="P19" s="489">
        <v>2</v>
      </c>
      <c r="Q19" s="642">
        <v>2</v>
      </c>
      <c r="R19" s="616">
        <v>3</v>
      </c>
      <c r="S19" s="490">
        <v>3</v>
      </c>
      <c r="T19" s="491"/>
      <c r="U19" s="990"/>
      <c r="V19" s="990">
        <v>2</v>
      </c>
      <c r="W19" s="492">
        <v>4</v>
      </c>
      <c r="X19" s="617"/>
      <c r="Y19" s="990"/>
      <c r="Z19" s="990">
        <v>17</v>
      </c>
      <c r="AA19" s="738">
        <v>10</v>
      </c>
      <c r="AB19" s="738">
        <v>10</v>
      </c>
      <c r="AC19" s="619" t="s">
        <v>27</v>
      </c>
      <c r="AD19" s="990">
        <f t="shared" si="0"/>
        <v>60</v>
      </c>
    </row>
    <row r="20" spans="1:30" ht="27" customHeight="1" x14ac:dyDescent="0.25">
      <c r="A20" s="985">
        <v>11</v>
      </c>
      <c r="B20" s="607">
        <v>5191421011</v>
      </c>
      <c r="C20" s="488">
        <v>2</v>
      </c>
      <c r="D20" s="489">
        <v>2</v>
      </c>
      <c r="E20" s="642">
        <v>2</v>
      </c>
      <c r="F20" s="488">
        <v>3</v>
      </c>
      <c r="G20" s="990">
        <v>5</v>
      </c>
      <c r="H20" s="617"/>
      <c r="I20" s="490"/>
      <c r="J20" s="491">
        <v>4</v>
      </c>
      <c r="K20" s="990">
        <v>4</v>
      </c>
      <c r="L20" s="990"/>
      <c r="M20" s="990"/>
      <c r="N20" s="645">
        <v>22</v>
      </c>
      <c r="O20" s="488">
        <v>2</v>
      </c>
      <c r="P20" s="489">
        <v>1</v>
      </c>
      <c r="Q20" s="642"/>
      <c r="R20" s="616">
        <v>4</v>
      </c>
      <c r="S20" s="490">
        <v>3</v>
      </c>
      <c r="T20" s="491"/>
      <c r="U20" s="990"/>
      <c r="V20" s="990">
        <v>2</v>
      </c>
      <c r="W20" s="492">
        <v>3</v>
      </c>
      <c r="X20" s="617"/>
      <c r="Y20" s="990"/>
      <c r="Z20" s="990">
        <v>15</v>
      </c>
      <c r="AA20" s="738">
        <v>10</v>
      </c>
      <c r="AB20" s="738">
        <v>10</v>
      </c>
      <c r="AC20" s="619" t="s">
        <v>33</v>
      </c>
      <c r="AD20" s="990">
        <f t="shared" si="0"/>
        <v>70</v>
      </c>
    </row>
    <row r="21" spans="1:30" ht="27" customHeight="1" x14ac:dyDescent="0.25">
      <c r="A21" s="985">
        <v>12</v>
      </c>
      <c r="B21" s="607">
        <v>5191421012</v>
      </c>
      <c r="C21" s="488">
        <v>2</v>
      </c>
      <c r="D21" s="489">
        <v>2</v>
      </c>
      <c r="E21" s="642">
        <v>2</v>
      </c>
      <c r="F21" s="488">
        <v>3</v>
      </c>
      <c r="G21" s="990">
        <v>5</v>
      </c>
      <c r="H21" s="617"/>
      <c r="I21" s="490"/>
      <c r="J21" s="491">
        <v>4</v>
      </c>
      <c r="K21" s="990">
        <v>4</v>
      </c>
      <c r="L21" s="990"/>
      <c r="M21" s="990"/>
      <c r="N21" s="645">
        <v>25</v>
      </c>
      <c r="O21" s="488">
        <v>2</v>
      </c>
      <c r="P21" s="489">
        <v>1</v>
      </c>
      <c r="Q21" s="642"/>
      <c r="R21" s="616">
        <v>3</v>
      </c>
      <c r="S21" s="490">
        <v>3</v>
      </c>
      <c r="T21" s="491"/>
      <c r="U21" s="990"/>
      <c r="V21" s="990"/>
      <c r="W21" s="492"/>
      <c r="X21" s="617"/>
      <c r="Y21" s="990">
        <v>3</v>
      </c>
      <c r="Z21" s="990">
        <v>12</v>
      </c>
      <c r="AA21" s="738">
        <v>10</v>
      </c>
      <c r="AB21" s="738">
        <v>10</v>
      </c>
      <c r="AC21" s="619" t="s">
        <v>32</v>
      </c>
      <c r="AD21" s="990">
        <f t="shared" si="0"/>
        <v>80</v>
      </c>
    </row>
    <row r="22" spans="1:30" ht="27" customHeight="1" x14ac:dyDescent="0.25">
      <c r="A22" s="985">
        <v>13</v>
      </c>
      <c r="B22" s="607">
        <v>5191421013</v>
      </c>
      <c r="C22" s="488">
        <v>2</v>
      </c>
      <c r="D22" s="489">
        <v>2</v>
      </c>
      <c r="E22" s="642">
        <v>2</v>
      </c>
      <c r="F22" s="488">
        <v>4</v>
      </c>
      <c r="G22" s="990">
        <v>6</v>
      </c>
      <c r="H22" s="617"/>
      <c r="I22" s="490"/>
      <c r="J22" s="491">
        <v>3</v>
      </c>
      <c r="K22" s="990">
        <v>4</v>
      </c>
      <c r="L22" s="990"/>
      <c r="M22" s="990"/>
      <c r="N22" s="645">
        <v>23</v>
      </c>
      <c r="O22" s="488">
        <v>2</v>
      </c>
      <c r="P22" s="489">
        <v>2</v>
      </c>
      <c r="Q22" s="642"/>
      <c r="R22" s="616">
        <v>5</v>
      </c>
      <c r="S22" s="490">
        <v>6</v>
      </c>
      <c r="T22" s="491"/>
      <c r="U22" s="990"/>
      <c r="V22" s="990">
        <v>4</v>
      </c>
      <c r="W22" s="492">
        <v>3</v>
      </c>
      <c r="X22" s="617"/>
      <c r="Y22" s="990"/>
      <c r="Z22" s="990">
        <v>22</v>
      </c>
      <c r="AA22" s="738">
        <v>10</v>
      </c>
      <c r="AB22" s="738">
        <v>10</v>
      </c>
      <c r="AC22" s="619" t="s">
        <v>27</v>
      </c>
      <c r="AD22" s="990">
        <f t="shared" si="0"/>
        <v>70</v>
      </c>
    </row>
    <row r="23" spans="1:30" ht="27" customHeight="1" x14ac:dyDescent="0.25">
      <c r="A23" s="985">
        <v>14</v>
      </c>
      <c r="B23" s="607">
        <v>5191421014</v>
      </c>
      <c r="C23" s="488">
        <v>2</v>
      </c>
      <c r="D23" s="489">
        <v>2</v>
      </c>
      <c r="E23" s="642">
        <v>2</v>
      </c>
      <c r="F23" s="488">
        <v>3</v>
      </c>
      <c r="G23" s="990">
        <v>3</v>
      </c>
      <c r="H23" s="617"/>
      <c r="I23" s="490"/>
      <c r="J23" s="491">
        <v>3</v>
      </c>
      <c r="K23" s="990">
        <v>3</v>
      </c>
      <c r="L23" s="990"/>
      <c r="M23" s="990"/>
      <c r="N23" s="645">
        <v>18</v>
      </c>
      <c r="O23" s="488">
        <v>1</v>
      </c>
      <c r="P23" s="489">
        <v>1</v>
      </c>
      <c r="Q23" s="642">
        <v>1</v>
      </c>
      <c r="R23" s="616">
        <v>3</v>
      </c>
      <c r="S23" s="490">
        <v>6</v>
      </c>
      <c r="T23" s="491"/>
      <c r="U23" s="990"/>
      <c r="V23" s="990">
        <v>3</v>
      </c>
      <c r="W23" s="492">
        <v>2</v>
      </c>
      <c r="X23" s="617"/>
      <c r="Y23" s="990"/>
      <c r="Z23" s="990">
        <v>17</v>
      </c>
      <c r="AA23" s="738">
        <v>10</v>
      </c>
      <c r="AB23" s="738">
        <v>10</v>
      </c>
      <c r="AC23" s="619" t="s">
        <v>32</v>
      </c>
      <c r="AD23" s="990">
        <f t="shared" si="0"/>
        <v>90</v>
      </c>
    </row>
    <row r="24" spans="1:30" ht="27" customHeight="1" x14ac:dyDescent="0.25">
      <c r="A24" s="985">
        <v>15</v>
      </c>
      <c r="B24" s="607">
        <v>5191421015</v>
      </c>
      <c r="C24" s="488">
        <v>2</v>
      </c>
      <c r="D24" s="489">
        <v>2</v>
      </c>
      <c r="E24" s="642">
        <v>2</v>
      </c>
      <c r="F24" s="488"/>
      <c r="G24" s="990"/>
      <c r="H24" s="617">
        <v>3</v>
      </c>
      <c r="I24" s="490">
        <v>3</v>
      </c>
      <c r="J24" s="491">
        <v>3</v>
      </c>
      <c r="K24" s="990">
        <v>5</v>
      </c>
      <c r="L24" s="990"/>
      <c r="M24" s="990"/>
      <c r="N24" s="645">
        <v>20</v>
      </c>
      <c r="O24" s="488">
        <v>2</v>
      </c>
      <c r="P24" s="489">
        <v>2</v>
      </c>
      <c r="Q24" s="642">
        <v>2</v>
      </c>
      <c r="R24" s="616">
        <v>3</v>
      </c>
      <c r="S24" s="490">
        <v>3</v>
      </c>
      <c r="T24" s="491"/>
      <c r="U24" s="990"/>
      <c r="V24" s="990">
        <v>3</v>
      </c>
      <c r="W24" s="492">
        <v>3</v>
      </c>
      <c r="X24" s="617"/>
      <c r="Y24" s="990"/>
      <c r="Z24" s="990">
        <v>18</v>
      </c>
      <c r="AA24" s="738">
        <v>10</v>
      </c>
      <c r="AB24" s="738">
        <v>10</v>
      </c>
      <c r="AC24" s="619" t="s">
        <v>30</v>
      </c>
      <c r="AD24" s="990">
        <f t="shared" si="0"/>
        <v>60</v>
      </c>
    </row>
    <row r="25" spans="1:30" ht="27" customHeight="1" x14ac:dyDescent="0.25">
      <c r="A25" s="985">
        <v>16</v>
      </c>
      <c r="B25" s="607">
        <v>5191421016</v>
      </c>
      <c r="C25" s="488">
        <v>2</v>
      </c>
      <c r="D25" s="489">
        <v>2</v>
      </c>
      <c r="E25" s="642">
        <v>2</v>
      </c>
      <c r="F25" s="488">
        <v>4</v>
      </c>
      <c r="G25" s="631">
        <v>5</v>
      </c>
      <c r="H25" s="617"/>
      <c r="I25" s="490"/>
      <c r="J25" s="491"/>
      <c r="K25" s="990">
        <v>4</v>
      </c>
      <c r="L25" s="990"/>
      <c r="M25" s="990"/>
      <c r="N25" s="645">
        <v>19</v>
      </c>
      <c r="O25" s="488"/>
      <c r="P25" s="489"/>
      <c r="Q25" s="642"/>
      <c r="R25" s="616"/>
      <c r="S25" s="490"/>
      <c r="T25" s="491">
        <v>3</v>
      </c>
      <c r="U25" s="990">
        <v>3</v>
      </c>
      <c r="V25" s="990"/>
      <c r="W25" s="492"/>
      <c r="X25" s="617">
        <v>4</v>
      </c>
      <c r="Y25" s="990">
        <v>2</v>
      </c>
      <c r="Z25" s="990">
        <v>12</v>
      </c>
      <c r="AA25" s="738">
        <v>10</v>
      </c>
      <c r="AB25" s="738">
        <v>10</v>
      </c>
      <c r="AC25" s="619" t="s">
        <v>33</v>
      </c>
      <c r="AD25" s="990">
        <f t="shared" si="0"/>
        <v>90</v>
      </c>
    </row>
    <row r="26" spans="1:30" ht="27" customHeight="1" x14ac:dyDescent="0.25">
      <c r="A26" s="985">
        <v>17</v>
      </c>
      <c r="B26" s="607">
        <v>5191421017</v>
      </c>
      <c r="C26" s="488">
        <v>2</v>
      </c>
      <c r="D26" s="489">
        <v>2</v>
      </c>
      <c r="E26" s="642">
        <v>2</v>
      </c>
      <c r="F26" s="488">
        <v>3</v>
      </c>
      <c r="G26" s="990">
        <v>5</v>
      </c>
      <c r="H26" s="617"/>
      <c r="I26" s="490"/>
      <c r="J26" s="491">
        <v>3</v>
      </c>
      <c r="K26" s="990">
        <v>4</v>
      </c>
      <c r="L26" s="990"/>
      <c r="M26" s="990"/>
      <c r="N26" s="645">
        <v>21</v>
      </c>
      <c r="O26" s="488">
        <v>2</v>
      </c>
      <c r="P26" s="489">
        <v>2</v>
      </c>
      <c r="Q26" s="642"/>
      <c r="R26" s="616">
        <v>3</v>
      </c>
      <c r="S26" s="490">
        <v>3</v>
      </c>
      <c r="T26" s="491"/>
      <c r="U26" s="990"/>
      <c r="V26" s="990">
        <v>3</v>
      </c>
      <c r="W26" s="492">
        <v>3</v>
      </c>
      <c r="X26" s="617"/>
      <c r="Y26" s="990"/>
      <c r="Z26" s="990">
        <v>16</v>
      </c>
      <c r="AA26" s="738">
        <v>10</v>
      </c>
      <c r="AB26" s="738">
        <v>10</v>
      </c>
      <c r="AC26" s="619" t="s">
        <v>30</v>
      </c>
      <c r="AD26" s="990">
        <f t="shared" si="0"/>
        <v>70</v>
      </c>
    </row>
    <row r="27" spans="1:30" ht="27" customHeight="1" x14ac:dyDescent="0.25">
      <c r="A27" s="985">
        <v>18</v>
      </c>
      <c r="B27" s="607">
        <v>5191421018</v>
      </c>
      <c r="C27" s="608">
        <v>2</v>
      </c>
      <c r="D27" s="489">
        <v>2</v>
      </c>
      <c r="E27" s="642">
        <v>2</v>
      </c>
      <c r="F27" s="488">
        <v>3</v>
      </c>
      <c r="G27" s="990">
        <v>3</v>
      </c>
      <c r="H27" s="617"/>
      <c r="I27" s="490"/>
      <c r="J27" s="491">
        <v>2</v>
      </c>
      <c r="K27" s="990">
        <v>2</v>
      </c>
      <c r="L27" s="990"/>
      <c r="M27" s="990"/>
      <c r="N27" s="645">
        <v>16</v>
      </c>
      <c r="O27" s="488">
        <v>1</v>
      </c>
      <c r="P27" s="489">
        <v>1</v>
      </c>
      <c r="Q27" s="642"/>
      <c r="R27" s="616">
        <v>3</v>
      </c>
      <c r="S27" s="490">
        <v>3</v>
      </c>
      <c r="T27" s="491"/>
      <c r="U27" s="990"/>
      <c r="V27" s="990">
        <v>3</v>
      </c>
      <c r="W27" s="492">
        <v>3</v>
      </c>
      <c r="X27" s="617"/>
      <c r="Y27" s="990"/>
      <c r="Z27" s="990">
        <v>14</v>
      </c>
      <c r="AA27" s="738">
        <v>10</v>
      </c>
      <c r="AB27" s="738">
        <v>10</v>
      </c>
      <c r="AC27" s="619" t="s">
        <v>32</v>
      </c>
      <c r="AD27" s="990">
        <f t="shared" si="0"/>
        <v>90</v>
      </c>
    </row>
    <row r="28" spans="1:30" ht="27" customHeight="1" x14ac:dyDescent="0.25">
      <c r="A28" s="985">
        <v>19</v>
      </c>
      <c r="B28" s="607">
        <v>5191421019</v>
      </c>
      <c r="C28" s="488">
        <v>2</v>
      </c>
      <c r="D28" s="990">
        <v>2</v>
      </c>
      <c r="E28" s="490">
        <v>2</v>
      </c>
      <c r="F28" s="491"/>
      <c r="G28" s="990"/>
      <c r="H28" s="617">
        <v>4</v>
      </c>
      <c r="I28" s="490">
        <v>4</v>
      </c>
      <c r="J28" s="491"/>
      <c r="K28" s="990"/>
      <c r="L28" s="990">
        <v>4</v>
      </c>
      <c r="M28" s="990">
        <v>4</v>
      </c>
      <c r="N28" s="645">
        <v>22</v>
      </c>
      <c r="O28" s="488">
        <v>2</v>
      </c>
      <c r="P28" s="990">
        <v>2</v>
      </c>
      <c r="Q28" s="490">
        <v>2</v>
      </c>
      <c r="R28" s="617">
        <v>4</v>
      </c>
      <c r="S28" s="490">
        <v>3</v>
      </c>
      <c r="T28" s="491"/>
      <c r="U28" s="990"/>
      <c r="V28" s="990">
        <v>3</v>
      </c>
      <c r="W28" s="492">
        <v>4</v>
      </c>
      <c r="X28" s="617"/>
      <c r="Y28" s="990"/>
      <c r="Z28" s="990">
        <v>20</v>
      </c>
      <c r="AA28" s="738">
        <v>10</v>
      </c>
      <c r="AB28" s="738">
        <v>10</v>
      </c>
      <c r="AC28" s="619" t="s">
        <v>30</v>
      </c>
      <c r="AD28" s="990">
        <f t="shared" si="0"/>
        <v>80</v>
      </c>
    </row>
    <row r="29" spans="1:30" ht="27" customHeight="1" x14ac:dyDescent="0.25">
      <c r="A29" s="985">
        <v>20</v>
      </c>
      <c r="B29" s="607">
        <v>5191421020</v>
      </c>
      <c r="C29" s="491">
        <v>2</v>
      </c>
      <c r="D29" s="990">
        <v>2</v>
      </c>
      <c r="E29" s="490">
        <v>2</v>
      </c>
      <c r="F29" s="491">
        <v>3</v>
      </c>
      <c r="G29" s="990">
        <v>4</v>
      </c>
      <c r="H29" s="617"/>
      <c r="I29" s="490"/>
      <c r="J29" s="491">
        <v>4</v>
      </c>
      <c r="K29" s="990">
        <v>3</v>
      </c>
      <c r="L29" s="990"/>
      <c r="M29" s="990"/>
      <c r="N29" s="645">
        <v>20</v>
      </c>
      <c r="O29" s="491">
        <v>2</v>
      </c>
      <c r="P29" s="990">
        <v>2</v>
      </c>
      <c r="Q29" s="490"/>
      <c r="R29" s="617">
        <v>3</v>
      </c>
      <c r="S29" s="490">
        <v>3</v>
      </c>
      <c r="T29" s="491"/>
      <c r="U29" s="990"/>
      <c r="V29" s="990">
        <v>3</v>
      </c>
      <c r="W29" s="492">
        <v>1</v>
      </c>
      <c r="X29" s="617"/>
      <c r="Y29" s="990"/>
      <c r="Z29" s="990">
        <v>14</v>
      </c>
      <c r="AA29" s="738">
        <v>10</v>
      </c>
      <c r="AB29" s="738">
        <v>10</v>
      </c>
      <c r="AC29" s="619" t="s">
        <v>27</v>
      </c>
      <c r="AD29" s="990">
        <f t="shared" si="0"/>
        <v>80</v>
      </c>
    </row>
    <row r="30" spans="1:30" ht="27" customHeight="1" x14ac:dyDescent="0.25">
      <c r="A30" s="985">
        <v>21</v>
      </c>
      <c r="B30" s="607">
        <v>5191421021</v>
      </c>
      <c r="C30" s="488">
        <v>2</v>
      </c>
      <c r="D30" s="990">
        <v>2</v>
      </c>
      <c r="E30" s="490">
        <v>2</v>
      </c>
      <c r="F30" s="491">
        <v>3</v>
      </c>
      <c r="G30" s="990">
        <v>5</v>
      </c>
      <c r="H30" s="617"/>
      <c r="I30" s="490"/>
      <c r="J30" s="491">
        <v>3</v>
      </c>
      <c r="K30" s="990">
        <v>3</v>
      </c>
      <c r="L30" s="990"/>
      <c r="M30" s="990"/>
      <c r="N30" s="645">
        <v>20</v>
      </c>
      <c r="O30" s="488">
        <v>2</v>
      </c>
      <c r="P30" s="990">
        <v>1</v>
      </c>
      <c r="Q30" s="490">
        <v>2</v>
      </c>
      <c r="R30" s="617">
        <v>4</v>
      </c>
      <c r="S30" s="490">
        <v>4</v>
      </c>
      <c r="T30" s="491"/>
      <c r="U30" s="990"/>
      <c r="V30" s="990">
        <v>3</v>
      </c>
      <c r="W30" s="492">
        <v>4</v>
      </c>
      <c r="X30" s="617"/>
      <c r="Y30" s="990"/>
      <c r="Z30" s="990">
        <v>20</v>
      </c>
      <c r="AA30" s="738">
        <v>10</v>
      </c>
      <c r="AB30" s="738">
        <v>10</v>
      </c>
      <c r="AC30" s="619" t="s">
        <v>27</v>
      </c>
      <c r="AD30" s="990">
        <f t="shared" si="0"/>
        <v>80</v>
      </c>
    </row>
    <row r="31" spans="1:30" ht="27" customHeight="1" x14ac:dyDescent="0.25">
      <c r="A31" s="985">
        <v>22</v>
      </c>
      <c r="B31" s="630">
        <v>5191421022</v>
      </c>
      <c r="C31" s="1007"/>
      <c r="D31" s="1007"/>
      <c r="E31" s="1007"/>
      <c r="F31" s="644"/>
      <c r="G31" s="644"/>
      <c r="H31" s="644"/>
      <c r="I31" s="644"/>
      <c r="J31" s="644"/>
      <c r="K31" s="644"/>
      <c r="L31" s="990"/>
      <c r="M31" s="990"/>
      <c r="N31" s="645"/>
      <c r="O31" s="488">
        <v>2</v>
      </c>
      <c r="P31" s="990">
        <v>2</v>
      </c>
      <c r="Q31" s="490">
        <v>2</v>
      </c>
      <c r="R31" s="617">
        <v>3</v>
      </c>
      <c r="S31" s="490">
        <v>3</v>
      </c>
      <c r="T31" s="491"/>
      <c r="U31" s="990"/>
      <c r="V31" s="990"/>
      <c r="W31" s="492"/>
      <c r="X31" s="617">
        <v>4</v>
      </c>
      <c r="Y31" s="990">
        <v>4</v>
      </c>
      <c r="Z31" s="990">
        <v>20</v>
      </c>
      <c r="AA31" s="738">
        <v>10</v>
      </c>
      <c r="AB31" s="738">
        <v>10</v>
      </c>
      <c r="AC31" s="619" t="s">
        <v>27</v>
      </c>
      <c r="AD31" s="990">
        <f t="shared" si="0"/>
        <v>60</v>
      </c>
    </row>
    <row r="32" spans="1:30" ht="27" customHeight="1" x14ac:dyDescent="0.25">
      <c r="A32" s="985">
        <v>23</v>
      </c>
      <c r="B32" s="607">
        <v>5191421023</v>
      </c>
      <c r="C32" s="488">
        <v>2</v>
      </c>
      <c r="D32" s="990">
        <v>2</v>
      </c>
      <c r="E32" s="490">
        <v>2</v>
      </c>
      <c r="F32" s="491">
        <v>3</v>
      </c>
      <c r="G32" s="990">
        <v>3</v>
      </c>
      <c r="H32" s="617"/>
      <c r="I32" s="490"/>
      <c r="J32" s="491"/>
      <c r="K32" s="990">
        <v>3</v>
      </c>
      <c r="L32" s="990"/>
      <c r="M32" s="990"/>
      <c r="N32" s="645">
        <v>15</v>
      </c>
      <c r="O32" s="488">
        <v>2</v>
      </c>
      <c r="P32" s="990">
        <v>2</v>
      </c>
      <c r="Q32" s="490"/>
      <c r="R32" s="617">
        <v>3</v>
      </c>
      <c r="S32" s="490">
        <v>3</v>
      </c>
      <c r="T32" s="491"/>
      <c r="U32" s="990"/>
      <c r="V32" s="990">
        <v>3</v>
      </c>
      <c r="W32" s="492"/>
      <c r="X32" s="617"/>
      <c r="Y32" s="990"/>
      <c r="Z32" s="990">
        <v>13</v>
      </c>
      <c r="AA32" s="738">
        <v>10</v>
      </c>
      <c r="AB32" s="738">
        <v>10</v>
      </c>
      <c r="AC32" s="619" t="s">
        <v>33</v>
      </c>
      <c r="AD32" s="990">
        <f t="shared" si="0"/>
        <v>55</v>
      </c>
    </row>
    <row r="33" spans="1:30" ht="27" customHeight="1" x14ac:dyDescent="0.25">
      <c r="A33" s="985">
        <v>24</v>
      </c>
      <c r="B33" s="607">
        <v>5191421024</v>
      </c>
      <c r="C33" s="488">
        <v>2</v>
      </c>
      <c r="D33" s="990">
        <v>2</v>
      </c>
      <c r="E33" s="490">
        <v>2</v>
      </c>
      <c r="F33" s="491">
        <v>4</v>
      </c>
      <c r="G33" s="990">
        <v>4</v>
      </c>
      <c r="H33" s="617"/>
      <c r="I33" s="490"/>
      <c r="J33" s="491">
        <v>3</v>
      </c>
      <c r="K33" s="990">
        <v>3</v>
      </c>
      <c r="L33" s="990"/>
      <c r="M33" s="990"/>
      <c r="N33" s="645">
        <v>20</v>
      </c>
      <c r="O33" s="488">
        <v>2</v>
      </c>
      <c r="P33" s="990">
        <v>2</v>
      </c>
      <c r="Q33" s="490">
        <v>0</v>
      </c>
      <c r="R33" s="617">
        <v>3</v>
      </c>
      <c r="S33" s="490">
        <v>3</v>
      </c>
      <c r="T33" s="491"/>
      <c r="U33" s="990"/>
      <c r="V33" s="990">
        <v>3</v>
      </c>
      <c r="W33" s="492">
        <v>3</v>
      </c>
      <c r="X33" s="617"/>
      <c r="Y33" s="990"/>
      <c r="Z33" s="990">
        <v>16</v>
      </c>
      <c r="AA33" s="738">
        <v>10</v>
      </c>
      <c r="AB33" s="738">
        <v>10</v>
      </c>
      <c r="AC33" s="619" t="s">
        <v>31</v>
      </c>
      <c r="AD33" s="990">
        <f t="shared" si="0"/>
        <v>90</v>
      </c>
    </row>
    <row r="34" spans="1:30" ht="27" customHeight="1" x14ac:dyDescent="0.25">
      <c r="A34" s="985">
        <v>25</v>
      </c>
      <c r="B34" s="607">
        <v>5191421025</v>
      </c>
      <c r="C34" s="488">
        <v>2</v>
      </c>
      <c r="D34" s="990">
        <v>2</v>
      </c>
      <c r="E34" s="490">
        <v>2</v>
      </c>
      <c r="F34" s="491"/>
      <c r="G34" s="990"/>
      <c r="H34" s="617">
        <v>6</v>
      </c>
      <c r="I34" s="490">
        <v>6</v>
      </c>
      <c r="J34" s="491"/>
      <c r="K34" s="990"/>
      <c r="L34" s="990">
        <v>6</v>
      </c>
      <c r="M34" s="990">
        <v>6</v>
      </c>
      <c r="N34" s="645">
        <v>30</v>
      </c>
      <c r="O34" s="488">
        <v>2</v>
      </c>
      <c r="P34" s="990">
        <v>2</v>
      </c>
      <c r="Q34" s="490">
        <v>2</v>
      </c>
      <c r="R34" s="617">
        <v>4</v>
      </c>
      <c r="S34" s="490">
        <v>5</v>
      </c>
      <c r="T34" s="491"/>
      <c r="U34" s="990"/>
      <c r="V34" s="990">
        <v>4</v>
      </c>
      <c r="W34" s="492">
        <v>5</v>
      </c>
      <c r="X34" s="617"/>
      <c r="Y34" s="990"/>
      <c r="Z34" s="990">
        <v>24</v>
      </c>
      <c r="AA34" s="738">
        <v>10</v>
      </c>
      <c r="AB34" s="738">
        <v>10</v>
      </c>
      <c r="AC34" s="619" t="s">
        <v>30</v>
      </c>
      <c r="AD34" s="990">
        <f t="shared" si="0"/>
        <v>80</v>
      </c>
    </row>
    <row r="35" spans="1:30" ht="27" customHeight="1" x14ac:dyDescent="0.25">
      <c r="A35" s="985">
        <v>26</v>
      </c>
      <c r="B35" s="607">
        <v>5191421026</v>
      </c>
      <c r="C35" s="488">
        <v>2</v>
      </c>
      <c r="D35" s="990">
        <v>2</v>
      </c>
      <c r="E35" s="490">
        <v>2</v>
      </c>
      <c r="F35" s="491">
        <v>4</v>
      </c>
      <c r="G35" s="990">
        <v>5</v>
      </c>
      <c r="H35" s="617"/>
      <c r="I35" s="490"/>
      <c r="J35" s="491">
        <v>4</v>
      </c>
      <c r="K35" s="990">
        <v>5</v>
      </c>
      <c r="L35" s="990"/>
      <c r="M35" s="990"/>
      <c r="N35" s="645">
        <v>24</v>
      </c>
      <c r="O35" s="488">
        <v>2</v>
      </c>
      <c r="P35" s="990">
        <v>2</v>
      </c>
      <c r="Q35" s="490">
        <v>2</v>
      </c>
      <c r="R35" s="617"/>
      <c r="S35" s="490"/>
      <c r="T35" s="491">
        <v>3</v>
      </c>
      <c r="U35" s="990">
        <v>4</v>
      </c>
      <c r="V35" s="990">
        <v>4</v>
      </c>
      <c r="W35" s="492">
        <v>3</v>
      </c>
      <c r="X35" s="617"/>
      <c r="Y35" s="990"/>
      <c r="Z35" s="990">
        <v>20</v>
      </c>
      <c r="AA35" s="738">
        <v>10</v>
      </c>
      <c r="AB35" s="738">
        <v>10</v>
      </c>
      <c r="AC35" s="619" t="s">
        <v>27</v>
      </c>
      <c r="AD35" s="990">
        <f t="shared" si="0"/>
        <v>80</v>
      </c>
    </row>
    <row r="36" spans="1:30" ht="27" customHeight="1" x14ac:dyDescent="0.25">
      <c r="A36" s="985">
        <v>27</v>
      </c>
      <c r="B36" s="607">
        <v>5191421027</v>
      </c>
      <c r="C36" s="488">
        <v>2</v>
      </c>
      <c r="D36" s="990">
        <v>2</v>
      </c>
      <c r="E36" s="490">
        <v>2</v>
      </c>
      <c r="F36" s="491">
        <v>3</v>
      </c>
      <c r="G36" s="990">
        <v>3</v>
      </c>
      <c r="H36" s="617"/>
      <c r="I36" s="490"/>
      <c r="J36" s="491"/>
      <c r="K36" s="990"/>
      <c r="L36" s="990"/>
      <c r="M36" s="990">
        <v>3</v>
      </c>
      <c r="N36" s="645">
        <v>15</v>
      </c>
      <c r="O36" s="488">
        <v>2</v>
      </c>
      <c r="P36" s="990">
        <v>2</v>
      </c>
      <c r="Q36" s="490">
        <v>0</v>
      </c>
      <c r="R36" s="617">
        <v>3</v>
      </c>
      <c r="S36" s="490">
        <v>3</v>
      </c>
      <c r="T36" s="491"/>
      <c r="U36" s="990"/>
      <c r="V36" s="990">
        <v>3</v>
      </c>
      <c r="W36" s="492">
        <v>3</v>
      </c>
      <c r="X36" s="617"/>
      <c r="Y36" s="990"/>
      <c r="Z36" s="990">
        <v>16</v>
      </c>
      <c r="AA36" s="738">
        <v>10</v>
      </c>
      <c r="AB36" s="738">
        <v>10</v>
      </c>
      <c r="AC36" s="619" t="s">
        <v>27</v>
      </c>
      <c r="AD36" s="990">
        <f t="shared" si="0"/>
        <v>90</v>
      </c>
    </row>
    <row r="37" spans="1:30" ht="27" customHeight="1" x14ac:dyDescent="0.25">
      <c r="A37" s="985">
        <v>28</v>
      </c>
      <c r="B37" s="607">
        <v>5191421028</v>
      </c>
      <c r="C37" s="488">
        <v>2</v>
      </c>
      <c r="D37" s="990">
        <v>2</v>
      </c>
      <c r="E37" s="490">
        <v>2</v>
      </c>
      <c r="F37" s="491">
        <v>6</v>
      </c>
      <c r="G37" s="990">
        <v>6</v>
      </c>
      <c r="H37" s="617"/>
      <c r="I37" s="490"/>
      <c r="J37" s="491"/>
      <c r="K37" s="990"/>
      <c r="L37" s="990">
        <v>5</v>
      </c>
      <c r="M37" s="990">
        <v>6</v>
      </c>
      <c r="N37" s="645">
        <v>29</v>
      </c>
      <c r="O37" s="488">
        <v>2</v>
      </c>
      <c r="P37" s="990">
        <v>2</v>
      </c>
      <c r="Q37" s="490">
        <v>2</v>
      </c>
      <c r="R37" s="617">
        <v>4</v>
      </c>
      <c r="S37" s="490">
        <v>4</v>
      </c>
      <c r="T37" s="491"/>
      <c r="U37" s="990"/>
      <c r="V37" s="990">
        <v>3</v>
      </c>
      <c r="W37" s="492">
        <v>5</v>
      </c>
      <c r="X37" s="617"/>
      <c r="Y37" s="990"/>
      <c r="Z37" s="990">
        <v>22</v>
      </c>
      <c r="AA37" s="738">
        <v>10</v>
      </c>
      <c r="AB37" s="738">
        <v>10</v>
      </c>
      <c r="AC37" s="646" t="s">
        <v>30</v>
      </c>
      <c r="AD37" s="990">
        <f t="shared" si="0"/>
        <v>80</v>
      </c>
    </row>
    <row r="38" spans="1:30" ht="27" customHeight="1" x14ac:dyDescent="0.25">
      <c r="A38" s="985">
        <v>29</v>
      </c>
      <c r="B38" s="607">
        <v>5191421029</v>
      </c>
      <c r="C38" s="488">
        <v>2</v>
      </c>
      <c r="D38" s="990">
        <v>2</v>
      </c>
      <c r="E38" s="490">
        <v>2</v>
      </c>
      <c r="F38" s="491">
        <v>3</v>
      </c>
      <c r="G38" s="990"/>
      <c r="H38" s="617"/>
      <c r="I38" s="490"/>
      <c r="J38" s="491">
        <v>3</v>
      </c>
      <c r="K38" s="990">
        <v>3</v>
      </c>
      <c r="L38" s="990"/>
      <c r="M38" s="990"/>
      <c r="N38" s="645">
        <v>18</v>
      </c>
      <c r="O38" s="488">
        <v>2</v>
      </c>
      <c r="P38" s="990">
        <v>2</v>
      </c>
      <c r="Q38" s="490">
        <v>0</v>
      </c>
      <c r="R38" s="617">
        <v>3</v>
      </c>
      <c r="S38" s="490">
        <v>3</v>
      </c>
      <c r="T38" s="491"/>
      <c r="U38" s="990"/>
      <c r="V38" s="990">
        <v>3</v>
      </c>
      <c r="W38" s="492">
        <v>4</v>
      </c>
      <c r="X38" s="617"/>
      <c r="Y38" s="990"/>
      <c r="Z38" s="990">
        <v>17</v>
      </c>
      <c r="AA38" s="738">
        <v>10</v>
      </c>
      <c r="AB38" s="738">
        <v>10</v>
      </c>
      <c r="AC38" s="619" t="s">
        <v>27</v>
      </c>
      <c r="AD38" s="990">
        <f t="shared" si="0"/>
        <v>50</v>
      </c>
    </row>
    <row r="39" spans="1:30" ht="27" customHeight="1" x14ac:dyDescent="0.25">
      <c r="A39" s="985">
        <v>30</v>
      </c>
      <c r="B39" s="607">
        <v>5191421030</v>
      </c>
      <c r="C39" s="1007">
        <v>2</v>
      </c>
      <c r="D39" s="1007">
        <v>2</v>
      </c>
      <c r="E39" s="1007">
        <v>2</v>
      </c>
      <c r="F39" s="1007">
        <v>4</v>
      </c>
      <c r="G39" s="1007">
        <v>4</v>
      </c>
      <c r="H39" s="1007"/>
      <c r="I39" s="1007"/>
      <c r="J39" s="1007"/>
      <c r="K39" s="1007"/>
      <c r="L39" s="1007">
        <v>2</v>
      </c>
      <c r="M39" s="674">
        <v>2</v>
      </c>
      <c r="N39" s="996">
        <v>18</v>
      </c>
      <c r="O39" s="488">
        <v>2</v>
      </c>
      <c r="P39" s="990">
        <v>2</v>
      </c>
      <c r="Q39" s="490"/>
      <c r="R39" s="617"/>
      <c r="S39" s="490"/>
      <c r="T39" s="491">
        <v>2</v>
      </c>
      <c r="U39" s="990">
        <v>1</v>
      </c>
      <c r="V39" s="990">
        <v>2</v>
      </c>
      <c r="W39" s="492">
        <v>3</v>
      </c>
      <c r="X39" s="617"/>
      <c r="Y39" s="990"/>
      <c r="Z39" s="990">
        <v>12</v>
      </c>
      <c r="AA39" s="738">
        <v>10</v>
      </c>
      <c r="AB39" s="738">
        <v>10</v>
      </c>
      <c r="AC39" s="619" t="s">
        <v>28</v>
      </c>
      <c r="AD39" s="990">
        <f t="shared" si="0"/>
        <v>60</v>
      </c>
    </row>
    <row r="40" spans="1:30" ht="27" customHeight="1" x14ac:dyDescent="0.25">
      <c r="A40" s="985">
        <v>31</v>
      </c>
      <c r="B40" s="607">
        <v>5191421031</v>
      </c>
      <c r="C40" s="608">
        <v>2</v>
      </c>
      <c r="D40" s="990">
        <v>2</v>
      </c>
      <c r="E40" s="490">
        <v>2</v>
      </c>
      <c r="F40" s="491">
        <v>4</v>
      </c>
      <c r="G40" s="990">
        <v>5</v>
      </c>
      <c r="H40" s="617"/>
      <c r="I40" s="490"/>
      <c r="J40" s="491"/>
      <c r="K40" s="990">
        <v>3</v>
      </c>
      <c r="L40" s="990"/>
      <c r="M40" s="990"/>
      <c r="N40" s="645">
        <v>18</v>
      </c>
      <c r="O40" s="488">
        <v>2</v>
      </c>
      <c r="P40" s="990">
        <v>2</v>
      </c>
      <c r="Q40" s="490"/>
      <c r="R40" s="617"/>
      <c r="S40" s="490">
        <v>3</v>
      </c>
      <c r="T40" s="491"/>
      <c r="U40" s="990"/>
      <c r="V40" s="990">
        <v>2</v>
      </c>
      <c r="W40" s="492">
        <v>1</v>
      </c>
      <c r="X40" s="617"/>
      <c r="Y40" s="990"/>
      <c r="Z40" s="990">
        <v>10</v>
      </c>
      <c r="AA40" s="738">
        <v>10</v>
      </c>
      <c r="AB40" s="738">
        <v>10</v>
      </c>
      <c r="AC40" s="619" t="s">
        <v>33</v>
      </c>
      <c r="AD40" s="990">
        <f t="shared" si="0"/>
        <v>70</v>
      </c>
    </row>
    <row r="41" spans="1:30" ht="27" customHeight="1" x14ac:dyDescent="0.25">
      <c r="A41" s="985">
        <v>32</v>
      </c>
      <c r="B41" s="630">
        <v>5191421032</v>
      </c>
      <c r="C41" s="1007">
        <v>2</v>
      </c>
      <c r="D41" s="1007">
        <v>2</v>
      </c>
      <c r="E41" s="1007">
        <v>2</v>
      </c>
      <c r="F41" s="1007">
        <v>4</v>
      </c>
      <c r="G41" s="1007">
        <v>4</v>
      </c>
      <c r="H41" s="644"/>
      <c r="I41" s="644"/>
      <c r="J41" s="1007"/>
      <c r="K41" s="1007"/>
      <c r="L41" s="990">
        <v>3</v>
      </c>
      <c r="M41" s="990">
        <v>4</v>
      </c>
      <c r="N41" s="645">
        <v>21</v>
      </c>
      <c r="O41" s="491">
        <v>2</v>
      </c>
      <c r="P41" s="990">
        <v>2</v>
      </c>
      <c r="Q41" s="490">
        <v>0</v>
      </c>
      <c r="R41" s="617">
        <v>4</v>
      </c>
      <c r="S41" s="490"/>
      <c r="T41" s="491"/>
      <c r="U41" s="990"/>
      <c r="V41" s="990">
        <v>4</v>
      </c>
      <c r="W41" s="492">
        <v>3</v>
      </c>
      <c r="X41" s="617"/>
      <c r="Y41" s="990"/>
      <c r="Z41" s="990">
        <v>15</v>
      </c>
      <c r="AA41" s="738">
        <v>10</v>
      </c>
      <c r="AB41" s="738">
        <v>10</v>
      </c>
      <c r="AC41" s="619" t="s">
        <v>32</v>
      </c>
      <c r="AD41" s="990">
        <f t="shared" si="0"/>
        <v>80</v>
      </c>
    </row>
    <row r="42" spans="1:30" ht="27" customHeight="1" x14ac:dyDescent="0.25">
      <c r="A42" s="985">
        <v>33</v>
      </c>
      <c r="B42" s="607">
        <v>5191421033</v>
      </c>
      <c r="C42" s="488">
        <v>2</v>
      </c>
      <c r="D42" s="990">
        <v>1</v>
      </c>
      <c r="E42" s="490">
        <v>1</v>
      </c>
      <c r="F42" s="491">
        <v>3</v>
      </c>
      <c r="G42" s="990">
        <v>4</v>
      </c>
      <c r="H42" s="617"/>
      <c r="I42" s="490"/>
      <c r="J42" s="491">
        <v>3</v>
      </c>
      <c r="K42" s="990">
        <v>3</v>
      </c>
      <c r="L42" s="990"/>
      <c r="M42" s="990"/>
      <c r="N42" s="645">
        <v>17</v>
      </c>
      <c r="O42" s="488">
        <v>2</v>
      </c>
      <c r="P42" s="990">
        <v>2</v>
      </c>
      <c r="Q42" s="490"/>
      <c r="R42" s="617"/>
      <c r="S42" s="490"/>
      <c r="T42" s="491">
        <v>3</v>
      </c>
      <c r="U42" s="990"/>
      <c r="V42" s="990">
        <v>3</v>
      </c>
      <c r="W42" s="492">
        <v>3</v>
      </c>
      <c r="X42" s="617"/>
      <c r="Y42" s="990"/>
      <c r="Z42" s="990">
        <v>13</v>
      </c>
      <c r="AA42" s="738">
        <v>10</v>
      </c>
      <c r="AB42" s="738">
        <v>10</v>
      </c>
      <c r="AC42" s="619" t="s">
        <v>27</v>
      </c>
      <c r="AD42" s="990">
        <f t="shared" si="0"/>
        <v>70</v>
      </c>
    </row>
    <row r="43" spans="1:30" ht="27" customHeight="1" x14ac:dyDescent="0.25">
      <c r="A43" s="985">
        <v>34</v>
      </c>
      <c r="B43" s="607">
        <v>5191421034</v>
      </c>
      <c r="C43" s="488">
        <v>2</v>
      </c>
      <c r="D43" s="990">
        <v>2</v>
      </c>
      <c r="E43" s="490">
        <v>2</v>
      </c>
      <c r="F43" s="491">
        <v>3</v>
      </c>
      <c r="G43" s="990">
        <v>5</v>
      </c>
      <c r="H43" s="617"/>
      <c r="I43" s="490"/>
      <c r="J43" s="491">
        <v>3</v>
      </c>
      <c r="K43" s="990">
        <v>5</v>
      </c>
      <c r="L43" s="990"/>
      <c r="M43" s="990"/>
      <c r="N43" s="645">
        <v>22</v>
      </c>
      <c r="O43" s="491">
        <v>2</v>
      </c>
      <c r="P43" s="990">
        <v>2</v>
      </c>
      <c r="Q43" s="490"/>
      <c r="R43" s="617">
        <v>2</v>
      </c>
      <c r="S43" s="490">
        <v>2</v>
      </c>
      <c r="T43" s="491"/>
      <c r="U43" s="990"/>
      <c r="V43" s="990">
        <v>3</v>
      </c>
      <c r="W43" s="492">
        <v>2</v>
      </c>
      <c r="X43" s="617"/>
      <c r="Y43" s="990"/>
      <c r="Z43" s="990">
        <v>13</v>
      </c>
      <c r="AA43" s="738">
        <v>10</v>
      </c>
      <c r="AB43" s="738">
        <v>10</v>
      </c>
      <c r="AC43" s="619" t="s">
        <v>32</v>
      </c>
      <c r="AD43" s="990">
        <f t="shared" si="0"/>
        <v>80</v>
      </c>
    </row>
    <row r="44" spans="1:30" ht="27" customHeight="1" x14ac:dyDescent="0.25">
      <c r="A44" s="985">
        <v>35</v>
      </c>
      <c r="B44" s="607">
        <v>5191421035</v>
      </c>
      <c r="C44" s="488">
        <v>2</v>
      </c>
      <c r="D44" s="990">
        <v>2</v>
      </c>
      <c r="E44" s="490">
        <v>2</v>
      </c>
      <c r="F44" s="491">
        <v>4</v>
      </c>
      <c r="G44" s="990">
        <v>4</v>
      </c>
      <c r="H44" s="617"/>
      <c r="I44" s="490"/>
      <c r="J44" s="491">
        <v>3</v>
      </c>
      <c r="K44" s="990">
        <v>3</v>
      </c>
      <c r="L44" s="990"/>
      <c r="M44" s="990"/>
      <c r="N44" s="645">
        <v>20</v>
      </c>
      <c r="O44" s="488">
        <v>1</v>
      </c>
      <c r="P44" s="990">
        <v>1</v>
      </c>
      <c r="Q44" s="490">
        <v>1</v>
      </c>
      <c r="R44" s="617">
        <v>3</v>
      </c>
      <c r="S44" s="490">
        <v>4</v>
      </c>
      <c r="T44" s="491"/>
      <c r="U44" s="990"/>
      <c r="V44" s="990">
        <v>4</v>
      </c>
      <c r="W44" s="492">
        <v>4</v>
      </c>
      <c r="X44" s="617"/>
      <c r="Y44" s="990"/>
      <c r="Z44" s="990">
        <v>18</v>
      </c>
      <c r="AA44" s="738">
        <v>10</v>
      </c>
      <c r="AB44" s="738">
        <v>10</v>
      </c>
      <c r="AC44" s="619" t="s">
        <v>27</v>
      </c>
      <c r="AD44" s="990">
        <f t="shared" si="0"/>
        <v>80</v>
      </c>
    </row>
    <row r="45" spans="1:30" ht="27" customHeight="1" x14ac:dyDescent="0.25">
      <c r="A45" s="985">
        <v>36</v>
      </c>
      <c r="B45" s="607">
        <v>5191421036</v>
      </c>
      <c r="C45" s="488">
        <v>2</v>
      </c>
      <c r="D45" s="990">
        <v>2</v>
      </c>
      <c r="E45" s="490">
        <v>2</v>
      </c>
      <c r="F45" s="491">
        <v>4</v>
      </c>
      <c r="G45" s="990">
        <v>4</v>
      </c>
      <c r="H45" s="617"/>
      <c r="I45" s="490"/>
      <c r="J45" s="491"/>
      <c r="K45" s="990"/>
      <c r="L45" s="990">
        <v>5</v>
      </c>
      <c r="M45" s="990">
        <v>5</v>
      </c>
      <c r="N45" s="645">
        <v>24</v>
      </c>
      <c r="O45" s="488">
        <v>2</v>
      </c>
      <c r="P45" s="990">
        <v>2</v>
      </c>
      <c r="Q45" s="490"/>
      <c r="R45" s="617">
        <v>3</v>
      </c>
      <c r="S45" s="490">
        <v>4</v>
      </c>
      <c r="T45" s="491"/>
      <c r="U45" s="990"/>
      <c r="V45" s="990">
        <v>2</v>
      </c>
      <c r="W45" s="492">
        <v>2</v>
      </c>
      <c r="X45" s="617"/>
      <c r="Y45" s="990"/>
      <c r="Z45" s="990">
        <v>15</v>
      </c>
      <c r="AA45" s="738">
        <v>10</v>
      </c>
      <c r="AB45" s="738">
        <v>10</v>
      </c>
      <c r="AC45" s="619" t="s">
        <v>27</v>
      </c>
      <c r="AD45" s="990">
        <f t="shared" si="0"/>
        <v>60</v>
      </c>
    </row>
    <row r="46" spans="1:30" ht="27" customHeight="1" x14ac:dyDescent="0.25">
      <c r="A46" s="985">
        <v>37</v>
      </c>
      <c r="B46" s="607">
        <v>5191421037</v>
      </c>
      <c r="C46" s="488">
        <v>2</v>
      </c>
      <c r="D46" s="990">
        <v>2</v>
      </c>
      <c r="E46" s="490">
        <v>2</v>
      </c>
      <c r="F46" s="491">
        <v>3</v>
      </c>
      <c r="G46" s="990">
        <v>4</v>
      </c>
      <c r="H46" s="617"/>
      <c r="I46" s="490"/>
      <c r="J46" s="491"/>
      <c r="K46" s="990"/>
      <c r="L46" s="990">
        <v>3</v>
      </c>
      <c r="M46" s="990">
        <v>4</v>
      </c>
      <c r="N46" s="645">
        <v>20</v>
      </c>
      <c r="O46" s="488">
        <v>2</v>
      </c>
      <c r="P46" s="990">
        <v>2</v>
      </c>
      <c r="Q46" s="490">
        <v>0</v>
      </c>
      <c r="R46" s="617">
        <v>2</v>
      </c>
      <c r="S46" s="490">
        <v>3</v>
      </c>
      <c r="T46" s="491">
        <v>3</v>
      </c>
      <c r="U46" s="990">
        <v>3</v>
      </c>
      <c r="V46" s="990"/>
      <c r="W46" s="492"/>
      <c r="X46" s="617"/>
      <c r="Y46" s="990"/>
      <c r="Z46" s="990">
        <v>15</v>
      </c>
      <c r="AA46" s="738">
        <v>10</v>
      </c>
      <c r="AB46" s="738">
        <v>10</v>
      </c>
      <c r="AC46" s="619" t="s">
        <v>33</v>
      </c>
      <c r="AD46" s="990">
        <f t="shared" si="0"/>
        <v>80</v>
      </c>
    </row>
    <row r="47" spans="1:30" ht="27" customHeight="1" x14ac:dyDescent="0.25">
      <c r="A47" s="985">
        <v>38</v>
      </c>
      <c r="B47" s="607">
        <v>5191421038</v>
      </c>
      <c r="C47" s="488">
        <v>2</v>
      </c>
      <c r="D47" s="990">
        <v>2</v>
      </c>
      <c r="E47" s="490">
        <v>2</v>
      </c>
      <c r="F47" s="491">
        <v>4</v>
      </c>
      <c r="G47" s="990">
        <v>5</v>
      </c>
      <c r="H47" s="617"/>
      <c r="I47" s="490"/>
      <c r="J47" s="491">
        <v>4</v>
      </c>
      <c r="K47" s="990">
        <v>3</v>
      </c>
      <c r="L47" s="990"/>
      <c r="M47" s="990"/>
      <c r="N47" s="645">
        <v>22</v>
      </c>
      <c r="O47" s="488">
        <v>2</v>
      </c>
      <c r="P47" s="990">
        <v>2</v>
      </c>
      <c r="Q47" s="490">
        <v>0</v>
      </c>
      <c r="R47" s="617"/>
      <c r="S47" s="490"/>
      <c r="T47" s="491">
        <v>3</v>
      </c>
      <c r="U47" s="990">
        <v>4</v>
      </c>
      <c r="V47" s="990"/>
      <c r="W47" s="492"/>
      <c r="X47" s="617">
        <v>3</v>
      </c>
      <c r="Y47" s="990">
        <v>3</v>
      </c>
      <c r="Z47" s="990">
        <v>17</v>
      </c>
      <c r="AA47" s="738">
        <v>10</v>
      </c>
      <c r="AB47" s="738">
        <v>10</v>
      </c>
      <c r="AC47" s="619" t="s">
        <v>27</v>
      </c>
      <c r="AD47" s="990">
        <f t="shared" si="0"/>
        <v>80</v>
      </c>
    </row>
    <row r="48" spans="1:30" ht="27" customHeight="1" x14ac:dyDescent="0.25">
      <c r="A48" s="985">
        <v>39</v>
      </c>
      <c r="B48" s="607">
        <v>5191421039</v>
      </c>
      <c r="C48" s="488">
        <v>2</v>
      </c>
      <c r="D48" s="990">
        <v>2</v>
      </c>
      <c r="E48" s="490">
        <v>2</v>
      </c>
      <c r="F48" s="491">
        <v>3</v>
      </c>
      <c r="G48" s="990">
        <v>3</v>
      </c>
      <c r="H48" s="617"/>
      <c r="I48" s="490"/>
      <c r="J48" s="491">
        <v>4</v>
      </c>
      <c r="K48" s="990">
        <v>5</v>
      </c>
      <c r="L48" s="990"/>
      <c r="M48" s="990"/>
      <c r="N48" s="645">
        <v>21</v>
      </c>
      <c r="O48" s="488">
        <v>1</v>
      </c>
      <c r="P48" s="990">
        <v>1</v>
      </c>
      <c r="Q48" s="490"/>
      <c r="R48" s="617">
        <v>3</v>
      </c>
      <c r="S48" s="490">
        <v>4</v>
      </c>
      <c r="T48" s="491"/>
      <c r="U48" s="990"/>
      <c r="V48" s="990">
        <v>2</v>
      </c>
      <c r="W48" s="492">
        <v>4</v>
      </c>
      <c r="X48" s="617"/>
      <c r="Y48" s="990"/>
      <c r="Z48" s="990">
        <v>15</v>
      </c>
      <c r="AA48" s="738">
        <v>10</v>
      </c>
      <c r="AB48" s="738">
        <v>10</v>
      </c>
      <c r="AC48" s="619" t="s">
        <v>27</v>
      </c>
      <c r="AD48" s="990">
        <f t="shared" si="0"/>
        <v>80</v>
      </c>
    </row>
    <row r="49" spans="1:30" ht="27" customHeight="1" x14ac:dyDescent="0.25">
      <c r="A49" s="985">
        <v>40</v>
      </c>
      <c r="B49" s="607">
        <v>5191421040</v>
      </c>
      <c r="O49" s="488">
        <v>2</v>
      </c>
      <c r="P49" s="990">
        <v>1</v>
      </c>
      <c r="Q49" s="490">
        <v>2</v>
      </c>
      <c r="R49" s="617"/>
      <c r="S49" s="490"/>
      <c r="T49" s="491">
        <v>3</v>
      </c>
      <c r="U49" s="990">
        <v>2</v>
      </c>
      <c r="V49" s="990">
        <v>3</v>
      </c>
      <c r="W49" s="492">
        <v>5</v>
      </c>
      <c r="X49" s="617"/>
      <c r="Y49" s="990"/>
      <c r="Z49" s="990">
        <v>18</v>
      </c>
      <c r="AA49" s="738">
        <v>10</v>
      </c>
      <c r="AB49" s="738">
        <v>10</v>
      </c>
      <c r="AC49" s="619" t="s">
        <v>27</v>
      </c>
      <c r="AD49" s="990">
        <f t="shared" si="0"/>
        <v>80</v>
      </c>
    </row>
    <row r="50" spans="1:30" ht="27" customHeight="1" x14ac:dyDescent="0.25">
      <c r="A50" s="985">
        <v>41</v>
      </c>
      <c r="B50" s="607">
        <v>5191421041</v>
      </c>
      <c r="C50" s="608">
        <v>2</v>
      </c>
      <c r="D50" s="990">
        <v>2</v>
      </c>
      <c r="E50" s="490">
        <v>2</v>
      </c>
      <c r="F50" s="491">
        <v>5</v>
      </c>
      <c r="G50" s="990">
        <v>4</v>
      </c>
      <c r="H50" s="617"/>
      <c r="I50" s="490"/>
      <c r="J50" s="491">
        <v>3</v>
      </c>
      <c r="K50" s="990">
        <v>3</v>
      </c>
      <c r="L50" s="990"/>
      <c r="M50" s="990"/>
      <c r="N50" s="645">
        <v>21</v>
      </c>
      <c r="O50" s="488">
        <v>2</v>
      </c>
      <c r="P50" s="990">
        <v>2</v>
      </c>
      <c r="Q50" s="490">
        <v>1</v>
      </c>
      <c r="R50" s="617"/>
      <c r="S50" s="490"/>
      <c r="T50" s="491">
        <v>1</v>
      </c>
      <c r="U50" s="990">
        <v>3</v>
      </c>
      <c r="V50" s="990">
        <v>3</v>
      </c>
      <c r="W50" s="492">
        <v>3</v>
      </c>
      <c r="X50" s="617"/>
      <c r="Y50" s="990"/>
      <c r="Z50" s="990">
        <v>15</v>
      </c>
      <c r="AA50" s="738">
        <v>10</v>
      </c>
      <c r="AB50" s="738">
        <v>10</v>
      </c>
      <c r="AC50" s="619" t="s">
        <v>27</v>
      </c>
      <c r="AD50" s="990">
        <f t="shared" si="0"/>
        <v>70</v>
      </c>
    </row>
    <row r="51" spans="1:30" ht="27" customHeight="1" x14ac:dyDescent="0.25">
      <c r="A51" s="985">
        <v>42</v>
      </c>
      <c r="B51" s="607">
        <v>5191421042</v>
      </c>
      <c r="C51" s="488">
        <v>2</v>
      </c>
      <c r="D51" s="990">
        <v>2</v>
      </c>
      <c r="E51" s="490">
        <v>2</v>
      </c>
      <c r="F51" s="491">
        <v>5</v>
      </c>
      <c r="G51" s="990">
        <v>3</v>
      </c>
      <c r="H51" s="617"/>
      <c r="I51" s="490"/>
      <c r="J51" s="491"/>
      <c r="K51" s="990"/>
      <c r="L51" s="990"/>
      <c r="M51" s="990">
        <v>4</v>
      </c>
      <c r="N51" s="645">
        <v>18</v>
      </c>
      <c r="O51" s="488">
        <v>2</v>
      </c>
      <c r="P51" s="990">
        <v>2</v>
      </c>
      <c r="Q51" s="490"/>
      <c r="R51" s="617">
        <v>4</v>
      </c>
      <c r="S51" s="490">
        <v>4</v>
      </c>
      <c r="T51" s="491"/>
      <c r="U51" s="990"/>
      <c r="V51" s="990">
        <v>3</v>
      </c>
      <c r="W51" s="492"/>
      <c r="X51" s="617"/>
      <c r="Y51" s="990"/>
      <c r="Z51" s="990">
        <v>15</v>
      </c>
      <c r="AA51" s="738">
        <v>10</v>
      </c>
      <c r="AB51" s="738">
        <v>10</v>
      </c>
      <c r="AC51" s="619" t="s">
        <v>32</v>
      </c>
      <c r="AD51" s="990">
        <f t="shared" si="0"/>
        <v>90</v>
      </c>
    </row>
    <row r="52" spans="1:30" ht="27" customHeight="1" x14ac:dyDescent="0.25">
      <c r="A52" s="985">
        <v>43</v>
      </c>
      <c r="B52" s="607">
        <v>5191421043</v>
      </c>
      <c r="C52" s="488">
        <v>2</v>
      </c>
      <c r="D52" s="990">
        <v>2</v>
      </c>
      <c r="E52" s="490">
        <v>2</v>
      </c>
      <c r="F52" s="491">
        <v>5</v>
      </c>
      <c r="G52" s="990">
        <v>6</v>
      </c>
      <c r="H52" s="617"/>
      <c r="I52" s="490"/>
      <c r="J52" s="491"/>
      <c r="K52" s="990"/>
      <c r="L52" s="990">
        <v>6</v>
      </c>
      <c r="M52" s="990">
        <v>5</v>
      </c>
      <c r="N52" s="645">
        <v>28</v>
      </c>
      <c r="O52" s="488">
        <v>2</v>
      </c>
      <c r="P52" s="990">
        <v>2</v>
      </c>
      <c r="Q52" s="490"/>
      <c r="R52" s="617">
        <v>4</v>
      </c>
      <c r="S52" s="490">
        <v>4</v>
      </c>
      <c r="T52" s="491"/>
      <c r="U52" s="990"/>
      <c r="V52" s="990">
        <v>4</v>
      </c>
      <c r="W52" s="492">
        <v>3</v>
      </c>
      <c r="X52" s="617"/>
      <c r="Y52" s="990"/>
      <c r="Z52" s="990">
        <v>19</v>
      </c>
      <c r="AA52" s="738">
        <v>10</v>
      </c>
      <c r="AB52" s="738">
        <v>10</v>
      </c>
      <c r="AC52" s="619" t="s">
        <v>30</v>
      </c>
      <c r="AD52" s="990">
        <f t="shared" si="0"/>
        <v>90</v>
      </c>
    </row>
    <row r="53" spans="1:30" ht="27" customHeight="1" x14ac:dyDescent="0.25">
      <c r="A53" s="985">
        <v>44</v>
      </c>
      <c r="B53" s="607">
        <v>5191421044</v>
      </c>
      <c r="C53" s="488">
        <v>2</v>
      </c>
      <c r="D53" s="990">
        <v>2</v>
      </c>
      <c r="E53" s="490">
        <v>2</v>
      </c>
      <c r="F53" s="491">
        <v>3</v>
      </c>
      <c r="G53" s="990">
        <v>4</v>
      </c>
      <c r="H53" s="617"/>
      <c r="I53" s="490"/>
      <c r="J53" s="491"/>
      <c r="K53" s="990"/>
      <c r="L53" s="990">
        <v>4</v>
      </c>
      <c r="M53" s="990">
        <v>4</v>
      </c>
      <c r="N53" s="645">
        <v>21</v>
      </c>
      <c r="O53" s="488">
        <v>2</v>
      </c>
      <c r="P53" s="990">
        <v>2</v>
      </c>
      <c r="Q53" s="490">
        <v>2</v>
      </c>
      <c r="R53" s="617">
        <v>4</v>
      </c>
      <c r="S53" s="490">
        <v>3</v>
      </c>
      <c r="T53" s="491"/>
      <c r="U53" s="990"/>
      <c r="V53" s="990">
        <v>3</v>
      </c>
      <c r="W53" s="492">
        <v>4</v>
      </c>
      <c r="X53" s="617"/>
      <c r="Y53" s="990"/>
      <c r="Z53" s="990">
        <v>20</v>
      </c>
      <c r="AA53" s="738">
        <v>10</v>
      </c>
      <c r="AB53" s="738">
        <v>10</v>
      </c>
      <c r="AC53" s="619" t="s">
        <v>30</v>
      </c>
      <c r="AD53" s="990">
        <f t="shared" si="0"/>
        <v>70</v>
      </c>
    </row>
    <row r="54" spans="1:30" ht="27" customHeight="1" x14ac:dyDescent="0.25">
      <c r="A54" s="985">
        <v>45</v>
      </c>
      <c r="B54" s="607">
        <v>5191421045</v>
      </c>
      <c r="C54" s="608">
        <v>2</v>
      </c>
      <c r="D54" s="990">
        <v>2</v>
      </c>
      <c r="E54" s="490">
        <v>2</v>
      </c>
      <c r="F54" s="491">
        <v>3</v>
      </c>
      <c r="G54" s="990">
        <v>5</v>
      </c>
      <c r="H54" s="617"/>
      <c r="I54" s="490"/>
      <c r="J54" s="491"/>
      <c r="K54" s="990"/>
      <c r="L54" s="990">
        <v>3</v>
      </c>
      <c r="M54" s="990">
        <v>3</v>
      </c>
      <c r="N54" s="645">
        <v>20</v>
      </c>
      <c r="O54" s="488">
        <v>2</v>
      </c>
      <c r="P54" s="990">
        <v>2</v>
      </c>
      <c r="Q54" s="490">
        <v>2</v>
      </c>
      <c r="R54" s="617">
        <v>4</v>
      </c>
      <c r="S54" s="490">
        <v>4</v>
      </c>
      <c r="T54" s="491"/>
      <c r="U54" s="990"/>
      <c r="V54" s="990">
        <v>4</v>
      </c>
      <c r="W54" s="492">
        <v>1</v>
      </c>
      <c r="X54" s="617"/>
      <c r="Y54" s="990"/>
      <c r="Z54" s="990">
        <v>19</v>
      </c>
      <c r="AA54" s="738">
        <v>10</v>
      </c>
      <c r="AB54" s="738">
        <v>10</v>
      </c>
      <c r="AC54" s="619" t="s">
        <v>32</v>
      </c>
      <c r="AD54" s="990">
        <f t="shared" si="0"/>
        <v>80</v>
      </c>
    </row>
    <row r="55" spans="1:30" ht="27" customHeight="1" x14ac:dyDescent="0.25">
      <c r="A55" s="985">
        <v>46</v>
      </c>
      <c r="B55" s="607">
        <v>5191421046</v>
      </c>
      <c r="C55" s="488">
        <v>2</v>
      </c>
      <c r="D55" s="990">
        <v>2</v>
      </c>
      <c r="E55" s="490">
        <v>2</v>
      </c>
      <c r="F55" s="491"/>
      <c r="G55" s="990"/>
      <c r="H55" s="617">
        <v>4</v>
      </c>
      <c r="I55" s="490">
        <v>4</v>
      </c>
      <c r="J55" s="491"/>
      <c r="K55" s="990"/>
      <c r="L55" s="990">
        <v>5</v>
      </c>
      <c r="M55" s="990">
        <v>4</v>
      </c>
      <c r="N55" s="645">
        <v>23</v>
      </c>
      <c r="O55" s="488">
        <v>2</v>
      </c>
      <c r="P55" s="990">
        <v>2</v>
      </c>
      <c r="Q55" s="490">
        <v>2</v>
      </c>
      <c r="R55" s="617">
        <v>3</v>
      </c>
      <c r="S55" s="490">
        <v>4</v>
      </c>
      <c r="T55" s="491"/>
      <c r="U55" s="990"/>
      <c r="V55" s="990">
        <v>3</v>
      </c>
      <c r="W55" s="492">
        <v>4</v>
      </c>
      <c r="X55" s="617"/>
      <c r="Y55" s="990"/>
      <c r="Z55" s="990">
        <v>20</v>
      </c>
      <c r="AA55" s="738">
        <v>10</v>
      </c>
      <c r="AB55" s="738">
        <v>10</v>
      </c>
      <c r="AC55" s="619" t="s">
        <v>27</v>
      </c>
      <c r="AD55" s="990">
        <f t="shared" si="0"/>
        <v>50</v>
      </c>
    </row>
    <row r="56" spans="1:30" ht="27" customHeight="1" x14ac:dyDescent="0.25">
      <c r="A56" s="985">
        <v>47</v>
      </c>
      <c r="B56" s="607">
        <v>5191421047</v>
      </c>
      <c r="C56" s="488">
        <v>2</v>
      </c>
      <c r="D56" s="990">
        <v>2</v>
      </c>
      <c r="E56" s="490">
        <v>2</v>
      </c>
      <c r="F56" s="491">
        <v>3</v>
      </c>
      <c r="G56" s="990">
        <v>4</v>
      </c>
      <c r="H56" s="617"/>
      <c r="I56" s="490"/>
      <c r="J56" s="491"/>
      <c r="K56" s="990"/>
      <c r="L56" s="990"/>
      <c r="M56" s="990">
        <v>2</v>
      </c>
      <c r="N56" s="645">
        <v>15</v>
      </c>
      <c r="O56" s="488">
        <v>1</v>
      </c>
      <c r="P56" s="990">
        <v>1</v>
      </c>
      <c r="Q56" s="490">
        <v>0</v>
      </c>
      <c r="R56" s="617">
        <v>3</v>
      </c>
      <c r="S56" s="490">
        <v>2</v>
      </c>
      <c r="T56" s="491">
        <v>3</v>
      </c>
      <c r="U56" s="990"/>
      <c r="V56" s="990"/>
      <c r="W56" s="492"/>
      <c r="X56" s="617"/>
      <c r="Y56" s="990"/>
      <c r="Z56" s="990">
        <v>10</v>
      </c>
      <c r="AA56" s="738">
        <v>10</v>
      </c>
      <c r="AB56" s="738">
        <v>10</v>
      </c>
      <c r="AC56" s="619" t="s">
        <v>28</v>
      </c>
      <c r="AD56" s="990">
        <f t="shared" si="0"/>
        <v>80</v>
      </c>
    </row>
    <row r="57" spans="1:30" ht="27" customHeight="1" x14ac:dyDescent="0.25">
      <c r="A57" s="985">
        <v>48</v>
      </c>
      <c r="B57" s="607">
        <v>5191421048</v>
      </c>
      <c r="C57" s="488">
        <v>2</v>
      </c>
      <c r="D57" s="990">
        <v>2</v>
      </c>
      <c r="E57" s="490">
        <v>2</v>
      </c>
      <c r="F57" s="491">
        <v>3</v>
      </c>
      <c r="G57" s="990">
        <v>5</v>
      </c>
      <c r="H57" s="617"/>
      <c r="I57" s="490"/>
      <c r="J57" s="491">
        <v>4</v>
      </c>
      <c r="K57" s="990">
        <v>4</v>
      </c>
      <c r="L57" s="990"/>
      <c r="M57" s="990"/>
      <c r="N57" s="645">
        <v>22</v>
      </c>
      <c r="O57" s="488">
        <v>1</v>
      </c>
      <c r="P57" s="990">
        <v>1</v>
      </c>
      <c r="Q57" s="490">
        <v>0</v>
      </c>
      <c r="R57" s="617">
        <v>3</v>
      </c>
      <c r="S57" s="490">
        <v>1</v>
      </c>
      <c r="T57" s="491"/>
      <c r="U57" s="990"/>
      <c r="V57" s="990">
        <v>2</v>
      </c>
      <c r="W57" s="492">
        <v>4</v>
      </c>
      <c r="X57" s="617"/>
      <c r="Y57" s="990"/>
      <c r="Z57" s="990">
        <v>12</v>
      </c>
      <c r="AA57" s="738">
        <v>10</v>
      </c>
      <c r="AB57" s="738">
        <v>10</v>
      </c>
      <c r="AC57" s="619" t="s">
        <v>27</v>
      </c>
      <c r="AD57" s="990">
        <f t="shared" si="0"/>
        <v>70</v>
      </c>
    </row>
    <row r="58" spans="1:30" ht="27" customHeight="1" x14ac:dyDescent="0.25">
      <c r="A58" s="985">
        <v>49</v>
      </c>
      <c r="B58" s="607">
        <v>5191421049</v>
      </c>
      <c r="C58" s="488"/>
      <c r="D58" s="990"/>
      <c r="E58" s="490"/>
      <c r="F58" s="491"/>
      <c r="G58" s="990"/>
      <c r="H58" s="617"/>
      <c r="I58" s="490"/>
      <c r="J58" s="491"/>
      <c r="K58" s="990"/>
      <c r="L58" s="990"/>
      <c r="M58" s="990"/>
      <c r="N58" s="645">
        <v>2</v>
      </c>
      <c r="O58" s="488">
        <v>2</v>
      </c>
      <c r="P58" s="990">
        <v>2</v>
      </c>
      <c r="Q58" s="490"/>
      <c r="R58" s="617"/>
      <c r="S58" s="490"/>
      <c r="T58" s="491">
        <v>4</v>
      </c>
      <c r="U58" s="990">
        <v>4</v>
      </c>
      <c r="V58" s="990"/>
      <c r="W58" s="492"/>
      <c r="X58" s="617">
        <v>3</v>
      </c>
      <c r="Y58" s="990">
        <v>4</v>
      </c>
      <c r="Z58" s="990">
        <v>21</v>
      </c>
      <c r="AA58" s="738">
        <v>10</v>
      </c>
      <c r="AB58" s="738">
        <v>10</v>
      </c>
      <c r="AC58" s="619" t="s">
        <v>32</v>
      </c>
      <c r="AD58" s="990">
        <f t="shared" si="0"/>
        <v>70</v>
      </c>
    </row>
    <row r="59" spans="1:30" ht="27" customHeight="1" x14ac:dyDescent="0.25">
      <c r="A59" s="985">
        <v>50</v>
      </c>
      <c r="B59" s="607">
        <v>5191421050</v>
      </c>
      <c r="C59" s="488">
        <v>2</v>
      </c>
      <c r="D59" s="990">
        <v>2</v>
      </c>
      <c r="E59" s="490">
        <v>2</v>
      </c>
      <c r="F59" s="491">
        <v>3</v>
      </c>
      <c r="G59" s="990">
        <v>3</v>
      </c>
      <c r="H59" s="617"/>
      <c r="I59" s="490"/>
      <c r="J59" s="491"/>
      <c r="K59" s="990"/>
      <c r="L59" s="990"/>
      <c r="M59" s="990"/>
      <c r="N59" s="645">
        <v>12</v>
      </c>
      <c r="O59" s="488">
        <v>2</v>
      </c>
      <c r="P59" s="990">
        <v>2</v>
      </c>
      <c r="Q59" s="490">
        <v>2</v>
      </c>
      <c r="R59" s="617">
        <v>4</v>
      </c>
      <c r="S59" s="490">
        <v>2</v>
      </c>
      <c r="T59" s="491"/>
      <c r="U59" s="990"/>
      <c r="V59" s="990">
        <v>1</v>
      </c>
      <c r="W59" s="492">
        <v>2</v>
      </c>
      <c r="X59" s="617"/>
      <c r="Y59" s="990"/>
      <c r="Z59" s="990">
        <v>15</v>
      </c>
      <c r="AA59" s="738">
        <v>10</v>
      </c>
      <c r="AB59" s="738">
        <v>10</v>
      </c>
      <c r="AC59" s="619" t="s">
        <v>32</v>
      </c>
      <c r="AD59" s="990">
        <f t="shared" si="0"/>
        <v>80</v>
      </c>
    </row>
    <row r="60" spans="1:30" ht="27" customHeight="1" x14ac:dyDescent="0.25">
      <c r="A60" s="985">
        <v>51</v>
      </c>
      <c r="B60" s="607">
        <v>5191421051</v>
      </c>
      <c r="C60" s="626">
        <v>2</v>
      </c>
      <c r="D60" s="623">
        <v>2</v>
      </c>
      <c r="E60" s="624">
        <v>2</v>
      </c>
      <c r="F60" s="622">
        <v>3</v>
      </c>
      <c r="G60" s="990">
        <v>5</v>
      </c>
      <c r="H60" s="625"/>
      <c r="I60" s="624"/>
      <c r="J60" s="622">
        <v>3</v>
      </c>
      <c r="K60" s="623">
        <v>4</v>
      </c>
      <c r="L60" s="990"/>
      <c r="M60" s="990"/>
      <c r="N60" s="645">
        <v>21</v>
      </c>
      <c r="O60" s="626">
        <v>2</v>
      </c>
      <c r="P60" s="623">
        <v>2</v>
      </c>
      <c r="Q60" s="624">
        <v>2</v>
      </c>
      <c r="R60" s="625">
        <v>2</v>
      </c>
      <c r="S60" s="624">
        <v>2</v>
      </c>
      <c r="T60" s="622"/>
      <c r="U60" s="623"/>
      <c r="V60" s="623">
        <v>1</v>
      </c>
      <c r="W60" s="1454">
        <v>3</v>
      </c>
      <c r="X60" s="617"/>
      <c r="Y60" s="990"/>
      <c r="Z60" s="990">
        <v>14</v>
      </c>
      <c r="AA60" s="738">
        <v>10</v>
      </c>
      <c r="AB60" s="738">
        <v>10</v>
      </c>
      <c r="AC60" s="619" t="s">
        <v>27</v>
      </c>
      <c r="AD60" s="990">
        <f t="shared" si="0"/>
        <v>55</v>
      </c>
    </row>
    <row r="61" spans="1:30" ht="27" customHeight="1" x14ac:dyDescent="0.25">
      <c r="A61" s="985">
        <v>52</v>
      </c>
      <c r="B61" s="607">
        <v>5191421052</v>
      </c>
      <c r="C61" s="626">
        <v>2</v>
      </c>
      <c r="D61" s="623">
        <v>2</v>
      </c>
      <c r="E61" s="624"/>
      <c r="F61" s="622">
        <v>3</v>
      </c>
      <c r="G61" s="990">
        <v>4</v>
      </c>
      <c r="H61" s="625"/>
      <c r="I61" s="624"/>
      <c r="J61" s="622"/>
      <c r="K61" s="623"/>
      <c r="L61" s="990">
        <v>3</v>
      </c>
      <c r="M61" s="990">
        <v>4</v>
      </c>
      <c r="N61" s="645">
        <v>18</v>
      </c>
      <c r="O61" s="626">
        <v>2</v>
      </c>
      <c r="P61" s="623">
        <v>2</v>
      </c>
      <c r="Q61" s="624"/>
      <c r="R61" s="625">
        <v>4</v>
      </c>
      <c r="S61" s="624">
        <v>3</v>
      </c>
      <c r="T61" s="622"/>
      <c r="U61" s="623"/>
      <c r="V61" s="623">
        <v>3</v>
      </c>
      <c r="W61" s="1454"/>
      <c r="X61" s="617"/>
      <c r="Y61" s="990"/>
      <c r="Z61" s="990">
        <v>14</v>
      </c>
      <c r="AA61" s="738">
        <v>10</v>
      </c>
      <c r="AB61" s="738">
        <v>10</v>
      </c>
      <c r="AC61" s="619" t="s">
        <v>31</v>
      </c>
      <c r="AD61" s="990">
        <f>IF(AC62="O",100,IF(AC62="A+",90,IF(AC62="A",80,IF(AC62="B+",70,IF(AC62="B",60,IF(AC62="C",55,IF(AC62="P",50,IF(AC62="F",39))))))))</f>
        <v>70</v>
      </c>
    </row>
    <row r="62" spans="1:30" ht="27" customHeight="1" x14ac:dyDescent="0.25">
      <c r="A62" s="985">
        <v>53</v>
      </c>
      <c r="B62" s="607">
        <v>5191421053</v>
      </c>
      <c r="C62" s="626">
        <v>2</v>
      </c>
      <c r="D62" s="623">
        <v>2</v>
      </c>
      <c r="E62" s="624">
        <v>2</v>
      </c>
      <c r="F62" s="622">
        <v>4</v>
      </c>
      <c r="G62" s="990">
        <v>4</v>
      </c>
      <c r="H62" s="625"/>
      <c r="I62" s="624"/>
      <c r="J62" s="622">
        <v>5</v>
      </c>
      <c r="K62" s="623">
        <v>4</v>
      </c>
      <c r="L62" s="990"/>
      <c r="M62" s="990"/>
      <c r="N62" s="645">
        <v>23</v>
      </c>
      <c r="O62" s="626">
        <v>2</v>
      </c>
      <c r="P62" s="623">
        <v>2</v>
      </c>
      <c r="Q62" s="624">
        <v>2</v>
      </c>
      <c r="R62" s="625"/>
      <c r="S62" s="624"/>
      <c r="T62" s="622">
        <v>3</v>
      </c>
      <c r="U62" s="623"/>
      <c r="V62" s="623">
        <v>2</v>
      </c>
      <c r="W62" s="1454">
        <v>5</v>
      </c>
      <c r="X62" s="617"/>
      <c r="Y62" s="990"/>
      <c r="Z62" s="990">
        <v>16</v>
      </c>
      <c r="AA62" s="738">
        <v>10</v>
      </c>
      <c r="AB62" s="738">
        <v>10</v>
      </c>
      <c r="AC62" s="619" t="s">
        <v>32</v>
      </c>
      <c r="AD62" s="990">
        <f t="shared" si="0"/>
        <v>70</v>
      </c>
    </row>
    <row r="63" spans="1:30" ht="27" customHeight="1" x14ac:dyDescent="0.25">
      <c r="A63" s="985">
        <v>54</v>
      </c>
      <c r="B63" s="607">
        <v>5191421054</v>
      </c>
      <c r="C63" s="626">
        <v>2</v>
      </c>
      <c r="D63" s="623">
        <v>2</v>
      </c>
      <c r="E63" s="624">
        <v>2</v>
      </c>
      <c r="F63" s="622">
        <v>3</v>
      </c>
      <c r="G63" s="990">
        <v>4</v>
      </c>
      <c r="H63" s="625"/>
      <c r="I63" s="624"/>
      <c r="J63" s="622">
        <v>4</v>
      </c>
      <c r="K63" s="623">
        <v>4</v>
      </c>
      <c r="L63" s="990"/>
      <c r="M63" s="990"/>
      <c r="N63" s="645">
        <v>21</v>
      </c>
      <c r="O63" s="626">
        <v>1</v>
      </c>
      <c r="P63" s="623">
        <v>2</v>
      </c>
      <c r="Q63" s="624">
        <v>2</v>
      </c>
      <c r="R63" s="625">
        <v>2</v>
      </c>
      <c r="S63" s="624">
        <v>2</v>
      </c>
      <c r="T63" s="622"/>
      <c r="U63" s="623"/>
      <c r="V63" s="623"/>
      <c r="W63" s="1454"/>
      <c r="X63" s="617">
        <v>2</v>
      </c>
      <c r="Y63" s="990">
        <v>2</v>
      </c>
      <c r="Z63" s="990">
        <v>13</v>
      </c>
      <c r="AA63" s="738">
        <v>10</v>
      </c>
      <c r="AB63" s="738">
        <v>10</v>
      </c>
      <c r="AC63" s="619" t="s">
        <v>32</v>
      </c>
      <c r="AD63" s="990">
        <f t="shared" si="0"/>
        <v>80</v>
      </c>
    </row>
    <row r="64" spans="1:30" ht="27" customHeight="1" x14ac:dyDescent="0.25">
      <c r="A64" s="985">
        <v>55</v>
      </c>
      <c r="B64" s="607">
        <v>5191421055</v>
      </c>
      <c r="C64" s="626"/>
      <c r="D64" s="623"/>
      <c r="E64" s="624"/>
      <c r="F64" s="622"/>
      <c r="G64" s="990"/>
      <c r="H64" s="625"/>
      <c r="I64" s="624"/>
      <c r="J64" s="622"/>
      <c r="K64" s="623"/>
      <c r="L64" s="990"/>
      <c r="M64" s="990"/>
      <c r="N64" s="645"/>
      <c r="O64" s="626">
        <v>2</v>
      </c>
      <c r="P64" s="623">
        <v>2</v>
      </c>
      <c r="Q64" s="624"/>
      <c r="R64" s="625">
        <v>4</v>
      </c>
      <c r="S64" s="624">
        <v>4</v>
      </c>
      <c r="T64" s="622"/>
      <c r="U64" s="623"/>
      <c r="V64" s="623"/>
      <c r="W64" s="1454"/>
      <c r="X64" s="617"/>
      <c r="Y64" s="990"/>
      <c r="Z64" s="990">
        <v>12</v>
      </c>
      <c r="AA64" s="738">
        <v>10</v>
      </c>
      <c r="AB64" s="738">
        <v>10</v>
      </c>
      <c r="AC64" s="619" t="s">
        <v>27</v>
      </c>
      <c r="AD64" s="990">
        <f t="shared" si="0"/>
        <v>70</v>
      </c>
    </row>
    <row r="65" spans="1:30" ht="27" customHeight="1" x14ac:dyDescent="0.25">
      <c r="A65" s="985">
        <v>56</v>
      </c>
      <c r="B65" s="607">
        <v>5191421056</v>
      </c>
      <c r="C65" s="626">
        <v>2</v>
      </c>
      <c r="D65" s="623">
        <v>2</v>
      </c>
      <c r="E65" s="624">
        <v>2</v>
      </c>
      <c r="F65" s="622"/>
      <c r="G65" s="990"/>
      <c r="H65" s="625">
        <v>3</v>
      </c>
      <c r="I65" s="624">
        <v>4</v>
      </c>
      <c r="J65" s="622">
        <v>5</v>
      </c>
      <c r="K65" s="623">
        <v>6</v>
      </c>
      <c r="L65" s="990"/>
      <c r="M65" s="990"/>
      <c r="N65" s="645">
        <v>24</v>
      </c>
      <c r="O65" s="626">
        <v>2</v>
      </c>
      <c r="P65" s="623">
        <v>2</v>
      </c>
      <c r="Q65" s="624"/>
      <c r="R65" s="625">
        <v>4</v>
      </c>
      <c r="S65" s="624">
        <v>3</v>
      </c>
      <c r="T65" s="622"/>
      <c r="U65" s="623"/>
      <c r="V65" s="623"/>
      <c r="W65" s="1454">
        <v>4</v>
      </c>
      <c r="X65" s="617"/>
      <c r="Y65" s="990"/>
      <c r="Z65" s="990">
        <v>15</v>
      </c>
      <c r="AA65" s="738">
        <v>10</v>
      </c>
      <c r="AB65" s="738">
        <v>10</v>
      </c>
      <c r="AC65" s="619" t="s">
        <v>32</v>
      </c>
      <c r="AD65" s="990">
        <f t="shared" si="0"/>
        <v>80</v>
      </c>
    </row>
    <row r="66" spans="1:30" ht="27" customHeight="1" x14ac:dyDescent="0.25">
      <c r="A66" s="985">
        <v>57</v>
      </c>
      <c r="B66" s="607">
        <v>5191421057</v>
      </c>
      <c r="C66" s="626">
        <v>2</v>
      </c>
      <c r="D66" s="623">
        <v>2</v>
      </c>
      <c r="E66" s="624">
        <v>2</v>
      </c>
      <c r="F66" s="622">
        <v>4</v>
      </c>
      <c r="G66" s="990">
        <v>5</v>
      </c>
      <c r="H66" s="625"/>
      <c r="I66" s="624"/>
      <c r="J66" s="622"/>
      <c r="K66" s="623"/>
      <c r="L66" s="990"/>
      <c r="M66" s="990">
        <v>5</v>
      </c>
      <c r="N66" s="645">
        <v>20</v>
      </c>
      <c r="O66" s="626">
        <v>2</v>
      </c>
      <c r="P66" s="623">
        <v>2</v>
      </c>
      <c r="Q66" s="624"/>
      <c r="R66" s="625"/>
      <c r="S66" s="624"/>
      <c r="T66" s="622">
        <v>4</v>
      </c>
      <c r="U66" s="623">
        <v>5</v>
      </c>
      <c r="V66" s="623">
        <v>2</v>
      </c>
      <c r="W66" s="1454">
        <v>2</v>
      </c>
      <c r="X66" s="625"/>
      <c r="Y66" s="623"/>
      <c r="Z66" s="990">
        <v>17</v>
      </c>
      <c r="AA66" s="738">
        <v>10</v>
      </c>
      <c r="AB66" s="738">
        <v>10</v>
      </c>
      <c r="AC66" s="648" t="s">
        <v>27</v>
      </c>
      <c r="AD66" s="990">
        <f t="shared" si="0"/>
        <v>55</v>
      </c>
    </row>
    <row r="67" spans="1:30" ht="27" customHeight="1" thickBot="1" x14ac:dyDescent="0.3">
      <c r="A67" s="985">
        <v>58</v>
      </c>
      <c r="B67" s="607">
        <v>5191421058</v>
      </c>
      <c r="C67" s="649">
        <v>2</v>
      </c>
      <c r="D67" s="650">
        <v>2</v>
      </c>
      <c r="E67" s="651">
        <v>2</v>
      </c>
      <c r="F67" s="652">
        <v>3</v>
      </c>
      <c r="G67" s="650">
        <v>5</v>
      </c>
      <c r="H67" s="653"/>
      <c r="I67" s="651"/>
      <c r="J67" s="652"/>
      <c r="K67" s="650"/>
      <c r="L67" s="990"/>
      <c r="M67" s="990"/>
      <c r="N67" s="645">
        <v>14</v>
      </c>
      <c r="O67" s="649">
        <v>1</v>
      </c>
      <c r="P67" s="650">
        <v>1</v>
      </c>
      <c r="Q67" s="651"/>
      <c r="R67" s="617"/>
      <c r="S67" s="990"/>
      <c r="T67" s="990">
        <v>2</v>
      </c>
      <c r="U67" s="990">
        <v>4</v>
      </c>
      <c r="V67" s="990"/>
      <c r="W67" s="615">
        <v>4</v>
      </c>
      <c r="X67" s="990"/>
      <c r="Y67" s="990"/>
      <c r="Z67" s="990">
        <v>12</v>
      </c>
      <c r="AA67" s="738">
        <v>10</v>
      </c>
      <c r="AB67" s="738">
        <v>10</v>
      </c>
      <c r="AC67" s="656" t="s">
        <v>31</v>
      </c>
      <c r="AD67" s="990" t="b">
        <f t="shared" si="0"/>
        <v>0</v>
      </c>
    </row>
    <row r="68" spans="1:30" ht="27" customHeight="1" x14ac:dyDescent="0.25">
      <c r="C68" s="1001">
        <f t="shared" ref="C68:M68" si="1">COUNT(C11:C67)</f>
        <v>53</v>
      </c>
      <c r="D68" s="1001">
        <f t="shared" si="1"/>
        <v>53</v>
      </c>
      <c r="E68" s="1001">
        <f t="shared" si="1"/>
        <v>51</v>
      </c>
      <c r="F68" s="1001">
        <f t="shared" si="1"/>
        <v>47</v>
      </c>
      <c r="G68" s="1001">
        <f t="shared" si="1"/>
        <v>46</v>
      </c>
      <c r="H68" s="1001">
        <f t="shared" si="1"/>
        <v>6</v>
      </c>
      <c r="I68" s="1001">
        <f t="shared" si="1"/>
        <v>6</v>
      </c>
      <c r="J68" s="1001">
        <f t="shared" si="1"/>
        <v>29</v>
      </c>
      <c r="K68" s="1001">
        <f t="shared" si="1"/>
        <v>31</v>
      </c>
      <c r="L68" s="1001">
        <f t="shared" si="1"/>
        <v>15</v>
      </c>
      <c r="M68" s="1001">
        <f t="shared" si="1"/>
        <v>19</v>
      </c>
      <c r="N68" s="1001"/>
      <c r="O68" s="1001">
        <f t="shared" ref="O68:W68" si="2">COUNT(O10:O67)</f>
        <v>56</v>
      </c>
      <c r="P68" s="1001">
        <f t="shared" si="2"/>
        <v>56</v>
      </c>
      <c r="Q68" s="1001">
        <f t="shared" si="2"/>
        <v>33</v>
      </c>
      <c r="R68" s="1001">
        <f t="shared" si="2"/>
        <v>45</v>
      </c>
      <c r="S68" s="1001">
        <f t="shared" si="2"/>
        <v>45</v>
      </c>
      <c r="T68" s="1001">
        <f t="shared" si="2"/>
        <v>13</v>
      </c>
      <c r="U68" s="1001">
        <f t="shared" si="2"/>
        <v>10</v>
      </c>
      <c r="V68" s="1001">
        <f t="shared" si="2"/>
        <v>45</v>
      </c>
      <c r="W68" s="1001">
        <f t="shared" si="2"/>
        <v>44</v>
      </c>
      <c r="X68" s="1001"/>
      <c r="Y68" s="1001"/>
    </row>
    <row r="69" spans="1:30" ht="27" customHeight="1" x14ac:dyDescent="0.25">
      <c r="A69" s="657" t="s">
        <v>34</v>
      </c>
      <c r="B69" s="1002">
        <v>55</v>
      </c>
      <c r="C69" s="1003">
        <f>C9*(B69/100)</f>
        <v>1.1000000000000001</v>
      </c>
      <c r="D69" s="1003">
        <f>D9*(B69/100)</f>
        <v>1.1000000000000001</v>
      </c>
      <c r="E69" s="1003">
        <f>E9*(B69/100)</f>
        <v>1.1000000000000001</v>
      </c>
      <c r="F69" s="1003">
        <f t="shared" ref="F69:M69" si="3">F9*(B69/100)</f>
        <v>3.3000000000000003</v>
      </c>
      <c r="G69" s="1003">
        <f t="shared" si="3"/>
        <v>6.6000000000000003E-2</v>
      </c>
      <c r="H69" s="1003">
        <f t="shared" si="3"/>
        <v>6.6000000000000003E-2</v>
      </c>
      <c r="I69" s="1003">
        <f t="shared" si="3"/>
        <v>6.6000000000000003E-2</v>
      </c>
      <c r="J69" s="1003">
        <f t="shared" si="3"/>
        <v>0.19800000000000001</v>
      </c>
      <c r="K69" s="1003">
        <f t="shared" si="3"/>
        <v>3.96E-3</v>
      </c>
      <c r="L69" s="1003">
        <f t="shared" si="3"/>
        <v>3.96E-3</v>
      </c>
      <c r="M69" s="1003">
        <f t="shared" si="3"/>
        <v>3.96E-3</v>
      </c>
      <c r="N69" s="1001"/>
      <c r="O69" s="1003">
        <f>O9*(B69/100)</f>
        <v>1.1000000000000001</v>
      </c>
      <c r="P69" s="1003">
        <f>P9*(B69/100)</f>
        <v>1.1000000000000001</v>
      </c>
      <c r="Q69" s="1003">
        <f>Q9*(B69/100)</f>
        <v>1.1000000000000001</v>
      </c>
      <c r="R69" s="1003">
        <f>R9*(B69/100)</f>
        <v>3.3000000000000003</v>
      </c>
      <c r="S69" s="1003">
        <f>S9*(B69/100)</f>
        <v>3.3000000000000003</v>
      </c>
      <c r="T69" s="1003">
        <f>T9*(B69/100)</f>
        <v>3.3000000000000003</v>
      </c>
      <c r="U69" s="1003">
        <f>U9*(B69/100)</f>
        <v>3.3000000000000003</v>
      </c>
      <c r="V69" s="1003">
        <f>V9*(B69/100)</f>
        <v>3.3000000000000003</v>
      </c>
      <c r="W69" s="1003">
        <f>W9*(B69/100)</f>
        <v>3.3000000000000003</v>
      </c>
      <c r="X69" s="1003"/>
      <c r="Y69" s="1003"/>
    </row>
    <row r="70" spans="1:30" ht="27" customHeight="1" x14ac:dyDescent="0.25">
      <c r="A70" s="3506" t="s">
        <v>35</v>
      </c>
      <c r="B70" s="3506"/>
      <c r="C70" s="1001">
        <f t="shared" ref="C70:M70" si="4">COUNTIF(C11:C67,"&gt;=" &amp;C69)</f>
        <v>53</v>
      </c>
      <c r="D70" s="1001">
        <f t="shared" si="4"/>
        <v>52</v>
      </c>
      <c r="E70" s="1001">
        <f t="shared" si="4"/>
        <v>50</v>
      </c>
      <c r="F70" s="1001">
        <f t="shared" si="4"/>
        <v>19</v>
      </c>
      <c r="G70" s="1001">
        <f t="shared" si="4"/>
        <v>46</v>
      </c>
      <c r="H70" s="1001">
        <f t="shared" si="4"/>
        <v>6</v>
      </c>
      <c r="I70" s="1001">
        <f t="shared" si="4"/>
        <v>6</v>
      </c>
      <c r="J70" s="1001">
        <f t="shared" si="4"/>
        <v>29</v>
      </c>
      <c r="K70" s="1001">
        <f t="shared" si="4"/>
        <v>31</v>
      </c>
      <c r="L70" s="1001">
        <f t="shared" si="4"/>
        <v>15</v>
      </c>
      <c r="M70" s="1001">
        <f t="shared" si="4"/>
        <v>19</v>
      </c>
      <c r="N70" s="1001"/>
      <c r="O70" s="1001">
        <f t="shared" ref="O70:W70" si="5">COUNTIF(O10:O60,"&gt;=" &amp;O69)</f>
        <v>42</v>
      </c>
      <c r="P70" s="1001">
        <f t="shared" si="5"/>
        <v>37</v>
      </c>
      <c r="Q70" s="1001">
        <f t="shared" si="5"/>
        <v>18</v>
      </c>
      <c r="R70" s="1001">
        <f t="shared" si="5"/>
        <v>14</v>
      </c>
      <c r="S70" s="1001">
        <f t="shared" si="5"/>
        <v>14</v>
      </c>
      <c r="T70" s="1001">
        <f t="shared" si="5"/>
        <v>1</v>
      </c>
      <c r="U70" s="1001">
        <f t="shared" si="5"/>
        <v>3</v>
      </c>
      <c r="V70" s="1001">
        <f t="shared" si="5"/>
        <v>7</v>
      </c>
      <c r="W70" s="1001">
        <f t="shared" si="5"/>
        <v>14</v>
      </c>
      <c r="X70" s="1001"/>
      <c r="Y70" s="1001"/>
      <c r="AD70" s="1001">
        <f>COUNTIF(AD10:AD67,"&gt;="&amp;B69)</f>
        <v>55</v>
      </c>
    </row>
    <row r="71" spans="1:30" ht="27" customHeight="1" x14ac:dyDescent="0.25">
      <c r="A71" s="3508" t="s">
        <v>36</v>
      </c>
      <c r="B71" s="3508"/>
      <c r="C71" s="1001">
        <f t="shared" ref="C71:W71" si="6">C70/C68</f>
        <v>1</v>
      </c>
      <c r="D71" s="1001">
        <f t="shared" si="6"/>
        <v>0.98113207547169812</v>
      </c>
      <c r="E71" s="1001">
        <f t="shared" si="6"/>
        <v>0.98039215686274506</v>
      </c>
      <c r="F71" s="1001">
        <f t="shared" si="6"/>
        <v>0.40425531914893614</v>
      </c>
      <c r="G71" s="1001">
        <f t="shared" si="6"/>
        <v>1</v>
      </c>
      <c r="H71" s="1001">
        <f t="shared" si="6"/>
        <v>1</v>
      </c>
      <c r="I71" s="1001">
        <f t="shared" si="6"/>
        <v>1</v>
      </c>
      <c r="J71" s="1001">
        <f t="shared" si="6"/>
        <v>1</v>
      </c>
      <c r="K71" s="1001">
        <f t="shared" si="6"/>
        <v>1</v>
      </c>
      <c r="L71" s="1001">
        <f t="shared" si="6"/>
        <v>1</v>
      </c>
      <c r="M71" s="1001">
        <f t="shared" si="6"/>
        <v>1</v>
      </c>
      <c r="N71" s="1001"/>
      <c r="O71" s="1001">
        <f t="shared" si="6"/>
        <v>0.75</v>
      </c>
      <c r="P71" s="1001">
        <f t="shared" si="6"/>
        <v>0.6607142857142857</v>
      </c>
      <c r="Q71" s="1001">
        <f t="shared" si="6"/>
        <v>0.54545454545454541</v>
      </c>
      <c r="R71" s="1001">
        <f t="shared" si="6"/>
        <v>0.31111111111111112</v>
      </c>
      <c r="S71" s="1001">
        <f t="shared" si="6"/>
        <v>0.31111111111111112</v>
      </c>
      <c r="T71" s="1001">
        <f t="shared" si="6"/>
        <v>7.6923076923076927E-2</v>
      </c>
      <c r="U71" s="1001">
        <f t="shared" si="6"/>
        <v>0.3</v>
      </c>
      <c r="V71" s="1001">
        <f t="shared" si="6"/>
        <v>0.15555555555555556</v>
      </c>
      <c r="W71" s="659">
        <f t="shared" si="6"/>
        <v>0.31818181818181818</v>
      </c>
      <c r="X71" s="1001"/>
      <c r="Y71" s="1001"/>
      <c r="AD71" s="1001">
        <f>(AD70/A67)*100</f>
        <v>94.827586206896555</v>
      </c>
    </row>
    <row r="72" spans="1:30" ht="27" customHeight="1" x14ac:dyDescent="0.25">
      <c r="C72" s="1458"/>
      <c r="D72" s="1458"/>
      <c r="E72" s="1458"/>
      <c r="F72" s="1458"/>
      <c r="G72" s="1458"/>
      <c r="H72" s="1458"/>
      <c r="I72" s="1458"/>
      <c r="J72" s="1458"/>
      <c r="K72" s="1458"/>
      <c r="L72" s="1458"/>
      <c r="M72" s="1459"/>
      <c r="N72" s="1001"/>
      <c r="O72" s="985"/>
      <c r="P72" s="985"/>
      <c r="Q72" s="985"/>
      <c r="R72" s="985"/>
      <c r="S72" s="985"/>
      <c r="T72" s="985"/>
      <c r="U72" s="985"/>
      <c r="V72" s="985"/>
      <c r="W72" s="984"/>
      <c r="X72" s="1001"/>
      <c r="Y72" s="1001"/>
    </row>
    <row r="74" spans="1:30" ht="27" customHeight="1" x14ac:dyDescent="0.25">
      <c r="D74" s="1002" t="s">
        <v>38</v>
      </c>
      <c r="E74" s="3577" t="s">
        <v>39</v>
      </c>
      <c r="F74" s="3577"/>
      <c r="G74" s="3577" t="s">
        <v>37</v>
      </c>
      <c r="H74" s="3577"/>
      <c r="I74" s="660"/>
      <c r="J74" s="1002"/>
    </row>
    <row r="75" spans="1:30" ht="27" customHeight="1" x14ac:dyDescent="0.25">
      <c r="B75" s="1002" t="s">
        <v>22</v>
      </c>
      <c r="C75" s="1001">
        <f>AVERAGE(C71,D71,I71,)*100</f>
        <v>74.528301886792448</v>
      </c>
      <c r="D75" s="1001">
        <f t="shared" ref="D75:D79" si="7">IF(C75&gt;=70,3,IF(AND(C75&gt;=60,C75&lt;70),2,IF(AND(C75&gt;=50,C75&lt;60),1)))</f>
        <v>3</v>
      </c>
      <c r="E75" s="3507">
        <f>IF(AD71&gt;=70,3,IF(AND(AD71&gt;=60,AD71&lt;70),2,IF(AND(AD71&gt;=50,AD71&lt;60),1)))</f>
        <v>3</v>
      </c>
      <c r="F75" s="3507"/>
      <c r="G75" s="661">
        <f>(70/100)*E75+(30/100)*D75</f>
        <v>2.9999999999999996</v>
      </c>
      <c r="H75" s="661"/>
      <c r="I75" s="661"/>
      <c r="J75" s="661"/>
    </row>
    <row r="76" spans="1:30" ht="27" customHeight="1" x14ac:dyDescent="0.25">
      <c r="B76" s="1002" t="s">
        <v>40</v>
      </c>
      <c r="C76" s="1001">
        <f>AVERAGE(E71,F71,K71)*100</f>
        <v>79.488249200389362</v>
      </c>
      <c r="D76" s="1001">
        <f t="shared" si="7"/>
        <v>3</v>
      </c>
      <c r="E76" s="3507">
        <f>IF(AD71&gt;=70,3,IF(AND(AD71&gt;=60,AD71&lt;70),2,IF(AND(AD71&gt;=50,AD71&lt;60),1)))</f>
        <v>3</v>
      </c>
      <c r="F76" s="3507"/>
      <c r="G76" s="661">
        <f t="shared" ref="G76:G79" si="8">(70/100)*E76+(30/100)*D76</f>
        <v>2.9999999999999996</v>
      </c>
      <c r="H76" s="661"/>
      <c r="I76" s="661"/>
      <c r="J76" s="661"/>
    </row>
    <row r="77" spans="1:30" ht="27" customHeight="1" x14ac:dyDescent="0.25">
      <c r="B77" s="1002" t="s">
        <v>41</v>
      </c>
      <c r="C77" s="1001">
        <f>AVERAGE(G71,M71,O71,P71)*100</f>
        <v>85.267857142857139</v>
      </c>
      <c r="D77" s="1001">
        <f t="shared" si="7"/>
        <v>3</v>
      </c>
      <c r="E77" s="3507">
        <f>IF(AD71&gt;=70,3,IF(AND(AD71&gt;=60,AD71&lt;70),2,IF(AND(AD71&gt;=50,AD71&lt;60),1)))</f>
        <v>3</v>
      </c>
      <c r="F77" s="3507"/>
      <c r="G77" s="661">
        <f t="shared" si="8"/>
        <v>2.9999999999999996</v>
      </c>
      <c r="H77" s="661"/>
      <c r="I77" s="661"/>
      <c r="J77" s="661"/>
    </row>
    <row r="78" spans="1:30" ht="27" customHeight="1" x14ac:dyDescent="0.25">
      <c r="B78" s="1002" t="s">
        <v>42</v>
      </c>
      <c r="C78" s="1001">
        <f>AVERAGE(Q71,T71)*100</f>
        <v>31.118881118881113</v>
      </c>
      <c r="D78" s="1001" t="b">
        <f t="shared" si="7"/>
        <v>0</v>
      </c>
      <c r="E78" s="3507">
        <f>IF(AD71&gt;=70,3,IF(AND(AD71&gt;=60,AD71&lt;70),2,IF(AND(AD71&gt;=50,AD71&lt;60),1)))</f>
        <v>3</v>
      </c>
      <c r="F78" s="3507"/>
      <c r="G78" s="661">
        <f t="shared" si="8"/>
        <v>2.0999999999999996</v>
      </c>
      <c r="H78" s="661"/>
      <c r="I78" s="661"/>
      <c r="J78" s="661"/>
    </row>
    <row r="79" spans="1:30" ht="27" customHeight="1" x14ac:dyDescent="0.25">
      <c r="B79" s="1002" t="s">
        <v>43</v>
      </c>
      <c r="C79" s="1001">
        <f>AVERAGE(Q71,R71,U71)*100</f>
        <v>38.552188552188554</v>
      </c>
      <c r="D79" s="1001" t="b">
        <f t="shared" si="7"/>
        <v>0</v>
      </c>
      <c r="E79" s="3507">
        <f>IF(AD71&gt;=70,3,IF(AND(AD71&gt;=60,AD71&lt;70),2,IF(AND(AD71&gt;=50,AD71&lt;60),1)))</f>
        <v>3</v>
      </c>
      <c r="F79" s="3507"/>
      <c r="G79" s="661">
        <f t="shared" si="8"/>
        <v>2.0999999999999996</v>
      </c>
      <c r="H79" s="661"/>
      <c r="I79" s="661"/>
      <c r="J79" s="661"/>
    </row>
    <row r="80" spans="1:30" ht="27" customHeight="1" x14ac:dyDescent="0.25">
      <c r="B80" s="3578" t="s">
        <v>44</v>
      </c>
      <c r="C80" s="3578"/>
      <c r="D80" s="3578"/>
      <c r="E80" s="3578"/>
      <c r="F80" s="3578"/>
      <c r="G80" s="662">
        <f>AVERAGE(G75:G79)</f>
        <v>2.6399999999999997</v>
      </c>
      <c r="H80" s="662"/>
      <c r="I80" s="662"/>
      <c r="J80" s="662"/>
    </row>
    <row r="82" spans="1:23" ht="27" customHeight="1" x14ac:dyDescent="0.25">
      <c r="A82" s="3578" t="s">
        <v>134</v>
      </c>
      <c r="B82" s="3578"/>
    </row>
    <row r="84" spans="1:23" ht="27" customHeight="1" x14ac:dyDescent="0.25">
      <c r="B84" s="1007" t="s">
        <v>45</v>
      </c>
      <c r="C84" s="663" t="s">
        <v>68</v>
      </c>
      <c r="D84" s="663" t="s">
        <v>69</v>
      </c>
      <c r="E84" s="663" t="s">
        <v>70</v>
      </c>
      <c r="F84" s="663" t="s">
        <v>71</v>
      </c>
      <c r="G84" s="663" t="s">
        <v>72</v>
      </c>
      <c r="H84" s="663" t="s">
        <v>73</v>
      </c>
      <c r="I84" s="663" t="s">
        <v>74</v>
      </c>
      <c r="J84" s="664" t="s">
        <v>75</v>
      </c>
      <c r="K84" s="663" t="s">
        <v>76</v>
      </c>
      <c r="L84" s="663" t="s">
        <v>77</v>
      </c>
      <c r="M84" s="663" t="s">
        <v>78</v>
      </c>
      <c r="N84" s="663" t="s">
        <v>79</v>
      </c>
      <c r="T84" s="595"/>
      <c r="W84" s="493"/>
    </row>
    <row r="85" spans="1:23" ht="27" customHeight="1" x14ac:dyDescent="0.25">
      <c r="B85" s="665" t="s">
        <v>20</v>
      </c>
      <c r="C85" s="666">
        <v>3</v>
      </c>
      <c r="D85" s="666">
        <v>3</v>
      </c>
      <c r="E85" s="666">
        <v>2</v>
      </c>
      <c r="F85" s="666">
        <v>1</v>
      </c>
      <c r="G85" s="666">
        <v>2</v>
      </c>
      <c r="H85" s="666"/>
      <c r="I85" s="666"/>
      <c r="J85" s="666"/>
      <c r="K85" s="666"/>
      <c r="L85" s="666"/>
      <c r="M85" s="666"/>
      <c r="N85" s="666">
        <v>2</v>
      </c>
      <c r="T85" s="595"/>
      <c r="W85" s="493"/>
    </row>
    <row r="86" spans="1:23" ht="27" customHeight="1" x14ac:dyDescent="0.25">
      <c r="B86" s="665" t="s">
        <v>21</v>
      </c>
      <c r="C86" s="666">
        <v>3</v>
      </c>
      <c r="D86" s="666">
        <v>3</v>
      </c>
      <c r="E86" s="666">
        <v>2</v>
      </c>
      <c r="F86" s="666">
        <v>1</v>
      </c>
      <c r="G86" s="666">
        <v>2</v>
      </c>
      <c r="H86" s="666">
        <v>1</v>
      </c>
      <c r="I86" s="666"/>
      <c r="J86" s="666"/>
      <c r="K86" s="666"/>
      <c r="L86" s="666"/>
      <c r="M86" s="666"/>
      <c r="N86" s="666">
        <v>2</v>
      </c>
      <c r="T86" s="595"/>
      <c r="W86" s="493"/>
    </row>
    <row r="87" spans="1:23" ht="27" customHeight="1" x14ac:dyDescent="0.25">
      <c r="B87" s="665" t="s">
        <v>23</v>
      </c>
      <c r="C87" s="666">
        <v>3</v>
      </c>
      <c r="D87" s="666">
        <v>3</v>
      </c>
      <c r="E87" s="666">
        <v>3</v>
      </c>
      <c r="F87" s="666">
        <v>1</v>
      </c>
      <c r="G87" s="666">
        <v>3</v>
      </c>
      <c r="H87" s="666">
        <v>2</v>
      </c>
      <c r="I87" s="666"/>
      <c r="J87" s="666"/>
      <c r="K87" s="666"/>
      <c r="L87" s="666"/>
      <c r="M87" s="666"/>
      <c r="N87" s="666">
        <v>2</v>
      </c>
      <c r="T87" s="595"/>
      <c r="W87" s="493"/>
    </row>
    <row r="88" spans="1:23" ht="27" customHeight="1" x14ac:dyDescent="0.25">
      <c r="B88" s="665" t="s">
        <v>25</v>
      </c>
      <c r="C88" s="666">
        <v>2</v>
      </c>
      <c r="D88" s="666">
        <v>2</v>
      </c>
      <c r="E88" s="666">
        <v>3</v>
      </c>
      <c r="F88" s="666">
        <v>1</v>
      </c>
      <c r="G88" s="666">
        <v>1</v>
      </c>
      <c r="H88" s="666"/>
      <c r="I88" s="666"/>
      <c r="J88" s="666"/>
      <c r="K88" s="666"/>
      <c r="L88" s="666"/>
      <c r="M88" s="666"/>
      <c r="N88" s="666">
        <v>2</v>
      </c>
      <c r="T88" s="595"/>
      <c r="W88" s="493"/>
    </row>
    <row r="89" spans="1:23" ht="27" customHeight="1" x14ac:dyDescent="0.25">
      <c r="B89" s="665" t="s">
        <v>24</v>
      </c>
      <c r="C89" s="666">
        <v>2</v>
      </c>
      <c r="D89" s="666">
        <v>2</v>
      </c>
      <c r="E89" s="666">
        <v>3</v>
      </c>
      <c r="F89" s="666">
        <v>1</v>
      </c>
      <c r="G89" s="666">
        <v>3</v>
      </c>
      <c r="H89" s="666"/>
      <c r="I89" s="666"/>
      <c r="J89" s="666"/>
      <c r="K89" s="666"/>
      <c r="L89" s="666"/>
      <c r="M89" s="666"/>
      <c r="N89" s="666">
        <v>1</v>
      </c>
      <c r="T89" s="595"/>
      <c r="W89" s="493"/>
    </row>
    <row r="90" spans="1:23" ht="27" customHeight="1" x14ac:dyDescent="0.25">
      <c r="B90" s="667" t="s">
        <v>10</v>
      </c>
      <c r="C90" s="668">
        <f t="shared" ref="C90:H90" si="9">AVERAGE(C85:C89)</f>
        <v>2.6</v>
      </c>
      <c r="D90" s="668">
        <f t="shared" si="9"/>
        <v>2.6</v>
      </c>
      <c r="E90" s="668">
        <f t="shared" si="9"/>
        <v>2.6</v>
      </c>
      <c r="F90" s="668">
        <f t="shared" si="9"/>
        <v>1</v>
      </c>
      <c r="G90" s="668">
        <f t="shared" si="9"/>
        <v>2.2000000000000002</v>
      </c>
      <c r="H90" s="668">
        <f t="shared" si="9"/>
        <v>1.5</v>
      </c>
      <c r="I90" s="668"/>
      <c r="J90" s="668"/>
      <c r="K90" s="668"/>
      <c r="L90" s="668"/>
      <c r="M90" s="668"/>
      <c r="N90" s="668">
        <f>AVERAGE(N85:N89)</f>
        <v>1.8</v>
      </c>
      <c r="T90" s="595"/>
      <c r="W90" s="493"/>
    </row>
    <row r="91" spans="1:23" ht="27" customHeight="1" x14ac:dyDescent="0.25">
      <c r="B91" s="1005" t="s">
        <v>58</v>
      </c>
      <c r="C91" s="3495">
        <f>AVERAGE(C90:N90)</f>
        <v>2.0428571428571431</v>
      </c>
      <c r="D91" s="3576"/>
      <c r="E91" s="3576"/>
      <c r="F91" s="3576"/>
      <c r="G91" s="3576"/>
      <c r="H91" s="3576"/>
      <c r="I91" s="3576"/>
      <c r="J91" s="3576"/>
      <c r="K91" s="3576"/>
      <c r="L91" s="3576"/>
      <c r="M91" s="3576"/>
      <c r="N91" s="3496"/>
      <c r="O91" s="669"/>
      <c r="P91" s="669"/>
      <c r="Q91" s="669"/>
    </row>
    <row r="92" spans="1:23" ht="27" customHeight="1" x14ac:dyDescent="0.25">
      <c r="C92" s="670"/>
    </row>
    <row r="94" spans="1:23" ht="27" customHeight="1" x14ac:dyDescent="0.25">
      <c r="A94" s="3578" t="s">
        <v>148</v>
      </c>
      <c r="B94" s="3578"/>
    </row>
    <row r="96" spans="1:23" ht="27" customHeight="1" x14ac:dyDescent="0.25">
      <c r="B96" s="1007" t="s">
        <v>45</v>
      </c>
      <c r="C96" s="663" t="s">
        <v>68</v>
      </c>
      <c r="D96" s="663" t="s">
        <v>69</v>
      </c>
      <c r="E96" s="663" t="s">
        <v>70</v>
      </c>
      <c r="F96" s="663" t="s">
        <v>71</v>
      </c>
      <c r="G96" s="663" t="s">
        <v>72</v>
      </c>
      <c r="H96" s="663" t="s">
        <v>73</v>
      </c>
      <c r="I96" s="663" t="s">
        <v>74</v>
      </c>
      <c r="J96" s="664" t="s">
        <v>75</v>
      </c>
      <c r="K96" s="663" t="s">
        <v>76</v>
      </c>
      <c r="L96" s="663" t="s">
        <v>77</v>
      </c>
      <c r="M96" s="663" t="s">
        <v>78</v>
      </c>
      <c r="N96" s="663" t="s">
        <v>79</v>
      </c>
      <c r="T96" s="595"/>
      <c r="W96" s="493"/>
    </row>
    <row r="97" spans="1:23" ht="27" customHeight="1" x14ac:dyDescent="0.25">
      <c r="B97" s="665" t="s">
        <v>20</v>
      </c>
      <c r="C97" s="615">
        <f>G75*C85/3</f>
        <v>2.9999999999999996</v>
      </c>
      <c r="D97" s="615">
        <f>G75*D85/3</f>
        <v>2.9999999999999996</v>
      </c>
      <c r="E97" s="615">
        <f>G75*E85/3</f>
        <v>1.9999999999999998</v>
      </c>
      <c r="F97" s="615">
        <f>G75*F85/3</f>
        <v>0.99999999999999989</v>
      </c>
      <c r="G97" s="615">
        <f>G75*G85/3</f>
        <v>1.9999999999999998</v>
      </c>
      <c r="H97" s="615"/>
      <c r="I97" s="615"/>
      <c r="J97" s="615"/>
      <c r="K97" s="615"/>
      <c r="L97" s="615"/>
      <c r="M97" s="615"/>
      <c r="N97" s="615">
        <f>G75*N85/3</f>
        <v>1.9999999999999998</v>
      </c>
      <c r="T97" s="595"/>
      <c r="W97" s="493"/>
    </row>
    <row r="98" spans="1:23" ht="27" customHeight="1" x14ac:dyDescent="0.25">
      <c r="B98" s="665" t="s">
        <v>21</v>
      </c>
      <c r="C98" s="615">
        <f>G76*C86/3</f>
        <v>2.9999999999999996</v>
      </c>
      <c r="D98" s="615">
        <f>G76*D86/3</f>
        <v>2.9999999999999996</v>
      </c>
      <c r="E98" s="615">
        <f>G76*E86/3</f>
        <v>1.9999999999999998</v>
      </c>
      <c r="F98" s="615">
        <f>G76*F86/3</f>
        <v>0.99999999999999989</v>
      </c>
      <c r="G98" s="615">
        <f>G76*G86/3</f>
        <v>1.9999999999999998</v>
      </c>
      <c r="H98" s="615">
        <f>G76*H86/3</f>
        <v>0.99999999999999989</v>
      </c>
      <c r="I98" s="615"/>
      <c r="J98" s="615"/>
      <c r="K98" s="615"/>
      <c r="L98" s="615"/>
      <c r="M98" s="615"/>
      <c r="N98" s="615">
        <f>G76*N86/3</f>
        <v>1.9999999999999998</v>
      </c>
      <c r="T98" s="595"/>
      <c r="W98" s="493"/>
    </row>
    <row r="99" spans="1:23" ht="27" customHeight="1" x14ac:dyDescent="0.25">
      <c r="B99" s="665" t="s">
        <v>23</v>
      </c>
      <c r="C99" s="615">
        <f>G77*C87/3</f>
        <v>2.9999999999999996</v>
      </c>
      <c r="D99" s="615">
        <f>G77*D87/3</f>
        <v>2.9999999999999996</v>
      </c>
      <c r="E99" s="615">
        <f>G77*E87/3</f>
        <v>2.9999999999999996</v>
      </c>
      <c r="F99" s="615">
        <f>G77*F87/3</f>
        <v>0.99999999999999989</v>
      </c>
      <c r="G99" s="615">
        <f>G77*G87/3</f>
        <v>2.9999999999999996</v>
      </c>
      <c r="H99" s="615">
        <f>G77*H87/3</f>
        <v>1.9999999999999998</v>
      </c>
      <c r="I99" s="615"/>
      <c r="J99" s="615"/>
      <c r="K99" s="615"/>
      <c r="L99" s="615"/>
      <c r="M99" s="615"/>
      <c r="N99" s="615">
        <f>G77*N87/3</f>
        <v>1.9999999999999998</v>
      </c>
      <c r="T99" s="595"/>
      <c r="W99" s="493"/>
    </row>
    <row r="100" spans="1:23" ht="27" customHeight="1" x14ac:dyDescent="0.25">
      <c r="B100" s="665" t="s">
        <v>25</v>
      </c>
      <c r="C100" s="615">
        <f>G78*C88/3</f>
        <v>1.3999999999999997</v>
      </c>
      <c r="D100" s="615">
        <f>G78*D88/3</f>
        <v>1.3999999999999997</v>
      </c>
      <c r="E100" s="615">
        <f>G78*E88/3</f>
        <v>2.0999999999999996</v>
      </c>
      <c r="F100" s="615">
        <f>G78*F88/3</f>
        <v>0.69999999999999984</v>
      </c>
      <c r="G100" s="615">
        <f>G78*G88/3</f>
        <v>0.69999999999999984</v>
      </c>
      <c r="H100" s="615"/>
      <c r="I100" s="615"/>
      <c r="J100" s="615"/>
      <c r="K100" s="615"/>
      <c r="L100" s="615"/>
      <c r="M100" s="615"/>
      <c r="N100" s="615">
        <f>G78*N88/3</f>
        <v>1.3999999999999997</v>
      </c>
      <c r="T100" s="595"/>
      <c r="W100" s="493"/>
    </row>
    <row r="101" spans="1:23" ht="27" customHeight="1" x14ac:dyDescent="0.25">
      <c r="B101" s="665" t="s">
        <v>24</v>
      </c>
      <c r="C101" s="615">
        <f>G79*C89/3</f>
        <v>1.3999999999999997</v>
      </c>
      <c r="D101" s="615">
        <f>G79*D89/3</f>
        <v>1.3999999999999997</v>
      </c>
      <c r="E101" s="615">
        <f>G79*E89/3</f>
        <v>2.0999999999999996</v>
      </c>
      <c r="F101" s="615">
        <f>G79*F89/3</f>
        <v>0.69999999999999984</v>
      </c>
      <c r="G101" s="615">
        <f>G79*G89/3</f>
        <v>2.0999999999999996</v>
      </c>
      <c r="H101" s="615"/>
      <c r="I101" s="615"/>
      <c r="J101" s="615"/>
      <c r="K101" s="615"/>
      <c r="L101" s="615"/>
      <c r="M101" s="615"/>
      <c r="N101" s="615">
        <f>G79*N89/3</f>
        <v>0.69999999999999984</v>
      </c>
      <c r="T101" s="595"/>
      <c r="W101" s="493"/>
    </row>
    <row r="102" spans="1:23" ht="27" customHeight="1" x14ac:dyDescent="0.25">
      <c r="B102" s="667" t="s">
        <v>10</v>
      </c>
      <c r="C102" s="671">
        <f t="shared" ref="C102:N102" si="10">AVERAGE(C97:C101)</f>
        <v>2.36</v>
      </c>
      <c r="D102" s="671">
        <f t="shared" si="10"/>
        <v>2.36</v>
      </c>
      <c r="E102" s="671">
        <f t="shared" si="10"/>
        <v>2.2399999999999993</v>
      </c>
      <c r="F102" s="671">
        <f t="shared" si="10"/>
        <v>0.87999999999999989</v>
      </c>
      <c r="G102" s="671">
        <f t="shared" si="10"/>
        <v>1.9599999999999997</v>
      </c>
      <c r="H102" s="671">
        <f t="shared" si="10"/>
        <v>1.4999999999999998</v>
      </c>
      <c r="I102" s="671"/>
      <c r="J102" s="671"/>
      <c r="K102" s="671"/>
      <c r="L102" s="671"/>
      <c r="M102" s="671"/>
      <c r="N102" s="671">
        <f t="shared" si="10"/>
        <v>1.6199999999999997</v>
      </c>
      <c r="T102" s="595"/>
      <c r="W102" s="493"/>
    </row>
    <row r="103" spans="1:23" ht="27" customHeight="1" x14ac:dyDescent="0.25">
      <c r="B103" s="1005" t="s">
        <v>58</v>
      </c>
      <c r="C103" s="3579">
        <f>AVERAGE(C102:N102)</f>
        <v>1.8457142857142854</v>
      </c>
      <c r="D103" s="3580"/>
      <c r="E103" s="3580"/>
      <c r="F103" s="3580"/>
      <c r="G103" s="3580"/>
      <c r="H103" s="3580"/>
      <c r="I103" s="3580"/>
      <c r="J103" s="3580"/>
      <c r="K103" s="3580"/>
      <c r="L103" s="3580"/>
      <c r="M103" s="3580"/>
      <c r="N103" s="3581"/>
      <c r="O103" s="672"/>
      <c r="P103" s="672"/>
      <c r="Q103" s="672"/>
    </row>
    <row r="105" spans="1:23" ht="27" customHeight="1" x14ac:dyDescent="0.25">
      <c r="A105" s="3578" t="s">
        <v>137</v>
      </c>
      <c r="B105" s="3578"/>
      <c r="C105" s="662"/>
      <c r="D105" s="662"/>
      <c r="K105" s="3578" t="s">
        <v>149</v>
      </c>
      <c r="L105" s="3578"/>
      <c r="M105" s="3578"/>
      <c r="N105" s="662"/>
      <c r="O105" s="662"/>
    </row>
    <row r="106" spans="1:23" ht="27" customHeight="1" x14ac:dyDescent="0.25">
      <c r="A106" s="996"/>
      <c r="B106" s="996"/>
      <c r="C106" s="662"/>
      <c r="D106" s="662"/>
      <c r="K106" s="996"/>
      <c r="L106" s="996"/>
      <c r="M106" s="673"/>
      <c r="N106" s="662"/>
      <c r="O106" s="662"/>
    </row>
    <row r="107" spans="1:23" ht="27" customHeight="1" x14ac:dyDescent="0.25">
      <c r="B107" s="1007" t="s">
        <v>59</v>
      </c>
      <c r="C107" s="663" t="s">
        <v>60</v>
      </c>
      <c r="D107" s="663" t="s">
        <v>61</v>
      </c>
      <c r="E107" s="663" t="s">
        <v>62</v>
      </c>
      <c r="M107" s="674" t="s">
        <v>59</v>
      </c>
      <c r="N107" s="663" t="s">
        <v>60</v>
      </c>
      <c r="O107" s="663" t="s">
        <v>61</v>
      </c>
      <c r="P107" s="663" t="s">
        <v>62</v>
      </c>
    </row>
    <row r="108" spans="1:23" ht="27" customHeight="1" x14ac:dyDescent="0.25">
      <c r="B108" s="675" t="s">
        <v>20</v>
      </c>
      <c r="C108" s="666">
        <v>3</v>
      </c>
      <c r="D108" s="666">
        <v>2</v>
      </c>
      <c r="E108" s="666"/>
      <c r="M108" s="676" t="s">
        <v>20</v>
      </c>
      <c r="N108" s="615">
        <f>G75*C108/3</f>
        <v>2.9999999999999996</v>
      </c>
      <c r="O108" s="615">
        <f>G75*D108/3</f>
        <v>1.9999999999999998</v>
      </c>
      <c r="P108" s="615"/>
    </row>
    <row r="109" spans="1:23" ht="27" customHeight="1" x14ac:dyDescent="0.25">
      <c r="B109" s="665" t="s">
        <v>21</v>
      </c>
      <c r="C109" s="666">
        <v>3</v>
      </c>
      <c r="D109" s="666">
        <v>2</v>
      </c>
      <c r="E109" s="666">
        <v>1</v>
      </c>
      <c r="M109" s="677" t="s">
        <v>21</v>
      </c>
      <c r="N109" s="615">
        <f>G76*C109/3</f>
        <v>2.9999999999999996</v>
      </c>
      <c r="O109" s="615">
        <f>G76*D109/3</f>
        <v>1.9999999999999998</v>
      </c>
      <c r="P109" s="615">
        <f>G76*E109/3</f>
        <v>0.99999999999999989</v>
      </c>
    </row>
    <row r="110" spans="1:23" ht="27" customHeight="1" x14ac:dyDescent="0.25">
      <c r="B110" s="665" t="s">
        <v>23</v>
      </c>
      <c r="C110" s="666">
        <v>3</v>
      </c>
      <c r="D110" s="666">
        <v>3</v>
      </c>
      <c r="E110" s="666">
        <v>1</v>
      </c>
      <c r="M110" s="677" t="s">
        <v>23</v>
      </c>
      <c r="N110" s="615">
        <f>G77*C110/3</f>
        <v>2.9999999999999996</v>
      </c>
      <c r="O110" s="615">
        <f>G77*D110/3</f>
        <v>2.9999999999999996</v>
      </c>
      <c r="P110" s="615">
        <f>G77*E110/3</f>
        <v>0.99999999999999989</v>
      </c>
    </row>
    <row r="111" spans="1:23" ht="27" customHeight="1" x14ac:dyDescent="0.25">
      <c r="B111" s="665" t="s">
        <v>25</v>
      </c>
      <c r="C111" s="666">
        <v>2</v>
      </c>
      <c r="D111" s="666">
        <v>2</v>
      </c>
      <c r="E111" s="666"/>
      <c r="M111" s="677" t="s">
        <v>25</v>
      </c>
      <c r="N111" s="615">
        <f>G78*C111/3</f>
        <v>1.3999999999999997</v>
      </c>
      <c r="O111" s="615">
        <f>G78*D111/3</f>
        <v>1.3999999999999997</v>
      </c>
      <c r="P111" s="615"/>
    </row>
    <row r="112" spans="1:23" ht="27" customHeight="1" x14ac:dyDescent="0.25">
      <c r="B112" s="665" t="s">
        <v>24</v>
      </c>
      <c r="C112" s="666">
        <v>3</v>
      </c>
      <c r="D112" s="666">
        <v>3</v>
      </c>
      <c r="E112" s="666"/>
      <c r="M112" s="677" t="s">
        <v>24</v>
      </c>
      <c r="N112" s="615">
        <f>G79*C112/3</f>
        <v>2.0999999999999996</v>
      </c>
      <c r="O112" s="615">
        <f>G79*D112/3</f>
        <v>2.0999999999999996</v>
      </c>
      <c r="P112" s="615"/>
    </row>
    <row r="113" spans="1:17" ht="27" customHeight="1" x14ac:dyDescent="0.25">
      <c r="B113" s="997" t="s">
        <v>10</v>
      </c>
      <c r="C113" s="678">
        <f>AVERAGE(C108:C112)</f>
        <v>2.8</v>
      </c>
      <c r="D113" s="678">
        <f t="shared" ref="D113:E113" si="11">AVERAGE(D108:D112)</f>
        <v>2.4</v>
      </c>
      <c r="E113" s="678">
        <f t="shared" si="11"/>
        <v>1</v>
      </c>
      <c r="M113" s="679" t="s">
        <v>10</v>
      </c>
      <c r="N113" s="615">
        <f>AVERAGE(N108:N112)</f>
        <v>2.4999999999999996</v>
      </c>
      <c r="O113" s="615">
        <f t="shared" ref="O113:P113" si="12">AVERAGE(O108:O112)</f>
        <v>2.0999999999999996</v>
      </c>
      <c r="P113" s="615">
        <f t="shared" si="12"/>
        <v>0.99999999999999989</v>
      </c>
    </row>
    <row r="114" spans="1:17" ht="27" customHeight="1" x14ac:dyDescent="0.25">
      <c r="A114" s="1001"/>
      <c r="B114" s="998" t="s">
        <v>58</v>
      </c>
      <c r="C114" s="3495">
        <f>AVERAGE(C113:E113)</f>
        <v>2.0666666666666664</v>
      </c>
      <c r="D114" s="3576"/>
      <c r="E114" s="3496"/>
      <c r="F114" s="1001"/>
      <c r="G114" s="1001"/>
      <c r="H114" s="1001"/>
      <c r="I114" s="1001"/>
      <c r="J114" s="1001"/>
      <c r="K114" s="1001"/>
      <c r="L114" s="1001"/>
      <c r="M114" s="680" t="s">
        <v>58</v>
      </c>
      <c r="N114" s="3495">
        <f>AVERAGE(N113:P113)</f>
        <v>1.8666666666666665</v>
      </c>
      <c r="O114" s="3576"/>
      <c r="P114" s="3496"/>
      <c r="Q114" s="1001"/>
    </row>
    <row r="117" spans="1:17" ht="27" customHeight="1" x14ac:dyDescent="0.25">
      <c r="A117" s="3489"/>
      <c r="B117" s="3489"/>
      <c r="C117" s="3489"/>
      <c r="D117" s="3489"/>
      <c r="E117" s="3489"/>
      <c r="F117" s="3489"/>
      <c r="G117" s="3489"/>
      <c r="H117" s="3489"/>
      <c r="I117" s="3489"/>
      <c r="J117" s="3489"/>
      <c r="K117" s="3489"/>
      <c r="L117" s="3489"/>
      <c r="M117" s="3489"/>
      <c r="N117" s="3489"/>
      <c r="O117" s="3489"/>
      <c r="P117" s="3489"/>
      <c r="Q117" s="3489"/>
    </row>
    <row r="118" spans="1:17" ht="27" customHeight="1" x14ac:dyDescent="0.25">
      <c r="A118" s="1000"/>
      <c r="B118" s="1000"/>
      <c r="C118" s="1000"/>
      <c r="D118" s="1000"/>
      <c r="E118" s="1000"/>
      <c r="F118" s="1000"/>
      <c r="G118" s="1000"/>
      <c r="H118" s="1000"/>
      <c r="I118" s="1000"/>
      <c r="J118" s="1000"/>
      <c r="K118" s="1000"/>
      <c r="L118" s="1000"/>
      <c r="M118" s="1000"/>
      <c r="N118" s="1000"/>
      <c r="O118" s="1000"/>
      <c r="P118" s="1000"/>
      <c r="Q118" s="1000"/>
    </row>
    <row r="119" spans="1:17" ht="27" customHeight="1" x14ac:dyDescent="0.25">
      <c r="A119" s="3490"/>
      <c r="B119" s="3490"/>
      <c r="C119" s="3490"/>
      <c r="D119" s="3490"/>
      <c r="E119" s="3490"/>
      <c r="F119" s="3490"/>
      <c r="G119" s="3490"/>
      <c r="H119" s="3490"/>
      <c r="I119" s="3490"/>
      <c r="J119" s="3490"/>
      <c r="K119" s="3490"/>
      <c r="L119" s="3490"/>
      <c r="M119" s="3490"/>
      <c r="N119" s="3490"/>
      <c r="O119" s="3490"/>
      <c r="P119" s="3490"/>
      <c r="Q119" s="3490"/>
    </row>
    <row r="120" spans="1:17" ht="27" customHeight="1" x14ac:dyDescent="0.25">
      <c r="A120" s="3490"/>
      <c r="B120" s="3490"/>
      <c r="C120" s="3490"/>
      <c r="D120" s="3490"/>
      <c r="E120" s="3490"/>
      <c r="F120" s="3490"/>
      <c r="G120" s="3490"/>
      <c r="H120" s="3490"/>
      <c r="I120" s="3490"/>
      <c r="J120" s="3490"/>
      <c r="K120" s="3490"/>
      <c r="L120" s="3490"/>
      <c r="M120" s="3490"/>
      <c r="N120" s="3490"/>
      <c r="O120" s="3490"/>
      <c r="P120" s="3490"/>
      <c r="Q120" s="3490"/>
    </row>
    <row r="121" spans="1:17" ht="27" customHeight="1" x14ac:dyDescent="0.25">
      <c r="A121" s="3490"/>
      <c r="B121" s="3490"/>
      <c r="C121" s="3490"/>
      <c r="D121" s="3490"/>
      <c r="E121" s="3490"/>
      <c r="F121" s="3490"/>
      <c r="G121" s="3490"/>
      <c r="H121" s="3490"/>
      <c r="I121" s="3490"/>
      <c r="J121" s="3490"/>
      <c r="K121" s="3490"/>
      <c r="L121" s="3490"/>
      <c r="M121" s="3490"/>
      <c r="N121" s="3490"/>
      <c r="O121" s="3490"/>
      <c r="P121" s="3490"/>
      <c r="Q121" s="3490"/>
    </row>
    <row r="122" spans="1:17" ht="27" customHeight="1" x14ac:dyDescent="0.25">
      <c r="A122" s="3490"/>
      <c r="B122" s="3490"/>
      <c r="C122" s="3490"/>
      <c r="D122" s="3490"/>
      <c r="E122" s="3490"/>
      <c r="F122" s="3490"/>
      <c r="G122" s="3490"/>
      <c r="H122" s="3490"/>
      <c r="I122" s="3490"/>
      <c r="J122" s="3490"/>
      <c r="K122" s="3490"/>
      <c r="L122" s="3490"/>
      <c r="M122" s="3490"/>
      <c r="N122" s="3490"/>
      <c r="O122" s="3490"/>
      <c r="P122" s="3490"/>
      <c r="Q122" s="3490"/>
    </row>
    <row r="123" spans="1:17" ht="27" customHeight="1" x14ac:dyDescent="0.25">
      <c r="A123" s="3490"/>
      <c r="B123" s="3490"/>
      <c r="C123" s="3490"/>
      <c r="D123" s="3490"/>
      <c r="E123" s="3490"/>
      <c r="F123" s="3490"/>
      <c r="G123" s="3490"/>
      <c r="H123" s="3490"/>
      <c r="I123" s="3490"/>
      <c r="J123" s="3490"/>
      <c r="K123" s="3490"/>
      <c r="L123" s="3490"/>
      <c r="M123" s="3490"/>
      <c r="N123" s="3490"/>
      <c r="O123" s="3490"/>
      <c r="P123" s="3490"/>
      <c r="Q123" s="3490"/>
    </row>
    <row r="124" spans="1:17" ht="27" customHeight="1" x14ac:dyDescent="0.25">
      <c r="A124" s="3490"/>
      <c r="B124" s="3490"/>
      <c r="C124" s="3490"/>
      <c r="D124" s="3490"/>
      <c r="E124" s="3490"/>
      <c r="F124" s="3490"/>
      <c r="G124" s="3490"/>
      <c r="H124" s="3490"/>
      <c r="I124" s="3490"/>
      <c r="J124" s="3490"/>
      <c r="K124" s="3490"/>
      <c r="L124" s="3490"/>
      <c r="M124" s="3490"/>
      <c r="N124" s="3490"/>
      <c r="O124" s="3490"/>
      <c r="P124" s="3490"/>
      <c r="Q124" s="3490"/>
    </row>
    <row r="125" spans="1:17" ht="27" customHeight="1" x14ac:dyDescent="0.25">
      <c r="A125" s="3489"/>
      <c r="B125" s="3489"/>
      <c r="C125" s="3489"/>
      <c r="D125" s="3489"/>
      <c r="E125" s="3489"/>
      <c r="F125" s="3489"/>
      <c r="G125" s="3489"/>
      <c r="H125" s="3489"/>
      <c r="I125" s="3489"/>
      <c r="J125" s="3489"/>
      <c r="K125" s="3489"/>
      <c r="L125" s="3489"/>
      <c r="M125" s="3489"/>
      <c r="N125" s="3489"/>
      <c r="O125" s="3489"/>
      <c r="P125" s="3489"/>
      <c r="Q125" s="3489"/>
    </row>
    <row r="126" spans="1:17" ht="27" customHeight="1" x14ac:dyDescent="0.25">
      <c r="A126" s="3491"/>
      <c r="B126" s="3491"/>
      <c r="C126" s="3491"/>
      <c r="D126" s="3491"/>
      <c r="E126" s="3491"/>
      <c r="F126" s="3491"/>
      <c r="G126" s="3491"/>
      <c r="H126" s="3491"/>
      <c r="I126" s="3491"/>
      <c r="J126" s="3491"/>
      <c r="K126" s="3491"/>
      <c r="L126" s="3491"/>
      <c r="M126" s="3491"/>
      <c r="N126" s="3491"/>
      <c r="O126" s="3491"/>
      <c r="P126" s="3491"/>
      <c r="Q126" s="3491"/>
    </row>
    <row r="127" spans="1:17" ht="27" customHeight="1" x14ac:dyDescent="0.25">
      <c r="A127" s="3482"/>
      <c r="B127" s="3482"/>
      <c r="C127" s="3482"/>
      <c r="D127" s="3482"/>
      <c r="E127" s="3482"/>
      <c r="F127" s="3482"/>
      <c r="G127" s="3482"/>
      <c r="H127" s="3482"/>
      <c r="I127" s="3482"/>
      <c r="J127" s="3482"/>
      <c r="K127" s="3482"/>
      <c r="L127" s="3482"/>
      <c r="M127" s="3482"/>
      <c r="N127" s="3482"/>
      <c r="O127" s="3482"/>
      <c r="P127" s="3482"/>
      <c r="Q127" s="3482"/>
    </row>
    <row r="128" spans="1:17" ht="27" customHeight="1" x14ac:dyDescent="0.25">
      <c r="A128" s="3511"/>
      <c r="B128" s="3511"/>
      <c r="C128" s="3511"/>
      <c r="D128" s="3511"/>
      <c r="E128" s="3511"/>
      <c r="F128" s="3511"/>
      <c r="G128" s="3511"/>
      <c r="H128" s="3511"/>
      <c r="I128" s="3511"/>
      <c r="J128" s="3511"/>
      <c r="K128" s="3511"/>
      <c r="L128" s="3511"/>
      <c r="M128" s="3511"/>
      <c r="N128" s="3511"/>
      <c r="O128" s="3511"/>
      <c r="P128" s="3511"/>
      <c r="Q128" s="3511"/>
    </row>
    <row r="129" spans="1:17" ht="27" customHeight="1" x14ac:dyDescent="0.25">
      <c r="A129" s="3512"/>
      <c r="B129" s="3512"/>
      <c r="C129" s="3512"/>
      <c r="D129" s="3512"/>
      <c r="E129" s="3512"/>
      <c r="F129" s="3512"/>
      <c r="G129" s="3512"/>
      <c r="H129" s="3512"/>
      <c r="I129" s="3512"/>
      <c r="J129" s="3512"/>
      <c r="K129" s="3512"/>
      <c r="L129" s="3512"/>
      <c r="M129" s="3512"/>
      <c r="N129" s="3512"/>
      <c r="O129" s="3512"/>
      <c r="P129" s="3512"/>
      <c r="Q129" s="3512"/>
    </row>
    <row r="130" spans="1:17" ht="27" customHeight="1" x14ac:dyDescent="0.25">
      <c r="A130" s="3512"/>
      <c r="B130" s="3512"/>
      <c r="C130" s="3512"/>
      <c r="D130" s="3512"/>
      <c r="E130" s="3512"/>
      <c r="F130" s="3512"/>
      <c r="G130" s="3512"/>
      <c r="H130" s="3512"/>
      <c r="I130" s="3512"/>
      <c r="J130" s="3512"/>
      <c r="K130" s="3512"/>
      <c r="L130" s="3512"/>
      <c r="M130" s="3512"/>
      <c r="N130" s="3512"/>
      <c r="O130" s="3512"/>
      <c r="P130" s="3512"/>
      <c r="Q130" s="3512"/>
    </row>
    <row r="131" spans="1:17" ht="27" customHeight="1" x14ac:dyDescent="0.25">
      <c r="A131" s="3482"/>
      <c r="B131" s="3482"/>
      <c r="C131" s="3482"/>
      <c r="D131" s="3482"/>
      <c r="E131" s="3482"/>
      <c r="F131" s="3482"/>
      <c r="G131" s="3482"/>
      <c r="H131" s="3482"/>
      <c r="I131" s="3482"/>
      <c r="J131" s="3482"/>
      <c r="K131" s="3482"/>
      <c r="L131" s="3482"/>
      <c r="M131" s="3482"/>
      <c r="N131" s="3482"/>
      <c r="O131" s="3482"/>
      <c r="P131" s="3482"/>
      <c r="Q131" s="3482"/>
    </row>
  </sheetData>
  <mergeCells count="63">
    <mergeCell ref="A130:Q130"/>
    <mergeCell ref="A131:Q131"/>
    <mergeCell ref="A124:Q124"/>
    <mergeCell ref="A125:Q125"/>
    <mergeCell ref="A126:Q126"/>
    <mergeCell ref="A127:Q127"/>
    <mergeCell ref="A128:Q128"/>
    <mergeCell ref="A129:Q129"/>
    <mergeCell ref="A123:Q123"/>
    <mergeCell ref="A94:B94"/>
    <mergeCell ref="C103:N103"/>
    <mergeCell ref="A105:B105"/>
    <mergeCell ref="K105:M105"/>
    <mergeCell ref="C114:E114"/>
    <mergeCell ref="N114:P114"/>
    <mergeCell ref="A117:Q117"/>
    <mergeCell ref="A119:Q119"/>
    <mergeCell ref="A120:Q120"/>
    <mergeCell ref="A121:Q121"/>
    <mergeCell ref="A122:Q122"/>
    <mergeCell ref="C91:N91"/>
    <mergeCell ref="A70:B70"/>
    <mergeCell ref="A71:B71"/>
    <mergeCell ref="E74:F74"/>
    <mergeCell ref="G74:H74"/>
    <mergeCell ref="E75:F75"/>
    <mergeCell ref="E76:F76"/>
    <mergeCell ref="E77:F77"/>
    <mergeCell ref="E78:F78"/>
    <mergeCell ref="E79:F79"/>
    <mergeCell ref="B80:F80"/>
    <mergeCell ref="A82:B82"/>
    <mergeCell ref="C5:N5"/>
    <mergeCell ref="O5:X5"/>
    <mergeCell ref="X6:Y6"/>
    <mergeCell ref="AA6:AA8"/>
    <mergeCell ref="AB6:AB8"/>
    <mergeCell ref="F8:G8"/>
    <mergeCell ref="H8:I8"/>
    <mergeCell ref="J8:K8"/>
    <mergeCell ref="L8:M8"/>
    <mergeCell ref="J6:K6"/>
    <mergeCell ref="L6:M6"/>
    <mergeCell ref="O6:Q6"/>
    <mergeCell ref="R6:S6"/>
    <mergeCell ref="T6:U6"/>
    <mergeCell ref="V6:W6"/>
    <mergeCell ref="AC6:AC9"/>
    <mergeCell ref="AD6:AD9"/>
    <mergeCell ref="A2:B2"/>
    <mergeCell ref="C2:M2"/>
    <mergeCell ref="O2:W2"/>
    <mergeCell ref="A3:B3"/>
    <mergeCell ref="C3:M3"/>
    <mergeCell ref="O3:W3"/>
    <mergeCell ref="A6:A8"/>
    <mergeCell ref="B6:B7"/>
    <mergeCell ref="C6:E6"/>
    <mergeCell ref="F6:G6"/>
    <mergeCell ref="H6:I6"/>
    <mergeCell ref="C4:M4"/>
    <mergeCell ref="O4:W4"/>
    <mergeCell ref="A5:B5"/>
  </mergeCells>
  <conditionalFormatting sqref="AA10:AC67">
    <cfRule type="containsText" dxfId="81" priority="1" operator="containsText" text="F">
      <formula>NOT(ISERROR(SEARCH("F",AA10)))</formula>
    </cfRule>
  </conditionalFormatting>
  <pageMargins left="0.7" right="0.7" top="0.75" bottom="0.75" header="0.3" footer="0.3"/>
  <pageSetup paperSize="8" scale="31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94" zoomScale="90" zoomScaleNormal="90" workbookViewId="0">
      <selection activeCell="L79" sqref="L79"/>
    </sheetView>
  </sheetViews>
  <sheetFormatPr defaultColWidth="15" defaultRowHeight="15.75" x14ac:dyDescent="0.25"/>
  <cols>
    <col min="1" max="16384" width="1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347</v>
      </c>
      <c r="D2" s="802" t="s">
        <v>63</v>
      </c>
      <c r="E2" s="765" t="s">
        <v>230</v>
      </c>
      <c r="F2" s="735"/>
      <c r="G2" s="735"/>
      <c r="H2" s="735"/>
    </row>
    <row r="3" spans="1:8" x14ac:dyDescent="0.25">
      <c r="A3" s="3301" t="s">
        <v>1</v>
      </c>
      <c r="B3" s="3301"/>
      <c r="C3" s="894"/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320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814">
        <v>40</v>
      </c>
      <c r="D9" s="932" t="s">
        <v>27</v>
      </c>
      <c r="E9" s="866">
        <f>IF(D9="O",100,IF(D9="A+",90,IF(D9="A",80,IF(D9="B+",70,IF(D9="B",60,IF(D9="C",55,IF(D9="P",50,IF(D9="F",39))))))))</f>
        <v>80</v>
      </c>
    </row>
    <row r="10" spans="1:8" ht="18.75" x14ac:dyDescent="0.25">
      <c r="A10" s="839">
        <v>2</v>
      </c>
      <c r="B10" s="898">
        <v>5191421002</v>
      </c>
      <c r="C10" s="814">
        <v>47</v>
      </c>
      <c r="D10" s="932" t="s">
        <v>30</v>
      </c>
      <c r="E10" s="866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814">
        <v>48</v>
      </c>
      <c r="D11" s="932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814">
        <v>32</v>
      </c>
      <c r="D12" s="932" t="s">
        <v>27</v>
      </c>
      <c r="E12" s="866">
        <f t="shared" si="0"/>
        <v>80</v>
      </c>
    </row>
    <row r="13" spans="1:8" ht="18.75" x14ac:dyDescent="0.25">
      <c r="A13" s="839">
        <v>5</v>
      </c>
      <c r="B13" s="899">
        <v>5191421005</v>
      </c>
      <c r="C13" s="814">
        <v>36</v>
      </c>
      <c r="D13" s="932" t="s">
        <v>30</v>
      </c>
      <c r="E13" s="866">
        <f t="shared" si="0"/>
        <v>90</v>
      </c>
    </row>
    <row r="14" spans="1:8" ht="18.75" x14ac:dyDescent="0.25">
      <c r="A14" s="839">
        <v>6</v>
      </c>
      <c r="B14" s="897">
        <v>5191421006</v>
      </c>
      <c r="C14" s="814">
        <v>45</v>
      </c>
      <c r="D14" s="932" t="s">
        <v>30</v>
      </c>
      <c r="E14" s="866">
        <f t="shared" si="0"/>
        <v>90</v>
      </c>
    </row>
    <row r="15" spans="1:8" ht="18.75" x14ac:dyDescent="0.25">
      <c r="A15" s="839">
        <v>7</v>
      </c>
      <c r="B15" s="897">
        <v>5191421007</v>
      </c>
      <c r="C15" s="814">
        <v>25</v>
      </c>
      <c r="D15" s="932" t="s">
        <v>33</v>
      </c>
      <c r="E15" s="866">
        <f t="shared" si="0"/>
        <v>60</v>
      </c>
    </row>
    <row r="16" spans="1:8" ht="18.75" x14ac:dyDescent="0.25">
      <c r="A16" s="839">
        <v>8</v>
      </c>
      <c r="B16" s="897">
        <v>5191421008</v>
      </c>
      <c r="C16" s="814">
        <v>47</v>
      </c>
      <c r="D16" s="932" t="s">
        <v>30</v>
      </c>
      <c r="E16" s="866">
        <f t="shared" si="0"/>
        <v>90</v>
      </c>
    </row>
    <row r="17" spans="1:5" ht="18.75" x14ac:dyDescent="0.25">
      <c r="A17" s="839">
        <v>9</v>
      </c>
      <c r="B17" s="897">
        <v>5191421009</v>
      </c>
      <c r="C17" s="814">
        <v>46</v>
      </c>
      <c r="D17" s="932" t="s">
        <v>30</v>
      </c>
      <c r="E17" s="866">
        <f t="shared" si="0"/>
        <v>90</v>
      </c>
    </row>
    <row r="18" spans="1:5" ht="18.75" x14ac:dyDescent="0.25">
      <c r="A18" s="839">
        <v>10</v>
      </c>
      <c r="B18" s="897">
        <v>5191421010</v>
      </c>
      <c r="C18" s="814">
        <v>46</v>
      </c>
      <c r="D18" s="932" t="s">
        <v>30</v>
      </c>
      <c r="E18" s="866">
        <f t="shared" si="0"/>
        <v>90</v>
      </c>
    </row>
    <row r="19" spans="1:5" ht="18.75" x14ac:dyDescent="0.25">
      <c r="A19" s="839">
        <v>11</v>
      </c>
      <c r="B19" s="897">
        <v>5191421011</v>
      </c>
      <c r="C19" s="814">
        <v>46</v>
      </c>
      <c r="D19" s="932" t="s">
        <v>82</v>
      </c>
      <c r="E19" s="866">
        <f t="shared" si="0"/>
        <v>100</v>
      </c>
    </row>
    <row r="20" spans="1:5" ht="18.75" x14ac:dyDescent="0.25">
      <c r="A20" s="839">
        <v>12</v>
      </c>
      <c r="B20" s="897">
        <v>5191421012</v>
      </c>
      <c r="C20" s="814">
        <v>36</v>
      </c>
      <c r="D20" s="932" t="s">
        <v>27</v>
      </c>
      <c r="E20" s="866">
        <f t="shared" si="0"/>
        <v>80</v>
      </c>
    </row>
    <row r="21" spans="1:5" ht="18.75" x14ac:dyDescent="0.25">
      <c r="A21" s="839">
        <v>13</v>
      </c>
      <c r="B21" s="897">
        <v>5191421013</v>
      </c>
      <c r="C21" s="814">
        <v>45</v>
      </c>
      <c r="D21" s="932" t="s">
        <v>30</v>
      </c>
      <c r="E21" s="866">
        <f t="shared" si="0"/>
        <v>90</v>
      </c>
    </row>
    <row r="22" spans="1:5" ht="18.75" x14ac:dyDescent="0.25">
      <c r="A22" s="839">
        <v>14</v>
      </c>
      <c r="B22" s="897">
        <v>5191421014</v>
      </c>
      <c r="C22" s="814">
        <v>39</v>
      </c>
      <c r="D22" s="932" t="s">
        <v>27</v>
      </c>
      <c r="E22" s="866">
        <f t="shared" si="0"/>
        <v>80</v>
      </c>
    </row>
    <row r="23" spans="1:5" ht="18.75" x14ac:dyDescent="0.25">
      <c r="A23" s="839">
        <v>15</v>
      </c>
      <c r="B23" s="897">
        <v>5191421015</v>
      </c>
      <c r="C23" s="814">
        <v>45</v>
      </c>
      <c r="D23" s="932" t="s">
        <v>27</v>
      </c>
      <c r="E23" s="866">
        <f t="shared" si="0"/>
        <v>80</v>
      </c>
    </row>
    <row r="24" spans="1:5" ht="18.75" x14ac:dyDescent="0.25">
      <c r="A24" s="839">
        <v>16</v>
      </c>
      <c r="B24" s="897">
        <v>5191421016</v>
      </c>
      <c r="C24" s="814">
        <v>36</v>
      </c>
      <c r="D24" s="932" t="s">
        <v>33</v>
      </c>
      <c r="E24" s="866">
        <f t="shared" si="0"/>
        <v>60</v>
      </c>
    </row>
    <row r="25" spans="1:5" ht="18.75" x14ac:dyDescent="0.25">
      <c r="A25" s="839">
        <v>17</v>
      </c>
      <c r="B25" s="897">
        <v>5191421017</v>
      </c>
      <c r="C25" s="814">
        <v>42</v>
      </c>
      <c r="D25" s="932" t="s">
        <v>30</v>
      </c>
      <c r="E25" s="866">
        <f t="shared" si="0"/>
        <v>90</v>
      </c>
    </row>
    <row r="26" spans="1:5" ht="18.75" x14ac:dyDescent="0.25">
      <c r="A26" s="839">
        <v>18</v>
      </c>
      <c r="B26" s="897">
        <v>5191421018</v>
      </c>
      <c r="C26" s="814">
        <v>34</v>
      </c>
      <c r="D26" s="932" t="s">
        <v>32</v>
      </c>
      <c r="E26" s="866">
        <f t="shared" si="0"/>
        <v>70</v>
      </c>
    </row>
    <row r="27" spans="1:5" ht="18.75" x14ac:dyDescent="0.25">
      <c r="A27" s="839">
        <v>19</v>
      </c>
      <c r="B27" s="897">
        <v>5191421019</v>
      </c>
      <c r="C27" s="814">
        <v>37</v>
      </c>
      <c r="D27" s="932" t="s">
        <v>82</v>
      </c>
      <c r="E27" s="866">
        <f t="shared" si="0"/>
        <v>100</v>
      </c>
    </row>
    <row r="28" spans="1:5" ht="18.75" x14ac:dyDescent="0.25">
      <c r="A28" s="839">
        <v>20</v>
      </c>
      <c r="B28" s="897">
        <v>5191421020</v>
      </c>
      <c r="C28" s="814">
        <v>42</v>
      </c>
      <c r="D28" s="932" t="s">
        <v>82</v>
      </c>
      <c r="E28" s="866">
        <f t="shared" si="0"/>
        <v>100</v>
      </c>
    </row>
    <row r="29" spans="1:5" ht="18.75" x14ac:dyDescent="0.25">
      <c r="A29" s="839">
        <v>21</v>
      </c>
      <c r="B29" s="897">
        <v>5191421021</v>
      </c>
      <c r="C29" s="814">
        <v>44</v>
      </c>
      <c r="D29" s="932" t="s">
        <v>30</v>
      </c>
      <c r="E29" s="866">
        <f t="shared" si="0"/>
        <v>90</v>
      </c>
    </row>
    <row r="30" spans="1:5" ht="18.75" x14ac:dyDescent="0.25">
      <c r="A30" s="839">
        <v>22</v>
      </c>
      <c r="B30" s="897">
        <v>5191421022</v>
      </c>
      <c r="C30" s="814">
        <v>38</v>
      </c>
      <c r="D30" s="932" t="s">
        <v>27</v>
      </c>
      <c r="E30" s="866">
        <f t="shared" si="0"/>
        <v>80</v>
      </c>
    </row>
    <row r="31" spans="1:5" ht="18.75" x14ac:dyDescent="0.25">
      <c r="A31" s="839">
        <v>23</v>
      </c>
      <c r="B31" s="897">
        <v>5191421023</v>
      </c>
      <c r="C31" s="814">
        <v>40</v>
      </c>
      <c r="D31" s="932" t="s">
        <v>27</v>
      </c>
      <c r="E31" s="866">
        <f t="shared" si="0"/>
        <v>80</v>
      </c>
    </row>
    <row r="32" spans="1:5" ht="18.75" x14ac:dyDescent="0.25">
      <c r="A32" s="839">
        <v>24</v>
      </c>
      <c r="B32" s="897">
        <v>5191421024</v>
      </c>
      <c r="C32" s="814">
        <v>35</v>
      </c>
      <c r="D32" s="932" t="s">
        <v>27</v>
      </c>
      <c r="E32" s="866">
        <f t="shared" si="0"/>
        <v>80</v>
      </c>
    </row>
    <row r="33" spans="1:5" ht="18.75" x14ac:dyDescent="0.25">
      <c r="A33" s="839">
        <v>25</v>
      </c>
      <c r="B33" s="897">
        <v>5191421025</v>
      </c>
      <c r="C33" s="814">
        <v>48</v>
      </c>
      <c r="D33" s="932" t="s">
        <v>82</v>
      </c>
      <c r="E33" s="866">
        <f t="shared" si="0"/>
        <v>100</v>
      </c>
    </row>
    <row r="34" spans="1:5" ht="18.75" x14ac:dyDescent="0.25">
      <c r="A34" s="839">
        <v>26</v>
      </c>
      <c r="B34" s="897">
        <v>5191421026</v>
      </c>
      <c r="C34" s="814">
        <v>41</v>
      </c>
      <c r="D34" s="932" t="s">
        <v>27</v>
      </c>
      <c r="E34" s="866">
        <f t="shared" si="0"/>
        <v>80</v>
      </c>
    </row>
    <row r="35" spans="1:5" ht="18.75" x14ac:dyDescent="0.25">
      <c r="A35" s="839">
        <v>27</v>
      </c>
      <c r="B35" s="897">
        <v>5191421027</v>
      </c>
      <c r="C35" s="814">
        <v>39</v>
      </c>
      <c r="D35" s="932" t="s">
        <v>30</v>
      </c>
      <c r="E35" s="866">
        <f t="shared" si="0"/>
        <v>90</v>
      </c>
    </row>
    <row r="36" spans="1:5" ht="18.75" x14ac:dyDescent="0.25">
      <c r="A36" s="839">
        <v>28</v>
      </c>
      <c r="B36" s="897">
        <v>5191421028</v>
      </c>
      <c r="C36" s="814">
        <v>47</v>
      </c>
      <c r="D36" s="935" t="s">
        <v>82</v>
      </c>
      <c r="E36" s="866">
        <f t="shared" si="0"/>
        <v>100</v>
      </c>
    </row>
    <row r="37" spans="1:5" ht="18.75" x14ac:dyDescent="0.25">
      <c r="A37" s="839">
        <v>29</v>
      </c>
      <c r="B37" s="897">
        <v>5191421029</v>
      </c>
      <c r="C37" s="814">
        <v>36</v>
      </c>
      <c r="D37" s="932" t="s">
        <v>27</v>
      </c>
      <c r="E37" s="866">
        <f t="shared" si="0"/>
        <v>80</v>
      </c>
    </row>
    <row r="38" spans="1:5" ht="18.75" x14ac:dyDescent="0.25">
      <c r="A38" s="839">
        <v>30</v>
      </c>
      <c r="B38" s="897">
        <v>5191421030</v>
      </c>
      <c r="C38" s="814">
        <v>33</v>
      </c>
      <c r="D38" s="932" t="s">
        <v>32</v>
      </c>
      <c r="E38" s="866">
        <f t="shared" si="0"/>
        <v>70</v>
      </c>
    </row>
    <row r="39" spans="1:5" ht="18.75" x14ac:dyDescent="0.25">
      <c r="A39" s="839">
        <v>31</v>
      </c>
      <c r="B39" s="897">
        <v>5191421031</v>
      </c>
      <c r="C39" s="814">
        <v>46</v>
      </c>
      <c r="D39" s="932" t="s">
        <v>32</v>
      </c>
      <c r="E39" s="866">
        <f t="shared" si="0"/>
        <v>70</v>
      </c>
    </row>
    <row r="40" spans="1:5" ht="18.75" x14ac:dyDescent="0.25">
      <c r="A40" s="839">
        <v>32</v>
      </c>
      <c r="B40" s="897">
        <v>5191421032</v>
      </c>
      <c r="C40" s="814">
        <v>35</v>
      </c>
      <c r="D40" s="932" t="s">
        <v>32</v>
      </c>
      <c r="E40" s="866">
        <f t="shared" si="0"/>
        <v>70</v>
      </c>
    </row>
    <row r="41" spans="1:5" ht="18.75" x14ac:dyDescent="0.25">
      <c r="A41" s="839">
        <v>33</v>
      </c>
      <c r="B41" s="897">
        <v>5191421033</v>
      </c>
      <c r="C41" s="814">
        <v>45</v>
      </c>
      <c r="D41" s="932" t="s">
        <v>30</v>
      </c>
      <c r="E41" s="866">
        <f t="shared" si="0"/>
        <v>90</v>
      </c>
    </row>
    <row r="42" spans="1:5" ht="18.75" x14ac:dyDescent="0.25">
      <c r="A42" s="839">
        <v>34</v>
      </c>
      <c r="B42" s="897">
        <v>5191421034</v>
      </c>
      <c r="C42" s="814">
        <v>46</v>
      </c>
      <c r="D42" s="932" t="s">
        <v>82</v>
      </c>
      <c r="E42" s="866">
        <f t="shared" si="0"/>
        <v>100</v>
      </c>
    </row>
    <row r="43" spans="1:5" ht="18.75" x14ac:dyDescent="0.25">
      <c r="A43" s="839">
        <v>35</v>
      </c>
      <c r="B43" s="897">
        <v>5191421035</v>
      </c>
      <c r="C43" s="814">
        <v>36</v>
      </c>
      <c r="D43" s="932" t="s">
        <v>27</v>
      </c>
      <c r="E43" s="866">
        <f t="shared" si="0"/>
        <v>80</v>
      </c>
    </row>
    <row r="44" spans="1:5" ht="18.75" x14ac:dyDescent="0.25">
      <c r="A44" s="839">
        <v>36</v>
      </c>
      <c r="B44" s="897">
        <v>5191421036</v>
      </c>
      <c r="C44" s="814">
        <v>48</v>
      </c>
      <c r="D44" s="932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814">
        <v>33</v>
      </c>
      <c r="D45" s="932" t="s">
        <v>32</v>
      </c>
      <c r="E45" s="866">
        <f t="shared" si="0"/>
        <v>70</v>
      </c>
    </row>
    <row r="46" spans="1:5" ht="18.75" x14ac:dyDescent="0.25">
      <c r="A46" s="839">
        <v>38</v>
      </c>
      <c r="B46" s="897">
        <v>5191421038</v>
      </c>
      <c r="C46" s="814">
        <v>33</v>
      </c>
      <c r="D46" s="932" t="s">
        <v>27</v>
      </c>
      <c r="E46" s="866">
        <f t="shared" si="0"/>
        <v>80</v>
      </c>
    </row>
    <row r="47" spans="1:5" ht="18.75" x14ac:dyDescent="0.25">
      <c r="A47" s="839">
        <v>39</v>
      </c>
      <c r="B47" s="897">
        <v>5191421039</v>
      </c>
      <c r="C47" s="814">
        <v>44</v>
      </c>
      <c r="D47" s="932" t="s">
        <v>82</v>
      </c>
      <c r="E47" s="866">
        <f t="shared" si="0"/>
        <v>100</v>
      </c>
    </row>
    <row r="48" spans="1:5" ht="18.75" x14ac:dyDescent="0.25">
      <c r="A48" s="839">
        <v>40</v>
      </c>
      <c r="B48" s="897">
        <v>5191421040</v>
      </c>
      <c r="C48" s="814">
        <v>45</v>
      </c>
      <c r="D48" s="932" t="s">
        <v>30</v>
      </c>
      <c r="E48" s="866">
        <f t="shared" si="0"/>
        <v>90</v>
      </c>
    </row>
    <row r="49" spans="1:5" ht="18.75" x14ac:dyDescent="0.25">
      <c r="A49" s="839">
        <v>41</v>
      </c>
      <c r="B49" s="897">
        <v>5191421041</v>
      </c>
      <c r="C49" s="814">
        <v>43</v>
      </c>
      <c r="D49" s="932" t="s">
        <v>30</v>
      </c>
      <c r="E49" s="866">
        <f t="shared" si="0"/>
        <v>90</v>
      </c>
    </row>
    <row r="50" spans="1:5" ht="18.75" x14ac:dyDescent="0.25">
      <c r="A50" s="839">
        <v>42</v>
      </c>
      <c r="B50" s="897">
        <v>5191421042</v>
      </c>
      <c r="C50" s="814">
        <v>30</v>
      </c>
      <c r="D50" s="932" t="s">
        <v>32</v>
      </c>
      <c r="E50" s="866">
        <f t="shared" si="0"/>
        <v>70</v>
      </c>
    </row>
    <row r="51" spans="1:5" ht="18.75" x14ac:dyDescent="0.25">
      <c r="A51" s="839">
        <v>43</v>
      </c>
      <c r="B51" s="897">
        <v>5191421043</v>
      </c>
      <c r="C51" s="814">
        <v>46</v>
      </c>
      <c r="D51" s="932" t="s">
        <v>27</v>
      </c>
      <c r="E51" s="866">
        <f t="shared" si="0"/>
        <v>80</v>
      </c>
    </row>
    <row r="52" spans="1:5" ht="18.75" x14ac:dyDescent="0.25">
      <c r="A52" s="839">
        <v>44</v>
      </c>
      <c r="B52" s="897">
        <v>5191421044</v>
      </c>
      <c r="C52" s="814">
        <v>47</v>
      </c>
      <c r="D52" s="932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814">
        <v>37</v>
      </c>
      <c r="D53" s="932" t="s">
        <v>27</v>
      </c>
      <c r="E53" s="866">
        <f t="shared" si="0"/>
        <v>80</v>
      </c>
    </row>
    <row r="54" spans="1:5" ht="18.75" x14ac:dyDescent="0.25">
      <c r="A54" s="839">
        <v>46</v>
      </c>
      <c r="B54" s="897">
        <v>5191421046</v>
      </c>
      <c r="C54" s="814">
        <v>41</v>
      </c>
      <c r="D54" s="932" t="s">
        <v>30</v>
      </c>
      <c r="E54" s="866">
        <f t="shared" si="0"/>
        <v>90</v>
      </c>
    </row>
    <row r="55" spans="1:5" ht="18.75" x14ac:dyDescent="0.25">
      <c r="A55" s="839">
        <v>47</v>
      </c>
      <c r="B55" s="897">
        <v>5191421047</v>
      </c>
      <c r="C55" s="814">
        <v>35</v>
      </c>
      <c r="D55" s="932" t="s">
        <v>154</v>
      </c>
      <c r="E55" s="866" t="b">
        <f t="shared" si="0"/>
        <v>0</v>
      </c>
    </row>
    <row r="56" spans="1:5" ht="18.75" x14ac:dyDescent="0.25">
      <c r="A56" s="839">
        <v>48</v>
      </c>
      <c r="B56" s="897">
        <v>5191421048</v>
      </c>
      <c r="C56" s="814">
        <v>42</v>
      </c>
      <c r="D56" s="932" t="s">
        <v>27</v>
      </c>
      <c r="E56" s="866">
        <f t="shared" si="0"/>
        <v>80</v>
      </c>
    </row>
    <row r="57" spans="1:5" ht="18.75" x14ac:dyDescent="0.25">
      <c r="A57" s="839">
        <v>49</v>
      </c>
      <c r="B57" s="897">
        <v>5191421049</v>
      </c>
      <c r="C57" s="814">
        <v>28</v>
      </c>
      <c r="D57" s="932" t="s">
        <v>32</v>
      </c>
      <c r="E57" s="866">
        <f t="shared" si="0"/>
        <v>70</v>
      </c>
    </row>
    <row r="58" spans="1:5" ht="18.75" x14ac:dyDescent="0.25">
      <c r="A58" s="839">
        <v>50</v>
      </c>
      <c r="B58" s="897">
        <v>5191421050</v>
      </c>
      <c r="C58" s="814">
        <v>38</v>
      </c>
      <c r="D58" s="932" t="s">
        <v>27</v>
      </c>
      <c r="E58" s="866">
        <f t="shared" si="0"/>
        <v>80</v>
      </c>
    </row>
    <row r="59" spans="1:5" ht="18.75" x14ac:dyDescent="0.25">
      <c r="A59" s="839">
        <v>51</v>
      </c>
      <c r="B59" s="897">
        <v>5191421051</v>
      </c>
      <c r="C59" s="814">
        <v>44</v>
      </c>
      <c r="D59" s="932" t="s">
        <v>30</v>
      </c>
      <c r="E59" s="866">
        <f t="shared" si="0"/>
        <v>90</v>
      </c>
    </row>
    <row r="60" spans="1:5" ht="18.75" x14ac:dyDescent="0.25">
      <c r="A60" s="839">
        <v>52</v>
      </c>
      <c r="B60" s="897">
        <v>5191421052</v>
      </c>
      <c r="C60" s="814">
        <v>47</v>
      </c>
      <c r="D60" s="932" t="s">
        <v>82</v>
      </c>
      <c r="E60" s="866">
        <f t="shared" si="0"/>
        <v>100</v>
      </c>
    </row>
    <row r="61" spans="1:5" ht="18.75" x14ac:dyDescent="0.25">
      <c r="A61" s="839">
        <v>53</v>
      </c>
      <c r="B61" s="897">
        <v>5191421053</v>
      </c>
      <c r="C61" s="814">
        <v>48</v>
      </c>
      <c r="D61" s="932" t="s">
        <v>82</v>
      </c>
      <c r="E61" s="866">
        <f t="shared" si="0"/>
        <v>100</v>
      </c>
    </row>
    <row r="62" spans="1:5" ht="18.75" x14ac:dyDescent="0.25">
      <c r="A62" s="839">
        <v>54</v>
      </c>
      <c r="B62" s="897">
        <v>5191421054</v>
      </c>
      <c r="C62" s="814">
        <v>46</v>
      </c>
      <c r="D62" s="932" t="s">
        <v>30</v>
      </c>
      <c r="E62" s="866">
        <f t="shared" si="0"/>
        <v>90</v>
      </c>
    </row>
    <row r="63" spans="1:5" ht="18.75" x14ac:dyDescent="0.25">
      <c r="A63" s="839">
        <v>55</v>
      </c>
      <c r="B63" s="897">
        <v>5191421055</v>
      </c>
      <c r="C63" s="814">
        <v>42</v>
      </c>
      <c r="D63" s="932" t="s">
        <v>27</v>
      </c>
      <c r="E63" s="866">
        <f t="shared" si="0"/>
        <v>80</v>
      </c>
    </row>
    <row r="64" spans="1:5" ht="18.75" x14ac:dyDescent="0.25">
      <c r="A64" s="839">
        <v>56</v>
      </c>
      <c r="B64" s="897">
        <v>5191421056</v>
      </c>
      <c r="C64" s="814">
        <v>46</v>
      </c>
      <c r="D64" s="932" t="s">
        <v>30</v>
      </c>
      <c r="E64" s="866">
        <f t="shared" si="0"/>
        <v>90</v>
      </c>
    </row>
    <row r="65" spans="1:14" ht="18.75" x14ac:dyDescent="0.25">
      <c r="A65" s="839">
        <v>57</v>
      </c>
      <c r="B65" s="897">
        <v>5191421057</v>
      </c>
      <c r="C65" s="814">
        <v>44</v>
      </c>
      <c r="D65" s="933" t="s">
        <v>82</v>
      </c>
      <c r="E65" s="866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814">
        <v>26</v>
      </c>
      <c r="D66" s="934" t="s">
        <v>31</v>
      </c>
      <c r="E66" s="866">
        <f t="shared" si="0"/>
        <v>55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53</v>
      </c>
      <c r="D69" s="793"/>
      <c r="E69" s="793">
        <f>COUNTIF(E9:E66,"&gt;="&amp;B68)</f>
        <v>54</v>
      </c>
    </row>
    <row r="70" spans="1:14" x14ac:dyDescent="0.25">
      <c r="A70" s="3306" t="s">
        <v>36</v>
      </c>
      <c r="B70" s="3306"/>
      <c r="C70" s="36">
        <f>C69/C67</f>
        <v>0.91379310344827591</v>
      </c>
      <c r="D70" s="793"/>
      <c r="E70" s="36">
        <f>(E69/A66)*100</f>
        <v>93.103448275862064</v>
      </c>
    </row>
    <row r="73" spans="1:14" x14ac:dyDescent="0.25">
      <c r="D73" s="805" t="s">
        <v>38</v>
      </c>
      <c r="E73" s="805" t="s">
        <v>39</v>
      </c>
      <c r="F73" s="805"/>
      <c r="G73" s="805" t="s">
        <v>37</v>
      </c>
      <c r="H73" s="13"/>
    </row>
    <row r="74" spans="1:14" x14ac:dyDescent="0.25">
      <c r="B74" s="805" t="s">
        <v>22</v>
      </c>
      <c r="C74" s="36">
        <f>AVERAGE(C70)*100</f>
        <v>91.379310344827587</v>
      </c>
      <c r="D74" s="793">
        <f>IF(C74&gt;=70,3,IF(AND(C74&gt;=60,C74&lt;70),2,IF(AND(C74&gt;=50,C74&lt;60),1)))</f>
        <v>3</v>
      </c>
      <c r="E74" s="793">
        <f>IF(E70&gt;=70,3,IF(AND(E70&gt;=60,E70&lt;70),2,IF(AND(E70&gt;=50,E70&lt;60),1)))</f>
        <v>3</v>
      </c>
      <c r="F74" s="793"/>
      <c r="G74" s="793">
        <f>(50/100)*E74+(50/100)*D74</f>
        <v>3</v>
      </c>
      <c r="H74" s="329"/>
    </row>
    <row r="75" spans="1:14" x14ac:dyDescent="0.25">
      <c r="B75" s="805" t="s">
        <v>40</v>
      </c>
      <c r="C75" s="36">
        <f>AVERAGE(C70)*100</f>
        <v>91.379310344827587</v>
      </c>
      <c r="D75" s="793">
        <f t="shared" ref="D75:D77" si="1">IF(C75&gt;=70,3,IF(AND(C75&gt;=60,C75&lt;70),2,IF(AND(C75&gt;=50,C75&lt;60),1)))</f>
        <v>3</v>
      </c>
      <c r="E75" s="793">
        <f>IF(E70&gt;=70,3,IF(AND(E70&gt;=60,E70&lt;70),2,IF(AND(E70&gt;=50,E70&lt;60),1)))</f>
        <v>3</v>
      </c>
      <c r="F75" s="793"/>
      <c r="G75" s="793">
        <f t="shared" ref="G75:G77" si="2">(50/100)*E75+(50/100)*D75</f>
        <v>3</v>
      </c>
      <c r="H75" s="329"/>
    </row>
    <row r="76" spans="1:14" x14ac:dyDescent="0.25">
      <c r="B76" s="805" t="s">
        <v>41</v>
      </c>
      <c r="C76" s="36">
        <f>AVERAGE(C70)*100</f>
        <v>91.379310344827587</v>
      </c>
      <c r="D76" s="793">
        <f t="shared" si="1"/>
        <v>3</v>
      </c>
      <c r="E76" s="793">
        <f>IF(E70&gt;=70,3,IF(AND(E70&gt;=60,E70&lt;70),2,IF(AND(E70&gt;=50,E70&lt;60),1)))</f>
        <v>3</v>
      </c>
      <c r="F76" s="793"/>
      <c r="G76" s="793">
        <f t="shared" si="2"/>
        <v>3</v>
      </c>
      <c r="H76" s="329"/>
    </row>
    <row r="77" spans="1:14" x14ac:dyDescent="0.25">
      <c r="B77" s="805" t="s">
        <v>42</v>
      </c>
      <c r="C77" s="36">
        <f>AVERAGE(C70)*100</f>
        <v>91.379310344827587</v>
      </c>
      <c r="D77" s="793">
        <f t="shared" si="1"/>
        <v>3</v>
      </c>
      <c r="E77" s="793">
        <f>IF(E70&gt;=70,3,IF(AND(E70&gt;=60,E70&lt;70),2,IF(AND(E70&gt;=50,E70&lt;60),1)))</f>
        <v>3</v>
      </c>
      <c r="F77" s="793"/>
      <c r="G77" s="793">
        <f t="shared" si="2"/>
        <v>3</v>
      </c>
      <c r="H77" s="329"/>
    </row>
    <row r="78" spans="1:14" x14ac:dyDescent="0.25">
      <c r="B78" s="2872" t="s">
        <v>44</v>
      </c>
      <c r="C78" s="2872"/>
      <c r="D78" s="2872"/>
      <c r="E78" s="2872"/>
      <c r="F78" s="2872"/>
      <c r="G78" s="793">
        <f>AVERAGE(G74:G74)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859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ht="19.5" x14ac:dyDescent="0.3">
      <c r="B84" s="20" t="s">
        <v>22</v>
      </c>
      <c r="C84" s="936">
        <v>3</v>
      </c>
      <c r="D84" s="936">
        <v>2</v>
      </c>
      <c r="E84" s="936">
        <v>1</v>
      </c>
      <c r="F84" s="936">
        <v>2</v>
      </c>
      <c r="G84" s="936">
        <v>1</v>
      </c>
      <c r="H84" s="936">
        <v>2</v>
      </c>
      <c r="I84" s="936">
        <v>2</v>
      </c>
      <c r="J84" s="936">
        <v>3</v>
      </c>
      <c r="K84" s="936">
        <v>3</v>
      </c>
      <c r="L84" s="936">
        <v>2</v>
      </c>
      <c r="M84" s="936">
        <v>2</v>
      </c>
      <c r="N84" s="936">
        <v>2</v>
      </c>
    </row>
    <row r="85" spans="1:14" ht="19.5" x14ac:dyDescent="0.3">
      <c r="B85" s="20" t="s">
        <v>40</v>
      </c>
      <c r="C85" s="936">
        <v>3</v>
      </c>
      <c r="D85" s="937">
        <v>2</v>
      </c>
      <c r="E85" s="936">
        <v>1</v>
      </c>
      <c r="F85" s="936">
        <v>2</v>
      </c>
      <c r="G85" s="936">
        <v>1</v>
      </c>
      <c r="H85" s="936">
        <v>2</v>
      </c>
      <c r="I85" s="936">
        <v>2</v>
      </c>
      <c r="J85" s="936">
        <v>3</v>
      </c>
      <c r="K85" s="936">
        <v>3</v>
      </c>
      <c r="L85" s="936">
        <v>2</v>
      </c>
      <c r="M85" s="936">
        <v>2</v>
      </c>
      <c r="N85" s="936">
        <v>2</v>
      </c>
    </row>
    <row r="86" spans="1:14" ht="19.5" x14ac:dyDescent="0.3">
      <c r="B86" s="20" t="s">
        <v>41</v>
      </c>
      <c r="C86" s="936">
        <v>3</v>
      </c>
      <c r="D86" s="937">
        <v>2</v>
      </c>
      <c r="E86" s="936">
        <v>1</v>
      </c>
      <c r="F86" s="936">
        <v>2</v>
      </c>
      <c r="G86" s="936">
        <v>1</v>
      </c>
      <c r="H86" s="936">
        <v>2</v>
      </c>
      <c r="I86" s="936">
        <v>2</v>
      </c>
      <c r="J86" s="936">
        <v>3</v>
      </c>
      <c r="K86" s="936">
        <v>3</v>
      </c>
      <c r="L86" s="936">
        <v>2</v>
      </c>
      <c r="M86" s="936">
        <v>2</v>
      </c>
      <c r="N86" s="936">
        <v>2</v>
      </c>
    </row>
    <row r="87" spans="1:14" ht="19.5" x14ac:dyDescent="0.3">
      <c r="B87" s="20" t="s">
        <v>42</v>
      </c>
      <c r="C87" s="936">
        <v>3</v>
      </c>
      <c r="D87" s="937">
        <v>2</v>
      </c>
      <c r="E87" s="936">
        <v>1</v>
      </c>
      <c r="F87" s="936">
        <v>2</v>
      </c>
      <c r="G87" s="936">
        <v>1</v>
      </c>
      <c r="H87" s="936">
        <v>2</v>
      </c>
      <c r="I87" s="936">
        <v>2</v>
      </c>
      <c r="J87" s="936">
        <v>3</v>
      </c>
      <c r="K87" s="936">
        <v>3</v>
      </c>
      <c r="L87" s="936">
        <v>2</v>
      </c>
      <c r="M87" s="936">
        <v>2</v>
      </c>
      <c r="N87" s="936">
        <v>2</v>
      </c>
    </row>
    <row r="88" spans="1:14" x14ac:dyDescent="0.25">
      <c r="B88" s="859" t="s">
        <v>10</v>
      </c>
      <c r="C88" s="745">
        <f>AVERAGE(C84:C87)</f>
        <v>3</v>
      </c>
      <c r="D88" s="745">
        <f t="shared" ref="D88:N88" si="3">AVERAGE(D84:D87)</f>
        <v>2</v>
      </c>
      <c r="E88" s="745">
        <f t="shared" si="3"/>
        <v>1</v>
      </c>
      <c r="F88" s="745">
        <f t="shared" si="3"/>
        <v>2</v>
      </c>
      <c r="G88" s="745">
        <f>AVERAGE(G84:G87)</f>
        <v>1</v>
      </c>
      <c r="H88" s="745">
        <f t="shared" si="3"/>
        <v>2</v>
      </c>
      <c r="I88" s="745">
        <f t="shared" si="3"/>
        <v>2</v>
      </c>
      <c r="J88" s="745">
        <f t="shared" si="3"/>
        <v>3</v>
      </c>
      <c r="K88" s="745">
        <f t="shared" si="3"/>
        <v>3</v>
      </c>
      <c r="L88" s="745">
        <f t="shared" si="3"/>
        <v>2</v>
      </c>
      <c r="M88" s="745">
        <f t="shared" si="3"/>
        <v>2</v>
      </c>
      <c r="N88" s="745">
        <f t="shared" si="3"/>
        <v>2</v>
      </c>
    </row>
    <row r="89" spans="1:14" x14ac:dyDescent="0.25">
      <c r="B89" s="859" t="s">
        <v>58</v>
      </c>
      <c r="C89" s="3311">
        <f>AVERAGE(C88:N88)</f>
        <v>2.0833333333333335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859" t="s">
        <v>45</v>
      </c>
      <c r="C93" s="906" t="s">
        <v>68</v>
      </c>
      <c r="D93" s="906" t="s">
        <v>69</v>
      </c>
      <c r="E93" s="906" t="s">
        <v>70</v>
      </c>
      <c r="F93" s="906" t="s">
        <v>71</v>
      </c>
      <c r="G93" s="906" t="s">
        <v>72</v>
      </c>
      <c r="H93" s="906" t="s">
        <v>73</v>
      </c>
      <c r="I93" s="906" t="s">
        <v>74</v>
      </c>
      <c r="J93" s="906" t="s">
        <v>75</v>
      </c>
      <c r="K93" s="906" t="s">
        <v>76</v>
      </c>
      <c r="L93" s="906" t="s">
        <v>77</v>
      </c>
      <c r="M93" s="906" t="s">
        <v>78</v>
      </c>
      <c r="N93" s="906" t="s">
        <v>79</v>
      </c>
    </row>
    <row r="94" spans="1:14" x14ac:dyDescent="0.25">
      <c r="B94" s="763" t="s">
        <v>20</v>
      </c>
      <c r="C94" s="907">
        <f>G74*C84/3</f>
        <v>3</v>
      </c>
      <c r="D94" s="907">
        <f>G74*D84/3</f>
        <v>2</v>
      </c>
      <c r="E94" s="907">
        <f>G74*E84/3</f>
        <v>1</v>
      </c>
      <c r="F94" s="907">
        <f>G74*F84/3</f>
        <v>2</v>
      </c>
      <c r="G94" s="907">
        <f>G74*G84/3</f>
        <v>1</v>
      </c>
      <c r="H94" s="907">
        <f>G74*H84/3</f>
        <v>2</v>
      </c>
      <c r="I94" s="907">
        <f>G74*I84/3</f>
        <v>2</v>
      </c>
      <c r="J94" s="907">
        <f>G74*J84/3</f>
        <v>3</v>
      </c>
      <c r="K94" s="907">
        <f t="shared" ref="K94" si="4">G74*K84/3</f>
        <v>3</v>
      </c>
      <c r="L94" s="907">
        <f t="shared" ref="L94" si="5">G74*L84/3</f>
        <v>2</v>
      </c>
      <c r="M94" s="907">
        <f t="shared" ref="M94" si="6">G74*M84/3</f>
        <v>2</v>
      </c>
      <c r="N94" s="907">
        <f t="shared" ref="N94" si="7">G74*N84/3</f>
        <v>2</v>
      </c>
    </row>
    <row r="95" spans="1:14" x14ac:dyDescent="0.25">
      <c r="B95" s="763" t="s">
        <v>21</v>
      </c>
      <c r="C95" s="907">
        <f t="shared" ref="C95:C97" si="8">G75*C85/3</f>
        <v>3</v>
      </c>
      <c r="D95" s="907">
        <f t="shared" ref="D95:D97" si="9">G75*D85/3</f>
        <v>2</v>
      </c>
      <c r="E95" s="907">
        <f t="shared" ref="E95:E97" si="10">G75*E85/3</f>
        <v>1</v>
      </c>
      <c r="F95" s="907">
        <f t="shared" ref="F95:F97" si="11">G75*F85/3</f>
        <v>2</v>
      </c>
      <c r="G95" s="907">
        <f t="shared" ref="G95:G97" si="12">G75*G85/3</f>
        <v>1</v>
      </c>
      <c r="H95" s="907">
        <f t="shared" ref="H95:H97" si="13">G75*H85/3</f>
        <v>2</v>
      </c>
      <c r="I95" s="907">
        <f>G75*I85/3</f>
        <v>2</v>
      </c>
      <c r="J95" s="907">
        <f>G74*J85/3</f>
        <v>3</v>
      </c>
      <c r="K95" s="907">
        <f t="shared" ref="K95:K96" si="14">G75*K85/3</f>
        <v>3</v>
      </c>
      <c r="L95" s="907">
        <f t="shared" ref="L95:L96" si="15">G75*L85/3</f>
        <v>2</v>
      </c>
      <c r="M95" s="907">
        <f t="shared" ref="M95:M96" si="16">G75*M85/3</f>
        <v>2</v>
      </c>
      <c r="N95" s="907">
        <f t="shared" ref="N95:N96" si="17">G75*N85/3</f>
        <v>2</v>
      </c>
    </row>
    <row r="96" spans="1:14" x14ac:dyDescent="0.25">
      <c r="B96" s="763" t="s">
        <v>23</v>
      </c>
      <c r="C96" s="907">
        <f t="shared" si="8"/>
        <v>3</v>
      </c>
      <c r="D96" s="907">
        <f t="shared" si="9"/>
        <v>2</v>
      </c>
      <c r="E96" s="907">
        <f t="shared" si="10"/>
        <v>1</v>
      </c>
      <c r="F96" s="907">
        <f t="shared" si="11"/>
        <v>2</v>
      </c>
      <c r="G96" s="907">
        <f t="shared" si="12"/>
        <v>1</v>
      </c>
      <c r="H96" s="907">
        <f t="shared" si="13"/>
        <v>2</v>
      </c>
      <c r="I96" s="907">
        <f t="shared" ref="I96:I97" si="18">G76*I86/3</f>
        <v>2</v>
      </c>
      <c r="J96" s="907">
        <f t="shared" ref="J96" si="19">G75*J86/3</f>
        <v>3</v>
      </c>
      <c r="K96" s="907">
        <f t="shared" si="14"/>
        <v>3</v>
      </c>
      <c r="L96" s="907">
        <f t="shared" si="15"/>
        <v>2</v>
      </c>
      <c r="M96" s="907">
        <f t="shared" si="16"/>
        <v>2</v>
      </c>
      <c r="N96" s="907">
        <f t="shared" si="17"/>
        <v>2</v>
      </c>
    </row>
    <row r="97" spans="1:14" x14ac:dyDescent="0.25">
      <c r="B97" s="763" t="s">
        <v>25</v>
      </c>
      <c r="C97" s="907">
        <f t="shared" si="8"/>
        <v>3</v>
      </c>
      <c r="D97" s="907">
        <f t="shared" si="9"/>
        <v>2</v>
      </c>
      <c r="E97" s="907">
        <f t="shared" si="10"/>
        <v>1</v>
      </c>
      <c r="F97" s="907">
        <f t="shared" si="11"/>
        <v>2</v>
      </c>
      <c r="G97" s="907">
        <f t="shared" si="12"/>
        <v>1</v>
      </c>
      <c r="H97" s="907">
        <f t="shared" si="13"/>
        <v>2</v>
      </c>
      <c r="I97" s="907">
        <f t="shared" si="18"/>
        <v>2</v>
      </c>
      <c r="J97" s="907">
        <f t="shared" ref="J97" si="20">G76*J87/3</f>
        <v>3</v>
      </c>
      <c r="K97" s="907">
        <f t="shared" ref="K97" si="21">G77*K87/3</f>
        <v>3</v>
      </c>
      <c r="L97" s="907">
        <f t="shared" ref="L97" si="22">G77*L87/3</f>
        <v>2</v>
      </c>
      <c r="M97" s="907">
        <f t="shared" ref="M97" si="23">G77*M87/3</f>
        <v>2</v>
      </c>
      <c r="N97" s="907">
        <f t="shared" ref="N97" si="24">G77*N87/3</f>
        <v>2</v>
      </c>
    </row>
    <row r="98" spans="1:14" x14ac:dyDescent="0.25">
      <c r="B98" s="859" t="s">
        <v>10</v>
      </c>
      <c r="C98" s="908">
        <f>AVERAGE(C94:C97)</f>
        <v>3</v>
      </c>
      <c r="D98" s="908">
        <f t="shared" ref="D98:N98" si="25">AVERAGE(D94:D97)</f>
        <v>2</v>
      </c>
      <c r="E98" s="908">
        <f t="shared" si="25"/>
        <v>1</v>
      </c>
      <c r="F98" s="908">
        <f t="shared" si="25"/>
        <v>2</v>
      </c>
      <c r="G98" s="908">
        <f t="shared" si="25"/>
        <v>1</v>
      </c>
      <c r="H98" s="908">
        <f t="shared" si="25"/>
        <v>2</v>
      </c>
      <c r="I98" s="908">
        <f t="shared" si="25"/>
        <v>2</v>
      </c>
      <c r="J98" s="908">
        <f t="shared" si="25"/>
        <v>3</v>
      </c>
      <c r="K98" s="908">
        <f t="shared" si="25"/>
        <v>3</v>
      </c>
      <c r="L98" s="908">
        <f t="shared" si="25"/>
        <v>2</v>
      </c>
      <c r="M98" s="908">
        <f t="shared" si="25"/>
        <v>2</v>
      </c>
      <c r="N98" s="908">
        <f t="shared" si="25"/>
        <v>2</v>
      </c>
    </row>
    <row r="99" spans="1:14" x14ac:dyDescent="0.25">
      <c r="B99" s="859" t="s">
        <v>58</v>
      </c>
      <c r="C99" s="3024">
        <f>AVERAGE(C98:N98)</f>
        <v>2.0833333333333335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859" t="s">
        <v>59</v>
      </c>
      <c r="C104" s="748" t="s">
        <v>87</v>
      </c>
      <c r="D104" s="748" t="s">
        <v>88</v>
      </c>
      <c r="E104" s="748" t="s">
        <v>85</v>
      </c>
      <c r="F104" s="756"/>
      <c r="G104" s="859" t="s">
        <v>59</v>
      </c>
      <c r="H104" s="906" t="s">
        <v>60</v>
      </c>
      <c r="I104" s="906" t="s">
        <v>61</v>
      </c>
      <c r="J104" s="906" t="s">
        <v>62</v>
      </c>
      <c r="L104" s="756"/>
      <c r="M104" s="756"/>
      <c r="N104" s="756"/>
    </row>
    <row r="105" spans="1:14" ht="19.5" x14ac:dyDescent="0.3">
      <c r="B105" s="572" t="s">
        <v>22</v>
      </c>
      <c r="C105" s="938">
        <v>3</v>
      </c>
      <c r="D105" s="938">
        <v>3</v>
      </c>
      <c r="E105" s="938">
        <v>3</v>
      </c>
      <c r="F105" s="756"/>
      <c r="G105" s="860" t="s">
        <v>20</v>
      </c>
      <c r="H105" s="907">
        <f>G74*C105/3</f>
        <v>3</v>
      </c>
      <c r="I105" s="907">
        <f>G74*D105/3</f>
        <v>3</v>
      </c>
      <c r="J105" s="907">
        <f>G74*E105/3</f>
        <v>3</v>
      </c>
      <c r="L105" s="756"/>
      <c r="M105" s="756"/>
      <c r="N105" s="756"/>
    </row>
    <row r="106" spans="1:14" ht="19.5" x14ac:dyDescent="0.3">
      <c r="B106" s="572" t="s">
        <v>40</v>
      </c>
      <c r="C106" s="938">
        <v>3</v>
      </c>
      <c r="D106" s="938">
        <v>3</v>
      </c>
      <c r="E106" s="938">
        <v>3</v>
      </c>
      <c r="F106" s="24"/>
      <c r="G106" s="860" t="s">
        <v>21</v>
      </c>
      <c r="H106" s="907">
        <f t="shared" ref="H106:H108" si="26">G75*C106/3</f>
        <v>3</v>
      </c>
      <c r="I106" s="907">
        <f t="shared" ref="I106:I108" si="27">G75*D106/3</f>
        <v>3</v>
      </c>
      <c r="J106" s="907">
        <f>G75*E106/3</f>
        <v>3</v>
      </c>
      <c r="L106" s="24"/>
      <c r="M106" s="24"/>
      <c r="N106" s="24"/>
    </row>
    <row r="107" spans="1:14" ht="19.5" x14ac:dyDescent="0.3">
      <c r="B107" s="572" t="s">
        <v>41</v>
      </c>
      <c r="C107" s="938">
        <v>3</v>
      </c>
      <c r="D107" s="938">
        <v>3</v>
      </c>
      <c r="E107" s="938">
        <v>3</v>
      </c>
      <c r="F107" s="24"/>
      <c r="G107" s="860" t="s">
        <v>23</v>
      </c>
      <c r="H107" s="907">
        <f t="shared" si="26"/>
        <v>3</v>
      </c>
      <c r="I107" s="907">
        <f t="shared" si="27"/>
        <v>3</v>
      </c>
      <c r="J107" s="907">
        <f t="shared" ref="J107:J108" si="28">G76*E107/3</f>
        <v>3</v>
      </c>
      <c r="L107" s="24"/>
      <c r="M107" s="24"/>
      <c r="N107" s="24"/>
    </row>
    <row r="108" spans="1:14" ht="19.5" x14ac:dyDescent="0.3">
      <c r="B108" s="572" t="s">
        <v>42</v>
      </c>
      <c r="C108" s="938">
        <v>3</v>
      </c>
      <c r="D108" s="938">
        <v>3</v>
      </c>
      <c r="E108" s="938">
        <v>3</v>
      </c>
      <c r="F108" s="24"/>
      <c r="G108" s="860" t="s">
        <v>25</v>
      </c>
      <c r="H108" s="907">
        <f t="shared" si="26"/>
        <v>3</v>
      </c>
      <c r="I108" s="907">
        <f t="shared" si="27"/>
        <v>3</v>
      </c>
      <c r="J108" s="907">
        <f t="shared" si="28"/>
        <v>3</v>
      </c>
      <c r="L108" s="24"/>
      <c r="M108" s="24"/>
      <c r="N108" s="24"/>
    </row>
    <row r="109" spans="1:14" x14ac:dyDescent="0.25">
      <c r="B109" s="859" t="s">
        <v>10</v>
      </c>
      <c r="C109" s="909">
        <f>AVERAGE(C105:C108)</f>
        <v>3</v>
      </c>
      <c r="D109" s="909">
        <f t="shared" ref="D109:E109" si="29">AVERAGE(D105:D108)</f>
        <v>3</v>
      </c>
      <c r="E109" s="909">
        <f t="shared" si="29"/>
        <v>3</v>
      </c>
      <c r="F109" s="910"/>
      <c r="G109" s="859" t="s">
        <v>10</v>
      </c>
      <c r="H109" s="911">
        <f>AVERAGE(H105:H108)</f>
        <v>3</v>
      </c>
      <c r="I109" s="911">
        <f t="shared" ref="I109:J109" si="30">AVERAGE(I105:I108)</f>
        <v>3</v>
      </c>
      <c r="J109" s="911">
        <f t="shared" si="30"/>
        <v>3</v>
      </c>
      <c r="L109" s="910"/>
      <c r="M109" s="910"/>
      <c r="N109" s="910"/>
    </row>
    <row r="110" spans="1:14" x14ac:dyDescent="0.25">
      <c r="B110" s="859" t="s">
        <v>58</v>
      </c>
      <c r="C110" s="3307">
        <f>AVERAGE(C109:E109)</f>
        <v>3</v>
      </c>
      <c r="D110" s="3308"/>
      <c r="E110" s="3309"/>
      <c r="F110" s="912"/>
      <c r="G110" s="859" t="s">
        <v>58</v>
      </c>
      <c r="H110" s="3024">
        <f>AVERAGE(H109:J109)</f>
        <v>3</v>
      </c>
      <c r="I110" s="3310"/>
      <c r="J110" s="3026"/>
      <c r="L110" s="912"/>
      <c r="M110" s="912"/>
      <c r="N110" s="912"/>
    </row>
  </sheetData>
  <mergeCells count="20">
    <mergeCell ref="C110:E110"/>
    <mergeCell ref="H110:J110"/>
    <mergeCell ref="C89:N89"/>
    <mergeCell ref="A91:B91"/>
    <mergeCell ref="C99:N99"/>
    <mergeCell ref="A102:B102"/>
    <mergeCell ref="G102:H102"/>
    <mergeCell ref="G103:H103"/>
    <mergeCell ref="D5:D7"/>
    <mergeCell ref="E5:E7"/>
    <mergeCell ref="A69:B69"/>
    <mergeCell ref="A70:B70"/>
    <mergeCell ref="B78:F78"/>
    <mergeCell ref="C5:C7"/>
    <mergeCell ref="A81:B81"/>
    <mergeCell ref="A2:B2"/>
    <mergeCell ref="A3:B3"/>
    <mergeCell ref="A4:B4"/>
    <mergeCell ref="A5:A7"/>
    <mergeCell ref="B5:B7"/>
  </mergeCells>
  <conditionalFormatting sqref="D9:D66">
    <cfRule type="containsText" dxfId="80" priority="1" operator="containsText" text="F">
      <formula>NOT(ISERROR(SEARCH("F",D9)))</formula>
    </cfRule>
  </conditionalFormatting>
  <pageMargins left="0.7" right="0.7" top="0.75" bottom="0.75" header="0.3" footer="0.3"/>
  <pageSetup paperSize="8" scale="5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B91" zoomScale="90" zoomScaleNormal="90" workbookViewId="0">
      <selection activeCell="L79" sqref="L79"/>
    </sheetView>
  </sheetViews>
  <sheetFormatPr defaultColWidth="15" defaultRowHeight="15.75" x14ac:dyDescent="0.25"/>
  <cols>
    <col min="1" max="16384" width="1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317</v>
      </c>
      <c r="D2" s="802" t="s">
        <v>63</v>
      </c>
      <c r="E2" s="765" t="s">
        <v>230</v>
      </c>
      <c r="F2" s="735"/>
      <c r="G2" s="735"/>
      <c r="H2" s="735"/>
    </row>
    <row r="3" spans="1:8" ht="60" x14ac:dyDescent="0.25">
      <c r="A3" s="3301" t="s">
        <v>1</v>
      </c>
      <c r="B3" s="3301"/>
      <c r="C3" s="894" t="s">
        <v>318</v>
      </c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320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814">
        <v>40</v>
      </c>
      <c r="D9" s="846" t="s">
        <v>30</v>
      </c>
      <c r="E9" s="866">
        <f>IF(D9="O",100,IF(D9="A+",90,IF(D9="A",80,IF(D9="B+",70,IF(D9="B",60,IF(D9="C",55,IF(D9="P",50,IF(D9="F",39))))))))</f>
        <v>90</v>
      </c>
    </row>
    <row r="10" spans="1:8" ht="18.75" x14ac:dyDescent="0.25">
      <c r="A10" s="839">
        <v>2</v>
      </c>
      <c r="B10" s="898">
        <v>5191421002</v>
      </c>
      <c r="C10" s="814">
        <v>47</v>
      </c>
      <c r="D10" s="846" t="s">
        <v>82</v>
      </c>
      <c r="E10" s="866">
        <f t="shared" ref="E10:E66" si="0">IF(D10="O",100,IF(D10="A+",90,IF(D10="A",80,IF(D10="B+",70,IF(D10="B",60,IF(D10="C",55,IF(D10="P",50,IF(D10="F",39))))))))</f>
        <v>100</v>
      </c>
    </row>
    <row r="11" spans="1:8" ht="18.75" x14ac:dyDescent="0.25">
      <c r="A11" s="839">
        <v>3</v>
      </c>
      <c r="B11" s="897">
        <v>5191421003</v>
      </c>
      <c r="C11" s="814">
        <v>48</v>
      </c>
      <c r="D11" s="846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814">
        <v>32</v>
      </c>
      <c r="D12" s="846" t="s">
        <v>32</v>
      </c>
      <c r="E12" s="866">
        <f t="shared" si="0"/>
        <v>70</v>
      </c>
    </row>
    <row r="13" spans="1:8" ht="18.75" x14ac:dyDescent="0.25">
      <c r="A13" s="839">
        <v>5</v>
      </c>
      <c r="B13" s="899">
        <v>5191421005</v>
      </c>
      <c r="C13" s="814">
        <v>36</v>
      </c>
      <c r="D13" s="846" t="s">
        <v>27</v>
      </c>
      <c r="E13" s="866">
        <f t="shared" si="0"/>
        <v>80</v>
      </c>
    </row>
    <row r="14" spans="1:8" ht="18.75" x14ac:dyDescent="0.25">
      <c r="A14" s="839">
        <v>6</v>
      </c>
      <c r="B14" s="897">
        <v>5191421006</v>
      </c>
      <c r="C14" s="814">
        <v>45</v>
      </c>
      <c r="D14" s="846" t="s">
        <v>82</v>
      </c>
      <c r="E14" s="866">
        <f t="shared" si="0"/>
        <v>100</v>
      </c>
    </row>
    <row r="15" spans="1:8" ht="18.75" x14ac:dyDescent="0.25">
      <c r="A15" s="839">
        <v>7</v>
      </c>
      <c r="B15" s="897">
        <v>5191421007</v>
      </c>
      <c r="C15" s="814">
        <v>25</v>
      </c>
      <c r="D15" s="846" t="s">
        <v>32</v>
      </c>
      <c r="E15" s="866">
        <f t="shared" si="0"/>
        <v>70</v>
      </c>
    </row>
    <row r="16" spans="1:8" ht="18.75" x14ac:dyDescent="0.25">
      <c r="A16" s="839">
        <v>8</v>
      </c>
      <c r="B16" s="897">
        <v>5191421008</v>
      </c>
      <c r="C16" s="814">
        <v>47</v>
      </c>
      <c r="D16" s="900" t="s">
        <v>30</v>
      </c>
      <c r="E16" s="866">
        <f t="shared" si="0"/>
        <v>90</v>
      </c>
    </row>
    <row r="17" spans="1:5" ht="18.75" x14ac:dyDescent="0.25">
      <c r="A17" s="839">
        <v>9</v>
      </c>
      <c r="B17" s="897">
        <v>5191421009</v>
      </c>
      <c r="C17" s="814">
        <v>46</v>
      </c>
      <c r="D17" s="846" t="s">
        <v>82</v>
      </c>
      <c r="E17" s="866">
        <f t="shared" si="0"/>
        <v>100</v>
      </c>
    </row>
    <row r="18" spans="1:5" ht="18.75" x14ac:dyDescent="0.25">
      <c r="A18" s="839">
        <v>10</v>
      </c>
      <c r="B18" s="897">
        <v>5191421010</v>
      </c>
      <c r="C18" s="814">
        <v>46</v>
      </c>
      <c r="D18" s="846" t="s">
        <v>82</v>
      </c>
      <c r="E18" s="866">
        <f t="shared" si="0"/>
        <v>100</v>
      </c>
    </row>
    <row r="19" spans="1:5" ht="18.75" x14ac:dyDescent="0.25">
      <c r="A19" s="839">
        <v>11</v>
      </c>
      <c r="B19" s="897">
        <v>5191421011</v>
      </c>
      <c r="C19" s="814">
        <v>46</v>
      </c>
      <c r="D19" s="846" t="s">
        <v>30</v>
      </c>
      <c r="E19" s="866">
        <f t="shared" si="0"/>
        <v>90</v>
      </c>
    </row>
    <row r="20" spans="1:5" ht="18.75" x14ac:dyDescent="0.25">
      <c r="A20" s="839">
        <v>12</v>
      </c>
      <c r="B20" s="897">
        <v>5191421012</v>
      </c>
      <c r="C20" s="814">
        <v>36</v>
      </c>
      <c r="D20" s="846" t="s">
        <v>27</v>
      </c>
      <c r="E20" s="866">
        <f t="shared" si="0"/>
        <v>80</v>
      </c>
    </row>
    <row r="21" spans="1:5" ht="18.75" x14ac:dyDescent="0.25">
      <c r="A21" s="839">
        <v>13</v>
      </c>
      <c r="B21" s="897">
        <v>5191421013</v>
      </c>
      <c r="C21" s="814">
        <v>45</v>
      </c>
      <c r="D21" s="846" t="s">
        <v>82</v>
      </c>
      <c r="E21" s="866">
        <f t="shared" si="0"/>
        <v>100</v>
      </c>
    </row>
    <row r="22" spans="1:5" ht="18.75" x14ac:dyDescent="0.25">
      <c r="A22" s="839">
        <v>14</v>
      </c>
      <c r="B22" s="897">
        <v>5191421014</v>
      </c>
      <c r="C22" s="814">
        <v>39</v>
      </c>
      <c r="D22" s="846" t="s">
        <v>27</v>
      </c>
      <c r="E22" s="866">
        <f t="shared" si="0"/>
        <v>80</v>
      </c>
    </row>
    <row r="23" spans="1:5" ht="18.75" x14ac:dyDescent="0.25">
      <c r="A23" s="839">
        <v>15</v>
      </c>
      <c r="B23" s="897">
        <v>5191421015</v>
      </c>
      <c r="C23" s="814">
        <v>45</v>
      </c>
      <c r="D23" s="846" t="s">
        <v>82</v>
      </c>
      <c r="E23" s="866">
        <f t="shared" si="0"/>
        <v>100</v>
      </c>
    </row>
    <row r="24" spans="1:5" ht="18.75" x14ac:dyDescent="0.25">
      <c r="A24" s="839">
        <v>16</v>
      </c>
      <c r="B24" s="897">
        <v>5191421016</v>
      </c>
      <c r="C24" s="814">
        <v>36</v>
      </c>
      <c r="D24" s="846" t="s">
        <v>32</v>
      </c>
      <c r="E24" s="866">
        <f t="shared" si="0"/>
        <v>70</v>
      </c>
    </row>
    <row r="25" spans="1:5" ht="18.75" x14ac:dyDescent="0.25">
      <c r="A25" s="839">
        <v>17</v>
      </c>
      <c r="B25" s="897">
        <v>5191421017</v>
      </c>
      <c r="C25" s="814">
        <v>42</v>
      </c>
      <c r="D25" s="846" t="s">
        <v>30</v>
      </c>
      <c r="E25" s="866">
        <f t="shared" si="0"/>
        <v>90</v>
      </c>
    </row>
    <row r="26" spans="1:5" ht="18.75" x14ac:dyDescent="0.25">
      <c r="A26" s="839">
        <v>18</v>
      </c>
      <c r="B26" s="897">
        <v>5191421018</v>
      </c>
      <c r="C26" s="814">
        <v>34</v>
      </c>
      <c r="D26" s="846" t="s">
        <v>32</v>
      </c>
      <c r="E26" s="866">
        <f t="shared" si="0"/>
        <v>70</v>
      </c>
    </row>
    <row r="27" spans="1:5" ht="18.75" x14ac:dyDescent="0.25">
      <c r="A27" s="839">
        <v>19</v>
      </c>
      <c r="B27" s="897">
        <v>5191421019</v>
      </c>
      <c r="C27" s="814">
        <v>37</v>
      </c>
      <c r="D27" s="846" t="s">
        <v>30</v>
      </c>
      <c r="E27" s="866">
        <f t="shared" si="0"/>
        <v>90</v>
      </c>
    </row>
    <row r="28" spans="1:5" ht="18.75" x14ac:dyDescent="0.25">
      <c r="A28" s="839">
        <v>20</v>
      </c>
      <c r="B28" s="897">
        <v>5191421020</v>
      </c>
      <c r="C28" s="814">
        <v>42</v>
      </c>
      <c r="D28" s="846" t="s">
        <v>30</v>
      </c>
      <c r="E28" s="866">
        <f t="shared" si="0"/>
        <v>90</v>
      </c>
    </row>
    <row r="29" spans="1:5" ht="18.75" x14ac:dyDescent="0.25">
      <c r="A29" s="839">
        <v>21</v>
      </c>
      <c r="B29" s="897">
        <v>5191421021</v>
      </c>
      <c r="C29" s="814">
        <v>44</v>
      </c>
      <c r="D29" s="846" t="s">
        <v>30</v>
      </c>
      <c r="E29" s="866">
        <f t="shared" si="0"/>
        <v>90</v>
      </c>
    </row>
    <row r="30" spans="1:5" ht="18.75" x14ac:dyDescent="0.25">
      <c r="A30" s="839">
        <v>22</v>
      </c>
      <c r="B30" s="897">
        <v>5191421022</v>
      </c>
      <c r="C30" s="814">
        <v>38</v>
      </c>
      <c r="D30" s="846" t="s">
        <v>30</v>
      </c>
      <c r="E30" s="866">
        <f t="shared" si="0"/>
        <v>90</v>
      </c>
    </row>
    <row r="31" spans="1:5" ht="18.75" x14ac:dyDescent="0.25">
      <c r="A31" s="839">
        <v>23</v>
      </c>
      <c r="B31" s="897">
        <v>5191421023</v>
      </c>
      <c r="C31" s="814">
        <v>40</v>
      </c>
      <c r="D31" s="846" t="s">
        <v>30</v>
      </c>
      <c r="E31" s="866">
        <f t="shared" si="0"/>
        <v>90</v>
      </c>
    </row>
    <row r="32" spans="1:5" ht="18.75" x14ac:dyDescent="0.25">
      <c r="A32" s="839">
        <v>24</v>
      </c>
      <c r="B32" s="897">
        <v>5191421024</v>
      </c>
      <c r="C32" s="814">
        <v>35</v>
      </c>
      <c r="D32" s="846" t="s">
        <v>32</v>
      </c>
      <c r="E32" s="866">
        <f t="shared" si="0"/>
        <v>70</v>
      </c>
    </row>
    <row r="33" spans="1:5" ht="18.75" x14ac:dyDescent="0.25">
      <c r="A33" s="839">
        <v>25</v>
      </c>
      <c r="B33" s="897">
        <v>5191421025</v>
      </c>
      <c r="C33" s="814">
        <v>48</v>
      </c>
      <c r="D33" s="846" t="s">
        <v>82</v>
      </c>
      <c r="E33" s="866">
        <f t="shared" si="0"/>
        <v>100</v>
      </c>
    </row>
    <row r="34" spans="1:5" ht="18.75" x14ac:dyDescent="0.25">
      <c r="A34" s="839">
        <v>26</v>
      </c>
      <c r="B34" s="897">
        <v>5191421026</v>
      </c>
      <c r="C34" s="814">
        <v>41</v>
      </c>
      <c r="D34" s="846" t="s">
        <v>30</v>
      </c>
      <c r="E34" s="866">
        <f t="shared" si="0"/>
        <v>90</v>
      </c>
    </row>
    <row r="35" spans="1:5" ht="18.75" x14ac:dyDescent="0.25">
      <c r="A35" s="839">
        <v>27</v>
      </c>
      <c r="B35" s="897">
        <v>5191421027</v>
      </c>
      <c r="C35" s="814">
        <v>39</v>
      </c>
      <c r="D35" s="846" t="s">
        <v>27</v>
      </c>
      <c r="E35" s="866">
        <f t="shared" si="0"/>
        <v>80</v>
      </c>
    </row>
    <row r="36" spans="1:5" ht="18.75" x14ac:dyDescent="0.25">
      <c r="A36" s="839">
        <v>28</v>
      </c>
      <c r="B36" s="897">
        <v>5191421028</v>
      </c>
      <c r="C36" s="814">
        <v>47</v>
      </c>
      <c r="D36" s="901" t="s">
        <v>82</v>
      </c>
      <c r="E36" s="866">
        <f t="shared" si="0"/>
        <v>100</v>
      </c>
    </row>
    <row r="37" spans="1:5" ht="18.75" x14ac:dyDescent="0.25">
      <c r="A37" s="839">
        <v>29</v>
      </c>
      <c r="B37" s="897">
        <v>5191421029</v>
      </c>
      <c r="C37" s="814">
        <v>36</v>
      </c>
      <c r="D37" s="846" t="s">
        <v>27</v>
      </c>
      <c r="E37" s="866">
        <f t="shared" si="0"/>
        <v>80</v>
      </c>
    </row>
    <row r="38" spans="1:5" ht="18.75" x14ac:dyDescent="0.25">
      <c r="A38" s="839">
        <v>30</v>
      </c>
      <c r="B38" s="897">
        <v>5191421030</v>
      </c>
      <c r="C38" s="814">
        <v>33</v>
      </c>
      <c r="D38" s="846" t="s">
        <v>27</v>
      </c>
      <c r="E38" s="866">
        <f t="shared" si="0"/>
        <v>80</v>
      </c>
    </row>
    <row r="39" spans="1:5" ht="18.75" x14ac:dyDescent="0.25">
      <c r="A39" s="839">
        <v>31</v>
      </c>
      <c r="B39" s="897">
        <v>5191421031</v>
      </c>
      <c r="C39" s="814">
        <v>46</v>
      </c>
      <c r="D39" s="846" t="s">
        <v>82</v>
      </c>
      <c r="E39" s="866">
        <f t="shared" si="0"/>
        <v>100</v>
      </c>
    </row>
    <row r="40" spans="1:5" ht="18.75" x14ac:dyDescent="0.25">
      <c r="A40" s="839">
        <v>32</v>
      </c>
      <c r="B40" s="897">
        <v>5191421032</v>
      </c>
      <c r="C40" s="814">
        <v>35</v>
      </c>
      <c r="D40" s="846" t="s">
        <v>27</v>
      </c>
      <c r="E40" s="866">
        <f t="shared" si="0"/>
        <v>80</v>
      </c>
    </row>
    <row r="41" spans="1:5" ht="18.75" x14ac:dyDescent="0.25">
      <c r="A41" s="839">
        <v>33</v>
      </c>
      <c r="B41" s="897">
        <v>5191421033</v>
      </c>
      <c r="C41" s="814">
        <v>45</v>
      </c>
      <c r="D41" s="846" t="s">
        <v>30</v>
      </c>
      <c r="E41" s="866">
        <f t="shared" si="0"/>
        <v>90</v>
      </c>
    </row>
    <row r="42" spans="1:5" ht="18.75" x14ac:dyDescent="0.25">
      <c r="A42" s="839">
        <v>34</v>
      </c>
      <c r="B42" s="897">
        <v>5191421034</v>
      </c>
      <c r="C42" s="814">
        <v>46</v>
      </c>
      <c r="D42" s="846" t="s">
        <v>82</v>
      </c>
      <c r="E42" s="866">
        <f t="shared" si="0"/>
        <v>100</v>
      </c>
    </row>
    <row r="43" spans="1:5" ht="18.75" x14ac:dyDescent="0.25">
      <c r="A43" s="839">
        <v>35</v>
      </c>
      <c r="B43" s="897">
        <v>5191421035</v>
      </c>
      <c r="C43" s="814">
        <v>36</v>
      </c>
      <c r="D43" s="846" t="s">
        <v>32</v>
      </c>
      <c r="E43" s="866">
        <f t="shared" si="0"/>
        <v>70</v>
      </c>
    </row>
    <row r="44" spans="1:5" ht="18.75" x14ac:dyDescent="0.25">
      <c r="A44" s="839">
        <v>36</v>
      </c>
      <c r="B44" s="897">
        <v>5191421036</v>
      </c>
      <c r="C44" s="814">
        <v>48</v>
      </c>
      <c r="D44" s="846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814">
        <v>33</v>
      </c>
      <c r="D45" s="846" t="s">
        <v>32</v>
      </c>
      <c r="E45" s="866">
        <f t="shared" si="0"/>
        <v>70</v>
      </c>
    </row>
    <row r="46" spans="1:5" ht="18.75" x14ac:dyDescent="0.25">
      <c r="A46" s="839">
        <v>38</v>
      </c>
      <c r="B46" s="897">
        <v>5191421038</v>
      </c>
      <c r="C46" s="814">
        <v>33</v>
      </c>
      <c r="D46" s="846" t="s">
        <v>32</v>
      </c>
      <c r="E46" s="866">
        <f t="shared" si="0"/>
        <v>70</v>
      </c>
    </row>
    <row r="47" spans="1:5" ht="18.75" x14ac:dyDescent="0.25">
      <c r="A47" s="839">
        <v>39</v>
      </c>
      <c r="B47" s="897">
        <v>5191421039</v>
      </c>
      <c r="C47" s="814">
        <v>44</v>
      </c>
      <c r="D47" s="846" t="s">
        <v>30</v>
      </c>
      <c r="E47" s="866">
        <f t="shared" si="0"/>
        <v>90</v>
      </c>
    </row>
    <row r="48" spans="1:5" ht="18.75" x14ac:dyDescent="0.25">
      <c r="A48" s="839">
        <v>40</v>
      </c>
      <c r="B48" s="897">
        <v>5191421040</v>
      </c>
      <c r="C48" s="814">
        <v>45</v>
      </c>
      <c r="D48" s="846" t="s">
        <v>30</v>
      </c>
      <c r="E48" s="866">
        <f t="shared" si="0"/>
        <v>90</v>
      </c>
    </row>
    <row r="49" spans="1:5" ht="18.75" x14ac:dyDescent="0.25">
      <c r="A49" s="839">
        <v>41</v>
      </c>
      <c r="B49" s="897">
        <v>5191421041</v>
      </c>
      <c r="C49" s="814">
        <v>43</v>
      </c>
      <c r="D49" s="846" t="s">
        <v>27</v>
      </c>
      <c r="E49" s="866">
        <f t="shared" si="0"/>
        <v>80</v>
      </c>
    </row>
    <row r="50" spans="1:5" ht="18.75" x14ac:dyDescent="0.25">
      <c r="A50" s="839">
        <v>42</v>
      </c>
      <c r="B50" s="897">
        <v>5191421042</v>
      </c>
      <c r="C50" s="814">
        <v>30</v>
      </c>
      <c r="D50" s="846" t="s">
        <v>32</v>
      </c>
      <c r="E50" s="866">
        <f t="shared" si="0"/>
        <v>70</v>
      </c>
    </row>
    <row r="51" spans="1:5" ht="18.75" x14ac:dyDescent="0.25">
      <c r="A51" s="839">
        <v>43</v>
      </c>
      <c r="B51" s="897">
        <v>5191421043</v>
      </c>
      <c r="C51" s="814">
        <v>46</v>
      </c>
      <c r="D51" s="846" t="s">
        <v>82</v>
      </c>
      <c r="E51" s="866">
        <f t="shared" si="0"/>
        <v>100</v>
      </c>
    </row>
    <row r="52" spans="1:5" ht="18.75" x14ac:dyDescent="0.25">
      <c r="A52" s="839">
        <v>44</v>
      </c>
      <c r="B52" s="897">
        <v>5191421044</v>
      </c>
      <c r="C52" s="814">
        <v>47</v>
      </c>
      <c r="D52" s="846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814">
        <v>37</v>
      </c>
      <c r="D53" s="846" t="s">
        <v>27</v>
      </c>
      <c r="E53" s="866">
        <f t="shared" si="0"/>
        <v>80</v>
      </c>
    </row>
    <row r="54" spans="1:5" ht="18.75" x14ac:dyDescent="0.25">
      <c r="A54" s="839">
        <v>46</v>
      </c>
      <c r="B54" s="897">
        <v>5191421046</v>
      </c>
      <c r="C54" s="814">
        <v>41</v>
      </c>
      <c r="D54" s="846" t="s">
        <v>30</v>
      </c>
      <c r="E54" s="866">
        <f t="shared" si="0"/>
        <v>90</v>
      </c>
    </row>
    <row r="55" spans="1:5" ht="18.75" x14ac:dyDescent="0.25">
      <c r="A55" s="839">
        <v>47</v>
      </c>
      <c r="B55" s="897">
        <v>5191421047</v>
      </c>
      <c r="C55" s="814">
        <v>35</v>
      </c>
      <c r="D55" s="846" t="s">
        <v>154</v>
      </c>
      <c r="E55" s="866" t="b">
        <f t="shared" si="0"/>
        <v>0</v>
      </c>
    </row>
    <row r="56" spans="1:5" ht="18.75" x14ac:dyDescent="0.25">
      <c r="A56" s="839">
        <v>48</v>
      </c>
      <c r="B56" s="897">
        <v>5191421048</v>
      </c>
      <c r="C56" s="814">
        <v>42</v>
      </c>
      <c r="D56" s="846" t="s">
        <v>30</v>
      </c>
      <c r="E56" s="866">
        <f t="shared" si="0"/>
        <v>90</v>
      </c>
    </row>
    <row r="57" spans="1:5" ht="18.75" x14ac:dyDescent="0.25">
      <c r="A57" s="839">
        <v>49</v>
      </c>
      <c r="B57" s="897">
        <v>5191421049</v>
      </c>
      <c r="C57" s="814">
        <v>28</v>
      </c>
      <c r="D57" s="846" t="s">
        <v>33</v>
      </c>
      <c r="E57" s="866">
        <f t="shared" si="0"/>
        <v>60</v>
      </c>
    </row>
    <row r="58" spans="1:5" ht="18.75" x14ac:dyDescent="0.25">
      <c r="A58" s="839">
        <v>50</v>
      </c>
      <c r="B58" s="897">
        <v>5191421050</v>
      </c>
      <c r="C58" s="814">
        <v>38</v>
      </c>
      <c r="D58" s="846" t="s">
        <v>27</v>
      </c>
      <c r="E58" s="866">
        <f t="shared" si="0"/>
        <v>80</v>
      </c>
    </row>
    <row r="59" spans="1:5" ht="18.75" x14ac:dyDescent="0.25">
      <c r="A59" s="839">
        <v>51</v>
      </c>
      <c r="B59" s="897">
        <v>5191421051</v>
      </c>
      <c r="C59" s="814">
        <v>44</v>
      </c>
      <c r="D59" s="846" t="s">
        <v>30</v>
      </c>
      <c r="E59" s="866">
        <f t="shared" si="0"/>
        <v>90</v>
      </c>
    </row>
    <row r="60" spans="1:5" ht="18.75" x14ac:dyDescent="0.25">
      <c r="A60" s="839">
        <v>52</v>
      </c>
      <c r="B60" s="897">
        <v>5191421052</v>
      </c>
      <c r="C60" s="814">
        <v>47</v>
      </c>
      <c r="D60" s="846" t="s">
        <v>82</v>
      </c>
      <c r="E60" s="866">
        <f t="shared" si="0"/>
        <v>100</v>
      </c>
    </row>
    <row r="61" spans="1:5" ht="18.75" x14ac:dyDescent="0.25">
      <c r="A61" s="839">
        <v>53</v>
      </c>
      <c r="B61" s="897">
        <v>5191421053</v>
      </c>
      <c r="C61" s="814">
        <v>48</v>
      </c>
      <c r="D61" s="846" t="s">
        <v>82</v>
      </c>
      <c r="E61" s="866">
        <f t="shared" si="0"/>
        <v>100</v>
      </c>
    </row>
    <row r="62" spans="1:5" ht="18.75" x14ac:dyDescent="0.25">
      <c r="A62" s="839">
        <v>54</v>
      </c>
      <c r="B62" s="897">
        <v>5191421054</v>
      </c>
      <c r="C62" s="814">
        <v>46</v>
      </c>
      <c r="D62" s="846" t="s">
        <v>30</v>
      </c>
      <c r="E62" s="866">
        <f t="shared" si="0"/>
        <v>90</v>
      </c>
    </row>
    <row r="63" spans="1:5" ht="18.75" x14ac:dyDescent="0.25">
      <c r="A63" s="839">
        <v>55</v>
      </c>
      <c r="B63" s="897">
        <v>5191421055</v>
      </c>
      <c r="C63" s="814">
        <v>42</v>
      </c>
      <c r="D63" s="846" t="s">
        <v>27</v>
      </c>
      <c r="E63" s="866">
        <f t="shared" si="0"/>
        <v>80</v>
      </c>
    </row>
    <row r="64" spans="1:5" ht="18.75" x14ac:dyDescent="0.25">
      <c r="A64" s="839">
        <v>56</v>
      </c>
      <c r="B64" s="897">
        <v>5191421056</v>
      </c>
      <c r="C64" s="814">
        <v>46</v>
      </c>
      <c r="D64" s="846" t="s">
        <v>82</v>
      </c>
      <c r="E64" s="866">
        <f t="shared" si="0"/>
        <v>100</v>
      </c>
    </row>
    <row r="65" spans="1:14" ht="18.75" x14ac:dyDescent="0.25">
      <c r="A65" s="839">
        <v>57</v>
      </c>
      <c r="B65" s="897">
        <v>5191421057</v>
      </c>
      <c r="C65" s="814">
        <v>44</v>
      </c>
      <c r="D65" s="902" t="s">
        <v>30</v>
      </c>
      <c r="E65" s="866">
        <f t="shared" si="0"/>
        <v>90</v>
      </c>
    </row>
    <row r="66" spans="1:14" ht="19.5" thickBot="1" x14ac:dyDescent="0.3">
      <c r="A66" s="839">
        <v>58</v>
      </c>
      <c r="B66" s="903">
        <v>5191421058</v>
      </c>
      <c r="C66" s="814">
        <v>26</v>
      </c>
      <c r="D66" s="904" t="s">
        <v>33</v>
      </c>
      <c r="E66" s="866">
        <f t="shared" si="0"/>
        <v>60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53</v>
      </c>
      <c r="D69" s="793"/>
      <c r="E69" s="793">
        <f>COUNTIF(E9:E66,"&gt;="&amp;B68)</f>
        <v>55</v>
      </c>
    </row>
    <row r="70" spans="1:14" x14ac:dyDescent="0.25">
      <c r="A70" s="3306" t="s">
        <v>36</v>
      </c>
      <c r="B70" s="3306"/>
      <c r="C70" s="36">
        <f>C69/C67</f>
        <v>0.91379310344827591</v>
      </c>
      <c r="D70" s="793"/>
      <c r="E70" s="36">
        <f>(E69/A66)*100</f>
        <v>94.827586206896555</v>
      </c>
    </row>
    <row r="73" spans="1:14" x14ac:dyDescent="0.25">
      <c r="D73" s="805" t="s">
        <v>38</v>
      </c>
      <c r="E73" s="805" t="s">
        <v>39</v>
      </c>
      <c r="F73" s="805"/>
      <c r="G73" s="805" t="s">
        <v>37</v>
      </c>
      <c r="H73" s="13"/>
    </row>
    <row r="74" spans="1:14" x14ac:dyDescent="0.25">
      <c r="B74" s="805" t="s">
        <v>22</v>
      </c>
      <c r="C74" s="36">
        <f>AVERAGE(C70)*100</f>
        <v>91.379310344827587</v>
      </c>
      <c r="D74" s="793">
        <f>IF(C74&gt;=70,3,IF(AND(C74&gt;=60,C74&lt;70),2,IF(AND(C74&gt;=50,C74&lt;60),1)))</f>
        <v>3</v>
      </c>
      <c r="E74" s="793">
        <f>IF(E70&gt;=70,3,IF(AND(E70&gt;=60,E70&lt;70),2,IF(AND(E70&gt;=50,E70&lt;60),1)))</f>
        <v>3</v>
      </c>
      <c r="F74" s="793"/>
      <c r="G74" s="793">
        <f>(50/100)*E74+(50/100)*D74</f>
        <v>3</v>
      </c>
      <c r="H74" s="329"/>
    </row>
    <row r="75" spans="1:14" x14ac:dyDescent="0.25">
      <c r="B75" s="805" t="s">
        <v>40</v>
      </c>
      <c r="C75" s="36">
        <f>AVERAGE(C70)*100</f>
        <v>91.379310344827587</v>
      </c>
      <c r="D75" s="793">
        <f t="shared" ref="D75:D77" si="1">IF(C75&gt;=70,3,IF(AND(C75&gt;=60,C75&lt;70),2,IF(AND(C75&gt;=50,C75&lt;60),1)))</f>
        <v>3</v>
      </c>
      <c r="E75" s="793">
        <f>IF(E70&gt;=70,3,IF(AND(E70&gt;=60,E70&lt;70),2,IF(AND(E70&gt;=50,E70&lt;60),1)))</f>
        <v>3</v>
      </c>
      <c r="F75" s="793"/>
      <c r="G75" s="793">
        <f t="shared" ref="G75:G77" si="2">(50/100)*E75+(50/100)*D75</f>
        <v>3</v>
      </c>
      <c r="H75" s="329"/>
    </row>
    <row r="76" spans="1:14" x14ac:dyDescent="0.25">
      <c r="B76" s="805" t="s">
        <v>41</v>
      </c>
      <c r="C76" s="36">
        <f>AVERAGE(C70)*100</f>
        <v>91.379310344827587</v>
      </c>
      <c r="D76" s="793">
        <f t="shared" si="1"/>
        <v>3</v>
      </c>
      <c r="E76" s="793">
        <f>IF(E70&gt;=70,3,IF(AND(E70&gt;=60,E70&lt;70),2,IF(AND(E70&gt;=50,E70&lt;60),1)))</f>
        <v>3</v>
      </c>
      <c r="F76" s="793"/>
      <c r="G76" s="793">
        <f t="shared" si="2"/>
        <v>3</v>
      </c>
      <c r="H76" s="329"/>
    </row>
    <row r="77" spans="1:14" x14ac:dyDescent="0.25">
      <c r="B77" s="805" t="s">
        <v>42</v>
      </c>
      <c r="C77" s="36">
        <f>AVERAGE(C70)*100</f>
        <v>91.379310344827587</v>
      </c>
      <c r="D77" s="793">
        <f t="shared" si="1"/>
        <v>3</v>
      </c>
      <c r="E77" s="793">
        <f>IF(E70&gt;=70,3,IF(AND(E70&gt;=60,E70&lt;70),2,IF(AND(E70&gt;=50,E70&lt;60),1)))</f>
        <v>3</v>
      </c>
      <c r="F77" s="793"/>
      <c r="G77" s="793">
        <f t="shared" si="2"/>
        <v>3</v>
      </c>
      <c r="H77" s="329"/>
    </row>
    <row r="78" spans="1:14" x14ac:dyDescent="0.25">
      <c r="B78" s="2872" t="s">
        <v>44</v>
      </c>
      <c r="C78" s="2872"/>
      <c r="D78" s="2872"/>
      <c r="E78" s="2872"/>
      <c r="F78" s="2872"/>
      <c r="G78" s="793">
        <f>AVERAGE(G74:G74)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859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x14ac:dyDescent="0.25">
      <c r="B84" s="20" t="s">
        <v>22</v>
      </c>
      <c r="C84" s="745">
        <v>3</v>
      </c>
      <c r="D84" s="745">
        <v>2</v>
      </c>
      <c r="E84" s="745">
        <v>3</v>
      </c>
      <c r="F84" s="745">
        <v>3</v>
      </c>
      <c r="G84" s="745">
        <v>3</v>
      </c>
      <c r="H84" s="745">
        <v>3</v>
      </c>
      <c r="I84" s="745">
        <v>3</v>
      </c>
      <c r="J84" s="745"/>
      <c r="K84" s="745"/>
      <c r="L84" s="745"/>
      <c r="M84" s="745"/>
      <c r="N84" s="745">
        <v>3</v>
      </c>
    </row>
    <row r="85" spans="1:14" x14ac:dyDescent="0.25">
      <c r="B85" s="20" t="s">
        <v>40</v>
      </c>
      <c r="C85" s="745">
        <v>3</v>
      </c>
      <c r="D85" s="745">
        <v>2</v>
      </c>
      <c r="E85" s="745">
        <v>3</v>
      </c>
      <c r="F85" s="745">
        <v>3</v>
      </c>
      <c r="G85" s="745">
        <v>3</v>
      </c>
      <c r="H85" s="745">
        <v>3</v>
      </c>
      <c r="I85" s="745">
        <v>3</v>
      </c>
      <c r="J85" s="745"/>
      <c r="K85" s="745"/>
      <c r="L85" s="745"/>
      <c r="M85" s="745"/>
      <c r="N85" s="745">
        <v>3</v>
      </c>
    </row>
    <row r="86" spans="1:14" x14ac:dyDescent="0.25">
      <c r="B86" s="20" t="s">
        <v>41</v>
      </c>
      <c r="C86" s="745">
        <v>3</v>
      </c>
      <c r="D86" s="745">
        <v>2</v>
      </c>
      <c r="E86" s="745">
        <v>3</v>
      </c>
      <c r="F86" s="745">
        <v>3</v>
      </c>
      <c r="G86" s="745">
        <v>3</v>
      </c>
      <c r="H86" s="745">
        <v>3</v>
      </c>
      <c r="I86" s="745">
        <v>3</v>
      </c>
      <c r="J86" s="745"/>
      <c r="K86" s="745"/>
      <c r="L86" s="745"/>
      <c r="M86" s="745"/>
      <c r="N86" s="745">
        <v>3</v>
      </c>
    </row>
    <row r="87" spans="1:14" x14ac:dyDescent="0.25">
      <c r="B87" s="20" t="s">
        <v>42</v>
      </c>
      <c r="C87" s="745">
        <v>3</v>
      </c>
      <c r="D87" s="745">
        <v>2</v>
      </c>
      <c r="E87" s="745">
        <v>3</v>
      </c>
      <c r="F87" s="745">
        <v>3</v>
      </c>
      <c r="G87" s="745">
        <v>3</v>
      </c>
      <c r="H87" s="745">
        <v>3</v>
      </c>
      <c r="I87" s="745">
        <v>2</v>
      </c>
      <c r="J87" s="745"/>
      <c r="K87" s="745"/>
      <c r="L87" s="745"/>
      <c r="M87" s="745"/>
      <c r="N87" s="745">
        <v>2</v>
      </c>
    </row>
    <row r="88" spans="1:14" x14ac:dyDescent="0.25">
      <c r="B88" s="859" t="s">
        <v>10</v>
      </c>
      <c r="C88" s="37">
        <f t="shared" ref="C88:I88" si="3">AVERAGE(C84:C87)</f>
        <v>3</v>
      </c>
      <c r="D88" s="37">
        <f t="shared" si="3"/>
        <v>2</v>
      </c>
      <c r="E88" s="37">
        <f t="shared" si="3"/>
        <v>3</v>
      </c>
      <c r="F88" s="37">
        <f t="shared" si="3"/>
        <v>3</v>
      </c>
      <c r="G88" s="37">
        <f t="shared" si="3"/>
        <v>3</v>
      </c>
      <c r="H88" s="37">
        <f t="shared" si="3"/>
        <v>3</v>
      </c>
      <c r="I88" s="37">
        <f t="shared" si="3"/>
        <v>2.75</v>
      </c>
      <c r="J88" s="37"/>
      <c r="K88" s="37"/>
      <c r="L88" s="37"/>
      <c r="M88" s="37"/>
      <c r="N88" s="37">
        <f>AVERAGE(N84:N87)</f>
        <v>2.75</v>
      </c>
    </row>
    <row r="89" spans="1:14" x14ac:dyDescent="0.25">
      <c r="B89" s="859" t="s">
        <v>58</v>
      </c>
      <c r="C89" s="3311">
        <f>AVERAGE(C88:N88)</f>
        <v>2.8125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859" t="s">
        <v>45</v>
      </c>
      <c r="C93" s="906" t="s">
        <v>68</v>
      </c>
      <c r="D93" s="906" t="s">
        <v>69</v>
      </c>
      <c r="E93" s="906" t="s">
        <v>70</v>
      </c>
      <c r="F93" s="906" t="s">
        <v>71</v>
      </c>
      <c r="G93" s="906" t="s">
        <v>72</v>
      </c>
      <c r="H93" s="906" t="s">
        <v>73</v>
      </c>
      <c r="I93" s="906" t="s">
        <v>74</v>
      </c>
      <c r="J93" s="906" t="s">
        <v>75</v>
      </c>
      <c r="K93" s="906" t="s">
        <v>76</v>
      </c>
      <c r="L93" s="906" t="s">
        <v>77</v>
      </c>
      <c r="M93" s="906" t="s">
        <v>78</v>
      </c>
      <c r="N93" s="906" t="s">
        <v>79</v>
      </c>
    </row>
    <row r="94" spans="1:14" x14ac:dyDescent="0.25">
      <c r="B94" s="763" t="s">
        <v>20</v>
      </c>
      <c r="C94" s="907">
        <f>G74*C84/3</f>
        <v>3</v>
      </c>
      <c r="D94" s="907">
        <f>G74*D84/3</f>
        <v>2</v>
      </c>
      <c r="E94" s="907">
        <f>G74*E84/3</f>
        <v>3</v>
      </c>
      <c r="F94" s="907">
        <f>G74*F84/3</f>
        <v>3</v>
      </c>
      <c r="G94" s="907">
        <f>G74*G84/3</f>
        <v>3</v>
      </c>
      <c r="H94" s="907">
        <f>G74*H84/3</f>
        <v>3</v>
      </c>
      <c r="I94" s="907">
        <f>G74*I84/3</f>
        <v>3</v>
      </c>
      <c r="J94" s="907"/>
      <c r="K94" s="907"/>
      <c r="L94" s="907"/>
      <c r="M94" s="907"/>
      <c r="N94" s="907">
        <f t="shared" ref="N94:N97" si="4">G74*N84/3</f>
        <v>3</v>
      </c>
    </row>
    <row r="95" spans="1:14" x14ac:dyDescent="0.25">
      <c r="B95" s="763" t="s">
        <v>21</v>
      </c>
      <c r="C95" s="907">
        <f t="shared" ref="C95:C97" si="5">G75*C85/3</f>
        <v>3</v>
      </c>
      <c r="D95" s="907">
        <f t="shared" ref="D95:D97" si="6">G75*D85/3</f>
        <v>2</v>
      </c>
      <c r="E95" s="907">
        <f t="shared" ref="E95:E97" si="7">G75*E85/3</f>
        <v>3</v>
      </c>
      <c r="F95" s="907">
        <f t="shared" ref="F95:F97" si="8">G75*F85/3</f>
        <v>3</v>
      </c>
      <c r="G95" s="907">
        <f t="shared" ref="G95:G97" si="9">G75*G85/3</f>
        <v>3</v>
      </c>
      <c r="H95" s="907">
        <f t="shared" ref="H95:H97" si="10">G75*H85/3</f>
        <v>3</v>
      </c>
      <c r="I95" s="907">
        <f>G75*I85/3</f>
        <v>3</v>
      </c>
      <c r="J95" s="907"/>
      <c r="K95" s="907"/>
      <c r="L95" s="907"/>
      <c r="M95" s="907"/>
      <c r="N95" s="907">
        <f t="shared" si="4"/>
        <v>3</v>
      </c>
    </row>
    <row r="96" spans="1:14" x14ac:dyDescent="0.25">
      <c r="B96" s="763" t="s">
        <v>23</v>
      </c>
      <c r="C96" s="907">
        <f t="shared" si="5"/>
        <v>3</v>
      </c>
      <c r="D96" s="907">
        <f t="shared" si="6"/>
        <v>2</v>
      </c>
      <c r="E96" s="907">
        <f t="shared" si="7"/>
        <v>3</v>
      </c>
      <c r="F96" s="907">
        <f t="shared" si="8"/>
        <v>3</v>
      </c>
      <c r="G96" s="907">
        <f t="shared" si="9"/>
        <v>3</v>
      </c>
      <c r="H96" s="907">
        <f t="shared" si="10"/>
        <v>3</v>
      </c>
      <c r="I96" s="907">
        <f t="shared" ref="I96:I97" si="11">G76*I86/3</f>
        <v>3</v>
      </c>
      <c r="J96" s="907"/>
      <c r="K96" s="907"/>
      <c r="L96" s="907"/>
      <c r="M96" s="907"/>
      <c r="N96" s="907">
        <f t="shared" si="4"/>
        <v>3</v>
      </c>
    </row>
    <row r="97" spans="1:14" x14ac:dyDescent="0.25">
      <c r="B97" s="763" t="s">
        <v>25</v>
      </c>
      <c r="C97" s="907">
        <f t="shared" si="5"/>
        <v>3</v>
      </c>
      <c r="D97" s="907">
        <f t="shared" si="6"/>
        <v>2</v>
      </c>
      <c r="E97" s="907">
        <f t="shared" si="7"/>
        <v>3</v>
      </c>
      <c r="F97" s="907">
        <f t="shared" si="8"/>
        <v>3</v>
      </c>
      <c r="G97" s="907">
        <f t="shared" si="9"/>
        <v>3</v>
      </c>
      <c r="H97" s="907">
        <f t="shared" si="10"/>
        <v>3</v>
      </c>
      <c r="I97" s="907">
        <f t="shared" si="11"/>
        <v>2</v>
      </c>
      <c r="J97" s="907"/>
      <c r="K97" s="907"/>
      <c r="L97" s="907"/>
      <c r="M97" s="907"/>
      <c r="N97" s="907">
        <f t="shared" si="4"/>
        <v>2</v>
      </c>
    </row>
    <row r="98" spans="1:14" x14ac:dyDescent="0.25">
      <c r="B98" s="859" t="s">
        <v>10</v>
      </c>
      <c r="C98" s="908">
        <f>AVERAGE(C94:C97)</f>
        <v>3</v>
      </c>
      <c r="D98" s="908">
        <f t="shared" ref="D98:N98" si="12">AVERAGE(D94:D97)</f>
        <v>2</v>
      </c>
      <c r="E98" s="908">
        <f t="shared" si="12"/>
        <v>3</v>
      </c>
      <c r="F98" s="908">
        <f t="shared" si="12"/>
        <v>3</v>
      </c>
      <c r="G98" s="908">
        <f t="shared" si="12"/>
        <v>3</v>
      </c>
      <c r="H98" s="908">
        <f t="shared" si="12"/>
        <v>3</v>
      </c>
      <c r="I98" s="908">
        <f t="shared" si="12"/>
        <v>2.75</v>
      </c>
      <c r="J98" s="908"/>
      <c r="K98" s="908"/>
      <c r="L98" s="908"/>
      <c r="M98" s="908"/>
      <c r="N98" s="908">
        <f t="shared" si="12"/>
        <v>2.75</v>
      </c>
    </row>
    <row r="99" spans="1:14" x14ac:dyDescent="0.25">
      <c r="B99" s="859" t="s">
        <v>58</v>
      </c>
      <c r="C99" s="3024">
        <f>AVERAGE(C98:N98)</f>
        <v>2.8125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859" t="s">
        <v>59</v>
      </c>
      <c r="C104" s="748" t="s">
        <v>87</v>
      </c>
      <c r="D104" s="748" t="s">
        <v>88</v>
      </c>
      <c r="E104" s="748" t="s">
        <v>85</v>
      </c>
      <c r="F104" s="756"/>
      <c r="G104" s="859" t="s">
        <v>59</v>
      </c>
      <c r="H104" s="906" t="s">
        <v>60</v>
      </c>
      <c r="I104" s="906" t="s">
        <v>61</v>
      </c>
      <c r="J104" s="906" t="s">
        <v>62</v>
      </c>
      <c r="L104" s="756"/>
      <c r="M104" s="756"/>
      <c r="N104" s="756"/>
    </row>
    <row r="105" spans="1:14" ht="18.75" x14ac:dyDescent="0.3">
      <c r="B105" s="572" t="s">
        <v>22</v>
      </c>
      <c r="C105" s="945">
        <v>2</v>
      </c>
      <c r="D105" s="945">
        <v>2</v>
      </c>
      <c r="E105" s="945">
        <v>3</v>
      </c>
      <c r="F105" s="756"/>
      <c r="G105" s="860" t="s">
        <v>20</v>
      </c>
      <c r="H105" s="907">
        <f>G74*C105/3</f>
        <v>2</v>
      </c>
      <c r="I105" s="907">
        <f>G74*D105/3</f>
        <v>2</v>
      </c>
      <c r="J105" s="907">
        <f>G74*E105/3</f>
        <v>3</v>
      </c>
      <c r="L105" s="756"/>
      <c r="M105" s="756"/>
      <c r="N105" s="756"/>
    </row>
    <row r="106" spans="1:14" ht="18.75" x14ac:dyDescent="0.3">
      <c r="B106" s="572" t="s">
        <v>40</v>
      </c>
      <c r="C106" s="945">
        <v>2</v>
      </c>
      <c r="D106" s="945">
        <v>2</v>
      </c>
      <c r="E106" s="945">
        <v>3</v>
      </c>
      <c r="F106" s="24"/>
      <c r="G106" s="860" t="s">
        <v>21</v>
      </c>
      <c r="H106" s="907">
        <f t="shared" ref="H106:H108" si="13">G75*C106/3</f>
        <v>2</v>
      </c>
      <c r="I106" s="907">
        <f t="shared" ref="I106:I108" si="14">G75*D106/3</f>
        <v>2</v>
      </c>
      <c r="J106" s="907">
        <f>G75*E106/3</f>
        <v>3</v>
      </c>
      <c r="L106" s="24"/>
      <c r="M106" s="24"/>
      <c r="N106" s="24"/>
    </row>
    <row r="107" spans="1:14" ht="18.75" x14ac:dyDescent="0.3">
      <c r="B107" s="572" t="s">
        <v>41</v>
      </c>
      <c r="C107" s="945">
        <v>2</v>
      </c>
      <c r="D107" s="945">
        <v>2</v>
      </c>
      <c r="E107" s="945">
        <v>2</v>
      </c>
      <c r="F107" s="24"/>
      <c r="G107" s="860" t="s">
        <v>23</v>
      </c>
      <c r="H107" s="907">
        <f t="shared" si="13"/>
        <v>2</v>
      </c>
      <c r="I107" s="907">
        <f t="shared" si="14"/>
        <v>2</v>
      </c>
      <c r="J107" s="907">
        <f t="shared" ref="J107:J108" si="15">G76*E107/3</f>
        <v>2</v>
      </c>
      <c r="L107" s="24"/>
      <c r="M107" s="24"/>
      <c r="N107" s="24"/>
    </row>
    <row r="108" spans="1:14" ht="18.75" x14ac:dyDescent="0.3">
      <c r="B108" s="572" t="s">
        <v>42</v>
      </c>
      <c r="C108" s="973">
        <v>2</v>
      </c>
      <c r="D108" s="945">
        <v>2</v>
      </c>
      <c r="E108" s="945">
        <v>2</v>
      </c>
      <c r="F108" s="24"/>
      <c r="G108" s="860" t="s">
        <v>25</v>
      </c>
      <c r="H108" s="907">
        <f t="shared" si="13"/>
        <v>2</v>
      </c>
      <c r="I108" s="907">
        <f t="shared" si="14"/>
        <v>2</v>
      </c>
      <c r="J108" s="907">
        <f t="shared" si="15"/>
        <v>2</v>
      </c>
      <c r="L108" s="24"/>
      <c r="M108" s="24"/>
      <c r="N108" s="24"/>
    </row>
    <row r="109" spans="1:14" x14ac:dyDescent="0.25">
      <c r="B109" s="859" t="s">
        <v>10</v>
      </c>
      <c r="C109" s="909">
        <f>AVERAGE(C105:C108)</f>
        <v>2</v>
      </c>
      <c r="D109" s="909">
        <f t="shared" ref="D109:E109" si="16">AVERAGE(D105:D108)</f>
        <v>2</v>
      </c>
      <c r="E109" s="909">
        <f t="shared" si="16"/>
        <v>2.5</v>
      </c>
      <c r="F109" s="910"/>
      <c r="G109" s="859" t="s">
        <v>10</v>
      </c>
      <c r="H109" s="911">
        <f>AVERAGE(H105:H108)</f>
        <v>2</v>
      </c>
      <c r="I109" s="911">
        <f t="shared" ref="I109:J109" si="17">AVERAGE(I105:I108)</f>
        <v>2</v>
      </c>
      <c r="J109" s="911">
        <f t="shared" si="17"/>
        <v>2.5</v>
      </c>
      <c r="L109" s="910"/>
      <c r="M109" s="910"/>
      <c r="N109" s="910"/>
    </row>
    <row r="110" spans="1:14" x14ac:dyDescent="0.25">
      <c r="B110" s="859" t="s">
        <v>58</v>
      </c>
      <c r="C110" s="3307">
        <f>AVERAGE(C109:E109)</f>
        <v>2.1666666666666665</v>
      </c>
      <c r="D110" s="3308"/>
      <c r="E110" s="3309"/>
      <c r="F110" s="912"/>
      <c r="G110" s="859" t="s">
        <v>58</v>
      </c>
      <c r="H110" s="3024">
        <f>AVERAGE(H109:J109)</f>
        <v>2.1666666666666665</v>
      </c>
      <c r="I110" s="3310"/>
      <c r="J110" s="3026"/>
      <c r="L110" s="912"/>
      <c r="M110" s="912"/>
      <c r="N110" s="912"/>
    </row>
  </sheetData>
  <mergeCells count="20">
    <mergeCell ref="C110:E110"/>
    <mergeCell ref="H110:J110"/>
    <mergeCell ref="C89:N89"/>
    <mergeCell ref="A91:B91"/>
    <mergeCell ref="C99:N99"/>
    <mergeCell ref="A102:B102"/>
    <mergeCell ref="G102:H102"/>
    <mergeCell ref="G103:H103"/>
    <mergeCell ref="D5:D7"/>
    <mergeCell ref="E5:E7"/>
    <mergeCell ref="A69:B69"/>
    <mergeCell ref="A70:B70"/>
    <mergeCell ref="B78:F78"/>
    <mergeCell ref="C5:C7"/>
    <mergeCell ref="A81:B81"/>
    <mergeCell ref="A2:B2"/>
    <mergeCell ref="A3:B3"/>
    <mergeCell ref="A4:B4"/>
    <mergeCell ref="A5:A7"/>
    <mergeCell ref="B5:B7"/>
  </mergeCells>
  <conditionalFormatting sqref="D9:D66">
    <cfRule type="containsText" dxfId="79" priority="1" operator="containsText" text="F">
      <formula>NOT(ISERROR(SEARCH("F",D9)))</formula>
    </cfRule>
  </conditionalFormatting>
  <pageMargins left="0.7" right="0.7" top="0.75" bottom="0.75" header="0.3" footer="0.3"/>
  <pageSetup paperSize="8" scale="5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AD117"/>
  <sheetViews>
    <sheetView topLeftCell="A91" zoomScale="69" zoomScaleNormal="69" workbookViewId="0">
      <selection activeCell="L114" sqref="L114:N114"/>
    </sheetView>
  </sheetViews>
  <sheetFormatPr defaultColWidth="9.140625" defaultRowHeight="18.75" x14ac:dyDescent="0.3"/>
  <cols>
    <col min="1" max="1" width="15.140625" style="1116" bestFit="1" customWidth="1"/>
    <col min="2" max="2" width="18.28515625" style="1116" bestFit="1" customWidth="1"/>
    <col min="3" max="13" width="15" style="1116" customWidth="1"/>
    <col min="14" max="14" width="15" style="1181" customWidth="1"/>
    <col min="15" max="19" width="15" style="1116" customWidth="1"/>
    <col min="20" max="20" width="15" style="1142" customWidth="1"/>
    <col min="21" max="26" width="15" style="1116" customWidth="1"/>
    <col min="27" max="27" width="15" style="1181" customWidth="1"/>
    <col min="28" max="30" width="15" style="1116" customWidth="1"/>
    <col min="31" max="16384" width="9.140625" style="792"/>
  </cols>
  <sheetData>
    <row r="1" spans="1:30" x14ac:dyDescent="0.3">
      <c r="A1" s="1345"/>
    </row>
    <row r="2" spans="1:30" x14ac:dyDescent="0.3">
      <c r="A2" s="3403" t="s">
        <v>0</v>
      </c>
      <c r="B2" s="3404"/>
      <c r="C2" s="3405" t="s">
        <v>342</v>
      </c>
      <c r="D2" s="3317"/>
      <c r="E2" s="3317"/>
      <c r="F2" s="3317"/>
      <c r="G2" s="3317"/>
      <c r="H2" s="3317"/>
      <c r="I2" s="3317"/>
      <c r="J2" s="3317"/>
      <c r="K2" s="3317"/>
      <c r="L2" s="3317"/>
      <c r="M2" s="3317"/>
      <c r="N2" s="3406"/>
      <c r="O2" s="1115" t="s">
        <v>63</v>
      </c>
      <c r="P2" s="3407" t="s">
        <v>271</v>
      </c>
      <c r="Q2" s="3320"/>
      <c r="R2" s="3320"/>
      <c r="S2" s="3320"/>
      <c r="T2" s="3320"/>
      <c r="U2" s="3320"/>
      <c r="V2" s="3320"/>
      <c r="W2" s="3320"/>
      <c r="X2" s="3320"/>
      <c r="Y2" s="3320"/>
      <c r="Z2" s="3320"/>
      <c r="AA2" s="3320"/>
      <c r="AB2" s="1183"/>
      <c r="AC2" s="1183"/>
      <c r="AD2" s="1183"/>
    </row>
    <row r="3" spans="1:30" x14ac:dyDescent="0.3">
      <c r="A3" s="3403" t="s">
        <v>1</v>
      </c>
      <c r="B3" s="3404"/>
      <c r="C3" s="3405" t="s">
        <v>341</v>
      </c>
      <c r="D3" s="3317"/>
      <c r="E3" s="3317"/>
      <c r="F3" s="3317"/>
      <c r="G3" s="3317"/>
      <c r="H3" s="3317"/>
      <c r="I3" s="3317"/>
      <c r="J3" s="3317"/>
      <c r="K3" s="3317"/>
      <c r="L3" s="3317"/>
      <c r="M3" s="3317"/>
      <c r="N3" s="3406"/>
      <c r="O3" s="1117" t="s">
        <v>64</v>
      </c>
      <c r="P3" s="3407" t="s">
        <v>232</v>
      </c>
      <c r="Q3" s="3320"/>
      <c r="R3" s="3320"/>
      <c r="S3" s="3320"/>
      <c r="T3" s="3320"/>
      <c r="U3" s="3320"/>
      <c r="V3" s="3320"/>
      <c r="W3" s="3320"/>
      <c r="X3" s="3320"/>
      <c r="Y3" s="3320"/>
      <c r="Z3" s="3320"/>
      <c r="AA3" s="3320"/>
      <c r="AB3" s="1183"/>
      <c r="AC3" s="1183"/>
      <c r="AD3" s="1183"/>
    </row>
    <row r="4" spans="1:30" ht="19.5" thickBot="1" x14ac:dyDescent="0.35">
      <c r="A4" s="1346"/>
      <c r="B4" s="1347" t="s">
        <v>2</v>
      </c>
      <c r="C4" s="3331" t="s">
        <v>272</v>
      </c>
      <c r="D4" s="3332"/>
      <c r="E4" s="3332"/>
      <c r="F4" s="3332"/>
      <c r="G4" s="3332"/>
      <c r="H4" s="3332"/>
      <c r="I4" s="3332"/>
      <c r="J4" s="3332"/>
      <c r="K4" s="3332"/>
      <c r="L4" s="3332"/>
      <c r="M4" s="3332"/>
      <c r="N4" s="3333"/>
      <c r="O4" s="1347" t="s">
        <v>65</v>
      </c>
      <c r="P4" s="3334" t="s">
        <v>66</v>
      </c>
      <c r="Q4" s="3335"/>
      <c r="R4" s="3335"/>
      <c r="S4" s="3335"/>
      <c r="T4" s="3335"/>
      <c r="U4" s="3335"/>
      <c r="V4" s="3335"/>
      <c r="W4" s="3335"/>
      <c r="X4" s="3335"/>
      <c r="Y4" s="3335"/>
      <c r="Z4" s="3335"/>
      <c r="AA4" s="3335"/>
      <c r="AB4" s="1183"/>
      <c r="AC4" s="1183"/>
      <c r="AD4" s="1183"/>
    </row>
    <row r="5" spans="1:30" ht="19.5" thickBot="1" x14ac:dyDescent="0.35">
      <c r="A5" s="3336"/>
      <c r="B5" s="3337"/>
      <c r="C5" s="3338" t="s">
        <v>3</v>
      </c>
      <c r="D5" s="3339"/>
      <c r="E5" s="3339"/>
      <c r="F5" s="3339"/>
      <c r="G5" s="3339"/>
      <c r="H5" s="3339"/>
      <c r="I5" s="3339"/>
      <c r="J5" s="3339"/>
      <c r="K5" s="3339"/>
      <c r="L5" s="3339"/>
      <c r="M5" s="3339"/>
      <c r="N5" s="3339"/>
      <c r="O5" s="3340"/>
      <c r="P5" s="3341" t="s">
        <v>4</v>
      </c>
      <c r="Q5" s="3342"/>
      <c r="R5" s="3342"/>
      <c r="S5" s="3342"/>
      <c r="T5" s="3342"/>
      <c r="U5" s="3342"/>
      <c r="V5" s="3343"/>
      <c r="W5" s="3343"/>
      <c r="X5" s="3342"/>
      <c r="Y5" s="3342"/>
      <c r="Z5" s="3342"/>
      <c r="AA5" s="3342"/>
      <c r="AB5" s="3342"/>
      <c r="AC5" s="1265"/>
      <c r="AD5" s="1266"/>
    </row>
    <row r="6" spans="1:30" ht="15.75" customHeight="1" thickBot="1" x14ac:dyDescent="0.3">
      <c r="A6" s="3321"/>
      <c r="B6" s="3324" t="s">
        <v>5</v>
      </c>
      <c r="C6" s="3326" t="s">
        <v>6</v>
      </c>
      <c r="D6" s="3327"/>
      <c r="E6" s="3328"/>
      <c r="F6" s="3329" t="s">
        <v>7</v>
      </c>
      <c r="G6" s="3330"/>
      <c r="H6" s="3329" t="s">
        <v>8</v>
      </c>
      <c r="I6" s="3330"/>
      <c r="J6" s="3345" t="s">
        <v>9</v>
      </c>
      <c r="K6" s="3346"/>
      <c r="L6" s="3345" t="s">
        <v>236</v>
      </c>
      <c r="M6" s="3347"/>
      <c r="N6" s="1267" t="s">
        <v>146</v>
      </c>
      <c r="O6" s="3326" t="s">
        <v>6</v>
      </c>
      <c r="P6" s="3327"/>
      <c r="Q6" s="3328"/>
      <c r="R6" s="3348" t="s">
        <v>7</v>
      </c>
      <c r="S6" s="3330"/>
      <c r="T6" s="3329" t="s">
        <v>8</v>
      </c>
      <c r="U6" s="3330"/>
      <c r="V6" s="3329" t="s">
        <v>9</v>
      </c>
      <c r="W6" s="3330"/>
      <c r="X6" s="3348" t="s">
        <v>236</v>
      </c>
      <c r="Y6" s="3330"/>
      <c r="Z6" s="1268" t="s">
        <v>147</v>
      </c>
      <c r="AA6" s="3350" t="s">
        <v>151</v>
      </c>
      <c r="AB6" s="3350" t="s">
        <v>152</v>
      </c>
      <c r="AC6" s="3344" t="s">
        <v>11</v>
      </c>
      <c r="AD6" s="3344" t="s">
        <v>12</v>
      </c>
    </row>
    <row r="7" spans="1:30" ht="15.75" customHeight="1" x14ac:dyDescent="0.25">
      <c r="A7" s="3322"/>
      <c r="B7" s="3325"/>
      <c r="C7" s="1269" t="s">
        <v>13</v>
      </c>
      <c r="D7" s="1270" t="s">
        <v>14</v>
      </c>
      <c r="E7" s="1271" t="s">
        <v>15</v>
      </c>
      <c r="F7" s="1269" t="s">
        <v>13</v>
      </c>
      <c r="G7" s="1271" t="s">
        <v>14</v>
      </c>
      <c r="H7" s="1269" t="s">
        <v>13</v>
      </c>
      <c r="I7" s="1271" t="s">
        <v>14</v>
      </c>
      <c r="J7" s="1269" t="s">
        <v>13</v>
      </c>
      <c r="K7" s="1272" t="s">
        <v>14</v>
      </c>
      <c r="L7" s="1273" t="s">
        <v>13</v>
      </c>
      <c r="M7" s="1271" t="s">
        <v>14</v>
      </c>
      <c r="N7" s="1274"/>
      <c r="O7" s="1269" t="s">
        <v>13</v>
      </c>
      <c r="P7" s="1270" t="s">
        <v>14</v>
      </c>
      <c r="Q7" s="1271" t="s">
        <v>31</v>
      </c>
      <c r="R7" s="1269" t="s">
        <v>13</v>
      </c>
      <c r="S7" s="1271" t="s">
        <v>14</v>
      </c>
      <c r="T7" s="1269" t="s">
        <v>13</v>
      </c>
      <c r="U7" s="1271" t="s">
        <v>14</v>
      </c>
      <c r="V7" s="1269" t="s">
        <v>13</v>
      </c>
      <c r="W7" s="1271" t="s">
        <v>14</v>
      </c>
      <c r="X7" s="1275" t="s">
        <v>13</v>
      </c>
      <c r="Y7" s="1271" t="s">
        <v>14</v>
      </c>
      <c r="Z7" s="1131"/>
      <c r="AA7" s="3351"/>
      <c r="AB7" s="3351"/>
      <c r="AC7" s="3344"/>
      <c r="AD7" s="3344"/>
    </row>
    <row r="8" spans="1:30" x14ac:dyDescent="0.3">
      <c r="A8" s="3323"/>
      <c r="B8" s="1128" t="s">
        <v>19</v>
      </c>
      <c r="C8" s="1122" t="s">
        <v>22</v>
      </c>
      <c r="D8" s="1122" t="s">
        <v>21</v>
      </c>
      <c r="E8" s="1130" t="s">
        <v>20</v>
      </c>
      <c r="F8" s="1236" t="s">
        <v>20</v>
      </c>
      <c r="G8" s="1130" t="s">
        <v>20</v>
      </c>
      <c r="H8" s="1236" t="s">
        <v>20</v>
      </c>
      <c r="I8" s="1235" t="s">
        <v>20</v>
      </c>
      <c r="J8" s="1460" t="s">
        <v>21</v>
      </c>
      <c r="K8" s="1461" t="s">
        <v>40</v>
      </c>
      <c r="L8" s="1122" t="s">
        <v>40</v>
      </c>
      <c r="M8" s="1235" t="s">
        <v>40</v>
      </c>
      <c r="N8" s="1278"/>
      <c r="O8" s="1122" t="s">
        <v>41</v>
      </c>
      <c r="P8" s="1123" t="s">
        <v>42</v>
      </c>
      <c r="Q8" s="1235" t="s">
        <v>43</v>
      </c>
      <c r="R8" s="1122" t="s">
        <v>41</v>
      </c>
      <c r="S8" s="1235" t="s">
        <v>41</v>
      </c>
      <c r="T8" s="1236" t="s">
        <v>23</v>
      </c>
      <c r="U8" s="1235" t="s">
        <v>23</v>
      </c>
      <c r="V8" s="1236" t="s">
        <v>25</v>
      </c>
      <c r="W8" s="1235" t="s">
        <v>25</v>
      </c>
      <c r="X8" s="1131" t="s">
        <v>43</v>
      </c>
      <c r="Y8" s="1235" t="s">
        <v>43</v>
      </c>
      <c r="Z8" s="1131" t="s">
        <v>237</v>
      </c>
      <c r="AA8" s="3352"/>
      <c r="AB8" s="3352"/>
      <c r="AC8" s="3344"/>
      <c r="AD8" s="3344"/>
    </row>
    <row r="9" spans="1:30" x14ac:dyDescent="0.25">
      <c r="A9" s="1123" t="s">
        <v>18</v>
      </c>
      <c r="B9" s="1129" t="s">
        <v>26</v>
      </c>
      <c r="C9" s="1122">
        <v>2</v>
      </c>
      <c r="D9" s="1123">
        <v>2</v>
      </c>
      <c r="E9" s="1235">
        <v>2</v>
      </c>
      <c r="F9" s="1122">
        <v>6</v>
      </c>
      <c r="G9" s="1235">
        <v>6</v>
      </c>
      <c r="H9" s="1122">
        <v>6</v>
      </c>
      <c r="I9" s="1235">
        <v>6</v>
      </c>
      <c r="J9" s="1122">
        <v>6</v>
      </c>
      <c r="K9" s="1254">
        <v>6</v>
      </c>
      <c r="L9" s="1122">
        <v>6</v>
      </c>
      <c r="M9" s="1235">
        <v>6</v>
      </c>
      <c r="N9" s="1278">
        <v>30</v>
      </c>
      <c r="O9" s="1122">
        <v>2</v>
      </c>
      <c r="P9" s="1123">
        <v>2</v>
      </c>
      <c r="Q9" s="1235">
        <v>2</v>
      </c>
      <c r="R9" s="1122">
        <v>6</v>
      </c>
      <c r="S9" s="1235">
        <v>6</v>
      </c>
      <c r="T9" s="1462">
        <v>6</v>
      </c>
      <c r="U9" s="1463">
        <v>6</v>
      </c>
      <c r="V9" s="1122">
        <v>6</v>
      </c>
      <c r="W9" s="1235">
        <v>6</v>
      </c>
      <c r="X9" s="1131">
        <v>6</v>
      </c>
      <c r="Y9" s="1235">
        <v>6</v>
      </c>
      <c r="Z9" s="1131">
        <v>30</v>
      </c>
      <c r="AA9" s="1123">
        <v>10</v>
      </c>
      <c r="AB9" s="1123">
        <v>10</v>
      </c>
      <c r="AC9" s="3344"/>
      <c r="AD9" s="3344"/>
    </row>
    <row r="10" spans="1:30" x14ac:dyDescent="0.3">
      <c r="A10" s="1123">
        <v>1</v>
      </c>
      <c r="B10" s="1498">
        <v>5191421001</v>
      </c>
      <c r="C10" s="1219">
        <v>1</v>
      </c>
      <c r="D10" s="1145">
        <v>2</v>
      </c>
      <c r="E10" s="1257">
        <v>1</v>
      </c>
      <c r="F10" s="1464">
        <v>5</v>
      </c>
      <c r="G10" s="1257">
        <v>6</v>
      </c>
      <c r="H10" s="1464"/>
      <c r="I10" s="1465"/>
      <c r="J10" s="1464">
        <v>5</v>
      </c>
      <c r="K10" s="1188">
        <v>5</v>
      </c>
      <c r="L10" s="1138"/>
      <c r="M10" s="1220"/>
      <c r="N10" s="1284">
        <f>SUM(C10:M10)</f>
        <v>25</v>
      </c>
      <c r="O10" s="1136">
        <v>1</v>
      </c>
      <c r="P10" s="1137">
        <v>1</v>
      </c>
      <c r="Q10" s="1466">
        <v>1</v>
      </c>
      <c r="R10" s="1136"/>
      <c r="S10" s="1220"/>
      <c r="T10" s="1138">
        <v>4</v>
      </c>
      <c r="U10" s="1220">
        <v>5</v>
      </c>
      <c r="V10" s="1138"/>
      <c r="W10" s="1220"/>
      <c r="X10" s="1139"/>
      <c r="Y10" s="1284">
        <v>5</v>
      </c>
      <c r="Z10" s="1140">
        <f>SUM(O10:Y10)</f>
        <v>17</v>
      </c>
      <c r="AA10" s="1134">
        <v>10</v>
      </c>
      <c r="AB10" s="1134">
        <v>10</v>
      </c>
      <c r="AC10" s="846" t="s">
        <v>32</v>
      </c>
      <c r="AD10" s="1134">
        <f t="shared" ref="AD10:AD41" si="0">IF(AC10="O",100,IF(AC10="A+",90,IF(AC10="A",80,IF(AC10="B+",70,IF(AC10="B",60,IF(AC10="C",55,IF(AC10="P",50,IF(AC10="F",39))))))))</f>
        <v>70</v>
      </c>
    </row>
    <row r="11" spans="1:30" x14ac:dyDescent="0.3">
      <c r="A11" s="1499">
        <v>2</v>
      </c>
      <c r="B11" s="1500">
        <v>5191421002</v>
      </c>
      <c r="C11" s="1357">
        <v>2</v>
      </c>
      <c r="D11" s="1355">
        <v>2</v>
      </c>
      <c r="E11" s="1467">
        <v>1</v>
      </c>
      <c r="F11" s="1357">
        <v>4</v>
      </c>
      <c r="G11" s="1467"/>
      <c r="H11" s="1357"/>
      <c r="I11" s="1468"/>
      <c r="J11" s="1357"/>
      <c r="K11" s="1356"/>
      <c r="L11" s="1138">
        <v>4</v>
      </c>
      <c r="M11" s="1220">
        <v>4</v>
      </c>
      <c r="N11" s="1284">
        <f t="shared" ref="N11:N67" si="1">SUM(C11:M11)</f>
        <v>17</v>
      </c>
      <c r="O11" s="1354">
        <v>1</v>
      </c>
      <c r="P11" s="1469">
        <v>2</v>
      </c>
      <c r="Q11" s="1470">
        <v>1</v>
      </c>
      <c r="R11" s="1136"/>
      <c r="S11" s="1220"/>
      <c r="T11" s="1138">
        <v>5</v>
      </c>
      <c r="U11" s="1220">
        <v>6</v>
      </c>
      <c r="V11" s="1138"/>
      <c r="W11" s="1220">
        <v>1</v>
      </c>
      <c r="X11" s="1358"/>
      <c r="Y11" s="1468"/>
      <c r="Z11" s="1140">
        <f t="shared" ref="Z11:Z67" si="2">SUM(O11:Y11)</f>
        <v>16</v>
      </c>
      <c r="AA11" s="1134">
        <v>10</v>
      </c>
      <c r="AB11" s="1134">
        <v>10</v>
      </c>
      <c r="AC11" s="846" t="s">
        <v>32</v>
      </c>
      <c r="AD11" s="1355">
        <f t="shared" si="0"/>
        <v>70</v>
      </c>
    </row>
    <row r="12" spans="1:30" s="30" customFormat="1" x14ac:dyDescent="0.3">
      <c r="A12" s="1123">
        <v>3</v>
      </c>
      <c r="B12" s="1498">
        <v>5191421003</v>
      </c>
      <c r="C12" s="1136">
        <v>2</v>
      </c>
      <c r="D12" s="1137">
        <v>2</v>
      </c>
      <c r="E12" s="1466">
        <v>2</v>
      </c>
      <c r="F12" s="1136">
        <v>5</v>
      </c>
      <c r="G12" s="1220">
        <v>6</v>
      </c>
      <c r="H12" s="1138"/>
      <c r="I12" s="1220"/>
      <c r="J12" s="1138">
        <v>5</v>
      </c>
      <c r="K12" s="1135">
        <v>6</v>
      </c>
      <c r="L12" s="1138"/>
      <c r="M12" s="1220"/>
      <c r="N12" s="1284">
        <f t="shared" si="1"/>
        <v>28</v>
      </c>
      <c r="O12" s="1136">
        <v>2</v>
      </c>
      <c r="P12" s="1137">
        <v>2</v>
      </c>
      <c r="Q12" s="1466">
        <v>2</v>
      </c>
      <c r="R12" s="1136"/>
      <c r="S12" s="1220"/>
      <c r="T12" s="1138">
        <v>5</v>
      </c>
      <c r="U12" s="1220">
        <v>6</v>
      </c>
      <c r="V12" s="1138">
        <v>6</v>
      </c>
      <c r="W12" s="1220">
        <v>6</v>
      </c>
      <c r="X12" s="1139"/>
      <c r="Y12" s="1353"/>
      <c r="Z12" s="1140">
        <f t="shared" si="2"/>
        <v>29</v>
      </c>
      <c r="AA12" s="1134">
        <v>10</v>
      </c>
      <c r="AB12" s="1134">
        <v>10</v>
      </c>
      <c r="AC12" s="846" t="s">
        <v>30</v>
      </c>
      <c r="AD12" s="1134">
        <f t="shared" si="0"/>
        <v>90</v>
      </c>
    </row>
    <row r="13" spans="1:30" s="30" customFormat="1" x14ac:dyDescent="0.3">
      <c r="A13" s="1123">
        <v>4</v>
      </c>
      <c r="B13" s="1498">
        <v>5191421004</v>
      </c>
      <c r="C13" s="1219">
        <v>2</v>
      </c>
      <c r="D13" s="1137">
        <v>2</v>
      </c>
      <c r="E13" s="1466">
        <v>2</v>
      </c>
      <c r="F13" s="1136">
        <v>0</v>
      </c>
      <c r="G13" s="1220">
        <v>5</v>
      </c>
      <c r="H13" s="1138"/>
      <c r="I13" s="1220"/>
      <c r="J13" s="1138">
        <v>1</v>
      </c>
      <c r="K13" s="1135"/>
      <c r="L13" s="1138"/>
      <c r="M13" s="1220"/>
      <c r="N13" s="1284">
        <f t="shared" si="1"/>
        <v>12</v>
      </c>
      <c r="O13" s="1136">
        <v>1</v>
      </c>
      <c r="P13" s="1137">
        <v>1</v>
      </c>
      <c r="Q13" s="1466">
        <v>1</v>
      </c>
      <c r="R13" s="1136"/>
      <c r="S13" s="1220"/>
      <c r="T13" s="1138">
        <v>2</v>
      </c>
      <c r="U13" s="1220">
        <v>3</v>
      </c>
      <c r="V13" s="1138">
        <v>0</v>
      </c>
      <c r="W13" s="1220">
        <v>3</v>
      </c>
      <c r="X13" s="1139"/>
      <c r="Y13" s="1353"/>
      <c r="Z13" s="1140">
        <f t="shared" si="2"/>
        <v>11</v>
      </c>
      <c r="AA13" s="1134">
        <v>10</v>
      </c>
      <c r="AB13" s="1134">
        <v>10</v>
      </c>
      <c r="AC13" s="846" t="s">
        <v>33</v>
      </c>
      <c r="AD13" s="1134">
        <f t="shared" si="0"/>
        <v>60</v>
      </c>
    </row>
    <row r="14" spans="1:30" x14ac:dyDescent="0.3">
      <c r="A14" s="1270">
        <v>5</v>
      </c>
      <c r="B14" s="1501">
        <v>5191421005</v>
      </c>
      <c r="C14" s="1213">
        <v>1</v>
      </c>
      <c r="D14" s="1214">
        <v>2</v>
      </c>
      <c r="E14" s="1471">
        <v>1</v>
      </c>
      <c r="F14" s="1213">
        <v>5</v>
      </c>
      <c r="G14" s="1215">
        <v>6</v>
      </c>
      <c r="H14" s="1216"/>
      <c r="I14" s="1472"/>
      <c r="J14" s="1216">
        <v>5</v>
      </c>
      <c r="K14" s="1473">
        <v>5</v>
      </c>
      <c r="L14" s="1138"/>
      <c r="M14" s="1220"/>
      <c r="N14" s="1284">
        <f t="shared" si="1"/>
        <v>25</v>
      </c>
      <c r="O14" s="1213">
        <v>1</v>
      </c>
      <c r="P14" s="1214">
        <v>1</v>
      </c>
      <c r="Q14" s="1471">
        <v>1</v>
      </c>
      <c r="R14" s="1136"/>
      <c r="S14" s="1220"/>
      <c r="T14" s="1138">
        <v>4</v>
      </c>
      <c r="U14" s="1220">
        <v>6</v>
      </c>
      <c r="V14" s="1138"/>
      <c r="W14" s="1220"/>
      <c r="X14" s="1474">
        <v>0</v>
      </c>
      <c r="Y14" s="1472">
        <v>3</v>
      </c>
      <c r="Z14" s="1140">
        <f t="shared" si="2"/>
        <v>16</v>
      </c>
      <c r="AA14" s="1134">
        <v>10</v>
      </c>
      <c r="AB14" s="1134">
        <v>10</v>
      </c>
      <c r="AC14" s="846" t="s">
        <v>30</v>
      </c>
      <c r="AD14" s="1156">
        <f t="shared" si="0"/>
        <v>90</v>
      </c>
    </row>
    <row r="15" spans="1:30" x14ac:dyDescent="0.3">
      <c r="A15" s="1123">
        <v>6</v>
      </c>
      <c r="B15" s="1498">
        <v>5191421006</v>
      </c>
      <c r="C15" s="1136">
        <v>2</v>
      </c>
      <c r="D15" s="1137">
        <v>1</v>
      </c>
      <c r="E15" s="1466">
        <v>2</v>
      </c>
      <c r="F15" s="1136">
        <v>6</v>
      </c>
      <c r="G15" s="1220">
        <v>6</v>
      </c>
      <c r="H15" s="1138"/>
      <c r="I15" s="1353"/>
      <c r="J15" s="1138">
        <v>5</v>
      </c>
      <c r="K15" s="1135">
        <v>5</v>
      </c>
      <c r="L15" s="1138"/>
      <c r="M15" s="1220"/>
      <c r="N15" s="1284">
        <f t="shared" si="1"/>
        <v>27</v>
      </c>
      <c r="O15" s="1136">
        <v>1</v>
      </c>
      <c r="P15" s="1137">
        <v>2</v>
      </c>
      <c r="Q15" s="1466">
        <v>2</v>
      </c>
      <c r="R15" s="1136"/>
      <c r="S15" s="1220"/>
      <c r="T15" s="1138">
        <v>5</v>
      </c>
      <c r="U15" s="1220">
        <v>6</v>
      </c>
      <c r="V15" s="1138"/>
      <c r="W15" s="1220"/>
      <c r="X15" s="1139">
        <v>5</v>
      </c>
      <c r="Y15" s="1353">
        <v>4</v>
      </c>
      <c r="Z15" s="1140">
        <f t="shared" si="2"/>
        <v>25</v>
      </c>
      <c r="AA15" s="1134">
        <v>10</v>
      </c>
      <c r="AB15" s="1134">
        <v>10</v>
      </c>
      <c r="AC15" s="846" t="s">
        <v>27</v>
      </c>
      <c r="AD15" s="1134">
        <f t="shared" si="0"/>
        <v>80</v>
      </c>
    </row>
    <row r="16" spans="1:30" x14ac:dyDescent="0.3">
      <c r="A16" s="1123">
        <v>7</v>
      </c>
      <c r="B16" s="1498">
        <v>5191421007</v>
      </c>
      <c r="C16" s="1136">
        <v>2</v>
      </c>
      <c r="D16" s="1137">
        <v>2</v>
      </c>
      <c r="E16" s="1466">
        <v>2</v>
      </c>
      <c r="F16" s="1136">
        <v>4</v>
      </c>
      <c r="G16" s="1220">
        <v>5</v>
      </c>
      <c r="H16" s="1138"/>
      <c r="I16" s="1353"/>
      <c r="J16" s="1138"/>
      <c r="K16" s="1135"/>
      <c r="L16" s="1138">
        <v>5</v>
      </c>
      <c r="M16" s="1220">
        <v>6</v>
      </c>
      <c r="N16" s="1284">
        <f t="shared" si="1"/>
        <v>26</v>
      </c>
      <c r="O16" s="1136"/>
      <c r="P16" s="1137">
        <v>2</v>
      </c>
      <c r="Q16" s="1466">
        <v>2</v>
      </c>
      <c r="R16" s="1136">
        <v>5</v>
      </c>
      <c r="S16" s="1220">
        <v>4</v>
      </c>
      <c r="T16" s="1138"/>
      <c r="U16" s="1220"/>
      <c r="V16" s="1138">
        <v>4</v>
      </c>
      <c r="W16" s="1220">
        <v>3</v>
      </c>
      <c r="X16" s="1139"/>
      <c r="Y16" s="1353"/>
      <c r="Z16" s="1140">
        <f t="shared" si="2"/>
        <v>20</v>
      </c>
      <c r="AA16" s="1134">
        <v>10</v>
      </c>
      <c r="AB16" s="1134">
        <v>10</v>
      </c>
      <c r="AC16" s="846" t="s">
        <v>30</v>
      </c>
      <c r="AD16" s="1134">
        <f t="shared" si="0"/>
        <v>90</v>
      </c>
    </row>
    <row r="17" spans="1:30" x14ac:dyDescent="0.3">
      <c r="A17" s="1123">
        <v>8</v>
      </c>
      <c r="B17" s="1498">
        <v>5191421008</v>
      </c>
      <c r="C17" s="1136">
        <v>2</v>
      </c>
      <c r="D17" s="1137">
        <v>1</v>
      </c>
      <c r="E17" s="1466">
        <v>1</v>
      </c>
      <c r="F17" s="1136">
        <v>2</v>
      </c>
      <c r="G17" s="1220">
        <v>5</v>
      </c>
      <c r="H17" s="1138"/>
      <c r="I17" s="1353"/>
      <c r="J17" s="1138">
        <v>5</v>
      </c>
      <c r="K17" s="1135">
        <v>5</v>
      </c>
      <c r="L17" s="1138"/>
      <c r="M17" s="1220"/>
      <c r="N17" s="1284">
        <f t="shared" si="1"/>
        <v>21</v>
      </c>
      <c r="O17" s="1136">
        <v>1</v>
      </c>
      <c r="P17" s="1137">
        <v>2</v>
      </c>
      <c r="Q17" s="1466"/>
      <c r="R17" s="1136"/>
      <c r="S17" s="1220"/>
      <c r="T17" s="1138">
        <v>6</v>
      </c>
      <c r="U17" s="1220">
        <v>5</v>
      </c>
      <c r="V17" s="1138">
        <v>5</v>
      </c>
      <c r="W17" s="1220">
        <v>1</v>
      </c>
      <c r="X17" s="1139"/>
      <c r="Y17" s="1353"/>
      <c r="Z17" s="1140">
        <f t="shared" si="2"/>
        <v>20</v>
      </c>
      <c r="AA17" s="1134">
        <v>10</v>
      </c>
      <c r="AB17" s="1134">
        <v>10</v>
      </c>
      <c r="AC17" s="846" t="s">
        <v>30</v>
      </c>
      <c r="AD17" s="1134">
        <f t="shared" si="0"/>
        <v>90</v>
      </c>
    </row>
    <row r="18" spans="1:30" x14ac:dyDescent="0.3">
      <c r="A18" s="1123">
        <v>9</v>
      </c>
      <c r="B18" s="1498">
        <v>5191421009</v>
      </c>
      <c r="C18" s="1475">
        <v>2</v>
      </c>
      <c r="D18" s="1134">
        <v>2</v>
      </c>
      <c r="E18" s="1353">
        <v>2</v>
      </c>
      <c r="F18" s="1138">
        <v>4</v>
      </c>
      <c r="G18" s="1220">
        <v>4</v>
      </c>
      <c r="H18" s="1138"/>
      <c r="I18" s="1353"/>
      <c r="J18" s="1138"/>
      <c r="K18" s="1135"/>
      <c r="L18" s="1138">
        <v>5</v>
      </c>
      <c r="M18" s="1220">
        <v>4</v>
      </c>
      <c r="N18" s="1284">
        <f t="shared" si="1"/>
        <v>23</v>
      </c>
      <c r="O18" s="1136">
        <v>1</v>
      </c>
      <c r="P18" s="1137">
        <v>1</v>
      </c>
      <c r="Q18" s="1466">
        <v>2</v>
      </c>
      <c r="R18" s="1136"/>
      <c r="S18" s="1220"/>
      <c r="T18" s="1138">
        <v>5</v>
      </c>
      <c r="U18" s="1220">
        <v>6</v>
      </c>
      <c r="V18" s="1138">
        <v>0</v>
      </c>
      <c r="W18" s="1220">
        <v>4</v>
      </c>
      <c r="X18" s="1139"/>
      <c r="Y18" s="1353"/>
      <c r="Z18" s="1140">
        <f t="shared" si="2"/>
        <v>19</v>
      </c>
      <c r="AA18" s="1134">
        <v>10</v>
      </c>
      <c r="AB18" s="1134">
        <v>10</v>
      </c>
      <c r="AC18" s="846" t="s">
        <v>27</v>
      </c>
      <c r="AD18" s="1134">
        <f t="shared" si="0"/>
        <v>80</v>
      </c>
    </row>
    <row r="19" spans="1:30" x14ac:dyDescent="0.3">
      <c r="A19" s="1123">
        <v>10</v>
      </c>
      <c r="B19" s="1498">
        <v>5191421010</v>
      </c>
      <c r="C19" s="1136">
        <v>2</v>
      </c>
      <c r="D19" s="1137">
        <v>2</v>
      </c>
      <c r="E19" s="1466">
        <v>2</v>
      </c>
      <c r="F19" s="1136">
        <v>4</v>
      </c>
      <c r="G19" s="1220">
        <v>5</v>
      </c>
      <c r="H19" s="1138"/>
      <c r="I19" s="1353"/>
      <c r="J19" s="1138">
        <v>5</v>
      </c>
      <c r="K19" s="1135">
        <v>6</v>
      </c>
      <c r="L19" s="1138"/>
      <c r="M19" s="1220"/>
      <c r="N19" s="1284">
        <f t="shared" si="1"/>
        <v>26</v>
      </c>
      <c r="O19" s="1136">
        <v>1</v>
      </c>
      <c r="P19" s="1137">
        <v>1</v>
      </c>
      <c r="Q19" s="1466">
        <v>2</v>
      </c>
      <c r="R19" s="1136"/>
      <c r="S19" s="1220"/>
      <c r="T19" s="1138">
        <v>6</v>
      </c>
      <c r="U19" s="1220">
        <v>6</v>
      </c>
      <c r="V19" s="1138"/>
      <c r="W19" s="1220"/>
      <c r="X19" s="1139">
        <v>5</v>
      </c>
      <c r="Y19" s="1353"/>
      <c r="Z19" s="1140">
        <f t="shared" si="2"/>
        <v>21</v>
      </c>
      <c r="AA19" s="1134">
        <v>10</v>
      </c>
      <c r="AB19" s="1134">
        <v>10</v>
      </c>
      <c r="AC19" s="846" t="s">
        <v>30</v>
      </c>
      <c r="AD19" s="1134">
        <f t="shared" si="0"/>
        <v>90</v>
      </c>
    </row>
    <row r="20" spans="1:30" ht="15" customHeight="1" x14ac:dyDescent="0.3">
      <c r="A20" s="1123">
        <v>11</v>
      </c>
      <c r="B20" s="1498">
        <v>5191421011</v>
      </c>
      <c r="C20" s="1136">
        <v>2</v>
      </c>
      <c r="D20" s="1137">
        <v>2</v>
      </c>
      <c r="E20" s="1466">
        <v>2</v>
      </c>
      <c r="F20" s="1136">
        <v>5</v>
      </c>
      <c r="G20" s="1220">
        <v>5</v>
      </c>
      <c r="H20" s="1138"/>
      <c r="I20" s="1353"/>
      <c r="J20" s="1138">
        <v>6</v>
      </c>
      <c r="K20" s="1135">
        <v>5</v>
      </c>
      <c r="L20" s="1138"/>
      <c r="M20" s="1220"/>
      <c r="N20" s="1284">
        <f t="shared" si="1"/>
        <v>27</v>
      </c>
      <c r="O20" s="1136">
        <v>2</v>
      </c>
      <c r="P20" s="1137">
        <v>2</v>
      </c>
      <c r="Q20" s="1466">
        <v>2</v>
      </c>
      <c r="R20" s="1136"/>
      <c r="S20" s="1220"/>
      <c r="T20" s="1138">
        <v>6</v>
      </c>
      <c r="U20" s="1220">
        <v>5</v>
      </c>
      <c r="V20" s="1138">
        <v>3</v>
      </c>
      <c r="W20" s="1220">
        <v>5</v>
      </c>
      <c r="X20" s="1139"/>
      <c r="Y20" s="1353"/>
      <c r="Z20" s="1140">
        <f t="shared" si="2"/>
        <v>25</v>
      </c>
      <c r="AA20" s="1134">
        <v>10</v>
      </c>
      <c r="AB20" s="1134">
        <v>10</v>
      </c>
      <c r="AC20" s="846" t="s">
        <v>30</v>
      </c>
      <c r="AD20" s="1134">
        <f t="shared" si="0"/>
        <v>90</v>
      </c>
    </row>
    <row r="21" spans="1:30" ht="15" customHeight="1" x14ac:dyDescent="0.3">
      <c r="A21" s="1123">
        <v>12</v>
      </c>
      <c r="B21" s="1498">
        <v>5191421012</v>
      </c>
      <c r="C21" s="1136">
        <v>1</v>
      </c>
      <c r="D21" s="1137">
        <v>2</v>
      </c>
      <c r="E21" s="1466">
        <v>2</v>
      </c>
      <c r="F21" s="1136">
        <v>4</v>
      </c>
      <c r="G21" s="1220">
        <v>5</v>
      </c>
      <c r="H21" s="1138"/>
      <c r="I21" s="1353"/>
      <c r="J21" s="1138">
        <v>5</v>
      </c>
      <c r="K21" s="1135">
        <v>4</v>
      </c>
      <c r="L21" s="1138"/>
      <c r="M21" s="1220"/>
      <c r="N21" s="1284">
        <f t="shared" si="1"/>
        <v>23</v>
      </c>
      <c r="O21" s="1136">
        <v>1</v>
      </c>
      <c r="P21" s="1137">
        <v>1</v>
      </c>
      <c r="Q21" s="1466">
        <v>1</v>
      </c>
      <c r="R21" s="1136"/>
      <c r="S21" s="1220"/>
      <c r="T21" s="1138">
        <v>4</v>
      </c>
      <c r="U21" s="1220">
        <v>5</v>
      </c>
      <c r="V21" s="1138"/>
      <c r="W21" s="1220"/>
      <c r="X21" s="1139"/>
      <c r="Y21" s="1353">
        <v>5</v>
      </c>
      <c r="Z21" s="1140">
        <f t="shared" si="2"/>
        <v>17</v>
      </c>
      <c r="AA21" s="1134">
        <v>10</v>
      </c>
      <c r="AB21" s="1134">
        <v>10</v>
      </c>
      <c r="AC21" s="846" t="s">
        <v>27</v>
      </c>
      <c r="AD21" s="1134">
        <f t="shared" si="0"/>
        <v>80</v>
      </c>
    </row>
    <row r="22" spans="1:30" x14ac:dyDescent="0.3">
      <c r="A22" s="1123">
        <v>13</v>
      </c>
      <c r="B22" s="1498">
        <v>5191421013</v>
      </c>
      <c r="C22" s="1136">
        <v>2</v>
      </c>
      <c r="D22" s="1137">
        <v>2</v>
      </c>
      <c r="E22" s="1466">
        <v>2</v>
      </c>
      <c r="F22" s="1136">
        <v>5</v>
      </c>
      <c r="G22" s="1220">
        <v>6</v>
      </c>
      <c r="H22" s="1138"/>
      <c r="I22" s="1353"/>
      <c r="J22" s="1138">
        <v>5</v>
      </c>
      <c r="K22" s="1135">
        <v>6</v>
      </c>
      <c r="L22" s="1138"/>
      <c r="M22" s="1220"/>
      <c r="N22" s="1284">
        <f t="shared" si="1"/>
        <v>28</v>
      </c>
      <c r="O22" s="1136">
        <v>2</v>
      </c>
      <c r="P22" s="1137">
        <v>2</v>
      </c>
      <c r="Q22" s="1466">
        <v>2</v>
      </c>
      <c r="R22" s="1136"/>
      <c r="S22" s="1220"/>
      <c r="T22" s="1138">
        <v>6</v>
      </c>
      <c r="U22" s="1220">
        <v>6</v>
      </c>
      <c r="V22" s="1138"/>
      <c r="W22" s="1220"/>
      <c r="X22" s="1139">
        <v>0</v>
      </c>
      <c r="Y22" s="1353">
        <v>6</v>
      </c>
      <c r="Z22" s="1140">
        <f t="shared" si="2"/>
        <v>24</v>
      </c>
      <c r="AA22" s="1134">
        <v>10</v>
      </c>
      <c r="AB22" s="1134">
        <v>10</v>
      </c>
      <c r="AC22" s="846" t="s">
        <v>30</v>
      </c>
      <c r="AD22" s="1134">
        <f t="shared" si="0"/>
        <v>90</v>
      </c>
    </row>
    <row r="23" spans="1:30" x14ac:dyDescent="0.3">
      <c r="A23" s="1123">
        <v>14</v>
      </c>
      <c r="B23" s="1498">
        <v>5191421014</v>
      </c>
      <c r="C23" s="1136">
        <v>2</v>
      </c>
      <c r="D23" s="1137">
        <v>2</v>
      </c>
      <c r="E23" s="1466">
        <v>2</v>
      </c>
      <c r="F23" s="1136">
        <v>4</v>
      </c>
      <c r="G23" s="1220">
        <v>5</v>
      </c>
      <c r="H23" s="1138"/>
      <c r="I23" s="1353"/>
      <c r="J23" s="1138"/>
      <c r="K23" s="1135">
        <v>6</v>
      </c>
      <c r="L23" s="1138"/>
      <c r="M23" s="1220"/>
      <c r="N23" s="1284">
        <f t="shared" si="1"/>
        <v>21</v>
      </c>
      <c r="O23" s="1136"/>
      <c r="P23" s="1137">
        <v>1</v>
      </c>
      <c r="Q23" s="1466">
        <v>1</v>
      </c>
      <c r="R23" s="1136"/>
      <c r="S23" s="1220"/>
      <c r="T23" s="1138">
        <v>5</v>
      </c>
      <c r="U23" s="1220">
        <v>4</v>
      </c>
      <c r="V23" s="1138">
        <v>5</v>
      </c>
      <c r="W23" s="1220">
        <v>5</v>
      </c>
      <c r="X23" s="1139"/>
      <c r="Y23" s="1353"/>
      <c r="Z23" s="1140">
        <f t="shared" si="2"/>
        <v>21</v>
      </c>
      <c r="AA23" s="1134">
        <v>9</v>
      </c>
      <c r="AB23" s="1134">
        <v>9</v>
      </c>
      <c r="AC23" s="846" t="s">
        <v>27</v>
      </c>
      <c r="AD23" s="1134">
        <f t="shared" si="0"/>
        <v>80</v>
      </c>
    </row>
    <row r="24" spans="1:30" x14ac:dyDescent="0.3">
      <c r="A24" s="1123">
        <v>15</v>
      </c>
      <c r="B24" s="1498">
        <v>5191421015</v>
      </c>
      <c r="C24" s="1136">
        <v>2</v>
      </c>
      <c r="D24" s="1137">
        <v>1</v>
      </c>
      <c r="E24" s="1466">
        <v>1</v>
      </c>
      <c r="F24" s="1136">
        <v>5</v>
      </c>
      <c r="G24" s="1220">
        <v>6</v>
      </c>
      <c r="H24" s="1138"/>
      <c r="I24" s="1353"/>
      <c r="J24" s="1138"/>
      <c r="K24" s="1135"/>
      <c r="L24" s="1138">
        <v>5</v>
      </c>
      <c r="M24" s="1220">
        <v>5</v>
      </c>
      <c r="N24" s="1284">
        <f t="shared" si="1"/>
        <v>25</v>
      </c>
      <c r="O24" s="1136">
        <v>1</v>
      </c>
      <c r="P24" s="1137">
        <v>1</v>
      </c>
      <c r="Q24" s="1466">
        <v>1</v>
      </c>
      <c r="R24" s="1136"/>
      <c r="S24" s="1220"/>
      <c r="T24" s="1138">
        <v>5</v>
      </c>
      <c r="U24" s="1220">
        <v>6</v>
      </c>
      <c r="V24" s="1138">
        <v>5</v>
      </c>
      <c r="W24" s="1220">
        <v>6</v>
      </c>
      <c r="X24" s="1139"/>
      <c r="Y24" s="1353"/>
      <c r="Z24" s="1140">
        <f t="shared" si="2"/>
        <v>25</v>
      </c>
      <c r="AA24" s="1134">
        <v>10</v>
      </c>
      <c r="AB24" s="1134">
        <v>10</v>
      </c>
      <c r="AC24" s="846" t="s">
        <v>32</v>
      </c>
      <c r="AD24" s="1134">
        <f t="shared" si="0"/>
        <v>70</v>
      </c>
    </row>
    <row r="25" spans="1:30" x14ac:dyDescent="0.3">
      <c r="A25" s="1123">
        <v>16</v>
      </c>
      <c r="B25" s="1498">
        <v>5191421016</v>
      </c>
      <c r="C25" s="1136"/>
      <c r="D25" s="1137"/>
      <c r="E25" s="1466"/>
      <c r="F25" s="1136"/>
      <c r="G25" s="1476"/>
      <c r="H25" s="1133"/>
      <c r="I25" s="1353"/>
      <c r="J25" s="1138"/>
      <c r="K25" s="1135"/>
      <c r="L25" s="1138"/>
      <c r="M25" s="1220"/>
      <c r="N25" s="1284">
        <f t="shared" si="1"/>
        <v>0</v>
      </c>
      <c r="O25" s="1136">
        <v>1</v>
      </c>
      <c r="P25" s="1137">
        <v>1</v>
      </c>
      <c r="Q25" s="1466">
        <v>2</v>
      </c>
      <c r="R25" s="1136">
        <v>4</v>
      </c>
      <c r="S25" s="1220"/>
      <c r="T25" s="1138">
        <v>4</v>
      </c>
      <c r="U25" s="1220"/>
      <c r="V25" s="1138"/>
      <c r="W25" s="1220"/>
      <c r="X25" s="1139"/>
      <c r="Y25" s="1353">
        <v>0</v>
      </c>
      <c r="Z25" s="1140">
        <f t="shared" si="2"/>
        <v>12</v>
      </c>
      <c r="AA25" s="1134">
        <v>10</v>
      </c>
      <c r="AB25" s="1134">
        <v>10</v>
      </c>
      <c r="AC25" s="846" t="s">
        <v>28</v>
      </c>
      <c r="AD25" s="1134">
        <f t="shared" si="0"/>
        <v>50</v>
      </c>
    </row>
    <row r="26" spans="1:30" x14ac:dyDescent="0.3">
      <c r="A26" s="1123">
        <v>17</v>
      </c>
      <c r="B26" s="1498">
        <v>5191421017</v>
      </c>
      <c r="C26" s="1136">
        <v>2</v>
      </c>
      <c r="D26" s="1137">
        <v>2</v>
      </c>
      <c r="E26" s="1466">
        <v>2</v>
      </c>
      <c r="F26" s="1136">
        <v>5</v>
      </c>
      <c r="G26" s="1220">
        <v>6</v>
      </c>
      <c r="H26" s="1138"/>
      <c r="I26" s="1353"/>
      <c r="J26" s="1138">
        <v>4</v>
      </c>
      <c r="K26" s="1135">
        <v>5</v>
      </c>
      <c r="L26" s="1138"/>
      <c r="M26" s="1220"/>
      <c r="N26" s="1284">
        <f t="shared" si="1"/>
        <v>26</v>
      </c>
      <c r="O26" s="1136">
        <v>1</v>
      </c>
      <c r="P26" s="1137">
        <v>1</v>
      </c>
      <c r="Q26" s="1466">
        <v>1</v>
      </c>
      <c r="R26" s="1136"/>
      <c r="S26" s="1220"/>
      <c r="T26" s="1138">
        <v>5</v>
      </c>
      <c r="U26" s="1220">
        <v>6</v>
      </c>
      <c r="V26" s="1138"/>
      <c r="W26" s="1220"/>
      <c r="X26" s="1139"/>
      <c r="Y26" s="1353">
        <v>4</v>
      </c>
      <c r="Z26" s="1140">
        <f t="shared" si="2"/>
        <v>18</v>
      </c>
      <c r="AA26" s="1134">
        <v>10</v>
      </c>
      <c r="AB26" s="1134">
        <v>10</v>
      </c>
      <c r="AC26" s="846" t="s">
        <v>27</v>
      </c>
      <c r="AD26" s="1134">
        <f t="shared" si="0"/>
        <v>80</v>
      </c>
    </row>
    <row r="27" spans="1:30" x14ac:dyDescent="0.3">
      <c r="A27" s="1123">
        <v>18</v>
      </c>
      <c r="B27" s="1498">
        <v>5191421018</v>
      </c>
      <c r="C27" s="1133"/>
      <c r="D27" s="1137"/>
      <c r="E27" s="1466"/>
      <c r="F27" s="1136"/>
      <c r="G27" s="1220"/>
      <c r="H27" s="1138"/>
      <c r="I27" s="1353"/>
      <c r="J27" s="1138"/>
      <c r="K27" s="1135"/>
      <c r="L27" s="1138"/>
      <c r="M27" s="1220"/>
      <c r="N27" s="1284">
        <f t="shared" si="1"/>
        <v>0</v>
      </c>
      <c r="O27" s="1136"/>
      <c r="P27" s="1137">
        <v>0</v>
      </c>
      <c r="Q27" s="1466"/>
      <c r="R27" s="1136">
        <v>1</v>
      </c>
      <c r="S27" s="1220"/>
      <c r="T27" s="1138">
        <v>0</v>
      </c>
      <c r="U27" s="1220"/>
      <c r="V27" s="1138"/>
      <c r="W27" s="1220"/>
      <c r="X27" s="1139"/>
      <c r="Y27" s="1353"/>
      <c r="Z27" s="1140">
        <f t="shared" si="2"/>
        <v>1</v>
      </c>
      <c r="AA27" s="1134">
        <v>10</v>
      </c>
      <c r="AB27" s="1134">
        <v>10</v>
      </c>
      <c r="AC27" s="846" t="s">
        <v>31</v>
      </c>
      <c r="AD27" s="1134">
        <f t="shared" si="0"/>
        <v>55</v>
      </c>
    </row>
    <row r="28" spans="1:30" x14ac:dyDescent="0.3">
      <c r="A28" s="1123">
        <v>19</v>
      </c>
      <c r="B28" s="1498">
        <v>5191421019</v>
      </c>
      <c r="C28" s="1136">
        <v>2</v>
      </c>
      <c r="D28" s="1134">
        <v>2</v>
      </c>
      <c r="E28" s="1220">
        <v>2</v>
      </c>
      <c r="F28" s="1138">
        <v>6</v>
      </c>
      <c r="G28" s="1220">
        <v>6</v>
      </c>
      <c r="H28" s="1138"/>
      <c r="I28" s="1353"/>
      <c r="J28" s="1138">
        <v>5</v>
      </c>
      <c r="K28" s="1135">
        <v>4</v>
      </c>
      <c r="L28" s="1138"/>
      <c r="M28" s="1220"/>
      <c r="N28" s="1284">
        <f t="shared" si="1"/>
        <v>27</v>
      </c>
      <c r="O28" s="1136">
        <v>2</v>
      </c>
      <c r="P28" s="1134">
        <v>2</v>
      </c>
      <c r="Q28" s="1220">
        <v>2</v>
      </c>
      <c r="R28" s="1138"/>
      <c r="S28" s="1220"/>
      <c r="T28" s="1138">
        <v>6</v>
      </c>
      <c r="U28" s="1220">
        <v>6</v>
      </c>
      <c r="V28" s="1138">
        <v>6</v>
      </c>
      <c r="W28" s="1220">
        <v>6</v>
      </c>
      <c r="X28" s="1139"/>
      <c r="Y28" s="1353"/>
      <c r="Z28" s="1140">
        <f t="shared" si="2"/>
        <v>30</v>
      </c>
      <c r="AA28" s="1134">
        <v>10</v>
      </c>
      <c r="AB28" s="1134">
        <v>10</v>
      </c>
      <c r="AC28" s="846" t="s">
        <v>30</v>
      </c>
      <c r="AD28" s="1134">
        <f t="shared" si="0"/>
        <v>90</v>
      </c>
    </row>
    <row r="29" spans="1:30" x14ac:dyDescent="0.3">
      <c r="A29" s="1123">
        <v>20</v>
      </c>
      <c r="B29" s="1498">
        <v>5191421020</v>
      </c>
      <c r="C29" s="1138">
        <v>2</v>
      </c>
      <c r="D29" s="1134">
        <v>2</v>
      </c>
      <c r="E29" s="1220">
        <v>1</v>
      </c>
      <c r="F29" s="1138">
        <v>6</v>
      </c>
      <c r="G29" s="1220">
        <v>6</v>
      </c>
      <c r="H29" s="1138"/>
      <c r="I29" s="1353"/>
      <c r="J29" s="1138">
        <v>5</v>
      </c>
      <c r="K29" s="1135">
        <v>6</v>
      </c>
      <c r="L29" s="1138"/>
      <c r="M29" s="1220"/>
      <c r="N29" s="1284">
        <f t="shared" si="1"/>
        <v>28</v>
      </c>
      <c r="O29" s="1138">
        <v>2</v>
      </c>
      <c r="P29" s="1134">
        <v>1</v>
      </c>
      <c r="Q29" s="1220">
        <v>2</v>
      </c>
      <c r="R29" s="1138"/>
      <c r="S29" s="1220"/>
      <c r="T29" s="1138">
        <v>6</v>
      </c>
      <c r="U29" s="1220">
        <v>6</v>
      </c>
      <c r="V29" s="1138">
        <v>6</v>
      </c>
      <c r="W29" s="1220">
        <v>6</v>
      </c>
      <c r="X29" s="1139"/>
      <c r="Y29" s="1353"/>
      <c r="Z29" s="1140">
        <f t="shared" si="2"/>
        <v>29</v>
      </c>
      <c r="AA29" s="1134">
        <v>10</v>
      </c>
      <c r="AB29" s="1134">
        <v>10</v>
      </c>
      <c r="AC29" s="846" t="s">
        <v>27</v>
      </c>
      <c r="AD29" s="1134">
        <f t="shared" si="0"/>
        <v>80</v>
      </c>
    </row>
    <row r="30" spans="1:30" x14ac:dyDescent="0.3">
      <c r="A30" s="1123">
        <v>21</v>
      </c>
      <c r="B30" s="1498">
        <v>5191421021</v>
      </c>
      <c r="C30" s="1136">
        <v>2</v>
      </c>
      <c r="D30" s="1134">
        <v>1</v>
      </c>
      <c r="E30" s="1220">
        <v>1</v>
      </c>
      <c r="F30" s="1138">
        <v>5</v>
      </c>
      <c r="G30" s="1220">
        <v>3</v>
      </c>
      <c r="H30" s="1138"/>
      <c r="I30" s="1353"/>
      <c r="J30" s="1138">
        <v>5</v>
      </c>
      <c r="K30" s="1135">
        <v>6</v>
      </c>
      <c r="L30" s="1138"/>
      <c r="M30" s="1220"/>
      <c r="N30" s="1284">
        <f t="shared" si="1"/>
        <v>23</v>
      </c>
      <c r="O30" s="1136">
        <v>2</v>
      </c>
      <c r="P30" s="1134">
        <v>1</v>
      </c>
      <c r="Q30" s="1220">
        <v>1</v>
      </c>
      <c r="R30" s="1138"/>
      <c r="S30" s="1220"/>
      <c r="T30" s="1138">
        <v>5</v>
      </c>
      <c r="U30" s="1220">
        <v>5</v>
      </c>
      <c r="V30" s="1138"/>
      <c r="W30" s="1220"/>
      <c r="X30" s="1139">
        <v>3</v>
      </c>
      <c r="Y30" s="1353">
        <v>5</v>
      </c>
      <c r="Z30" s="1140">
        <f t="shared" si="2"/>
        <v>22</v>
      </c>
      <c r="AA30" s="1134">
        <v>10</v>
      </c>
      <c r="AB30" s="1134">
        <v>10</v>
      </c>
      <c r="AC30" s="846" t="s">
        <v>27</v>
      </c>
      <c r="AD30" s="1134">
        <f t="shared" si="0"/>
        <v>80</v>
      </c>
    </row>
    <row r="31" spans="1:30" x14ac:dyDescent="0.3">
      <c r="A31" s="1123">
        <v>22</v>
      </c>
      <c r="B31" s="1498">
        <v>5191421022</v>
      </c>
      <c r="C31" s="1477">
        <v>1</v>
      </c>
      <c r="D31" s="1154">
        <v>1</v>
      </c>
      <c r="E31" s="1478">
        <v>2</v>
      </c>
      <c r="F31" s="1477">
        <v>3</v>
      </c>
      <c r="G31" s="1478">
        <v>0</v>
      </c>
      <c r="H31" s="1477"/>
      <c r="I31" s="1478"/>
      <c r="J31" s="1477"/>
      <c r="K31" s="1479"/>
      <c r="L31" s="1138">
        <v>4</v>
      </c>
      <c r="M31" s="1220">
        <v>5</v>
      </c>
      <c r="N31" s="1284">
        <f t="shared" si="1"/>
        <v>16</v>
      </c>
      <c r="O31" s="1136">
        <v>1</v>
      </c>
      <c r="P31" s="1134">
        <v>1</v>
      </c>
      <c r="Q31" s="1220">
        <v>2</v>
      </c>
      <c r="R31" s="1138"/>
      <c r="S31" s="1220"/>
      <c r="T31" s="1138">
        <v>4</v>
      </c>
      <c r="U31" s="1220">
        <v>5</v>
      </c>
      <c r="V31" s="1138"/>
      <c r="W31" s="1220">
        <v>5</v>
      </c>
      <c r="X31" s="1139"/>
      <c r="Y31" s="1353"/>
      <c r="Z31" s="1140">
        <f t="shared" si="2"/>
        <v>18</v>
      </c>
      <c r="AA31" s="1134">
        <v>8</v>
      </c>
      <c r="AB31" s="1134">
        <v>8</v>
      </c>
      <c r="AC31" s="846" t="s">
        <v>32</v>
      </c>
      <c r="AD31" s="1134">
        <f t="shared" si="0"/>
        <v>70</v>
      </c>
    </row>
    <row r="32" spans="1:30" x14ac:dyDescent="0.3">
      <c r="A32" s="1123">
        <v>23</v>
      </c>
      <c r="B32" s="1498">
        <v>5191421023</v>
      </c>
      <c r="C32" s="1136">
        <v>2</v>
      </c>
      <c r="D32" s="1134">
        <v>2</v>
      </c>
      <c r="E32" s="1220">
        <v>2</v>
      </c>
      <c r="F32" s="1138"/>
      <c r="G32" s="1220"/>
      <c r="H32" s="1138"/>
      <c r="I32" s="1353">
        <v>1</v>
      </c>
      <c r="J32" s="1138"/>
      <c r="K32" s="1135">
        <v>6</v>
      </c>
      <c r="L32" s="1138"/>
      <c r="M32" s="1220"/>
      <c r="N32" s="1284">
        <f t="shared" si="1"/>
        <v>13</v>
      </c>
      <c r="O32" s="1136">
        <v>1</v>
      </c>
      <c r="P32" s="1134">
        <v>1</v>
      </c>
      <c r="Q32" s="1220">
        <v>2</v>
      </c>
      <c r="R32" s="1138"/>
      <c r="S32" s="1220"/>
      <c r="T32" s="1138">
        <v>1</v>
      </c>
      <c r="U32" s="1220">
        <v>5</v>
      </c>
      <c r="V32" s="1138"/>
      <c r="W32" s="1220"/>
      <c r="X32" s="1139"/>
      <c r="Y32" s="1353">
        <v>3</v>
      </c>
      <c r="Z32" s="1140">
        <f t="shared" si="2"/>
        <v>13</v>
      </c>
      <c r="AA32" s="1134">
        <v>10</v>
      </c>
      <c r="AB32" s="1134">
        <v>10</v>
      </c>
      <c r="AC32" s="846" t="s">
        <v>32</v>
      </c>
      <c r="AD32" s="1134">
        <f t="shared" si="0"/>
        <v>70</v>
      </c>
    </row>
    <row r="33" spans="1:30" x14ac:dyDescent="0.3">
      <c r="A33" s="1123">
        <v>24</v>
      </c>
      <c r="B33" s="1498">
        <v>5191421024</v>
      </c>
      <c r="C33" s="1136">
        <v>1</v>
      </c>
      <c r="D33" s="1134">
        <v>0</v>
      </c>
      <c r="E33" s="1220">
        <v>2</v>
      </c>
      <c r="F33" s="1138"/>
      <c r="G33" s="1220"/>
      <c r="H33" s="1138">
        <v>3</v>
      </c>
      <c r="I33" s="1353">
        <v>5</v>
      </c>
      <c r="J33" s="1138"/>
      <c r="K33" s="1135"/>
      <c r="L33" s="1138">
        <v>4</v>
      </c>
      <c r="M33" s="1220">
        <v>3</v>
      </c>
      <c r="N33" s="1284">
        <f t="shared" si="1"/>
        <v>18</v>
      </c>
      <c r="O33" s="1136">
        <v>1</v>
      </c>
      <c r="P33" s="1134">
        <v>1</v>
      </c>
      <c r="Q33" s="1220">
        <v>2</v>
      </c>
      <c r="R33" s="1138"/>
      <c r="S33" s="1220"/>
      <c r="T33" s="1138">
        <v>4</v>
      </c>
      <c r="U33" s="1220">
        <v>4</v>
      </c>
      <c r="V33" s="1138"/>
      <c r="W33" s="1220"/>
      <c r="X33" s="1139"/>
      <c r="Y33" s="1353"/>
      <c r="Z33" s="1140">
        <f t="shared" si="2"/>
        <v>12</v>
      </c>
      <c r="AA33" s="1134">
        <v>8</v>
      </c>
      <c r="AB33" s="1134">
        <v>8</v>
      </c>
      <c r="AC33" s="846" t="s">
        <v>31</v>
      </c>
      <c r="AD33" s="1134">
        <f t="shared" si="0"/>
        <v>55</v>
      </c>
    </row>
    <row r="34" spans="1:30" x14ac:dyDescent="0.3">
      <c r="A34" s="1123">
        <v>25</v>
      </c>
      <c r="B34" s="1498">
        <v>5191421025</v>
      </c>
      <c r="C34" s="1136">
        <v>2</v>
      </c>
      <c r="D34" s="1134">
        <v>2</v>
      </c>
      <c r="E34" s="1220">
        <v>2</v>
      </c>
      <c r="F34" s="1138">
        <v>5</v>
      </c>
      <c r="G34" s="1220">
        <v>6</v>
      </c>
      <c r="H34" s="1138"/>
      <c r="I34" s="1353"/>
      <c r="J34" s="1138"/>
      <c r="K34" s="1135"/>
      <c r="L34" s="1138">
        <v>6</v>
      </c>
      <c r="M34" s="1220">
        <v>6</v>
      </c>
      <c r="N34" s="1284">
        <f t="shared" si="1"/>
        <v>29</v>
      </c>
      <c r="O34" s="1136">
        <v>1</v>
      </c>
      <c r="P34" s="1134">
        <v>2</v>
      </c>
      <c r="Q34" s="1220">
        <v>2</v>
      </c>
      <c r="R34" s="1138"/>
      <c r="S34" s="1220"/>
      <c r="T34" s="1138">
        <v>6</v>
      </c>
      <c r="U34" s="1220">
        <v>6</v>
      </c>
      <c r="V34" s="1138">
        <v>5</v>
      </c>
      <c r="W34" s="1220">
        <v>6</v>
      </c>
      <c r="X34" s="1139"/>
      <c r="Y34" s="1353"/>
      <c r="Z34" s="1140">
        <f t="shared" si="2"/>
        <v>28</v>
      </c>
      <c r="AA34" s="1134">
        <v>10</v>
      </c>
      <c r="AB34" s="1134">
        <v>10</v>
      </c>
      <c r="AC34" s="846" t="s">
        <v>82</v>
      </c>
      <c r="AD34" s="1134">
        <f t="shared" si="0"/>
        <v>100</v>
      </c>
    </row>
    <row r="35" spans="1:30" x14ac:dyDescent="0.3">
      <c r="A35" s="1123">
        <v>26</v>
      </c>
      <c r="B35" s="1498">
        <v>5191421026</v>
      </c>
      <c r="C35" s="1136">
        <v>2</v>
      </c>
      <c r="D35" s="1134">
        <v>1</v>
      </c>
      <c r="E35" s="1220">
        <v>1</v>
      </c>
      <c r="F35" s="1138">
        <v>4</v>
      </c>
      <c r="G35" s="1220">
        <v>4</v>
      </c>
      <c r="H35" s="1138"/>
      <c r="I35" s="1353"/>
      <c r="J35" s="1138"/>
      <c r="K35" s="1135"/>
      <c r="L35" s="1138">
        <v>5</v>
      </c>
      <c r="M35" s="1220">
        <v>5</v>
      </c>
      <c r="N35" s="1284">
        <f t="shared" si="1"/>
        <v>22</v>
      </c>
      <c r="O35" s="1136">
        <v>1</v>
      </c>
      <c r="P35" s="1134">
        <v>2</v>
      </c>
      <c r="Q35" s="1220">
        <v>1</v>
      </c>
      <c r="R35" s="1138">
        <v>4</v>
      </c>
      <c r="S35" s="1220">
        <v>2</v>
      </c>
      <c r="T35" s="1138"/>
      <c r="U35" s="1220"/>
      <c r="V35" s="1138"/>
      <c r="W35" s="1220"/>
      <c r="X35" s="1139">
        <v>2</v>
      </c>
      <c r="Y35" s="1353">
        <v>2</v>
      </c>
      <c r="Z35" s="1140">
        <f t="shared" si="2"/>
        <v>14</v>
      </c>
      <c r="AA35" s="1134">
        <v>10</v>
      </c>
      <c r="AB35" s="1134">
        <v>10</v>
      </c>
      <c r="AC35" s="846" t="s">
        <v>30</v>
      </c>
      <c r="AD35" s="1134">
        <f t="shared" si="0"/>
        <v>90</v>
      </c>
    </row>
    <row r="36" spans="1:30" x14ac:dyDescent="0.3">
      <c r="A36" s="1123">
        <v>27</v>
      </c>
      <c r="B36" s="1498">
        <v>5191421027</v>
      </c>
      <c r="C36" s="1136">
        <v>2</v>
      </c>
      <c r="D36" s="1134">
        <v>2</v>
      </c>
      <c r="E36" s="1220">
        <v>2</v>
      </c>
      <c r="F36" s="1138">
        <v>5</v>
      </c>
      <c r="G36" s="1220">
        <v>4</v>
      </c>
      <c r="H36" s="1138"/>
      <c r="I36" s="1353"/>
      <c r="J36" s="1138">
        <v>5</v>
      </c>
      <c r="K36" s="1135">
        <v>6</v>
      </c>
      <c r="L36" s="1138"/>
      <c r="M36" s="1220"/>
      <c r="N36" s="1284">
        <f t="shared" si="1"/>
        <v>26</v>
      </c>
      <c r="O36" s="1136">
        <v>2</v>
      </c>
      <c r="P36" s="1134">
        <v>2</v>
      </c>
      <c r="Q36" s="1220">
        <v>2</v>
      </c>
      <c r="R36" s="1138"/>
      <c r="S36" s="1220"/>
      <c r="T36" s="1138">
        <v>5</v>
      </c>
      <c r="U36" s="1220">
        <v>6</v>
      </c>
      <c r="V36" s="1138"/>
      <c r="W36" s="1220"/>
      <c r="X36" s="1139">
        <v>5</v>
      </c>
      <c r="Y36" s="1353">
        <v>4</v>
      </c>
      <c r="Z36" s="1140">
        <f t="shared" si="2"/>
        <v>26</v>
      </c>
      <c r="AA36" s="1134">
        <v>10</v>
      </c>
      <c r="AB36" s="1134">
        <v>10</v>
      </c>
      <c r="AC36" s="846" t="s">
        <v>82</v>
      </c>
      <c r="AD36" s="1134">
        <f t="shared" si="0"/>
        <v>100</v>
      </c>
    </row>
    <row r="37" spans="1:30" x14ac:dyDescent="0.3">
      <c r="A37" s="1123">
        <v>28</v>
      </c>
      <c r="B37" s="1498">
        <v>5191421028</v>
      </c>
      <c r="C37" s="1136">
        <v>2</v>
      </c>
      <c r="D37" s="1134">
        <v>2</v>
      </c>
      <c r="E37" s="1220">
        <v>1</v>
      </c>
      <c r="F37" s="1138">
        <v>6</v>
      </c>
      <c r="G37" s="1220">
        <v>6</v>
      </c>
      <c r="H37" s="1138"/>
      <c r="I37" s="1353"/>
      <c r="J37" s="1138">
        <v>5</v>
      </c>
      <c r="K37" s="1135">
        <v>6</v>
      </c>
      <c r="L37" s="1138"/>
      <c r="M37" s="1220"/>
      <c r="N37" s="1284">
        <f t="shared" si="1"/>
        <v>28</v>
      </c>
      <c r="O37" s="1136">
        <v>1</v>
      </c>
      <c r="P37" s="1134">
        <v>2</v>
      </c>
      <c r="Q37" s="1220">
        <v>2</v>
      </c>
      <c r="R37" s="1138">
        <v>6</v>
      </c>
      <c r="S37" s="1220">
        <v>6</v>
      </c>
      <c r="T37" s="1138"/>
      <c r="U37" s="1220"/>
      <c r="V37" s="1138"/>
      <c r="W37" s="1220"/>
      <c r="X37" s="1139">
        <v>1</v>
      </c>
      <c r="Y37" s="1353">
        <v>5</v>
      </c>
      <c r="Z37" s="1140">
        <f t="shared" si="2"/>
        <v>23</v>
      </c>
      <c r="AA37" s="1134">
        <v>10</v>
      </c>
      <c r="AB37" s="1134">
        <v>10</v>
      </c>
      <c r="AC37" s="901" t="s">
        <v>30</v>
      </c>
      <c r="AD37" s="1134">
        <f t="shared" si="0"/>
        <v>90</v>
      </c>
    </row>
    <row r="38" spans="1:30" x14ac:dyDescent="0.3">
      <c r="A38" s="1123">
        <v>29</v>
      </c>
      <c r="B38" s="1498">
        <v>5191421029</v>
      </c>
      <c r="C38" s="1136">
        <v>2</v>
      </c>
      <c r="D38" s="1134">
        <v>2</v>
      </c>
      <c r="E38" s="1220">
        <v>2</v>
      </c>
      <c r="F38" s="1138">
        <v>6</v>
      </c>
      <c r="G38" s="1220">
        <v>5</v>
      </c>
      <c r="H38" s="1138"/>
      <c r="I38" s="1353"/>
      <c r="J38" s="1138"/>
      <c r="K38" s="1135"/>
      <c r="L38" s="1138">
        <v>6</v>
      </c>
      <c r="M38" s="1220">
        <v>5</v>
      </c>
      <c r="N38" s="1284">
        <f t="shared" si="1"/>
        <v>28</v>
      </c>
      <c r="O38" s="1136">
        <v>1</v>
      </c>
      <c r="P38" s="1134">
        <v>2</v>
      </c>
      <c r="Q38" s="1220">
        <v>2</v>
      </c>
      <c r="R38" s="1138">
        <v>6</v>
      </c>
      <c r="S38" s="1220">
        <v>6</v>
      </c>
      <c r="T38" s="1138"/>
      <c r="U38" s="1220"/>
      <c r="V38" s="1138">
        <v>5</v>
      </c>
      <c r="W38" s="1220">
        <v>6</v>
      </c>
      <c r="X38" s="1139"/>
      <c r="Y38" s="1353"/>
      <c r="Z38" s="1140">
        <f t="shared" si="2"/>
        <v>28</v>
      </c>
      <c r="AA38" s="1134">
        <v>10</v>
      </c>
      <c r="AB38" s="1134">
        <v>10</v>
      </c>
      <c r="AC38" s="846" t="s">
        <v>30</v>
      </c>
      <c r="AD38" s="1134">
        <f t="shared" si="0"/>
        <v>90</v>
      </c>
    </row>
    <row r="39" spans="1:30" x14ac:dyDescent="0.3">
      <c r="A39" s="1123">
        <v>30</v>
      </c>
      <c r="B39" s="1498">
        <v>5191421030</v>
      </c>
      <c r="C39" s="1133">
        <v>1</v>
      </c>
      <c r="D39" s="1134">
        <v>1</v>
      </c>
      <c r="E39" s="1220">
        <v>1</v>
      </c>
      <c r="F39" s="1138">
        <v>0</v>
      </c>
      <c r="G39" s="1220">
        <v>5</v>
      </c>
      <c r="H39" s="1138"/>
      <c r="I39" s="1353"/>
      <c r="J39" s="1138"/>
      <c r="K39" s="1135"/>
      <c r="L39" s="1138">
        <v>4</v>
      </c>
      <c r="M39" s="1220">
        <v>6</v>
      </c>
      <c r="N39" s="1284">
        <f t="shared" si="1"/>
        <v>18</v>
      </c>
      <c r="O39" s="1136">
        <v>1</v>
      </c>
      <c r="P39" s="1134">
        <v>1</v>
      </c>
      <c r="Q39" s="1220">
        <v>1</v>
      </c>
      <c r="R39" s="1138"/>
      <c r="S39" s="1220"/>
      <c r="T39" s="1138">
        <v>3</v>
      </c>
      <c r="U39" s="1220">
        <v>5</v>
      </c>
      <c r="V39" s="1138"/>
      <c r="W39" s="1220">
        <v>1</v>
      </c>
      <c r="X39" s="1139"/>
      <c r="Y39" s="1353"/>
      <c r="Z39" s="1140">
        <f t="shared" si="2"/>
        <v>12</v>
      </c>
      <c r="AA39" s="1134">
        <v>9</v>
      </c>
      <c r="AB39" s="1134">
        <v>9</v>
      </c>
      <c r="AC39" s="846" t="s">
        <v>28</v>
      </c>
      <c r="AD39" s="1134">
        <f t="shared" si="0"/>
        <v>50</v>
      </c>
    </row>
    <row r="40" spans="1:30" x14ac:dyDescent="0.3">
      <c r="A40" s="1123">
        <v>31</v>
      </c>
      <c r="B40" s="1498">
        <v>5191421031</v>
      </c>
      <c r="C40" s="1138">
        <v>2</v>
      </c>
      <c r="D40" s="1134">
        <v>2</v>
      </c>
      <c r="E40" s="1220">
        <v>2</v>
      </c>
      <c r="F40" s="1138">
        <v>5</v>
      </c>
      <c r="G40" s="1220">
        <v>3</v>
      </c>
      <c r="H40" s="1138"/>
      <c r="I40" s="1353"/>
      <c r="J40" s="1138">
        <v>5</v>
      </c>
      <c r="K40" s="1135">
        <v>5</v>
      </c>
      <c r="L40" s="1138"/>
      <c r="M40" s="1220"/>
      <c r="N40" s="1284">
        <f t="shared" si="1"/>
        <v>24</v>
      </c>
      <c r="O40" s="1136">
        <v>1</v>
      </c>
      <c r="P40" s="1134">
        <v>1</v>
      </c>
      <c r="Q40" s="1220">
        <v>2</v>
      </c>
      <c r="R40" s="1138"/>
      <c r="S40" s="1220"/>
      <c r="T40" s="1138">
        <v>5</v>
      </c>
      <c r="U40" s="1220">
        <v>6</v>
      </c>
      <c r="V40" s="1138">
        <v>5</v>
      </c>
      <c r="W40" s="1220">
        <v>5</v>
      </c>
      <c r="X40" s="1139"/>
      <c r="Y40" s="1353"/>
      <c r="Z40" s="1140">
        <f t="shared" si="2"/>
        <v>25</v>
      </c>
      <c r="AA40" s="1134">
        <v>10</v>
      </c>
      <c r="AB40" s="1134">
        <v>10</v>
      </c>
      <c r="AC40" s="846" t="s">
        <v>27</v>
      </c>
      <c r="AD40" s="1134">
        <f t="shared" si="0"/>
        <v>80</v>
      </c>
    </row>
    <row r="41" spans="1:30" x14ac:dyDescent="0.3">
      <c r="A41" s="1123">
        <v>32</v>
      </c>
      <c r="B41" s="1498">
        <v>5191421032</v>
      </c>
      <c r="C41" s="1464">
        <v>1</v>
      </c>
      <c r="D41" s="1145">
        <v>0</v>
      </c>
      <c r="E41" s="1257">
        <v>1</v>
      </c>
      <c r="F41" s="1477">
        <v>0</v>
      </c>
      <c r="G41" s="1478">
        <v>0</v>
      </c>
      <c r="H41" s="1477">
        <v>0</v>
      </c>
      <c r="I41" s="1478"/>
      <c r="J41" s="1477"/>
      <c r="K41" s="1479"/>
      <c r="L41" s="1138"/>
      <c r="M41" s="1220"/>
      <c r="N41" s="1480">
        <f t="shared" si="1"/>
        <v>2</v>
      </c>
      <c r="O41" s="1145">
        <v>2</v>
      </c>
      <c r="P41" s="1145">
        <v>1</v>
      </c>
      <c r="Q41" s="1145">
        <v>1</v>
      </c>
      <c r="R41" s="1145"/>
      <c r="S41" s="1145"/>
      <c r="T41" s="1145">
        <v>2</v>
      </c>
      <c r="U41" s="1145">
        <v>4</v>
      </c>
      <c r="V41" s="1145">
        <v>3</v>
      </c>
      <c r="W41" s="1145">
        <v>5</v>
      </c>
      <c r="X41" s="1139"/>
      <c r="Y41" s="1353"/>
      <c r="Z41" s="1140">
        <f t="shared" si="2"/>
        <v>18</v>
      </c>
      <c r="AA41" s="1134">
        <v>10</v>
      </c>
      <c r="AB41" s="1134">
        <v>10</v>
      </c>
      <c r="AC41" s="846" t="s">
        <v>31</v>
      </c>
      <c r="AD41" s="1134">
        <f t="shared" si="0"/>
        <v>55</v>
      </c>
    </row>
    <row r="42" spans="1:30" x14ac:dyDescent="0.3">
      <c r="A42" s="1123">
        <v>33</v>
      </c>
      <c r="B42" s="1498">
        <v>5191421033</v>
      </c>
      <c r="C42" s="1136">
        <v>2</v>
      </c>
      <c r="D42" s="1134">
        <v>2</v>
      </c>
      <c r="E42" s="1220">
        <v>2</v>
      </c>
      <c r="F42" s="1138">
        <v>6</v>
      </c>
      <c r="G42" s="1220">
        <v>6</v>
      </c>
      <c r="H42" s="1138"/>
      <c r="I42" s="1353"/>
      <c r="J42" s="1138"/>
      <c r="K42" s="1135"/>
      <c r="L42" s="1138">
        <v>6</v>
      </c>
      <c r="M42" s="1220">
        <v>5</v>
      </c>
      <c r="N42" s="1284">
        <f t="shared" si="1"/>
        <v>29</v>
      </c>
      <c r="O42" s="1138"/>
      <c r="P42" s="1134"/>
      <c r="Q42" s="1220"/>
      <c r="R42" s="1138"/>
      <c r="S42" s="1220"/>
      <c r="T42" s="1138"/>
      <c r="U42" s="1220"/>
      <c r="V42" s="1138"/>
      <c r="W42" s="1220"/>
      <c r="X42" s="1139"/>
      <c r="Y42" s="1353"/>
      <c r="Z42" s="1140">
        <f>SUM(O42:Y42)</f>
        <v>0</v>
      </c>
      <c r="AA42" s="1134">
        <v>10</v>
      </c>
      <c r="AB42" s="1134">
        <v>10</v>
      </c>
      <c r="AC42" s="846" t="s">
        <v>30</v>
      </c>
      <c r="AD42" s="1134">
        <f t="shared" ref="AD42:AD60" si="3">IF(AC42="O",100,IF(AC42="A+",90,IF(AC42="A",80,IF(AC42="B+",70,IF(AC42="B",60,IF(AC42="C",55,IF(AC42="P",50,IF(AC42="F",39))))))))</f>
        <v>90</v>
      </c>
    </row>
    <row r="43" spans="1:30" x14ac:dyDescent="0.3">
      <c r="A43" s="1123">
        <v>34</v>
      </c>
      <c r="B43" s="1498">
        <v>5191421034</v>
      </c>
      <c r="C43" s="1136">
        <v>2</v>
      </c>
      <c r="D43" s="1134">
        <v>2</v>
      </c>
      <c r="E43" s="1220">
        <v>2</v>
      </c>
      <c r="F43" s="1138">
        <v>5</v>
      </c>
      <c r="G43" s="1220">
        <v>5</v>
      </c>
      <c r="H43" s="1138"/>
      <c r="I43" s="1353"/>
      <c r="J43" s="1138">
        <v>6</v>
      </c>
      <c r="K43" s="1135">
        <v>6</v>
      </c>
      <c r="L43" s="1138"/>
      <c r="M43" s="1220"/>
      <c r="N43" s="1284">
        <f t="shared" si="1"/>
        <v>28</v>
      </c>
      <c r="O43" s="1138">
        <v>2</v>
      </c>
      <c r="P43" s="1134">
        <v>2</v>
      </c>
      <c r="Q43" s="1220">
        <v>2</v>
      </c>
      <c r="R43" s="1138"/>
      <c r="S43" s="1220"/>
      <c r="T43" s="1138">
        <v>6</v>
      </c>
      <c r="U43" s="1220">
        <v>5</v>
      </c>
      <c r="V43" s="1138">
        <v>5</v>
      </c>
      <c r="W43" s="1220">
        <v>6</v>
      </c>
      <c r="X43" s="1139"/>
      <c r="Y43" s="1353"/>
      <c r="Z43" s="1140">
        <f t="shared" si="2"/>
        <v>28</v>
      </c>
      <c r="AA43" s="1134">
        <v>10</v>
      </c>
      <c r="AB43" s="1134">
        <v>10</v>
      </c>
      <c r="AC43" s="846" t="s">
        <v>82</v>
      </c>
      <c r="AD43" s="1134">
        <f t="shared" si="3"/>
        <v>100</v>
      </c>
    </row>
    <row r="44" spans="1:30" x14ac:dyDescent="0.3">
      <c r="A44" s="1123">
        <v>35</v>
      </c>
      <c r="B44" s="1498">
        <v>5191421035</v>
      </c>
      <c r="C44" s="1136">
        <v>1</v>
      </c>
      <c r="D44" s="1134">
        <v>1</v>
      </c>
      <c r="E44" s="1220">
        <v>1</v>
      </c>
      <c r="F44" s="1138"/>
      <c r="G44" s="1220"/>
      <c r="H44" s="1138">
        <v>3</v>
      </c>
      <c r="I44" s="1353"/>
      <c r="J44" s="1138">
        <v>5</v>
      </c>
      <c r="K44" s="1135">
        <v>5</v>
      </c>
      <c r="L44" s="1138"/>
      <c r="M44" s="1220"/>
      <c r="N44" s="1284">
        <f t="shared" si="1"/>
        <v>16</v>
      </c>
      <c r="O44" s="1136">
        <v>1</v>
      </c>
      <c r="P44" s="1134">
        <v>1</v>
      </c>
      <c r="Q44" s="1220">
        <v>1</v>
      </c>
      <c r="R44" s="1138"/>
      <c r="S44" s="1220"/>
      <c r="T44" s="1138">
        <v>6</v>
      </c>
      <c r="U44" s="1220">
        <v>6</v>
      </c>
      <c r="V44" s="1138"/>
      <c r="W44" s="1220"/>
      <c r="X44" s="1139"/>
      <c r="Y44" s="1353">
        <v>1</v>
      </c>
      <c r="Z44" s="1140">
        <f t="shared" si="2"/>
        <v>16</v>
      </c>
      <c r="AA44" s="1134">
        <v>8</v>
      </c>
      <c r="AB44" s="1134">
        <v>8</v>
      </c>
      <c r="AC44" s="846" t="s">
        <v>32</v>
      </c>
      <c r="AD44" s="1134">
        <f t="shared" si="3"/>
        <v>70</v>
      </c>
    </row>
    <row r="45" spans="1:30" x14ac:dyDescent="0.3">
      <c r="A45" s="1123">
        <v>36</v>
      </c>
      <c r="B45" s="1498">
        <v>5191421036</v>
      </c>
      <c r="C45" s="1136">
        <v>2</v>
      </c>
      <c r="D45" s="1134">
        <v>2</v>
      </c>
      <c r="E45" s="1220">
        <v>2</v>
      </c>
      <c r="F45" s="1138">
        <v>5</v>
      </c>
      <c r="G45" s="1220">
        <v>6</v>
      </c>
      <c r="H45" s="1138"/>
      <c r="I45" s="1353"/>
      <c r="J45" s="1138">
        <v>6</v>
      </c>
      <c r="K45" s="1135">
        <v>5</v>
      </c>
      <c r="L45" s="1138"/>
      <c r="M45" s="1220"/>
      <c r="N45" s="1284">
        <f t="shared" si="1"/>
        <v>28</v>
      </c>
      <c r="O45" s="1136">
        <v>2</v>
      </c>
      <c r="P45" s="1134">
        <v>2</v>
      </c>
      <c r="Q45" s="1220">
        <v>2</v>
      </c>
      <c r="R45" s="1138"/>
      <c r="S45" s="1220"/>
      <c r="T45" s="1138">
        <v>5</v>
      </c>
      <c r="U45" s="1220">
        <v>5</v>
      </c>
      <c r="V45" s="1138">
        <v>5</v>
      </c>
      <c r="W45" s="1220">
        <v>4</v>
      </c>
      <c r="X45" s="1139"/>
      <c r="Y45" s="1353"/>
      <c r="Z45" s="1140">
        <f t="shared" si="2"/>
        <v>25</v>
      </c>
      <c r="AA45" s="1134">
        <v>10</v>
      </c>
      <c r="AB45" s="1134">
        <v>10</v>
      </c>
      <c r="AC45" s="846" t="s">
        <v>32</v>
      </c>
      <c r="AD45" s="1134">
        <f t="shared" si="3"/>
        <v>70</v>
      </c>
    </row>
    <row r="46" spans="1:30" x14ac:dyDescent="0.3">
      <c r="A46" s="1123">
        <v>37</v>
      </c>
      <c r="B46" s="1498">
        <v>5191421037</v>
      </c>
      <c r="C46" s="1136">
        <v>1</v>
      </c>
      <c r="D46" s="1134">
        <v>1</v>
      </c>
      <c r="E46" s="1220">
        <v>2</v>
      </c>
      <c r="F46" s="1138"/>
      <c r="G46" s="1220"/>
      <c r="H46" s="1138"/>
      <c r="I46" s="1353"/>
      <c r="J46" s="1138">
        <v>4</v>
      </c>
      <c r="K46" s="1135">
        <v>4</v>
      </c>
      <c r="L46" s="1138"/>
      <c r="M46" s="1220"/>
      <c r="N46" s="1284">
        <f t="shared" si="1"/>
        <v>12</v>
      </c>
      <c r="O46" s="1136">
        <v>1</v>
      </c>
      <c r="P46" s="1134">
        <v>1</v>
      </c>
      <c r="Q46" s="1220">
        <v>1</v>
      </c>
      <c r="R46" s="1138"/>
      <c r="S46" s="1220"/>
      <c r="T46" s="1138">
        <v>2</v>
      </c>
      <c r="U46" s="1220">
        <v>5</v>
      </c>
      <c r="V46" s="1138">
        <v>1</v>
      </c>
      <c r="W46" s="1220">
        <v>4</v>
      </c>
      <c r="X46" s="1139"/>
      <c r="Y46" s="1353"/>
      <c r="Z46" s="1140">
        <f t="shared" si="2"/>
        <v>15</v>
      </c>
      <c r="AA46" s="1134">
        <v>8</v>
      </c>
      <c r="AB46" s="1134">
        <v>8</v>
      </c>
      <c r="AC46" s="846" t="s">
        <v>33</v>
      </c>
      <c r="AD46" s="1134">
        <f t="shared" si="3"/>
        <v>60</v>
      </c>
    </row>
    <row r="47" spans="1:30" x14ac:dyDescent="0.3">
      <c r="A47" s="1123">
        <v>38</v>
      </c>
      <c r="B47" s="1498">
        <v>5191421038</v>
      </c>
      <c r="C47" s="1136">
        <v>1</v>
      </c>
      <c r="D47" s="1134">
        <v>1</v>
      </c>
      <c r="E47" s="1220">
        <v>1</v>
      </c>
      <c r="F47" s="1138">
        <v>1</v>
      </c>
      <c r="G47" s="1220">
        <v>1</v>
      </c>
      <c r="H47" s="1138"/>
      <c r="I47" s="1353"/>
      <c r="J47" s="1138">
        <v>0</v>
      </c>
      <c r="K47" s="1135"/>
      <c r="L47" s="1138"/>
      <c r="M47" s="1220"/>
      <c r="N47" s="1284">
        <f t="shared" si="1"/>
        <v>5</v>
      </c>
      <c r="O47" s="1136">
        <v>2</v>
      </c>
      <c r="P47" s="1134">
        <v>1</v>
      </c>
      <c r="Q47" s="1220">
        <v>1</v>
      </c>
      <c r="R47" s="1138"/>
      <c r="S47" s="1220"/>
      <c r="T47" s="1138">
        <v>5</v>
      </c>
      <c r="U47" s="1220">
        <v>5</v>
      </c>
      <c r="V47" s="1138">
        <v>3</v>
      </c>
      <c r="W47" s="1220">
        <v>4</v>
      </c>
      <c r="X47" s="1139"/>
      <c r="Y47" s="1353"/>
      <c r="Z47" s="1140">
        <f t="shared" si="2"/>
        <v>21</v>
      </c>
      <c r="AA47" s="1134">
        <v>8</v>
      </c>
      <c r="AB47" s="1134">
        <v>8</v>
      </c>
      <c r="AC47" s="846" t="s">
        <v>32</v>
      </c>
      <c r="AD47" s="1134">
        <f t="shared" si="3"/>
        <v>70</v>
      </c>
    </row>
    <row r="48" spans="1:30" x14ac:dyDescent="0.3">
      <c r="A48" s="1123">
        <v>39</v>
      </c>
      <c r="B48" s="1498">
        <v>5191421039</v>
      </c>
      <c r="C48" s="1136">
        <v>2</v>
      </c>
      <c r="D48" s="1134">
        <v>2</v>
      </c>
      <c r="E48" s="1220">
        <v>2</v>
      </c>
      <c r="F48" s="1138">
        <v>4</v>
      </c>
      <c r="G48" s="1220">
        <v>5</v>
      </c>
      <c r="H48" s="1138"/>
      <c r="I48" s="1353"/>
      <c r="J48" s="1138">
        <v>5</v>
      </c>
      <c r="K48" s="1135">
        <v>6</v>
      </c>
      <c r="L48" s="1138"/>
      <c r="M48" s="1220"/>
      <c r="N48" s="1284">
        <f t="shared" si="1"/>
        <v>26</v>
      </c>
      <c r="O48" s="1136">
        <v>2</v>
      </c>
      <c r="P48" s="1134">
        <v>1</v>
      </c>
      <c r="Q48" s="1220">
        <v>1</v>
      </c>
      <c r="R48" s="1138"/>
      <c r="S48" s="1220"/>
      <c r="T48" s="1138">
        <v>6</v>
      </c>
      <c r="U48" s="1220">
        <v>6</v>
      </c>
      <c r="V48" s="1138"/>
      <c r="W48" s="1220"/>
      <c r="X48" s="1139"/>
      <c r="Y48" s="1353">
        <v>4</v>
      </c>
      <c r="Z48" s="1140">
        <f t="shared" si="2"/>
        <v>20</v>
      </c>
      <c r="AA48" s="1134">
        <v>10</v>
      </c>
      <c r="AB48" s="1134">
        <v>10</v>
      </c>
      <c r="AC48" s="846" t="s">
        <v>32</v>
      </c>
      <c r="AD48" s="1134">
        <f t="shared" si="3"/>
        <v>70</v>
      </c>
    </row>
    <row r="49" spans="1:30" x14ac:dyDescent="0.3">
      <c r="A49" s="1123">
        <v>40</v>
      </c>
      <c r="B49" s="1498">
        <v>5191421040</v>
      </c>
      <c r="C49" s="1133">
        <v>2</v>
      </c>
      <c r="D49" s="1134">
        <v>2</v>
      </c>
      <c r="E49" s="1220">
        <v>1</v>
      </c>
      <c r="F49" s="1138">
        <v>5</v>
      </c>
      <c r="G49" s="1220">
        <v>6</v>
      </c>
      <c r="H49" s="1138"/>
      <c r="I49" s="1353"/>
      <c r="J49" s="1138">
        <v>5</v>
      </c>
      <c r="K49" s="1135">
        <v>6</v>
      </c>
      <c r="L49" s="1138"/>
      <c r="M49" s="1220"/>
      <c r="N49" s="1284">
        <f t="shared" si="1"/>
        <v>27</v>
      </c>
      <c r="O49" s="1136"/>
      <c r="P49" s="1134"/>
      <c r="Q49" s="1220"/>
      <c r="R49" s="1138"/>
      <c r="S49" s="1220"/>
      <c r="T49" s="1138"/>
      <c r="U49" s="1220"/>
      <c r="V49" s="1138"/>
      <c r="W49" s="1220"/>
      <c r="X49" s="1139"/>
      <c r="Y49" s="1353"/>
      <c r="Z49" s="1140">
        <f t="shared" si="2"/>
        <v>0</v>
      </c>
      <c r="AA49" s="1134">
        <v>9</v>
      </c>
      <c r="AB49" s="1134">
        <v>9</v>
      </c>
      <c r="AC49" s="846" t="s">
        <v>32</v>
      </c>
      <c r="AD49" s="1134">
        <f t="shared" si="3"/>
        <v>70</v>
      </c>
    </row>
    <row r="50" spans="1:30" x14ac:dyDescent="0.3">
      <c r="A50" s="1123">
        <v>41</v>
      </c>
      <c r="B50" s="1498">
        <v>5191421041</v>
      </c>
      <c r="C50" s="1136">
        <v>1</v>
      </c>
      <c r="D50" s="1134">
        <v>1</v>
      </c>
      <c r="E50" s="1220">
        <v>2</v>
      </c>
      <c r="F50" s="1138"/>
      <c r="G50" s="1220">
        <v>2</v>
      </c>
      <c r="H50" s="1138"/>
      <c r="I50" s="1353"/>
      <c r="J50" s="1138">
        <v>5</v>
      </c>
      <c r="K50" s="1135">
        <v>1</v>
      </c>
      <c r="L50" s="1138"/>
      <c r="M50" s="1220"/>
      <c r="N50" s="1284">
        <f t="shared" si="1"/>
        <v>12</v>
      </c>
      <c r="O50" s="1136"/>
      <c r="P50" s="1134">
        <v>1</v>
      </c>
      <c r="Q50" s="1220">
        <v>1</v>
      </c>
      <c r="R50" s="1138">
        <v>2</v>
      </c>
      <c r="S50" s="1220"/>
      <c r="T50" s="1138">
        <v>0</v>
      </c>
      <c r="U50" s="1220"/>
      <c r="V50" s="1138"/>
      <c r="W50" s="1220"/>
      <c r="X50" s="1139"/>
      <c r="Y50" s="1353">
        <v>2</v>
      </c>
      <c r="Z50" s="1140">
        <f t="shared" si="2"/>
        <v>6</v>
      </c>
      <c r="AA50" s="1134">
        <v>8</v>
      </c>
      <c r="AB50" s="1134">
        <v>8</v>
      </c>
      <c r="AC50" s="846" t="s">
        <v>31</v>
      </c>
      <c r="AD50" s="1134">
        <f t="shared" si="3"/>
        <v>55</v>
      </c>
    </row>
    <row r="51" spans="1:30" ht="15" customHeight="1" x14ac:dyDescent="0.3">
      <c r="A51" s="1123">
        <v>42</v>
      </c>
      <c r="B51" s="1498">
        <v>5191421042</v>
      </c>
      <c r="C51" s="1136">
        <v>2</v>
      </c>
      <c r="D51" s="1134">
        <v>2</v>
      </c>
      <c r="E51" s="1220">
        <v>2</v>
      </c>
      <c r="F51" s="1138">
        <v>4</v>
      </c>
      <c r="G51" s="1220">
        <v>2</v>
      </c>
      <c r="H51" s="1138"/>
      <c r="I51" s="1353"/>
      <c r="J51" s="1138"/>
      <c r="K51" s="1135"/>
      <c r="L51" s="1138"/>
      <c r="M51" s="1220"/>
      <c r="N51" s="1284">
        <f t="shared" si="1"/>
        <v>12</v>
      </c>
      <c r="O51" s="1136">
        <v>1</v>
      </c>
      <c r="P51" s="1134">
        <v>1</v>
      </c>
      <c r="Q51" s="1220">
        <v>2</v>
      </c>
      <c r="R51" s="1138"/>
      <c r="S51" s="1220"/>
      <c r="T51" s="1138"/>
      <c r="U51" s="1220"/>
      <c r="V51" s="1138"/>
      <c r="W51" s="1220">
        <v>5</v>
      </c>
      <c r="X51" s="1139"/>
      <c r="Y51" s="1353">
        <v>2</v>
      </c>
      <c r="Z51" s="1140">
        <f t="shared" si="2"/>
        <v>11</v>
      </c>
      <c r="AA51" s="1134">
        <v>8</v>
      </c>
      <c r="AB51" s="1134">
        <v>8</v>
      </c>
      <c r="AC51" s="846" t="s">
        <v>28</v>
      </c>
      <c r="AD51" s="1134">
        <f t="shared" si="3"/>
        <v>50</v>
      </c>
    </row>
    <row r="52" spans="1:30" x14ac:dyDescent="0.3">
      <c r="A52" s="1123">
        <v>43</v>
      </c>
      <c r="B52" s="1498">
        <v>5191421043</v>
      </c>
      <c r="C52" s="1136">
        <v>2</v>
      </c>
      <c r="D52" s="1134">
        <v>2</v>
      </c>
      <c r="E52" s="1220">
        <v>2</v>
      </c>
      <c r="F52" s="1138">
        <v>6</v>
      </c>
      <c r="G52" s="1220">
        <v>6</v>
      </c>
      <c r="H52" s="1138"/>
      <c r="I52" s="1353"/>
      <c r="J52" s="1138">
        <v>6</v>
      </c>
      <c r="K52" s="1135">
        <v>6</v>
      </c>
      <c r="L52" s="1138"/>
      <c r="M52" s="1220"/>
      <c r="N52" s="1284">
        <f t="shared" si="1"/>
        <v>30</v>
      </c>
      <c r="O52" s="1136">
        <v>1</v>
      </c>
      <c r="P52" s="1134">
        <v>2</v>
      </c>
      <c r="Q52" s="1220">
        <v>1</v>
      </c>
      <c r="R52" s="1138"/>
      <c r="S52" s="1220"/>
      <c r="T52" s="1138">
        <v>6</v>
      </c>
      <c r="U52" s="1220">
        <v>5</v>
      </c>
      <c r="V52" s="1138">
        <v>5</v>
      </c>
      <c r="W52" s="1220">
        <v>6</v>
      </c>
      <c r="X52" s="1139"/>
      <c r="Y52" s="1353"/>
      <c r="Z52" s="1140">
        <f t="shared" si="2"/>
        <v>26</v>
      </c>
      <c r="AA52" s="1134">
        <v>10</v>
      </c>
      <c r="AB52" s="1134">
        <v>10</v>
      </c>
      <c r="AC52" s="846" t="s">
        <v>27</v>
      </c>
      <c r="AD52" s="1134">
        <f t="shared" si="3"/>
        <v>80</v>
      </c>
    </row>
    <row r="53" spans="1:30" x14ac:dyDescent="0.3">
      <c r="A53" s="1123">
        <v>44</v>
      </c>
      <c r="B53" s="1498">
        <v>5191421044</v>
      </c>
      <c r="C53" s="1136">
        <v>2</v>
      </c>
      <c r="D53" s="1134">
        <v>2</v>
      </c>
      <c r="E53" s="1220">
        <v>2</v>
      </c>
      <c r="F53" s="1138">
        <v>6</v>
      </c>
      <c r="G53" s="1220">
        <v>6</v>
      </c>
      <c r="H53" s="1138"/>
      <c r="I53" s="1353"/>
      <c r="J53" s="1138">
        <v>5</v>
      </c>
      <c r="K53" s="1135">
        <v>5</v>
      </c>
      <c r="L53" s="1138"/>
      <c r="M53" s="1220"/>
      <c r="N53" s="1284">
        <f t="shared" si="1"/>
        <v>28</v>
      </c>
      <c r="O53" s="1136">
        <v>1</v>
      </c>
      <c r="P53" s="1134">
        <v>2</v>
      </c>
      <c r="Q53" s="1220">
        <v>1</v>
      </c>
      <c r="R53" s="1138">
        <v>6</v>
      </c>
      <c r="S53" s="1220">
        <v>5</v>
      </c>
      <c r="T53" s="1138"/>
      <c r="U53" s="1220"/>
      <c r="V53" s="1138">
        <v>5</v>
      </c>
      <c r="W53" s="1220">
        <v>5</v>
      </c>
      <c r="X53" s="1139"/>
      <c r="Y53" s="1353"/>
      <c r="Z53" s="1140">
        <f t="shared" si="2"/>
        <v>25</v>
      </c>
      <c r="AA53" s="1134">
        <v>10</v>
      </c>
      <c r="AB53" s="1134">
        <v>10</v>
      </c>
      <c r="AC53" s="846" t="s">
        <v>30</v>
      </c>
      <c r="AD53" s="1134">
        <f t="shared" si="3"/>
        <v>90</v>
      </c>
    </row>
    <row r="54" spans="1:30" x14ac:dyDescent="0.3">
      <c r="A54" s="1123">
        <v>45</v>
      </c>
      <c r="B54" s="1498">
        <v>5191421045</v>
      </c>
      <c r="C54" s="1133"/>
      <c r="D54" s="1134"/>
      <c r="E54" s="1220"/>
      <c r="F54" s="1138"/>
      <c r="G54" s="1220"/>
      <c r="H54" s="1138"/>
      <c r="I54" s="1353"/>
      <c r="J54" s="1138"/>
      <c r="K54" s="1135"/>
      <c r="L54" s="1138"/>
      <c r="M54" s="1220"/>
      <c r="N54" s="1284">
        <f t="shared" si="1"/>
        <v>0</v>
      </c>
      <c r="O54" s="1136"/>
      <c r="P54" s="1134"/>
      <c r="Q54" s="1220">
        <v>1</v>
      </c>
      <c r="R54" s="1138"/>
      <c r="S54" s="1220"/>
      <c r="T54" s="1138">
        <v>4</v>
      </c>
      <c r="U54" s="1220">
        <v>4</v>
      </c>
      <c r="V54" s="1138"/>
      <c r="W54" s="1220"/>
      <c r="X54" s="1139">
        <v>2</v>
      </c>
      <c r="Y54" s="1353">
        <v>4</v>
      </c>
      <c r="Z54" s="1140">
        <f t="shared" si="2"/>
        <v>15</v>
      </c>
      <c r="AA54" s="1134">
        <v>10</v>
      </c>
      <c r="AB54" s="1134">
        <v>10</v>
      </c>
      <c r="AC54" s="846" t="s">
        <v>32</v>
      </c>
      <c r="AD54" s="1134">
        <f t="shared" si="3"/>
        <v>70</v>
      </c>
    </row>
    <row r="55" spans="1:30" x14ac:dyDescent="0.3">
      <c r="A55" s="1123">
        <v>46</v>
      </c>
      <c r="B55" s="1498">
        <v>5191421046</v>
      </c>
      <c r="C55" s="1136">
        <v>2</v>
      </c>
      <c r="D55" s="1134">
        <v>2</v>
      </c>
      <c r="E55" s="1220">
        <v>2</v>
      </c>
      <c r="F55" s="1138">
        <v>5</v>
      </c>
      <c r="G55" s="1220">
        <v>5</v>
      </c>
      <c r="H55" s="1138"/>
      <c r="I55" s="1353"/>
      <c r="J55" s="1138">
        <v>5</v>
      </c>
      <c r="K55" s="1135"/>
      <c r="L55" s="1138"/>
      <c r="M55" s="1220"/>
      <c r="N55" s="1284">
        <f t="shared" si="1"/>
        <v>21</v>
      </c>
      <c r="O55" s="1136">
        <v>1</v>
      </c>
      <c r="P55" s="1134">
        <v>2</v>
      </c>
      <c r="Q55" s="1220">
        <v>2</v>
      </c>
      <c r="R55" s="1138"/>
      <c r="S55" s="1220"/>
      <c r="T55" s="1138">
        <v>4</v>
      </c>
      <c r="U55" s="1220">
        <v>5</v>
      </c>
      <c r="V55" s="1138"/>
      <c r="W55" s="1220"/>
      <c r="X55" s="1139">
        <v>3</v>
      </c>
      <c r="Y55" s="1353">
        <v>5</v>
      </c>
      <c r="Z55" s="1140">
        <f t="shared" si="2"/>
        <v>22</v>
      </c>
      <c r="AA55" s="1134">
        <v>10</v>
      </c>
      <c r="AB55" s="1134">
        <v>10</v>
      </c>
      <c r="AC55" s="846" t="s">
        <v>27</v>
      </c>
      <c r="AD55" s="1134">
        <f t="shared" si="3"/>
        <v>80</v>
      </c>
    </row>
    <row r="56" spans="1:30" x14ac:dyDescent="0.3">
      <c r="A56" s="1123">
        <v>47</v>
      </c>
      <c r="B56" s="1498">
        <v>5191421047</v>
      </c>
      <c r="C56" s="1136"/>
      <c r="D56" s="1134"/>
      <c r="E56" s="1220"/>
      <c r="F56" s="1138"/>
      <c r="G56" s="1220"/>
      <c r="H56" s="1138"/>
      <c r="I56" s="1353"/>
      <c r="J56" s="1138"/>
      <c r="K56" s="1135"/>
      <c r="L56" s="1138"/>
      <c r="M56" s="1220"/>
      <c r="N56" s="1284">
        <f t="shared" si="1"/>
        <v>0</v>
      </c>
      <c r="O56" s="1136"/>
      <c r="P56" s="1134">
        <v>1</v>
      </c>
      <c r="Q56" s="1220">
        <v>1</v>
      </c>
      <c r="R56" s="1138"/>
      <c r="S56" s="1220"/>
      <c r="T56" s="1138">
        <v>4</v>
      </c>
      <c r="U56" s="1220">
        <v>4</v>
      </c>
      <c r="V56" s="1138"/>
      <c r="W56" s="1220"/>
      <c r="X56" s="1139"/>
      <c r="Y56" s="1353">
        <v>2</v>
      </c>
      <c r="Z56" s="1140">
        <f t="shared" si="2"/>
        <v>12</v>
      </c>
      <c r="AA56" s="1134">
        <v>9</v>
      </c>
      <c r="AB56" s="1134">
        <v>9</v>
      </c>
      <c r="AC56" s="846" t="s">
        <v>29</v>
      </c>
      <c r="AD56" s="1134">
        <f t="shared" si="3"/>
        <v>39</v>
      </c>
    </row>
    <row r="57" spans="1:30" x14ac:dyDescent="0.3">
      <c r="A57" s="1123">
        <v>48</v>
      </c>
      <c r="B57" s="1498">
        <v>5191421048</v>
      </c>
      <c r="C57" s="1136"/>
      <c r="D57" s="1134"/>
      <c r="E57" s="1220"/>
      <c r="F57" s="1138"/>
      <c r="G57" s="1220"/>
      <c r="H57" s="1138"/>
      <c r="I57" s="1353"/>
      <c r="J57" s="1138"/>
      <c r="K57" s="1135"/>
      <c r="L57" s="1138"/>
      <c r="M57" s="1220"/>
      <c r="N57" s="1284">
        <f t="shared" si="1"/>
        <v>0</v>
      </c>
      <c r="O57" s="1136"/>
      <c r="P57" s="1134">
        <v>1</v>
      </c>
      <c r="Q57" s="1220">
        <v>1</v>
      </c>
      <c r="R57" s="1138"/>
      <c r="S57" s="1220"/>
      <c r="T57" s="1138">
        <v>5</v>
      </c>
      <c r="U57" s="1220"/>
      <c r="V57" s="1138">
        <v>3</v>
      </c>
      <c r="W57" s="1220">
        <v>6</v>
      </c>
      <c r="X57" s="1139"/>
      <c r="Y57" s="1353"/>
      <c r="Z57" s="1140">
        <f t="shared" si="2"/>
        <v>16</v>
      </c>
      <c r="AA57" s="1134">
        <v>10</v>
      </c>
      <c r="AB57" s="1134">
        <v>10</v>
      </c>
      <c r="AC57" s="846" t="s">
        <v>33</v>
      </c>
      <c r="AD57" s="1134">
        <f t="shared" si="3"/>
        <v>60</v>
      </c>
    </row>
    <row r="58" spans="1:30" x14ac:dyDescent="0.3">
      <c r="A58" s="1123">
        <v>49</v>
      </c>
      <c r="B58" s="1498">
        <v>5191421049</v>
      </c>
      <c r="C58" s="1136"/>
      <c r="D58" s="1134"/>
      <c r="E58" s="1220"/>
      <c r="F58" s="1138"/>
      <c r="G58" s="1220"/>
      <c r="H58" s="1138"/>
      <c r="I58" s="1353"/>
      <c r="J58" s="1138"/>
      <c r="K58" s="1135"/>
      <c r="L58" s="1138"/>
      <c r="M58" s="1220"/>
      <c r="N58" s="1284">
        <f t="shared" si="1"/>
        <v>0</v>
      </c>
      <c r="O58" s="1136">
        <v>1</v>
      </c>
      <c r="P58" s="1134">
        <v>2</v>
      </c>
      <c r="Q58" s="1220">
        <v>1</v>
      </c>
      <c r="R58" s="1138"/>
      <c r="S58" s="1220"/>
      <c r="T58" s="1138">
        <v>4</v>
      </c>
      <c r="U58" s="1220">
        <v>4</v>
      </c>
      <c r="V58" s="1138"/>
      <c r="W58" s="1220"/>
      <c r="X58" s="1139"/>
      <c r="Y58" s="1353"/>
      <c r="Z58" s="1140">
        <f t="shared" si="2"/>
        <v>12</v>
      </c>
      <c r="AA58" s="1134">
        <v>9</v>
      </c>
      <c r="AB58" s="1134">
        <v>9</v>
      </c>
      <c r="AC58" s="846" t="s">
        <v>28</v>
      </c>
      <c r="AD58" s="1134">
        <f t="shared" si="3"/>
        <v>50</v>
      </c>
    </row>
    <row r="59" spans="1:30" x14ac:dyDescent="0.3">
      <c r="A59" s="1123">
        <v>50</v>
      </c>
      <c r="B59" s="1498">
        <v>5191421050</v>
      </c>
      <c r="C59" s="1136">
        <v>1</v>
      </c>
      <c r="D59" s="1134">
        <v>2</v>
      </c>
      <c r="E59" s="1220">
        <v>2</v>
      </c>
      <c r="F59" s="1138">
        <v>4</v>
      </c>
      <c r="G59" s="1220">
        <v>5</v>
      </c>
      <c r="H59" s="1138"/>
      <c r="I59" s="1353"/>
      <c r="J59" s="1138">
        <v>3</v>
      </c>
      <c r="K59" s="1135">
        <v>5</v>
      </c>
      <c r="L59" s="1138"/>
      <c r="M59" s="1220"/>
      <c r="N59" s="1284">
        <f t="shared" si="1"/>
        <v>22</v>
      </c>
      <c r="O59" s="1136">
        <v>1</v>
      </c>
      <c r="P59" s="1134">
        <v>2</v>
      </c>
      <c r="Q59" s="1220">
        <v>0</v>
      </c>
      <c r="R59" s="1138"/>
      <c r="S59" s="1220"/>
      <c r="T59" s="1138">
        <v>4</v>
      </c>
      <c r="U59" s="1220">
        <v>4</v>
      </c>
      <c r="V59" s="1138"/>
      <c r="W59" s="1220"/>
      <c r="X59" s="1139"/>
      <c r="Y59" s="1353">
        <v>3</v>
      </c>
      <c r="Z59" s="1140">
        <f t="shared" si="2"/>
        <v>14</v>
      </c>
      <c r="AA59" s="1134">
        <v>8</v>
      </c>
      <c r="AB59" s="1134">
        <v>8</v>
      </c>
      <c r="AC59" s="846" t="s">
        <v>27</v>
      </c>
      <c r="AD59" s="1134">
        <f t="shared" si="3"/>
        <v>80</v>
      </c>
    </row>
    <row r="60" spans="1:30" x14ac:dyDescent="0.3">
      <c r="A60" s="1123">
        <v>51</v>
      </c>
      <c r="B60" s="1498">
        <v>5191421051</v>
      </c>
      <c r="C60" s="1354">
        <v>1</v>
      </c>
      <c r="D60" s="1355">
        <v>2</v>
      </c>
      <c r="E60" s="1467">
        <v>2</v>
      </c>
      <c r="F60" s="1357">
        <v>6</v>
      </c>
      <c r="G60" s="1220">
        <v>5</v>
      </c>
      <c r="H60" s="1357"/>
      <c r="I60" s="1468"/>
      <c r="J60" s="1357">
        <v>5</v>
      </c>
      <c r="K60" s="1356">
        <v>2</v>
      </c>
      <c r="L60" s="1138"/>
      <c r="M60" s="1220"/>
      <c r="N60" s="1284">
        <f t="shared" si="1"/>
        <v>23</v>
      </c>
      <c r="O60" s="1354">
        <v>1</v>
      </c>
      <c r="P60" s="1355">
        <v>2</v>
      </c>
      <c r="Q60" s="1467">
        <v>2</v>
      </c>
      <c r="R60" s="1138">
        <v>6</v>
      </c>
      <c r="S60" s="1220">
        <v>5</v>
      </c>
      <c r="T60" s="1138"/>
      <c r="U60" s="1220"/>
      <c r="V60" s="1138">
        <v>5</v>
      </c>
      <c r="W60" s="1220">
        <v>1</v>
      </c>
      <c r="X60" s="1358"/>
      <c r="Y60" s="1353"/>
      <c r="Z60" s="1140">
        <f t="shared" si="2"/>
        <v>22</v>
      </c>
      <c r="AA60" s="1134">
        <v>10</v>
      </c>
      <c r="AB60" s="1134">
        <v>10</v>
      </c>
      <c r="AC60" s="846" t="s">
        <v>30</v>
      </c>
      <c r="AD60" s="1134">
        <f t="shared" si="3"/>
        <v>90</v>
      </c>
    </row>
    <row r="61" spans="1:30" x14ac:dyDescent="0.3">
      <c r="A61" s="1123">
        <v>52</v>
      </c>
      <c r="B61" s="1498">
        <v>5191421052</v>
      </c>
      <c r="C61" s="1354">
        <v>2</v>
      </c>
      <c r="D61" s="1355">
        <v>2</v>
      </c>
      <c r="E61" s="1467">
        <v>2</v>
      </c>
      <c r="F61" s="1357">
        <v>5</v>
      </c>
      <c r="G61" s="1220">
        <v>5</v>
      </c>
      <c r="H61" s="1357"/>
      <c r="I61" s="1468"/>
      <c r="J61" s="1357">
        <v>5</v>
      </c>
      <c r="K61" s="1356">
        <v>6</v>
      </c>
      <c r="L61" s="1138"/>
      <c r="M61" s="1220"/>
      <c r="N61" s="1284">
        <f t="shared" si="1"/>
        <v>27</v>
      </c>
      <c r="O61" s="1354">
        <v>1</v>
      </c>
      <c r="P61" s="1355">
        <v>2</v>
      </c>
      <c r="Q61" s="1467">
        <v>2</v>
      </c>
      <c r="R61" s="1138"/>
      <c r="S61" s="1220"/>
      <c r="T61" s="1138">
        <v>6</v>
      </c>
      <c r="U61" s="1220">
        <v>6</v>
      </c>
      <c r="V61" s="1138">
        <v>5</v>
      </c>
      <c r="W61" s="1220">
        <v>5</v>
      </c>
      <c r="X61" s="1358"/>
      <c r="Y61" s="1353"/>
      <c r="Z61" s="1140">
        <f t="shared" si="2"/>
        <v>27</v>
      </c>
      <c r="AA61" s="1134">
        <v>10</v>
      </c>
      <c r="AB61" s="1134">
        <v>10</v>
      </c>
      <c r="AC61" s="846" t="s">
        <v>27</v>
      </c>
      <c r="AD61" s="1134">
        <f t="shared" ref="AD61:AD67" si="4">IF(AC61="O",100,IF(AC61="A+",90,IF(AC61="A",80,IF(AC61="B+",70,IF(AC61="B",60,IF(AC61="C",55,IF(AC61="P",50,IF(AC61="F",39))))))))</f>
        <v>80</v>
      </c>
    </row>
    <row r="62" spans="1:30" x14ac:dyDescent="0.3">
      <c r="A62" s="1123">
        <v>53</v>
      </c>
      <c r="B62" s="1498">
        <v>5191421053</v>
      </c>
      <c r="C62" s="1354">
        <v>2</v>
      </c>
      <c r="D62" s="1355">
        <v>2</v>
      </c>
      <c r="E62" s="1467">
        <v>2</v>
      </c>
      <c r="F62" s="1357">
        <v>3</v>
      </c>
      <c r="G62" s="1220">
        <v>6</v>
      </c>
      <c r="H62" s="1357"/>
      <c r="I62" s="1468"/>
      <c r="J62" s="1357">
        <v>5</v>
      </c>
      <c r="K62" s="1356">
        <v>3</v>
      </c>
      <c r="L62" s="1138"/>
      <c r="M62" s="1220"/>
      <c r="N62" s="1284">
        <f t="shared" si="1"/>
        <v>23</v>
      </c>
      <c r="O62" s="1354">
        <v>1</v>
      </c>
      <c r="P62" s="1355">
        <v>1</v>
      </c>
      <c r="Q62" s="1467">
        <v>2</v>
      </c>
      <c r="R62" s="1138"/>
      <c r="S62" s="1220"/>
      <c r="T62" s="1138">
        <v>5</v>
      </c>
      <c r="U62" s="1220">
        <v>6</v>
      </c>
      <c r="V62" s="1138">
        <v>4</v>
      </c>
      <c r="W62" s="1220">
        <v>4</v>
      </c>
      <c r="X62" s="1358"/>
      <c r="Y62" s="1353"/>
      <c r="Z62" s="1140">
        <f t="shared" si="2"/>
        <v>23</v>
      </c>
      <c r="AA62" s="1134">
        <v>10</v>
      </c>
      <c r="AB62" s="1134">
        <v>10</v>
      </c>
      <c r="AC62" s="846" t="s">
        <v>30</v>
      </c>
      <c r="AD62" s="1134">
        <f t="shared" si="4"/>
        <v>90</v>
      </c>
    </row>
    <row r="63" spans="1:30" x14ac:dyDescent="0.3">
      <c r="A63" s="1123">
        <v>54</v>
      </c>
      <c r="B63" s="1498">
        <v>5191421054</v>
      </c>
      <c r="C63" s="1354">
        <v>2</v>
      </c>
      <c r="D63" s="1355">
        <v>2</v>
      </c>
      <c r="E63" s="1467">
        <v>2</v>
      </c>
      <c r="F63" s="1357">
        <v>4</v>
      </c>
      <c r="G63" s="1220">
        <v>3</v>
      </c>
      <c r="H63" s="1357"/>
      <c r="I63" s="1468"/>
      <c r="J63" s="1357">
        <v>5</v>
      </c>
      <c r="K63" s="1356"/>
      <c r="L63" s="1138"/>
      <c r="M63" s="1220"/>
      <c r="N63" s="1284">
        <f t="shared" si="1"/>
        <v>18</v>
      </c>
      <c r="O63" s="1354">
        <v>2</v>
      </c>
      <c r="P63" s="1355">
        <v>2</v>
      </c>
      <c r="Q63" s="1467">
        <v>2</v>
      </c>
      <c r="R63" s="1138"/>
      <c r="S63" s="1220"/>
      <c r="T63" s="1138">
        <v>5</v>
      </c>
      <c r="U63" s="1220">
        <v>5</v>
      </c>
      <c r="V63" s="1138">
        <v>6</v>
      </c>
      <c r="W63" s="1220">
        <v>6</v>
      </c>
      <c r="X63" s="1358"/>
      <c r="Y63" s="1353"/>
      <c r="Z63" s="1140">
        <f t="shared" si="2"/>
        <v>28</v>
      </c>
      <c r="AA63" s="1134">
        <v>9</v>
      </c>
      <c r="AB63" s="1134">
        <v>9</v>
      </c>
      <c r="AC63" s="846" t="s">
        <v>30</v>
      </c>
      <c r="AD63" s="1134">
        <f t="shared" si="4"/>
        <v>90</v>
      </c>
    </row>
    <row r="64" spans="1:30" x14ac:dyDescent="0.3">
      <c r="A64" s="1123">
        <v>55</v>
      </c>
      <c r="B64" s="1498">
        <v>5191421055</v>
      </c>
      <c r="C64" s="1354">
        <v>2</v>
      </c>
      <c r="D64" s="1355"/>
      <c r="E64" s="1467">
        <v>2</v>
      </c>
      <c r="F64" s="1357">
        <v>5</v>
      </c>
      <c r="G64" s="1220">
        <v>1</v>
      </c>
      <c r="H64" s="1357"/>
      <c r="I64" s="1468"/>
      <c r="J64" s="1357"/>
      <c r="K64" s="1356"/>
      <c r="L64" s="1138"/>
      <c r="M64" s="1220">
        <v>2</v>
      </c>
      <c r="N64" s="1284">
        <f t="shared" si="1"/>
        <v>12</v>
      </c>
      <c r="O64" s="1354"/>
      <c r="P64" s="1355">
        <v>2</v>
      </c>
      <c r="Q64" s="1467">
        <v>1</v>
      </c>
      <c r="R64" s="1138">
        <v>2</v>
      </c>
      <c r="S64" s="1220"/>
      <c r="T64" s="1138">
        <v>4</v>
      </c>
      <c r="U64" s="1220">
        <v>5</v>
      </c>
      <c r="V64" s="1138"/>
      <c r="W64" s="1220"/>
      <c r="X64" s="1358"/>
      <c r="Y64" s="1353"/>
      <c r="Z64" s="1140">
        <f t="shared" si="2"/>
        <v>14</v>
      </c>
      <c r="AA64" s="1134">
        <v>10</v>
      </c>
      <c r="AB64" s="1134">
        <v>10</v>
      </c>
      <c r="AC64" s="846" t="s">
        <v>27</v>
      </c>
      <c r="AD64" s="1134">
        <f t="shared" si="4"/>
        <v>80</v>
      </c>
    </row>
    <row r="65" spans="1:30" x14ac:dyDescent="0.3">
      <c r="A65" s="1123">
        <v>56</v>
      </c>
      <c r="B65" s="1498">
        <v>5191421056</v>
      </c>
      <c r="C65" s="1354">
        <v>2</v>
      </c>
      <c r="D65" s="1355">
        <v>2</v>
      </c>
      <c r="E65" s="1467">
        <v>1</v>
      </c>
      <c r="F65" s="1357">
        <v>5</v>
      </c>
      <c r="G65" s="1220">
        <v>5</v>
      </c>
      <c r="H65" s="1357"/>
      <c r="I65" s="1468"/>
      <c r="J65" s="1357">
        <v>5</v>
      </c>
      <c r="K65" s="1356">
        <v>5</v>
      </c>
      <c r="L65" s="1138"/>
      <c r="M65" s="1220"/>
      <c r="N65" s="1284">
        <f t="shared" si="1"/>
        <v>25</v>
      </c>
      <c r="O65" s="1354">
        <v>1</v>
      </c>
      <c r="P65" s="1355">
        <v>2</v>
      </c>
      <c r="Q65" s="1467">
        <v>2</v>
      </c>
      <c r="R65" s="1138"/>
      <c r="S65" s="1220"/>
      <c r="T65" s="1138">
        <v>4</v>
      </c>
      <c r="U65" s="1220">
        <v>5</v>
      </c>
      <c r="V65" s="1138">
        <v>5</v>
      </c>
      <c r="W65" s="1220">
        <v>6</v>
      </c>
      <c r="X65" s="1358"/>
      <c r="Y65" s="1353"/>
      <c r="Z65" s="1140">
        <f t="shared" si="2"/>
        <v>25</v>
      </c>
      <c r="AA65" s="1134">
        <v>10</v>
      </c>
      <c r="AB65" s="1134">
        <v>10</v>
      </c>
      <c r="AC65" s="846" t="s">
        <v>30</v>
      </c>
      <c r="AD65" s="1134">
        <f t="shared" si="4"/>
        <v>90</v>
      </c>
    </row>
    <row r="66" spans="1:30" x14ac:dyDescent="0.3">
      <c r="A66" s="1123">
        <v>57</v>
      </c>
      <c r="B66" s="1498">
        <v>5191421057</v>
      </c>
      <c r="C66" s="1354">
        <v>1</v>
      </c>
      <c r="D66" s="1355">
        <v>2</v>
      </c>
      <c r="E66" s="1467">
        <v>2</v>
      </c>
      <c r="F66" s="1357">
        <v>4</v>
      </c>
      <c r="G66" s="1220">
        <v>5</v>
      </c>
      <c r="H66" s="1357"/>
      <c r="I66" s="1468"/>
      <c r="J66" s="1357"/>
      <c r="K66" s="1356"/>
      <c r="L66" s="1138">
        <v>2</v>
      </c>
      <c r="M66" s="1220">
        <v>4</v>
      </c>
      <c r="N66" s="1284">
        <f t="shared" si="1"/>
        <v>20</v>
      </c>
      <c r="O66" s="1354">
        <v>1</v>
      </c>
      <c r="P66" s="1355">
        <v>2</v>
      </c>
      <c r="Q66" s="1467">
        <v>2</v>
      </c>
      <c r="R66" s="1138"/>
      <c r="S66" s="1220"/>
      <c r="T66" s="1138">
        <v>5</v>
      </c>
      <c r="U66" s="1220">
        <v>6</v>
      </c>
      <c r="V66" s="1138">
        <v>4</v>
      </c>
      <c r="W66" s="1220">
        <v>5</v>
      </c>
      <c r="X66" s="1358"/>
      <c r="Y66" s="1468"/>
      <c r="Z66" s="1140">
        <f t="shared" si="2"/>
        <v>25</v>
      </c>
      <c r="AA66" s="1134">
        <v>10</v>
      </c>
      <c r="AB66" s="1134">
        <v>10</v>
      </c>
      <c r="AC66" s="902" t="s">
        <v>30</v>
      </c>
      <c r="AD66" s="1134">
        <f t="shared" si="4"/>
        <v>90</v>
      </c>
    </row>
    <row r="67" spans="1:30" ht="19.5" thickBot="1" x14ac:dyDescent="0.35">
      <c r="A67" s="1123">
        <v>58</v>
      </c>
      <c r="B67" s="1498">
        <v>5191421058</v>
      </c>
      <c r="C67" s="1481">
        <v>1</v>
      </c>
      <c r="D67" s="1482"/>
      <c r="E67" s="1483"/>
      <c r="F67" s="1484"/>
      <c r="G67" s="1483"/>
      <c r="H67" s="1484"/>
      <c r="I67" s="1485"/>
      <c r="J67" s="1484"/>
      <c r="K67" s="1486"/>
      <c r="L67" s="1484"/>
      <c r="M67" s="1483">
        <v>2</v>
      </c>
      <c r="N67" s="1284">
        <f t="shared" si="1"/>
        <v>3</v>
      </c>
      <c r="O67" s="1481"/>
      <c r="P67" s="1482"/>
      <c r="Q67" s="1483">
        <v>1</v>
      </c>
      <c r="R67" s="1484"/>
      <c r="S67" s="1483">
        <v>4</v>
      </c>
      <c r="T67" s="1484"/>
      <c r="U67" s="1483">
        <v>5</v>
      </c>
      <c r="V67" s="1484"/>
      <c r="W67" s="1483"/>
      <c r="X67" s="1487"/>
      <c r="Y67" s="1483">
        <v>2</v>
      </c>
      <c r="Z67" s="1140">
        <f t="shared" si="2"/>
        <v>12</v>
      </c>
      <c r="AA67" s="1134">
        <v>8</v>
      </c>
      <c r="AB67" s="1134">
        <v>8</v>
      </c>
      <c r="AC67" s="904" t="s">
        <v>28</v>
      </c>
      <c r="AD67" s="1134">
        <f t="shared" si="4"/>
        <v>50</v>
      </c>
    </row>
    <row r="68" spans="1:30" x14ac:dyDescent="0.3">
      <c r="C68" s="1141">
        <f t="shared" ref="C68:M68" si="5">COUNT(C11:C67)</f>
        <v>51</v>
      </c>
      <c r="D68" s="1141">
        <f t="shared" si="5"/>
        <v>49</v>
      </c>
      <c r="E68" s="1141">
        <f t="shared" si="5"/>
        <v>50</v>
      </c>
      <c r="F68" s="1141">
        <f t="shared" si="5"/>
        <v>45</v>
      </c>
      <c r="G68" s="1141">
        <f t="shared" si="5"/>
        <v>45</v>
      </c>
      <c r="H68" s="1141">
        <f t="shared" si="5"/>
        <v>3</v>
      </c>
      <c r="I68" s="1141">
        <f t="shared" si="5"/>
        <v>2</v>
      </c>
      <c r="J68" s="1141">
        <f t="shared" si="5"/>
        <v>33</v>
      </c>
      <c r="K68" s="1141">
        <f t="shared" si="5"/>
        <v>31</v>
      </c>
      <c r="L68" s="1141">
        <f t="shared" si="5"/>
        <v>12</v>
      </c>
      <c r="M68" s="1141">
        <f t="shared" si="5"/>
        <v>14</v>
      </c>
      <c r="N68" s="1141"/>
      <c r="O68" s="1141">
        <f t="shared" ref="O68:T68" si="6">COUNT(O10:O67)</f>
        <v>47</v>
      </c>
      <c r="P68" s="1141">
        <f t="shared" si="6"/>
        <v>54</v>
      </c>
      <c r="Q68" s="1141">
        <f t="shared" si="6"/>
        <v>54</v>
      </c>
      <c r="R68" s="1141">
        <f t="shared" si="6"/>
        <v>10</v>
      </c>
      <c r="S68" s="1141">
        <f t="shared" si="6"/>
        <v>7</v>
      </c>
      <c r="T68" s="1141">
        <f t="shared" si="6"/>
        <v>48</v>
      </c>
      <c r="U68" s="1141">
        <f t="shared" ref="U68:W68" si="7">COUNT(U10:U67)</f>
        <v>45</v>
      </c>
      <c r="V68" s="1141">
        <f t="shared" si="7"/>
        <v>27</v>
      </c>
      <c r="W68" s="1141">
        <f t="shared" si="7"/>
        <v>31</v>
      </c>
      <c r="X68" s="1141">
        <f t="shared" ref="X68:Y68" si="8">COUNT(X10:X67)</f>
        <v>10</v>
      </c>
      <c r="Y68" s="1141">
        <f t="shared" si="8"/>
        <v>21</v>
      </c>
      <c r="AA68" s="1116"/>
    </row>
    <row r="69" spans="1:30" x14ac:dyDescent="0.3">
      <c r="A69" s="1149" t="s">
        <v>34</v>
      </c>
      <c r="B69" s="989">
        <v>55</v>
      </c>
      <c r="C69" s="1232">
        <f>C9*(B69/100)</f>
        <v>1.1000000000000001</v>
      </c>
      <c r="D69" s="1232">
        <f>D9*(B69/100)</f>
        <v>1.1000000000000001</v>
      </c>
      <c r="E69" s="1232">
        <f>E9*(B69/100)</f>
        <v>1.1000000000000001</v>
      </c>
      <c r="F69" s="1232">
        <f t="shared" ref="F69" si="9">F9*(B69/100)</f>
        <v>3.3000000000000003</v>
      </c>
      <c r="G69" s="1232">
        <v>3</v>
      </c>
      <c r="H69" s="1232">
        <v>3</v>
      </c>
      <c r="I69" s="1232">
        <v>3</v>
      </c>
      <c r="J69" s="1232">
        <v>3</v>
      </c>
      <c r="K69" s="1232">
        <v>3</v>
      </c>
      <c r="L69" s="1232">
        <v>3</v>
      </c>
      <c r="M69" s="1232">
        <v>3</v>
      </c>
      <c r="N69" s="1141"/>
      <c r="O69" s="1232">
        <f>O9*(B69/100)</f>
        <v>1.1000000000000001</v>
      </c>
      <c r="P69" s="1232">
        <f>P9*(B69/100)</f>
        <v>1.1000000000000001</v>
      </c>
      <c r="Q69" s="1232">
        <f>Q9*(B69/100)</f>
        <v>1.1000000000000001</v>
      </c>
      <c r="R69" s="1232">
        <f>R9*(B69/100)</f>
        <v>3.3000000000000003</v>
      </c>
      <c r="S69" s="1232">
        <f>S9*(B69/100)</f>
        <v>3.3000000000000003</v>
      </c>
      <c r="T69" s="1232">
        <f t="shared" ref="T69" si="10">T9*(C69/100)</f>
        <v>6.6000000000000003E-2</v>
      </c>
      <c r="U69" s="1232">
        <f t="shared" ref="U69" si="11">U9*(D69/100)</f>
        <v>6.6000000000000003E-2</v>
      </c>
      <c r="V69" s="1232">
        <f t="shared" ref="V69:W69" si="12">V9*(E69/100)</f>
        <v>6.6000000000000003E-2</v>
      </c>
      <c r="W69" s="1232">
        <f t="shared" si="12"/>
        <v>0.19800000000000001</v>
      </c>
      <c r="X69" s="1232">
        <f>X9*(C69/100)</f>
        <v>6.6000000000000003E-2</v>
      </c>
      <c r="Y69" s="1232">
        <f>Y9*(D69/100)</f>
        <v>6.6000000000000003E-2</v>
      </c>
      <c r="AA69" s="1116"/>
    </row>
    <row r="70" spans="1:30" x14ac:dyDescent="0.3">
      <c r="A70" s="2888" t="s">
        <v>35</v>
      </c>
      <c r="B70" s="2888"/>
      <c r="C70" s="1141">
        <f t="shared" ref="C70:M70" si="13">COUNTIF(C11:C67,"&gt;=" &amp;C69)</f>
        <v>37</v>
      </c>
      <c r="D70" s="1141">
        <f t="shared" si="13"/>
        <v>36</v>
      </c>
      <c r="E70" s="1141">
        <f t="shared" si="13"/>
        <v>36</v>
      </c>
      <c r="F70" s="1141">
        <f t="shared" si="13"/>
        <v>38</v>
      </c>
      <c r="G70" s="1141">
        <f t="shared" si="13"/>
        <v>39</v>
      </c>
      <c r="H70" s="1141">
        <f t="shared" si="13"/>
        <v>2</v>
      </c>
      <c r="I70" s="1141">
        <f t="shared" si="13"/>
        <v>1</v>
      </c>
      <c r="J70" s="1141">
        <f t="shared" si="13"/>
        <v>31</v>
      </c>
      <c r="K70" s="1141">
        <f t="shared" si="13"/>
        <v>29</v>
      </c>
      <c r="L70" s="1141">
        <f t="shared" si="13"/>
        <v>11</v>
      </c>
      <c r="M70" s="1141">
        <f t="shared" si="13"/>
        <v>12</v>
      </c>
      <c r="N70" s="1141"/>
      <c r="O70" s="1141">
        <f t="shared" ref="O70:T70" si="14">COUNTIF(O10:O60,"&gt;=" &amp;O69)</f>
        <v>12</v>
      </c>
      <c r="P70" s="1141">
        <f t="shared" si="14"/>
        <v>21</v>
      </c>
      <c r="Q70" s="1141">
        <f t="shared" si="14"/>
        <v>23</v>
      </c>
      <c r="R70" s="1141">
        <f t="shared" si="14"/>
        <v>7</v>
      </c>
      <c r="S70" s="1141">
        <f t="shared" si="14"/>
        <v>5</v>
      </c>
      <c r="T70" s="1141">
        <f t="shared" si="14"/>
        <v>40</v>
      </c>
      <c r="U70" s="1141">
        <f t="shared" ref="U70:W70" si="15">COUNTIF(U10:U60,"&gt;=" &amp;U69)</f>
        <v>38</v>
      </c>
      <c r="V70" s="1141">
        <f t="shared" si="15"/>
        <v>20</v>
      </c>
      <c r="W70" s="1141">
        <f t="shared" si="15"/>
        <v>26</v>
      </c>
      <c r="X70" s="1141">
        <f t="shared" ref="X70:Y70" si="16">COUNTIF(X10:X60,"&gt;=" &amp;X69)</f>
        <v>8</v>
      </c>
      <c r="Y70" s="1141">
        <f t="shared" si="16"/>
        <v>19</v>
      </c>
      <c r="AA70" s="1116"/>
      <c r="AD70" s="1141">
        <f>COUNTIF(AD10:AD67,"&gt;="&amp;B69)</f>
        <v>52</v>
      </c>
    </row>
    <row r="71" spans="1:30" ht="19.5" thickBot="1" x14ac:dyDescent="0.35">
      <c r="A71" s="2877" t="s">
        <v>36</v>
      </c>
      <c r="B71" s="2877"/>
      <c r="C71" s="1141">
        <f t="shared" ref="C71:T71" si="17">C70/C68</f>
        <v>0.72549019607843135</v>
      </c>
      <c r="D71" s="1141">
        <f t="shared" si="17"/>
        <v>0.73469387755102045</v>
      </c>
      <c r="E71" s="1141">
        <f t="shared" si="17"/>
        <v>0.72</v>
      </c>
      <c r="F71" s="1141">
        <f t="shared" si="17"/>
        <v>0.84444444444444444</v>
      </c>
      <c r="G71" s="1141">
        <f t="shared" si="17"/>
        <v>0.8666666666666667</v>
      </c>
      <c r="H71" s="1141">
        <f t="shared" si="17"/>
        <v>0.66666666666666663</v>
      </c>
      <c r="I71" s="1141">
        <f t="shared" si="17"/>
        <v>0.5</v>
      </c>
      <c r="J71" s="1141">
        <f t="shared" si="17"/>
        <v>0.93939393939393945</v>
      </c>
      <c r="K71" s="1141">
        <f t="shared" si="17"/>
        <v>0.93548387096774188</v>
      </c>
      <c r="L71" s="1141">
        <f t="shared" si="17"/>
        <v>0.91666666666666663</v>
      </c>
      <c r="M71" s="1141">
        <f t="shared" si="17"/>
        <v>0.8571428571428571</v>
      </c>
      <c r="N71" s="1141"/>
      <c r="O71" s="1141">
        <f t="shared" si="17"/>
        <v>0.25531914893617019</v>
      </c>
      <c r="P71" s="1141">
        <f t="shared" si="17"/>
        <v>0.3888888888888889</v>
      </c>
      <c r="Q71" s="1141">
        <f t="shared" si="17"/>
        <v>0.42592592592592593</v>
      </c>
      <c r="R71" s="1141">
        <f t="shared" si="17"/>
        <v>0.7</v>
      </c>
      <c r="S71" s="1141">
        <f t="shared" si="17"/>
        <v>0.7142857142857143</v>
      </c>
      <c r="T71" s="1141">
        <f t="shared" si="17"/>
        <v>0.83333333333333337</v>
      </c>
      <c r="U71" s="1141">
        <f t="shared" ref="U71:W71" si="18">U70/U68</f>
        <v>0.84444444444444444</v>
      </c>
      <c r="V71" s="1141">
        <f t="shared" si="18"/>
        <v>0.7407407407407407</v>
      </c>
      <c r="W71" s="1141">
        <f t="shared" si="18"/>
        <v>0.83870967741935487</v>
      </c>
      <c r="X71" s="1141">
        <f t="shared" ref="X71:Y71" si="19">X70/X68</f>
        <v>0.8</v>
      </c>
      <c r="Y71" s="1141">
        <f t="shared" si="19"/>
        <v>0.90476190476190477</v>
      </c>
      <c r="AA71" s="1116"/>
      <c r="AD71" s="1141">
        <f>(AD70/A67)*100</f>
        <v>89.65517241379311</v>
      </c>
    </row>
    <row r="72" spans="1:30" ht="19.5" thickBot="1" x14ac:dyDescent="0.35">
      <c r="C72" s="1488" t="s">
        <v>22</v>
      </c>
      <c r="D72" s="1489" t="s">
        <v>21</v>
      </c>
      <c r="E72" s="1489" t="s">
        <v>23</v>
      </c>
      <c r="F72" s="1490" t="s">
        <v>20</v>
      </c>
      <c r="G72" s="1490" t="s">
        <v>20</v>
      </c>
      <c r="H72" s="1490" t="s">
        <v>20</v>
      </c>
      <c r="I72" s="1490" t="s">
        <v>20</v>
      </c>
      <c r="J72" s="1491" t="s">
        <v>21</v>
      </c>
      <c r="K72" s="1490" t="s">
        <v>40</v>
      </c>
      <c r="L72" s="1490" t="s">
        <v>40</v>
      </c>
      <c r="M72" s="1492" t="s">
        <v>40</v>
      </c>
      <c r="N72" s="1141"/>
      <c r="O72" s="1488" t="s">
        <v>41</v>
      </c>
      <c r="P72" s="1489" t="s">
        <v>42</v>
      </c>
      <c r="Q72" s="1493" t="s">
        <v>43</v>
      </c>
      <c r="R72" s="1488" t="s">
        <v>41</v>
      </c>
      <c r="S72" s="1489" t="s">
        <v>41</v>
      </c>
      <c r="T72" s="1493" t="s">
        <v>41</v>
      </c>
      <c r="U72" s="1488" t="s">
        <v>41</v>
      </c>
      <c r="V72" s="1488" t="s">
        <v>42</v>
      </c>
      <c r="W72" s="1488" t="s">
        <v>42</v>
      </c>
      <c r="X72" s="1494" t="s">
        <v>43</v>
      </c>
      <c r="Y72" s="1495" t="s">
        <v>41</v>
      </c>
      <c r="Z72" s="1141"/>
      <c r="AA72" s="1141"/>
    </row>
    <row r="74" spans="1:30" x14ac:dyDescent="0.3">
      <c r="D74" s="989" t="s">
        <v>38</v>
      </c>
      <c r="E74" s="2804" t="s">
        <v>39</v>
      </c>
      <c r="F74" s="2804"/>
      <c r="G74" s="2804" t="s">
        <v>37</v>
      </c>
      <c r="H74" s="2804"/>
      <c r="I74" s="2804"/>
      <c r="J74" s="194"/>
      <c r="K74" s="989"/>
    </row>
    <row r="75" spans="1:30" x14ac:dyDescent="0.3">
      <c r="B75" s="989" t="s">
        <v>22</v>
      </c>
      <c r="C75" s="1141">
        <f>AVERAGE(C71,F71,G71,H71,I71)*100</f>
        <v>72.065359477124176</v>
      </c>
      <c r="D75" s="1141">
        <f t="shared" ref="D75:D79" si="20">IF(C75&gt;=70,3,IF(AND(C75&gt;=60,C75&lt;70),2,IF(AND(C75&gt;=50,C75&lt;60),1)))</f>
        <v>3</v>
      </c>
      <c r="E75" s="3349">
        <f>IF(AD71&gt;=70,3,IF(AND(AD71&gt;=60,AD71&lt;70),2,IF(AND(AD71&gt;=50,AD71&lt;60),1)))</f>
        <v>3</v>
      </c>
      <c r="F75" s="3349"/>
      <c r="G75" s="1150">
        <f>(70/100)*E75+(30/100)*D75</f>
        <v>2.9999999999999996</v>
      </c>
      <c r="H75" s="1150"/>
      <c r="I75" s="1150"/>
      <c r="J75" s="1150"/>
      <c r="K75" s="1150"/>
    </row>
    <row r="76" spans="1:30" x14ac:dyDescent="0.3">
      <c r="B76" s="989" t="s">
        <v>40</v>
      </c>
      <c r="C76" s="1141">
        <f>AVERAGE(E71,F71,K71)*100</f>
        <v>83.330943847072874</v>
      </c>
      <c r="D76" s="1141">
        <f t="shared" si="20"/>
        <v>3</v>
      </c>
      <c r="E76" s="3349">
        <f>IF(AD71&gt;=70,3,IF(AND(AD71&gt;=60,AD71&lt;70),2,IF(AND(AD71&gt;=50,AD71&lt;60),1)))</f>
        <v>3</v>
      </c>
      <c r="F76" s="3349"/>
      <c r="G76" s="1150">
        <f t="shared" ref="G76:G78" si="21">(70/100)*E76+(30/100)*D76</f>
        <v>2.9999999999999996</v>
      </c>
      <c r="H76" s="1150"/>
      <c r="I76" s="1150"/>
      <c r="J76" s="1150"/>
      <c r="K76" s="1150"/>
    </row>
    <row r="77" spans="1:30" x14ac:dyDescent="0.3">
      <c r="B77" s="989" t="s">
        <v>41</v>
      </c>
      <c r="C77" s="1141">
        <f>AVERAGE(G71,M71,O71,P71)*100</f>
        <v>59.200439040864573</v>
      </c>
      <c r="D77" s="1141">
        <f t="shared" si="20"/>
        <v>1</v>
      </c>
      <c r="E77" s="3349">
        <f>IF(AD71&gt;=70,3,IF(AND(AD71&gt;=60,AD71&lt;70),2,IF(AND(AD71&gt;=50,AD71&lt;60),1)))</f>
        <v>3</v>
      </c>
      <c r="F77" s="3349"/>
      <c r="G77" s="1150">
        <f t="shared" si="21"/>
        <v>2.3999999999999995</v>
      </c>
      <c r="H77" s="1150"/>
      <c r="I77" s="1150"/>
      <c r="J77" s="1150"/>
      <c r="K77" s="1150"/>
    </row>
    <row r="78" spans="1:30" x14ac:dyDescent="0.3">
      <c r="B78" s="989" t="s">
        <v>42</v>
      </c>
      <c r="C78" s="1141">
        <f>AVERAGE(Q71,T71)*100</f>
        <v>62.962962962962962</v>
      </c>
      <c r="D78" s="1141">
        <f t="shared" si="20"/>
        <v>2</v>
      </c>
      <c r="E78" s="3349">
        <f>IF(AD71&gt;=70,3,IF(AND(AD71&gt;=60,AD71&lt;70),2,IF(AND(AD71&gt;=50,AD71&lt;60),1)))</f>
        <v>3</v>
      </c>
      <c r="F78" s="3349"/>
      <c r="G78" s="1150">
        <f t="shared" si="21"/>
        <v>2.6999999999999997</v>
      </c>
      <c r="H78" s="1150"/>
      <c r="I78" s="1150"/>
      <c r="J78" s="1150"/>
      <c r="K78" s="1150"/>
    </row>
    <row r="79" spans="1:30" x14ac:dyDescent="0.3">
      <c r="B79" s="989" t="s">
        <v>43</v>
      </c>
      <c r="C79" s="1141">
        <f>AVERAGE(Q71,X71)*100</f>
        <v>61.296296296296291</v>
      </c>
      <c r="D79" s="1141">
        <f t="shared" si="20"/>
        <v>2</v>
      </c>
      <c r="E79" s="3349">
        <v>3</v>
      </c>
      <c r="F79" s="3349"/>
      <c r="G79" s="1150">
        <f>(70/100)*E79+(30/100)*D79</f>
        <v>2.6999999999999997</v>
      </c>
      <c r="H79" s="1150"/>
      <c r="I79" s="1150"/>
      <c r="J79" s="1150"/>
      <c r="K79" s="1150"/>
    </row>
    <row r="80" spans="1:30" x14ac:dyDescent="0.3">
      <c r="B80" s="2872" t="s">
        <v>44</v>
      </c>
      <c r="C80" s="2872"/>
      <c r="D80" s="2872"/>
      <c r="E80" s="2872"/>
      <c r="F80" s="2872"/>
      <c r="G80" s="1240">
        <f>AVERAGE(G75:G78)</f>
        <v>2.7749999999999995</v>
      </c>
      <c r="H80" s="1240"/>
      <c r="I80" s="1240"/>
      <c r="J80" s="1240"/>
      <c r="K80" s="1240"/>
    </row>
    <row r="82" spans="1:27" x14ac:dyDescent="0.3">
      <c r="A82" s="2715" t="s">
        <v>134</v>
      </c>
      <c r="B82" s="2715"/>
    </row>
    <row r="84" spans="1:27" x14ac:dyDescent="0.3">
      <c r="B84" s="1145" t="s">
        <v>45</v>
      </c>
      <c r="C84" s="1364" t="s">
        <v>68</v>
      </c>
      <c r="D84" s="1364" t="s">
        <v>69</v>
      </c>
      <c r="E84" s="1364" t="s">
        <v>70</v>
      </c>
      <c r="F84" s="1364" t="s">
        <v>71</v>
      </c>
      <c r="G84" s="1364" t="s">
        <v>72</v>
      </c>
      <c r="H84" s="1364" t="s">
        <v>73</v>
      </c>
      <c r="I84" s="1364" t="s">
        <v>74</v>
      </c>
      <c r="J84" s="1365" t="s">
        <v>75</v>
      </c>
      <c r="K84" s="1364" t="s">
        <v>76</v>
      </c>
      <c r="L84" s="1364" t="s">
        <v>77</v>
      </c>
      <c r="M84" s="1364" t="s">
        <v>78</v>
      </c>
      <c r="N84" s="1364" t="s">
        <v>79</v>
      </c>
      <c r="T84" s="1248"/>
      <c r="AA84" s="1116"/>
    </row>
    <row r="85" spans="1:27" x14ac:dyDescent="0.3">
      <c r="B85" s="1132" t="s">
        <v>20</v>
      </c>
      <c r="C85" s="1153">
        <v>3</v>
      </c>
      <c r="D85" s="1153">
        <v>2</v>
      </c>
      <c r="E85" s="1153">
        <v>2</v>
      </c>
      <c r="F85" s="1153">
        <v>2</v>
      </c>
      <c r="G85" s="1153">
        <v>3</v>
      </c>
      <c r="H85" s="1153">
        <v>2</v>
      </c>
      <c r="I85" s="1153">
        <v>3</v>
      </c>
      <c r="J85" s="1153">
        <v>2</v>
      </c>
      <c r="K85" s="1153">
        <v>3</v>
      </c>
      <c r="L85" s="1153">
        <v>2</v>
      </c>
      <c r="M85" s="1153">
        <v>3</v>
      </c>
      <c r="N85" s="1153">
        <v>2</v>
      </c>
      <c r="T85" s="1248"/>
      <c r="AA85" s="1116"/>
    </row>
    <row r="86" spans="1:27" x14ac:dyDescent="0.3">
      <c r="B86" s="1132" t="s">
        <v>21</v>
      </c>
      <c r="C86" s="1153">
        <v>3</v>
      </c>
      <c r="D86" s="1153">
        <v>2</v>
      </c>
      <c r="E86" s="1153">
        <v>1</v>
      </c>
      <c r="F86" s="1153">
        <v>2</v>
      </c>
      <c r="G86" s="1153">
        <v>3</v>
      </c>
      <c r="H86" s="1153">
        <v>2</v>
      </c>
      <c r="I86" s="1153">
        <v>2</v>
      </c>
      <c r="J86" s="1153"/>
      <c r="K86" s="1153">
        <v>3</v>
      </c>
      <c r="L86" s="1153"/>
      <c r="M86" s="1153">
        <v>2</v>
      </c>
      <c r="N86" s="1153">
        <v>2</v>
      </c>
      <c r="T86" s="1248"/>
      <c r="AA86" s="1116"/>
    </row>
    <row r="87" spans="1:27" x14ac:dyDescent="0.3">
      <c r="B87" s="1132" t="s">
        <v>23</v>
      </c>
      <c r="C87" s="1153">
        <v>3</v>
      </c>
      <c r="D87" s="1153">
        <v>2</v>
      </c>
      <c r="E87" s="1153">
        <v>2</v>
      </c>
      <c r="F87" s="1153">
        <v>2</v>
      </c>
      <c r="G87" s="1153">
        <v>3</v>
      </c>
      <c r="H87" s="1153">
        <v>2</v>
      </c>
      <c r="I87" s="1153">
        <v>3</v>
      </c>
      <c r="J87" s="1153">
        <v>3</v>
      </c>
      <c r="K87" s="1153">
        <v>3</v>
      </c>
      <c r="L87" s="1153">
        <v>2</v>
      </c>
      <c r="M87" s="1153">
        <v>2</v>
      </c>
      <c r="N87" s="1153">
        <v>2</v>
      </c>
      <c r="T87" s="1248"/>
      <c r="AA87" s="1116"/>
    </row>
    <row r="88" spans="1:27" x14ac:dyDescent="0.3">
      <c r="B88" s="1132" t="s">
        <v>25</v>
      </c>
      <c r="C88" s="1153">
        <v>3</v>
      </c>
      <c r="D88" s="1153">
        <v>2</v>
      </c>
      <c r="E88" s="1153">
        <v>1</v>
      </c>
      <c r="F88" s="1153"/>
      <c r="G88" s="1153">
        <v>3</v>
      </c>
      <c r="H88" s="1153">
        <v>2</v>
      </c>
      <c r="I88" s="1153">
        <v>3</v>
      </c>
      <c r="J88" s="1153">
        <v>2</v>
      </c>
      <c r="K88" s="1153">
        <v>3</v>
      </c>
      <c r="L88" s="1153">
        <v>2</v>
      </c>
      <c r="M88" s="1153">
        <v>2</v>
      </c>
      <c r="N88" s="1153">
        <v>3</v>
      </c>
      <c r="T88" s="1248"/>
      <c r="AA88" s="1116"/>
    </row>
    <row r="89" spans="1:27" x14ac:dyDescent="0.3">
      <c r="B89" s="1132" t="s">
        <v>24</v>
      </c>
      <c r="C89" s="1153">
        <v>3</v>
      </c>
      <c r="D89" s="1153">
        <v>2</v>
      </c>
      <c r="E89" s="1153">
        <v>2</v>
      </c>
      <c r="F89" s="1153"/>
      <c r="G89" s="1153">
        <v>3</v>
      </c>
      <c r="H89" s="1153">
        <v>2</v>
      </c>
      <c r="I89" s="1153">
        <v>3</v>
      </c>
      <c r="J89" s="1153"/>
      <c r="K89" s="1153">
        <v>3</v>
      </c>
      <c r="L89" s="1153"/>
      <c r="M89" s="1153">
        <v>2</v>
      </c>
      <c r="N89" s="1153">
        <v>3</v>
      </c>
      <c r="T89" s="1248"/>
      <c r="AA89" s="1116"/>
    </row>
    <row r="90" spans="1:27" x14ac:dyDescent="0.3">
      <c r="B90" s="1502" t="s">
        <v>10</v>
      </c>
      <c r="C90" s="1134">
        <f t="shared" ref="C90:N90" si="22">AVERAGE(C85:C88)</f>
        <v>3</v>
      </c>
      <c r="D90" s="1134">
        <f t="shared" si="22"/>
        <v>2</v>
      </c>
      <c r="E90" s="1134">
        <f t="shared" si="22"/>
        <v>1.5</v>
      </c>
      <c r="F90" s="1134">
        <f t="shared" si="22"/>
        <v>2</v>
      </c>
      <c r="G90" s="1134">
        <f t="shared" si="22"/>
        <v>3</v>
      </c>
      <c r="H90" s="1134">
        <f t="shared" si="22"/>
        <v>2</v>
      </c>
      <c r="I90" s="1134">
        <f t="shared" si="22"/>
        <v>2.75</v>
      </c>
      <c r="J90" s="1134">
        <f t="shared" si="22"/>
        <v>2.3333333333333335</v>
      </c>
      <c r="K90" s="1134">
        <f t="shared" si="22"/>
        <v>3</v>
      </c>
      <c r="L90" s="1134">
        <f t="shared" si="22"/>
        <v>2</v>
      </c>
      <c r="M90" s="1134">
        <f t="shared" si="22"/>
        <v>2.25</v>
      </c>
      <c r="N90" s="1134">
        <f t="shared" si="22"/>
        <v>2.25</v>
      </c>
      <c r="T90" s="1248"/>
      <c r="AA90" s="1116"/>
    </row>
    <row r="91" spans="1:27" x14ac:dyDescent="0.3">
      <c r="B91" s="1155" t="s">
        <v>58</v>
      </c>
      <c r="C91" s="2681">
        <f>AVERAGE(C90:N90)</f>
        <v>2.3402777777777777</v>
      </c>
      <c r="D91" s="2681"/>
      <c r="E91" s="2681"/>
      <c r="F91" s="2681"/>
      <c r="G91" s="2681"/>
      <c r="H91" s="2681"/>
      <c r="I91" s="2681"/>
      <c r="J91" s="2681"/>
      <c r="K91" s="2681"/>
      <c r="L91" s="2681"/>
      <c r="M91" s="2681"/>
      <c r="N91" s="2681"/>
      <c r="O91" s="1322"/>
      <c r="P91" s="1322"/>
      <c r="Q91" s="1322"/>
      <c r="R91" s="1322"/>
    </row>
    <row r="92" spans="1:27" x14ac:dyDescent="0.3">
      <c r="C92" s="1243"/>
    </row>
    <row r="94" spans="1:27" x14ac:dyDescent="0.3">
      <c r="A94" s="2715" t="s">
        <v>148</v>
      </c>
      <c r="B94" s="2715"/>
    </row>
    <row r="96" spans="1:27" x14ac:dyDescent="0.3">
      <c r="B96" s="1145" t="s">
        <v>45</v>
      </c>
      <c r="C96" s="1364" t="s">
        <v>68</v>
      </c>
      <c r="D96" s="1364" t="s">
        <v>69</v>
      </c>
      <c r="E96" s="1364" t="s">
        <v>70</v>
      </c>
      <c r="F96" s="1364" t="s">
        <v>71</v>
      </c>
      <c r="G96" s="1364" t="s">
        <v>72</v>
      </c>
      <c r="H96" s="1364" t="s">
        <v>73</v>
      </c>
      <c r="I96" s="1364" t="s">
        <v>74</v>
      </c>
      <c r="J96" s="1365" t="s">
        <v>75</v>
      </c>
      <c r="K96" s="1364" t="s">
        <v>76</v>
      </c>
      <c r="L96" s="1364" t="s">
        <v>77</v>
      </c>
      <c r="M96" s="1364" t="s">
        <v>78</v>
      </c>
      <c r="N96" s="1364" t="s">
        <v>79</v>
      </c>
      <c r="S96" s="1142"/>
      <c r="T96" s="1181"/>
      <c r="AA96" s="1116"/>
    </row>
    <row r="97" spans="1:30" x14ac:dyDescent="0.3">
      <c r="B97" s="1132" t="s">
        <v>20</v>
      </c>
      <c r="C97" s="1157">
        <f>G75*C85/3</f>
        <v>2.9999999999999996</v>
      </c>
      <c r="D97" s="1157">
        <f>G75*D85/3</f>
        <v>1.9999999999999998</v>
      </c>
      <c r="E97" s="1157">
        <f>G75*E85/3</f>
        <v>1.9999999999999998</v>
      </c>
      <c r="F97" s="1157">
        <f>G75*F85/3</f>
        <v>1.9999999999999998</v>
      </c>
      <c r="G97" s="1157">
        <f>G75*G85/3</f>
        <v>2.9999999999999996</v>
      </c>
      <c r="H97" s="1157">
        <f>G75*H85/3</f>
        <v>1.9999999999999998</v>
      </c>
      <c r="I97" s="1157">
        <f>G75*I85/3</f>
        <v>2.9999999999999996</v>
      </c>
      <c r="J97" s="1157">
        <f>G75*J85/3</f>
        <v>1.9999999999999998</v>
      </c>
      <c r="K97" s="1157">
        <f>G75*K85/3</f>
        <v>2.9999999999999996</v>
      </c>
      <c r="L97" s="1157">
        <f>G75*L85/3</f>
        <v>1.9999999999999998</v>
      </c>
      <c r="M97" s="1157">
        <f>G75*M85/3</f>
        <v>2.9999999999999996</v>
      </c>
      <c r="N97" s="1157">
        <f>G75*N85/3</f>
        <v>1.9999999999999998</v>
      </c>
      <c r="S97" s="1142"/>
      <c r="T97" s="1181"/>
      <c r="AA97" s="1116"/>
    </row>
    <row r="98" spans="1:30" x14ac:dyDescent="0.3">
      <c r="B98" s="1132" t="s">
        <v>21</v>
      </c>
      <c r="C98" s="1157">
        <f>G76*C86/3</f>
        <v>2.9999999999999996</v>
      </c>
      <c r="D98" s="1157">
        <f>G76*D86/3</f>
        <v>1.9999999999999998</v>
      </c>
      <c r="E98" s="1157">
        <f>G76*E86/3</f>
        <v>0.99999999999999989</v>
      </c>
      <c r="F98" s="1157">
        <f>G76*F86/3</f>
        <v>1.9999999999999998</v>
      </c>
      <c r="G98" s="1157">
        <f>G76*G86/3</f>
        <v>2.9999999999999996</v>
      </c>
      <c r="H98" s="1157">
        <f>G76*H86/3</f>
        <v>1.9999999999999998</v>
      </c>
      <c r="I98" s="1157">
        <f>G76*I86/3</f>
        <v>1.9999999999999998</v>
      </c>
      <c r="J98" s="1157"/>
      <c r="K98" s="1157">
        <f>G76*K86/3</f>
        <v>2.9999999999999996</v>
      </c>
      <c r="L98" s="1157"/>
      <c r="M98" s="1157">
        <f>G76*M86/3</f>
        <v>1.9999999999999998</v>
      </c>
      <c r="N98" s="1157">
        <f>G76*N86/3</f>
        <v>1.9999999999999998</v>
      </c>
      <c r="S98" s="1142"/>
      <c r="T98" s="1181"/>
      <c r="AA98" s="1116"/>
    </row>
    <row r="99" spans="1:30" x14ac:dyDescent="0.3">
      <c r="B99" s="1132" t="s">
        <v>23</v>
      </c>
      <c r="C99" s="1157">
        <f>G77*C87/3</f>
        <v>2.3999999999999995</v>
      </c>
      <c r="D99" s="1157">
        <f>G77*D87/3</f>
        <v>1.5999999999999996</v>
      </c>
      <c r="E99" s="1157">
        <f>G77*E87/3</f>
        <v>1.5999999999999996</v>
      </c>
      <c r="F99" s="1157">
        <f>G77*F87/3</f>
        <v>1.5999999999999996</v>
      </c>
      <c r="G99" s="1157">
        <f>G77*G87/3</f>
        <v>2.3999999999999995</v>
      </c>
      <c r="H99" s="1157">
        <f>G77*H87/3</f>
        <v>1.5999999999999996</v>
      </c>
      <c r="I99" s="1157">
        <f>G77*I87/3</f>
        <v>2.3999999999999995</v>
      </c>
      <c r="J99" s="1157">
        <f>G77*J87/3</f>
        <v>2.3999999999999995</v>
      </c>
      <c r="K99" s="1157">
        <f>G77*K87/3</f>
        <v>2.3999999999999995</v>
      </c>
      <c r="L99" s="1157">
        <f>G77*L87/3</f>
        <v>1.5999999999999996</v>
      </c>
      <c r="M99" s="1157">
        <f>G77*M87/3</f>
        <v>1.5999999999999996</v>
      </c>
      <c r="N99" s="1157">
        <f>G77*N87/3</f>
        <v>1.5999999999999996</v>
      </c>
      <c r="S99" s="1142"/>
      <c r="T99" s="1181"/>
      <c r="AA99" s="1116"/>
    </row>
    <row r="100" spans="1:30" x14ac:dyDescent="0.3">
      <c r="B100" s="1132" t="s">
        <v>25</v>
      </c>
      <c r="C100" s="1157">
        <f>G78*C88/3</f>
        <v>2.6999999999999997</v>
      </c>
      <c r="D100" s="1157">
        <f>G78*D88/3</f>
        <v>1.7999999999999998</v>
      </c>
      <c r="E100" s="1157">
        <f>G78*E88/3</f>
        <v>0.89999999999999991</v>
      </c>
      <c r="F100" s="1157"/>
      <c r="G100" s="1157">
        <f>G78*G88/3</f>
        <v>2.6999999999999997</v>
      </c>
      <c r="H100" s="1157">
        <f>G78*H88/3</f>
        <v>1.7999999999999998</v>
      </c>
      <c r="I100" s="1157">
        <f>G78*I88/3</f>
        <v>2.6999999999999997</v>
      </c>
      <c r="J100" s="1157">
        <f>G78*J88/3</f>
        <v>1.7999999999999998</v>
      </c>
      <c r="K100" s="1157">
        <f>G78*K88/3</f>
        <v>2.6999999999999997</v>
      </c>
      <c r="L100" s="1157">
        <f>G78*L88/3</f>
        <v>1.7999999999999998</v>
      </c>
      <c r="M100" s="1157">
        <f>G78*M88/3</f>
        <v>1.7999999999999998</v>
      </c>
      <c r="N100" s="1157">
        <f>G78*N88/3</f>
        <v>2.6999999999999997</v>
      </c>
      <c r="S100" s="1142"/>
      <c r="T100" s="1181"/>
      <c r="AA100" s="1116"/>
    </row>
    <row r="101" spans="1:30" x14ac:dyDescent="0.3">
      <c r="B101" s="1132" t="s">
        <v>24</v>
      </c>
      <c r="C101" s="1157">
        <f>G79*C89/3</f>
        <v>2.6999999999999997</v>
      </c>
      <c r="D101" s="1157">
        <f>G79*D89/3</f>
        <v>1.7999999999999998</v>
      </c>
      <c r="E101" s="1157">
        <f>G79*E89/3</f>
        <v>1.7999999999999998</v>
      </c>
      <c r="F101" s="1157"/>
      <c r="G101" s="1157">
        <f>G79*G89/3</f>
        <v>2.6999999999999997</v>
      </c>
      <c r="H101" s="1157">
        <f>G79*H89/3</f>
        <v>1.7999999999999998</v>
      </c>
      <c r="I101" s="1157">
        <f>G79*I89/3</f>
        <v>2.6999999999999997</v>
      </c>
      <c r="J101" s="1157"/>
      <c r="K101" s="1157">
        <f>G79*K89/3</f>
        <v>2.6999999999999997</v>
      </c>
      <c r="L101" s="1157"/>
      <c r="M101" s="1157">
        <f>G79*M89/3</f>
        <v>1.7999999999999998</v>
      </c>
      <c r="N101" s="1157">
        <f>G79*N89/3</f>
        <v>2.6999999999999997</v>
      </c>
      <c r="S101" s="1142"/>
      <c r="T101" s="1181"/>
      <c r="AA101" s="1116"/>
    </row>
    <row r="102" spans="1:30" x14ac:dyDescent="0.3">
      <c r="B102" s="1502" t="s">
        <v>10</v>
      </c>
      <c r="C102" s="1401">
        <f t="shared" ref="C102:N102" si="23">AVERAGE(C97:C100)</f>
        <v>2.7749999999999995</v>
      </c>
      <c r="D102" s="1401">
        <f t="shared" si="23"/>
        <v>1.8499999999999999</v>
      </c>
      <c r="E102" s="1401">
        <f t="shared" si="23"/>
        <v>1.375</v>
      </c>
      <c r="F102" s="1401">
        <f t="shared" si="23"/>
        <v>1.8666666666666665</v>
      </c>
      <c r="G102" s="1401">
        <f t="shared" si="23"/>
        <v>2.7749999999999995</v>
      </c>
      <c r="H102" s="1401">
        <f t="shared" si="23"/>
        <v>1.8499999999999999</v>
      </c>
      <c r="I102" s="1401">
        <f t="shared" si="23"/>
        <v>2.5249999999999995</v>
      </c>
      <c r="J102" s="1401">
        <f t="shared" si="23"/>
        <v>2.0666666666666664</v>
      </c>
      <c r="K102" s="1401">
        <f t="shared" si="23"/>
        <v>2.7749999999999995</v>
      </c>
      <c r="L102" s="1401">
        <f t="shared" si="23"/>
        <v>1.7999999999999998</v>
      </c>
      <c r="M102" s="1401">
        <f t="shared" si="23"/>
        <v>2.0999999999999996</v>
      </c>
      <c r="N102" s="1401">
        <f t="shared" si="23"/>
        <v>2.0749999999999997</v>
      </c>
      <c r="S102" s="1142"/>
      <c r="T102" s="1181"/>
      <c r="AA102" s="1116"/>
    </row>
    <row r="103" spans="1:30" x14ac:dyDescent="0.3">
      <c r="B103" s="1155" t="s">
        <v>58</v>
      </c>
      <c r="C103" s="3582">
        <f>AVERAGE(C102:N102)</f>
        <v>2.1527777777777777</v>
      </c>
      <c r="D103" s="3582"/>
      <c r="E103" s="3582"/>
      <c r="F103" s="3582"/>
      <c r="G103" s="3582"/>
      <c r="H103" s="3582"/>
      <c r="I103" s="3582"/>
      <c r="J103" s="3582"/>
      <c r="K103" s="3582"/>
      <c r="L103" s="3582"/>
      <c r="M103" s="3582"/>
      <c r="N103" s="3582"/>
      <c r="O103" s="1186"/>
      <c r="P103" s="1186"/>
      <c r="Q103" s="1186"/>
      <c r="R103" s="1186"/>
    </row>
    <row r="105" spans="1:30" x14ac:dyDescent="0.3">
      <c r="A105" s="2715" t="s">
        <v>137</v>
      </c>
      <c r="B105" s="2715"/>
      <c r="C105" s="1240"/>
      <c r="D105" s="1240"/>
      <c r="L105" s="2715" t="s">
        <v>149</v>
      </c>
      <c r="M105" s="2715"/>
      <c r="N105" s="2715"/>
      <c r="O105" s="1240"/>
      <c r="P105" s="1240"/>
    </row>
    <row r="106" spans="1:30" x14ac:dyDescent="0.3">
      <c r="A106" s="1142"/>
      <c r="B106" s="1142"/>
      <c r="C106" s="1240"/>
      <c r="D106" s="1240"/>
      <c r="L106" s="1142"/>
      <c r="M106" s="1142"/>
      <c r="N106" s="1248"/>
      <c r="O106" s="1240"/>
      <c r="P106" s="1240"/>
    </row>
    <row r="107" spans="1:30" x14ac:dyDescent="0.3">
      <c r="B107" s="1145" t="s">
        <v>59</v>
      </c>
      <c r="C107" s="1364" t="s">
        <v>60</v>
      </c>
      <c r="D107" s="1364" t="s">
        <v>61</v>
      </c>
      <c r="E107" s="1364" t="s">
        <v>62</v>
      </c>
      <c r="K107" s="1249" t="s">
        <v>59</v>
      </c>
      <c r="L107" s="1364" t="s">
        <v>60</v>
      </c>
      <c r="M107" s="1364" t="s">
        <v>61</v>
      </c>
      <c r="N107" s="1364" t="s">
        <v>62</v>
      </c>
      <c r="Q107" s="1142"/>
      <c r="T107" s="1116"/>
      <c r="X107" s="1181"/>
      <c r="AA107" s="1116"/>
      <c r="AB107" s="792"/>
      <c r="AC107" s="792"/>
      <c r="AD107" s="792"/>
    </row>
    <row r="108" spans="1:30" x14ac:dyDescent="0.3">
      <c r="B108" s="1159" t="s">
        <v>20</v>
      </c>
      <c r="C108" s="1153">
        <v>3</v>
      </c>
      <c r="D108" s="1153">
        <v>3</v>
      </c>
      <c r="E108" s="1153">
        <v>1</v>
      </c>
      <c r="K108" s="1250" t="s">
        <v>20</v>
      </c>
      <c r="L108" s="1157">
        <f>G75*C108/3</f>
        <v>2.9999999999999996</v>
      </c>
      <c r="M108" s="1157">
        <f>G75*D108/3</f>
        <v>2.9999999999999996</v>
      </c>
      <c r="N108" s="1157">
        <f>G75*E108/3</f>
        <v>0.99999999999999989</v>
      </c>
      <c r="Q108" s="1142"/>
      <c r="T108" s="1116"/>
      <c r="X108" s="1181"/>
      <c r="AA108" s="1116"/>
      <c r="AB108" s="792"/>
      <c r="AC108" s="792"/>
      <c r="AD108" s="792"/>
    </row>
    <row r="109" spans="1:30" x14ac:dyDescent="0.3">
      <c r="B109" s="1132" t="s">
        <v>21</v>
      </c>
      <c r="C109" s="1153">
        <v>3</v>
      </c>
      <c r="D109" s="1153">
        <v>3</v>
      </c>
      <c r="E109" s="1153">
        <v>2</v>
      </c>
      <c r="K109" s="1251" t="s">
        <v>21</v>
      </c>
      <c r="L109" s="1157">
        <f>G76*C109/3</f>
        <v>2.9999999999999996</v>
      </c>
      <c r="M109" s="1157">
        <f>G76*D109/3</f>
        <v>2.9999999999999996</v>
      </c>
      <c r="N109" s="1157">
        <f>G76*E109/3</f>
        <v>1.9999999999999998</v>
      </c>
      <c r="Q109" s="1142"/>
      <c r="T109" s="1116"/>
      <c r="X109" s="1181"/>
      <c r="AA109" s="1116"/>
      <c r="AB109" s="792"/>
      <c r="AC109" s="792"/>
      <c r="AD109" s="792"/>
    </row>
    <row r="110" spans="1:30" x14ac:dyDescent="0.3">
      <c r="B110" s="1132" t="s">
        <v>23</v>
      </c>
      <c r="C110" s="1153">
        <v>3</v>
      </c>
      <c r="D110" s="1153">
        <v>3</v>
      </c>
      <c r="E110" s="1153">
        <v>2</v>
      </c>
      <c r="K110" s="1251" t="s">
        <v>23</v>
      </c>
      <c r="L110" s="1157">
        <f>G77*C110/3</f>
        <v>2.3999999999999995</v>
      </c>
      <c r="M110" s="1157">
        <f>G77*D110/3</f>
        <v>2.3999999999999995</v>
      </c>
      <c r="N110" s="1157">
        <f>G77*E110/3</f>
        <v>1.5999999999999996</v>
      </c>
      <c r="Q110" s="1142"/>
      <c r="T110" s="1116"/>
      <c r="X110" s="1181"/>
      <c r="AA110" s="1116"/>
      <c r="AB110" s="792"/>
      <c r="AC110" s="792"/>
      <c r="AD110" s="792"/>
    </row>
    <row r="111" spans="1:30" x14ac:dyDescent="0.3">
      <c r="B111" s="1132" t="s">
        <v>25</v>
      </c>
      <c r="C111" s="1153">
        <v>3</v>
      </c>
      <c r="D111" s="1153">
        <v>3</v>
      </c>
      <c r="E111" s="1153">
        <v>1</v>
      </c>
      <c r="K111" s="1251" t="s">
        <v>25</v>
      </c>
      <c r="L111" s="1157">
        <f>G78*C111/3</f>
        <v>2.6999999999999997</v>
      </c>
      <c r="M111" s="1157">
        <f>G78*D111/3</f>
        <v>2.6999999999999997</v>
      </c>
      <c r="N111" s="1157">
        <f>G78*E111/3</f>
        <v>0.89999999999999991</v>
      </c>
      <c r="Q111" s="1142"/>
      <c r="T111" s="1116"/>
      <c r="X111" s="1181"/>
      <c r="AA111" s="1116"/>
      <c r="AB111" s="792"/>
      <c r="AC111" s="792"/>
      <c r="AD111" s="792"/>
    </row>
    <row r="112" spans="1:30" x14ac:dyDescent="0.3">
      <c r="B112" s="1159" t="s">
        <v>24</v>
      </c>
      <c r="C112" s="1496">
        <v>3</v>
      </c>
      <c r="D112" s="1496">
        <v>3</v>
      </c>
      <c r="E112" s="1496">
        <v>2</v>
      </c>
      <c r="K112" s="1250" t="s">
        <v>24</v>
      </c>
      <c r="L112" s="1157">
        <f>G79*C112/3</f>
        <v>2.6999999999999997</v>
      </c>
      <c r="M112" s="1157">
        <f>G79*D112/3</f>
        <v>2.6999999999999997</v>
      </c>
      <c r="N112" s="1157">
        <f>G79*E112/3</f>
        <v>1.7999999999999998</v>
      </c>
      <c r="Q112" s="1142"/>
      <c r="T112" s="1116"/>
      <c r="X112" s="1181"/>
      <c r="AA112" s="1116"/>
      <c r="AB112" s="792"/>
      <c r="AC112" s="792"/>
      <c r="AD112" s="792"/>
    </row>
    <row r="113" spans="1:30" x14ac:dyDescent="0.3">
      <c r="B113" s="1128" t="s">
        <v>10</v>
      </c>
      <c r="C113" s="1160">
        <f>AVERAGE(C108:C111)</f>
        <v>3</v>
      </c>
      <c r="D113" s="1160">
        <f>AVERAGE(D108:D111)</f>
        <v>3</v>
      </c>
      <c r="E113" s="1160">
        <f>AVERAGE(E108:E111)</f>
        <v>1.5</v>
      </c>
      <c r="K113" s="1497" t="s">
        <v>10</v>
      </c>
      <c r="L113" s="1157">
        <f>AVERAGE(L108:L111)</f>
        <v>2.7749999999999995</v>
      </c>
      <c r="M113" s="1157">
        <f>AVERAGE(M108:M111)</f>
        <v>2.7749999999999995</v>
      </c>
      <c r="N113" s="1157">
        <f>AVERAGE(N108:N111)</f>
        <v>1.375</v>
      </c>
      <c r="Q113" s="1142"/>
      <c r="T113" s="1116"/>
      <c r="X113" s="1181"/>
      <c r="AA113" s="1116"/>
      <c r="AB113" s="792"/>
      <c r="AC113" s="792"/>
      <c r="AD113" s="792"/>
    </row>
    <row r="114" spans="1:30" ht="37.5" x14ac:dyDescent="0.3">
      <c r="A114" s="1141"/>
      <c r="B114" s="1129" t="s">
        <v>58</v>
      </c>
      <c r="C114" s="3205">
        <f>AVERAGE(C113:E113)</f>
        <v>2.5</v>
      </c>
      <c r="D114" s="3487"/>
      <c r="E114" s="3207"/>
      <c r="F114" s="1141"/>
      <c r="G114" s="1141"/>
      <c r="H114" s="1141"/>
      <c r="I114" s="1141"/>
      <c r="J114" s="1141"/>
      <c r="K114" s="1254" t="s">
        <v>58</v>
      </c>
      <c r="L114" s="3205">
        <f>AVERAGE(L113:N113)</f>
        <v>2.3083333333333331</v>
      </c>
      <c r="M114" s="3487"/>
      <c r="N114" s="3207"/>
      <c r="O114" s="1141"/>
      <c r="Q114" s="1142"/>
      <c r="T114" s="1116"/>
      <c r="X114" s="1181"/>
      <c r="AA114" s="1116"/>
      <c r="AB114" s="792"/>
      <c r="AC114" s="792"/>
      <c r="AD114" s="792"/>
    </row>
    <row r="117" spans="1:30" x14ac:dyDescent="0.3">
      <c r="A117" s="1255"/>
      <c r="B117" s="1255"/>
      <c r="C117" s="1255"/>
      <c r="D117" s="1255"/>
      <c r="E117" s="1255"/>
      <c r="F117" s="1255"/>
      <c r="G117" s="1255"/>
      <c r="H117" s="1255"/>
      <c r="I117" s="1255"/>
      <c r="J117" s="1255"/>
      <c r="K117" s="1255"/>
      <c r="L117" s="1255"/>
      <c r="M117" s="1255"/>
      <c r="N117" s="1255"/>
      <c r="O117" s="1255"/>
      <c r="P117" s="1255"/>
      <c r="Q117" s="1255"/>
      <c r="R117" s="1255"/>
    </row>
  </sheetData>
  <mergeCells count="45">
    <mergeCell ref="C103:N103"/>
    <mergeCell ref="A105:B105"/>
    <mergeCell ref="L105:N105"/>
    <mergeCell ref="C114:E114"/>
    <mergeCell ref="L114:N114"/>
    <mergeCell ref="AC6:AC9"/>
    <mergeCell ref="AD6:AD9"/>
    <mergeCell ref="A94:B94"/>
    <mergeCell ref="A71:B71"/>
    <mergeCell ref="E74:F74"/>
    <mergeCell ref="G74:I74"/>
    <mergeCell ref="E75:F75"/>
    <mergeCell ref="E76:F76"/>
    <mergeCell ref="E77:F77"/>
    <mergeCell ref="E78:F78"/>
    <mergeCell ref="E79:F79"/>
    <mergeCell ref="B80:F80"/>
    <mergeCell ref="A82:B82"/>
    <mergeCell ref="C91:N91"/>
    <mergeCell ref="A70:B70"/>
    <mergeCell ref="J6:K6"/>
    <mergeCell ref="A5:B5"/>
    <mergeCell ref="C5:O5"/>
    <mergeCell ref="P5:AB5"/>
    <mergeCell ref="L6:M6"/>
    <mergeCell ref="O6:Q6"/>
    <mergeCell ref="R6:S6"/>
    <mergeCell ref="T6:U6"/>
    <mergeCell ref="V6:W6"/>
    <mergeCell ref="X6:Y6"/>
    <mergeCell ref="AA6:AA8"/>
    <mergeCell ref="AB6:AB8"/>
    <mergeCell ref="A6:A8"/>
    <mergeCell ref="B6:B7"/>
    <mergeCell ref="C6:E6"/>
    <mergeCell ref="F6:G6"/>
    <mergeCell ref="H6:I6"/>
    <mergeCell ref="C4:N4"/>
    <mergeCell ref="P4:AA4"/>
    <mergeCell ref="A2:B2"/>
    <mergeCell ref="C2:N2"/>
    <mergeCell ref="P2:AA2"/>
    <mergeCell ref="A3:B3"/>
    <mergeCell ref="C3:N3"/>
    <mergeCell ref="P3:AA3"/>
  </mergeCells>
  <conditionalFormatting sqref="AC10:AC67">
    <cfRule type="containsText" dxfId="78" priority="1" operator="containsText" text="F">
      <formula>NOT(ISERROR(SEARCH("F",AC10)))</formula>
    </cfRule>
  </conditionalFormatting>
  <pageMargins left="0.7" right="0.7" top="0.75" bottom="0.75" header="0.3" footer="0.3"/>
  <pageSetup paperSize="8" scale="3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AA127"/>
  <sheetViews>
    <sheetView topLeftCell="A91" zoomScale="80" zoomScaleNormal="80" workbookViewId="0">
      <selection activeCell="A70" sqref="A70:B70"/>
    </sheetView>
  </sheetViews>
  <sheetFormatPr defaultColWidth="9.140625" defaultRowHeight="15.75" x14ac:dyDescent="0.25"/>
  <cols>
    <col min="1" max="1" width="15.140625" style="354" bestFit="1" customWidth="1"/>
    <col min="2" max="2" width="18.28515625" style="354" bestFit="1" customWidth="1"/>
    <col min="3" max="12" width="8.7109375" style="403" customWidth="1"/>
    <col min="13" max="13" width="10.5703125" style="332" customWidth="1"/>
    <col min="14" max="14" width="10.5703125" style="354" customWidth="1"/>
    <col min="15" max="17" width="11.140625" style="354" bestFit="1" customWidth="1"/>
    <col min="18" max="19" width="9.140625" style="354"/>
    <col min="20" max="20" width="10.42578125" style="354" customWidth="1"/>
    <col min="21" max="22" width="10.5703125" style="354" customWidth="1"/>
    <col min="23" max="23" width="10.5703125" style="332" customWidth="1"/>
    <col min="24" max="26" width="9.140625" style="354"/>
    <col min="27" max="27" width="8" style="354" customWidth="1"/>
    <col min="28" max="28" width="17.140625" style="354" bestFit="1" customWidth="1"/>
    <col min="29" max="16384" width="9.140625" style="354"/>
  </cols>
  <sheetData>
    <row r="1" spans="1:27" x14ac:dyDescent="0.25">
      <c r="A1" s="333"/>
    </row>
    <row r="2" spans="1:27" x14ac:dyDescent="0.25">
      <c r="A2" s="3371" t="s">
        <v>0</v>
      </c>
      <c r="B2" s="3372"/>
      <c r="C2" s="3373" t="s">
        <v>100</v>
      </c>
      <c r="D2" s="3374"/>
      <c r="E2" s="3374"/>
      <c r="F2" s="3374"/>
      <c r="G2" s="3374"/>
      <c r="H2" s="3374"/>
      <c r="I2" s="3374"/>
      <c r="J2" s="3374"/>
      <c r="K2" s="3374"/>
      <c r="L2" s="3374"/>
      <c r="M2" s="3583"/>
      <c r="N2" s="412" t="s">
        <v>63</v>
      </c>
      <c r="O2" s="3375" t="s">
        <v>271</v>
      </c>
      <c r="P2" s="3375"/>
      <c r="Q2" s="3375"/>
      <c r="R2" s="3375"/>
      <c r="S2" s="3375"/>
      <c r="T2" s="3375"/>
      <c r="U2" s="3375"/>
      <c r="V2" s="3375"/>
      <c r="W2" s="3375"/>
      <c r="X2" s="340"/>
      <c r="Y2" s="340"/>
      <c r="Z2" s="340"/>
      <c r="AA2" s="340"/>
    </row>
    <row r="3" spans="1:27" x14ac:dyDescent="0.25">
      <c r="A3" s="3371" t="s">
        <v>1</v>
      </c>
      <c r="B3" s="3372"/>
      <c r="C3" s="3373" t="s">
        <v>266</v>
      </c>
      <c r="D3" s="3374"/>
      <c r="E3" s="3374"/>
      <c r="F3" s="3374"/>
      <c r="G3" s="3374"/>
      <c r="H3" s="3374"/>
      <c r="I3" s="3374"/>
      <c r="J3" s="3374"/>
      <c r="K3" s="3374"/>
      <c r="L3" s="3374"/>
      <c r="M3" s="3583"/>
      <c r="N3" s="413" t="s">
        <v>64</v>
      </c>
      <c r="O3" s="3375" t="s">
        <v>232</v>
      </c>
      <c r="P3" s="3375"/>
      <c r="Q3" s="3375"/>
      <c r="R3" s="3375"/>
      <c r="S3" s="3375"/>
      <c r="T3" s="3375"/>
      <c r="U3" s="3375"/>
      <c r="V3" s="3375"/>
      <c r="W3" s="3375"/>
      <c r="X3" s="340"/>
      <c r="Y3" s="340"/>
      <c r="Z3" s="340"/>
      <c r="AA3" s="340"/>
    </row>
    <row r="4" spans="1:27" ht="16.5" thickBot="1" x14ac:dyDescent="0.3">
      <c r="A4" s="516"/>
      <c r="B4" s="517" t="s">
        <v>2</v>
      </c>
      <c r="C4" s="3588" t="s">
        <v>272</v>
      </c>
      <c r="D4" s="3589"/>
      <c r="E4" s="3589"/>
      <c r="F4" s="3589"/>
      <c r="G4" s="3589"/>
      <c r="H4" s="3589"/>
      <c r="I4" s="3589"/>
      <c r="J4" s="3589"/>
      <c r="K4" s="3589"/>
      <c r="L4" s="3589"/>
      <c r="M4" s="3590"/>
      <c r="N4" s="517" t="s">
        <v>65</v>
      </c>
      <c r="O4" s="3375" t="s">
        <v>66</v>
      </c>
      <c r="P4" s="3375"/>
      <c r="Q4" s="3375"/>
      <c r="R4" s="3375"/>
      <c r="S4" s="3375"/>
      <c r="T4" s="3375"/>
      <c r="U4" s="3375"/>
      <c r="V4" s="3375"/>
      <c r="W4" s="3375"/>
      <c r="X4" s="340"/>
      <c r="Y4" s="340"/>
      <c r="Z4" s="340"/>
      <c r="AA4" s="340"/>
    </row>
    <row r="5" spans="1:27" ht="16.5" thickBot="1" x14ac:dyDescent="0.3">
      <c r="A5" s="3064"/>
      <c r="B5" s="3591"/>
      <c r="C5" s="3294" t="s">
        <v>3</v>
      </c>
      <c r="D5" s="3295"/>
      <c r="E5" s="3295"/>
      <c r="F5" s="3295"/>
      <c r="G5" s="3295"/>
      <c r="H5" s="3295"/>
      <c r="I5" s="3295"/>
      <c r="J5" s="3295"/>
      <c r="K5" s="3295"/>
      <c r="L5" s="3295"/>
      <c r="M5" s="3295"/>
      <c r="N5" s="3592"/>
      <c r="O5" s="3593" t="s">
        <v>4</v>
      </c>
      <c r="P5" s="3594"/>
      <c r="Q5" s="3594"/>
      <c r="R5" s="3594"/>
      <c r="S5" s="3594"/>
      <c r="T5" s="3594"/>
      <c r="U5" s="3594"/>
      <c r="V5" s="3594"/>
      <c r="W5" s="3594"/>
      <c r="X5" s="3089"/>
      <c r="Y5" s="407"/>
      <c r="Z5" s="518"/>
      <c r="AA5" s="518"/>
    </row>
    <row r="6" spans="1:27" ht="15.75" customHeight="1" thickBot="1" x14ac:dyDescent="0.3">
      <c r="A6" s="3066"/>
      <c r="B6" s="3595" t="s">
        <v>5</v>
      </c>
      <c r="C6" s="3584" t="s">
        <v>6</v>
      </c>
      <c r="D6" s="3585"/>
      <c r="E6" s="3596"/>
      <c r="F6" s="3586" t="s">
        <v>7</v>
      </c>
      <c r="G6" s="3587"/>
      <c r="H6" s="406" t="s">
        <v>8</v>
      </c>
      <c r="I6" s="3096" t="s">
        <v>9</v>
      </c>
      <c r="J6" s="3098"/>
      <c r="K6" s="3098" t="s">
        <v>236</v>
      </c>
      <c r="L6" s="3119"/>
      <c r="M6" s="408" t="s">
        <v>146</v>
      </c>
      <c r="N6" s="3584" t="s">
        <v>6</v>
      </c>
      <c r="O6" s="3585"/>
      <c r="P6" s="3585"/>
      <c r="Q6" s="3586" t="s">
        <v>7</v>
      </c>
      <c r="R6" s="3587"/>
      <c r="S6" s="3098" t="s">
        <v>8</v>
      </c>
      <c r="T6" s="3119"/>
      <c r="U6" s="709" t="s">
        <v>9</v>
      </c>
      <c r="V6" s="394" t="s">
        <v>236</v>
      </c>
      <c r="W6" s="411" t="s">
        <v>147</v>
      </c>
      <c r="X6" s="3601" t="s">
        <v>151</v>
      </c>
      <c r="Y6" s="3099" t="s">
        <v>152</v>
      </c>
      <c r="Z6" s="2679" t="s">
        <v>11</v>
      </c>
      <c r="AA6" s="3052" t="s">
        <v>12</v>
      </c>
    </row>
    <row r="7" spans="1:27" ht="15.75" customHeight="1" x14ac:dyDescent="0.25">
      <c r="A7" s="3067"/>
      <c r="B7" s="3069"/>
      <c r="C7" s="80" t="s">
        <v>13</v>
      </c>
      <c r="D7" s="417" t="s">
        <v>14</v>
      </c>
      <c r="E7" s="319" t="s">
        <v>15</v>
      </c>
      <c r="F7" s="80" t="s">
        <v>13</v>
      </c>
      <c r="G7" s="417" t="s">
        <v>14</v>
      </c>
      <c r="H7" s="417" t="s">
        <v>13</v>
      </c>
      <c r="I7" s="80" t="s">
        <v>13</v>
      </c>
      <c r="J7" s="399" t="s">
        <v>14</v>
      </c>
      <c r="K7" s="416" t="s">
        <v>13</v>
      </c>
      <c r="L7" s="417" t="s">
        <v>14</v>
      </c>
      <c r="M7" s="682"/>
      <c r="N7" s="80" t="s">
        <v>13</v>
      </c>
      <c r="O7" s="417" t="s">
        <v>14</v>
      </c>
      <c r="P7" s="399" t="s">
        <v>67</v>
      </c>
      <c r="Q7" s="80" t="s">
        <v>13</v>
      </c>
      <c r="R7" s="417" t="s">
        <v>14</v>
      </c>
      <c r="S7" s="2670" t="s">
        <v>13</v>
      </c>
      <c r="T7" s="3298"/>
      <c r="U7" s="80" t="s">
        <v>13</v>
      </c>
      <c r="V7" s="417" t="s">
        <v>13</v>
      </c>
      <c r="W7" s="400"/>
      <c r="X7" s="3304"/>
      <c r="Y7" s="3602"/>
      <c r="Z7" s="2679"/>
      <c r="AA7" s="3052"/>
    </row>
    <row r="8" spans="1:27" x14ac:dyDescent="0.25">
      <c r="A8" s="3068"/>
      <c r="B8" s="519" t="s">
        <v>19</v>
      </c>
      <c r="C8" s="72" t="s">
        <v>22</v>
      </c>
      <c r="D8" s="72" t="s">
        <v>21</v>
      </c>
      <c r="E8" s="683" t="s">
        <v>21</v>
      </c>
      <c r="F8" s="374" t="s">
        <v>20</v>
      </c>
      <c r="G8" s="374" t="s">
        <v>20</v>
      </c>
      <c r="H8" s="521" t="s">
        <v>20</v>
      </c>
      <c r="I8" s="710" t="s">
        <v>21</v>
      </c>
      <c r="J8" s="710" t="s">
        <v>21</v>
      </c>
      <c r="K8" s="711" t="s">
        <v>40</v>
      </c>
      <c r="L8" s="711" t="s">
        <v>40</v>
      </c>
      <c r="M8" s="683"/>
      <c r="N8" s="72" t="s">
        <v>41</v>
      </c>
      <c r="O8" s="464" t="s">
        <v>42</v>
      </c>
      <c r="P8" s="521" t="s">
        <v>42</v>
      </c>
      <c r="Q8" s="72" t="s">
        <v>41</v>
      </c>
      <c r="R8" s="464" t="s">
        <v>41</v>
      </c>
      <c r="S8" s="3599" t="s">
        <v>41</v>
      </c>
      <c r="T8" s="3600"/>
      <c r="U8" s="72" t="s">
        <v>42</v>
      </c>
      <c r="V8" s="464" t="s">
        <v>42</v>
      </c>
      <c r="W8" s="400" t="s">
        <v>237</v>
      </c>
      <c r="X8" s="3048"/>
      <c r="Y8" s="3100"/>
      <c r="Z8" s="2679"/>
      <c r="AA8" s="3052"/>
    </row>
    <row r="9" spans="1:27" x14ac:dyDescent="0.25">
      <c r="A9" s="417" t="s">
        <v>18</v>
      </c>
      <c r="B9" s="399" t="s">
        <v>26</v>
      </c>
      <c r="C9" s="72">
        <v>2</v>
      </c>
      <c r="D9" s="464">
        <v>2</v>
      </c>
      <c r="E9" s="81">
        <v>2</v>
      </c>
      <c r="F9" s="72">
        <v>6</v>
      </c>
      <c r="G9" s="464">
        <v>6</v>
      </c>
      <c r="H9" s="464">
        <v>12</v>
      </c>
      <c r="I9" s="72">
        <v>8</v>
      </c>
      <c r="J9" s="593">
        <v>4</v>
      </c>
      <c r="K9" s="417">
        <v>8</v>
      </c>
      <c r="L9" s="417">
        <v>4</v>
      </c>
      <c r="M9" s="520">
        <v>30</v>
      </c>
      <c r="N9" s="72">
        <v>2</v>
      </c>
      <c r="O9" s="464">
        <v>2</v>
      </c>
      <c r="P9" s="521">
        <v>2</v>
      </c>
      <c r="Q9" s="72">
        <v>6</v>
      </c>
      <c r="R9" s="464">
        <v>6</v>
      </c>
      <c r="S9" s="3599">
        <v>12</v>
      </c>
      <c r="T9" s="3600"/>
      <c r="U9" s="72">
        <v>12</v>
      </c>
      <c r="V9" s="712">
        <v>12</v>
      </c>
      <c r="W9" s="400">
        <v>30</v>
      </c>
      <c r="X9" s="402">
        <v>10</v>
      </c>
      <c r="Y9" s="402">
        <v>10</v>
      </c>
      <c r="Z9" s="2679"/>
      <c r="AA9" s="3052"/>
    </row>
    <row r="10" spans="1:27" ht="18.75" x14ac:dyDescent="0.25">
      <c r="A10" s="417">
        <v>1</v>
      </c>
      <c r="B10" s="685">
        <v>5191421001</v>
      </c>
      <c r="C10" s="83">
        <v>0</v>
      </c>
      <c r="D10" s="428">
        <v>2</v>
      </c>
      <c r="E10" s="99">
        <v>1</v>
      </c>
      <c r="F10" s="686">
        <v>4</v>
      </c>
      <c r="G10" s="428">
        <v>2</v>
      </c>
      <c r="H10" s="687">
        <v>4</v>
      </c>
      <c r="I10" s="686"/>
      <c r="J10" s="54"/>
      <c r="K10" s="429">
        <v>7</v>
      </c>
      <c r="L10" s="429"/>
      <c r="M10" s="523">
        <v>16</v>
      </c>
      <c r="N10" s="85">
        <v>1</v>
      </c>
      <c r="O10" s="431">
        <v>2</v>
      </c>
      <c r="P10" s="527">
        <v>1</v>
      </c>
      <c r="Q10" s="85"/>
      <c r="R10" s="429">
        <v>5</v>
      </c>
      <c r="S10" s="3597">
        <v>5</v>
      </c>
      <c r="T10" s="3598"/>
      <c r="U10" s="87"/>
      <c r="V10" s="524">
        <v>9</v>
      </c>
      <c r="W10" s="705">
        <v>18</v>
      </c>
      <c r="X10" s="435">
        <v>7</v>
      </c>
      <c r="Y10" s="435">
        <v>7</v>
      </c>
      <c r="Z10" s="713" t="s">
        <v>33</v>
      </c>
      <c r="AA10" s="703">
        <f>IF(Z10="O",100,IF(Z10="A+",90,IF(Z10="A",80,IF(Z10="B+",70,IF(Z10="B",60,IF(Z10="C",55,IF(Z10="P",50,IF(Z10="F",39))))))))</f>
        <v>60</v>
      </c>
    </row>
    <row r="11" spans="1:27" ht="18.75" x14ac:dyDescent="0.25">
      <c r="A11" s="525">
        <v>2</v>
      </c>
      <c r="B11" s="690">
        <v>5191421002</v>
      </c>
      <c r="C11" s="587">
        <v>2</v>
      </c>
      <c r="D11" s="531">
        <v>2</v>
      </c>
      <c r="E11" s="691">
        <v>1</v>
      </c>
      <c r="F11" s="587">
        <v>5</v>
      </c>
      <c r="G11" s="531">
        <v>6</v>
      </c>
      <c r="H11" s="588"/>
      <c r="I11" s="587"/>
      <c r="J11" s="531"/>
      <c r="K11" s="429">
        <v>3</v>
      </c>
      <c r="L11" s="429">
        <v>3</v>
      </c>
      <c r="M11" s="523">
        <v>22</v>
      </c>
      <c r="N11" s="530">
        <v>2</v>
      </c>
      <c r="O11" s="692">
        <v>2</v>
      </c>
      <c r="P11" s="714">
        <v>0</v>
      </c>
      <c r="Q11" s="530">
        <v>0</v>
      </c>
      <c r="R11" s="429">
        <v>3</v>
      </c>
      <c r="S11" s="3597"/>
      <c r="T11" s="3598"/>
      <c r="U11" s="587"/>
      <c r="V11" s="693">
        <v>5</v>
      </c>
      <c r="W11" s="693">
        <v>12</v>
      </c>
      <c r="X11" s="435">
        <v>10</v>
      </c>
      <c r="Y11" s="435">
        <v>10</v>
      </c>
      <c r="Z11" s="9" t="s">
        <v>33</v>
      </c>
      <c r="AA11" s="435">
        <f t="shared" ref="AA11:AA67" si="0">IF(Z11="O",100,IF(Z11="A+",90,IF(Z11="A",80,IF(Z11="B+",70,IF(Z11="B",60,IF(Z11="C",55,IF(Z11="P",50,IF(Z11="F",39))))))))</f>
        <v>60</v>
      </c>
    </row>
    <row r="12" spans="1:27" s="30" customFormat="1" ht="18.75" x14ac:dyDescent="0.25">
      <c r="A12" s="417">
        <v>3</v>
      </c>
      <c r="B12" s="694">
        <v>5191421003</v>
      </c>
      <c r="C12" s="431">
        <v>1</v>
      </c>
      <c r="D12" s="431">
        <v>1</v>
      </c>
      <c r="E12" s="431">
        <v>1</v>
      </c>
      <c r="F12" s="431">
        <v>4</v>
      </c>
      <c r="G12" s="429">
        <v>6</v>
      </c>
      <c r="H12" s="429"/>
      <c r="I12" s="429">
        <v>8</v>
      </c>
      <c r="J12" s="429">
        <v>3</v>
      </c>
      <c r="K12" s="429"/>
      <c r="L12" s="429"/>
      <c r="M12" s="523">
        <v>24</v>
      </c>
      <c r="N12" s="431">
        <v>2</v>
      </c>
      <c r="O12" s="431">
        <v>1</v>
      </c>
      <c r="P12" s="527">
        <v>1</v>
      </c>
      <c r="Q12" s="85">
        <v>4</v>
      </c>
      <c r="R12" s="429">
        <v>1</v>
      </c>
      <c r="S12" s="3597">
        <v>2</v>
      </c>
      <c r="T12" s="3598"/>
      <c r="U12" s="87"/>
      <c r="V12" s="705">
        <v>9</v>
      </c>
      <c r="W12" s="705">
        <v>18</v>
      </c>
      <c r="X12" s="435">
        <v>10</v>
      </c>
      <c r="Y12" s="435">
        <v>10</v>
      </c>
      <c r="Z12" s="9" t="s">
        <v>27</v>
      </c>
      <c r="AA12" s="435">
        <f t="shared" si="0"/>
        <v>80</v>
      </c>
    </row>
    <row r="13" spans="1:27" s="30" customFormat="1" ht="18.75" x14ac:dyDescent="0.25">
      <c r="A13" s="417">
        <v>4</v>
      </c>
      <c r="B13" s="694">
        <v>5191421004</v>
      </c>
      <c r="C13" s="695">
        <v>1</v>
      </c>
      <c r="D13" s="431">
        <v>0</v>
      </c>
      <c r="E13" s="431">
        <v>1</v>
      </c>
      <c r="F13" s="431">
        <v>2</v>
      </c>
      <c r="G13" s="429">
        <v>4</v>
      </c>
      <c r="H13" s="429"/>
      <c r="I13" s="429"/>
      <c r="J13" s="429"/>
      <c r="K13" s="429">
        <v>3</v>
      </c>
      <c r="L13" s="429"/>
      <c r="M13" s="523">
        <v>12</v>
      </c>
      <c r="N13" s="431">
        <v>0</v>
      </c>
      <c r="O13" s="431">
        <v>0</v>
      </c>
      <c r="P13" s="527"/>
      <c r="Q13" s="85">
        <v>0</v>
      </c>
      <c r="R13" s="429">
        <v>4</v>
      </c>
      <c r="S13" s="3597"/>
      <c r="T13" s="3598"/>
      <c r="U13" s="87"/>
      <c r="V13" s="705">
        <v>6</v>
      </c>
      <c r="W13" s="705">
        <v>10</v>
      </c>
      <c r="X13" s="435">
        <v>9</v>
      </c>
      <c r="Y13" s="435">
        <v>9</v>
      </c>
      <c r="Z13" s="9" t="s">
        <v>29</v>
      </c>
      <c r="AA13" s="435">
        <f t="shared" si="0"/>
        <v>39</v>
      </c>
    </row>
    <row r="14" spans="1:27" ht="18.75" x14ac:dyDescent="0.25">
      <c r="A14" s="445">
        <v>5</v>
      </c>
      <c r="B14" s="696">
        <v>5191421005</v>
      </c>
      <c r="C14" s="697">
        <v>0</v>
      </c>
      <c r="D14" s="698">
        <v>1</v>
      </c>
      <c r="E14" s="699">
        <v>0</v>
      </c>
      <c r="F14" s="697">
        <v>2</v>
      </c>
      <c r="G14" s="327">
        <v>2</v>
      </c>
      <c r="H14" s="700"/>
      <c r="I14" s="701">
        <v>3</v>
      </c>
      <c r="J14" s="327">
        <v>4</v>
      </c>
      <c r="K14" s="429"/>
      <c r="L14" s="429"/>
      <c r="M14" s="523">
        <v>12</v>
      </c>
      <c r="N14" s="697">
        <v>0</v>
      </c>
      <c r="O14" s="698">
        <v>0</v>
      </c>
      <c r="P14" s="715">
        <v>0</v>
      </c>
      <c r="Q14" s="697">
        <v>5</v>
      </c>
      <c r="R14" s="429"/>
      <c r="S14" s="3597"/>
      <c r="T14" s="3598"/>
      <c r="U14" s="701"/>
      <c r="V14" s="702">
        <v>8</v>
      </c>
      <c r="W14" s="702">
        <v>13</v>
      </c>
      <c r="X14" s="716">
        <v>9</v>
      </c>
      <c r="Y14" s="716">
        <v>9</v>
      </c>
      <c r="Z14" s="9" t="s">
        <v>32</v>
      </c>
      <c r="AA14" s="435">
        <f t="shared" si="0"/>
        <v>70</v>
      </c>
    </row>
    <row r="15" spans="1:27" ht="18.75" x14ac:dyDescent="0.25">
      <c r="A15" s="417">
        <v>6</v>
      </c>
      <c r="B15" s="685">
        <v>5191421006</v>
      </c>
      <c r="C15" s="85">
        <v>1</v>
      </c>
      <c r="D15" s="431">
        <v>2</v>
      </c>
      <c r="E15" s="688">
        <v>2</v>
      </c>
      <c r="F15" s="85"/>
      <c r="G15" s="429"/>
      <c r="H15" s="585">
        <v>11</v>
      </c>
      <c r="I15" s="87">
        <v>8</v>
      </c>
      <c r="J15" s="429">
        <v>3</v>
      </c>
      <c r="K15" s="429"/>
      <c r="L15" s="429"/>
      <c r="M15" s="523">
        <f>SUM(C15:L15)</f>
        <v>27</v>
      </c>
      <c r="N15" s="85">
        <v>2</v>
      </c>
      <c r="O15" s="431">
        <v>1</v>
      </c>
      <c r="P15" s="527">
        <v>1</v>
      </c>
      <c r="Q15" s="85">
        <v>6</v>
      </c>
      <c r="R15" s="429">
        <v>1</v>
      </c>
      <c r="S15" s="3597"/>
      <c r="T15" s="3598"/>
      <c r="U15" s="87"/>
      <c r="V15" s="705">
        <v>5</v>
      </c>
      <c r="W15" s="705">
        <v>16</v>
      </c>
      <c r="X15" s="435">
        <v>10</v>
      </c>
      <c r="Y15" s="435">
        <v>10</v>
      </c>
      <c r="Z15" s="9" t="s">
        <v>27</v>
      </c>
      <c r="AA15" s="435">
        <f t="shared" si="0"/>
        <v>80</v>
      </c>
    </row>
    <row r="16" spans="1:27" ht="18.75" x14ac:dyDescent="0.25">
      <c r="A16" s="417">
        <v>7</v>
      </c>
      <c r="B16" s="685">
        <v>5191421007</v>
      </c>
      <c r="C16" s="85">
        <v>1</v>
      </c>
      <c r="D16" s="431">
        <v>2</v>
      </c>
      <c r="E16" s="688">
        <v>1</v>
      </c>
      <c r="F16" s="85">
        <v>4</v>
      </c>
      <c r="G16" s="429">
        <v>6</v>
      </c>
      <c r="H16" s="585"/>
      <c r="I16" s="87">
        <v>3</v>
      </c>
      <c r="J16" s="429">
        <v>3</v>
      </c>
      <c r="K16" s="429">
        <v>2</v>
      </c>
      <c r="L16" s="429"/>
      <c r="M16" s="523">
        <v>20</v>
      </c>
      <c r="N16" s="85">
        <v>1</v>
      </c>
      <c r="O16" s="431">
        <v>1</v>
      </c>
      <c r="P16" s="527">
        <v>0</v>
      </c>
      <c r="Q16" s="85">
        <v>0</v>
      </c>
      <c r="R16" s="429">
        <v>4</v>
      </c>
      <c r="S16" s="3597"/>
      <c r="T16" s="3598"/>
      <c r="U16" s="87"/>
      <c r="V16" s="705">
        <v>8</v>
      </c>
      <c r="W16" s="705">
        <v>14</v>
      </c>
      <c r="X16" s="435">
        <v>7</v>
      </c>
      <c r="Y16" s="435">
        <v>7</v>
      </c>
      <c r="Z16" s="9" t="s">
        <v>32</v>
      </c>
      <c r="AA16" s="435">
        <f t="shared" si="0"/>
        <v>70</v>
      </c>
    </row>
    <row r="17" spans="1:27" ht="18.75" x14ac:dyDescent="0.25">
      <c r="A17" s="417">
        <v>8</v>
      </c>
      <c r="B17" s="685">
        <v>5191421008</v>
      </c>
      <c r="C17" s="85">
        <v>0</v>
      </c>
      <c r="D17" s="431">
        <v>0</v>
      </c>
      <c r="E17" s="688">
        <v>0</v>
      </c>
      <c r="F17" s="85">
        <v>2</v>
      </c>
      <c r="G17" s="429"/>
      <c r="H17" s="585">
        <v>4</v>
      </c>
      <c r="I17" s="87"/>
      <c r="J17" s="429"/>
      <c r="K17" s="429">
        <v>4</v>
      </c>
      <c r="L17" s="429"/>
      <c r="M17" s="523">
        <v>8</v>
      </c>
      <c r="N17" s="85">
        <v>2</v>
      </c>
      <c r="O17" s="431">
        <v>1</v>
      </c>
      <c r="P17" s="527">
        <v>1</v>
      </c>
      <c r="Q17" s="85"/>
      <c r="R17" s="429"/>
      <c r="S17" s="3597">
        <v>6</v>
      </c>
      <c r="T17" s="3598"/>
      <c r="U17" s="87"/>
      <c r="V17" s="705">
        <v>4</v>
      </c>
      <c r="W17" s="705">
        <v>14</v>
      </c>
      <c r="X17" s="435">
        <v>7</v>
      </c>
      <c r="Y17" s="435">
        <v>7</v>
      </c>
      <c r="Z17" s="9" t="s">
        <v>31</v>
      </c>
      <c r="AA17" s="435">
        <f t="shared" si="0"/>
        <v>55</v>
      </c>
    </row>
    <row r="18" spans="1:27" ht="18.75" x14ac:dyDescent="0.25">
      <c r="A18" s="417">
        <v>9</v>
      </c>
      <c r="B18" s="685">
        <v>5191421009</v>
      </c>
      <c r="C18" s="87">
        <v>0</v>
      </c>
      <c r="D18" s="87">
        <v>2</v>
      </c>
      <c r="E18" s="87">
        <v>2</v>
      </c>
      <c r="F18" s="87">
        <v>5</v>
      </c>
      <c r="G18" s="429">
        <v>5</v>
      </c>
      <c r="H18" s="585">
        <v>8</v>
      </c>
      <c r="I18" s="87">
        <v>8</v>
      </c>
      <c r="J18" s="429">
        <v>3</v>
      </c>
      <c r="K18" s="429"/>
      <c r="L18" s="429"/>
      <c r="M18" s="523">
        <v>25</v>
      </c>
      <c r="N18" s="85">
        <v>2</v>
      </c>
      <c r="O18" s="431">
        <v>1</v>
      </c>
      <c r="P18" s="527">
        <v>2</v>
      </c>
      <c r="Q18" s="85">
        <v>2</v>
      </c>
      <c r="R18" s="429">
        <v>4</v>
      </c>
      <c r="S18" s="3597"/>
      <c r="T18" s="3598"/>
      <c r="U18" s="87"/>
      <c r="V18" s="705">
        <v>10</v>
      </c>
      <c r="W18" s="705">
        <v>21</v>
      </c>
      <c r="X18" s="435">
        <v>10</v>
      </c>
      <c r="Y18" s="435">
        <v>10</v>
      </c>
      <c r="Z18" s="9" t="s">
        <v>30</v>
      </c>
      <c r="AA18" s="435">
        <f t="shared" si="0"/>
        <v>90</v>
      </c>
    </row>
    <row r="19" spans="1:27" ht="18.75" x14ac:dyDescent="0.25">
      <c r="A19" s="417">
        <v>10</v>
      </c>
      <c r="B19" s="685">
        <v>5191421010</v>
      </c>
      <c r="C19" s="85">
        <v>1</v>
      </c>
      <c r="D19" s="431">
        <v>1</v>
      </c>
      <c r="E19" s="688">
        <v>1</v>
      </c>
      <c r="F19" s="85"/>
      <c r="G19" s="429"/>
      <c r="H19" s="585">
        <v>9</v>
      </c>
      <c r="I19" s="87"/>
      <c r="J19" s="429"/>
      <c r="K19" s="429">
        <v>6</v>
      </c>
      <c r="L19" s="429">
        <v>1</v>
      </c>
      <c r="M19" s="523">
        <f>SUM(C19:L19)</f>
        <v>19</v>
      </c>
      <c r="N19" s="85">
        <v>1</v>
      </c>
      <c r="O19" s="431">
        <v>1</v>
      </c>
      <c r="P19" s="527">
        <v>0</v>
      </c>
      <c r="Q19" s="85">
        <v>6</v>
      </c>
      <c r="R19" s="429">
        <v>4</v>
      </c>
      <c r="S19" s="3597"/>
      <c r="T19" s="3598"/>
      <c r="U19" s="87"/>
      <c r="V19" s="705">
        <v>3</v>
      </c>
      <c r="W19" s="705">
        <v>15</v>
      </c>
      <c r="X19" s="435">
        <v>10</v>
      </c>
      <c r="Y19" s="435">
        <v>10</v>
      </c>
      <c r="Z19" s="9" t="s">
        <v>33</v>
      </c>
      <c r="AA19" s="435">
        <f t="shared" si="0"/>
        <v>60</v>
      </c>
    </row>
    <row r="20" spans="1:27" ht="18.75" x14ac:dyDescent="0.25">
      <c r="A20" s="417">
        <v>11</v>
      </c>
      <c r="B20" s="685">
        <v>5191421011</v>
      </c>
      <c r="C20" s="85">
        <v>2</v>
      </c>
      <c r="D20" s="431">
        <v>1</v>
      </c>
      <c r="E20" s="688">
        <v>1</v>
      </c>
      <c r="F20" s="85"/>
      <c r="G20" s="429"/>
      <c r="H20" s="585">
        <v>12</v>
      </c>
      <c r="I20" s="87">
        <v>7</v>
      </c>
      <c r="J20" s="429">
        <v>4</v>
      </c>
      <c r="K20" s="429"/>
      <c r="L20" s="429"/>
      <c r="M20" s="523">
        <f>SUM(C20:L20)</f>
        <v>27</v>
      </c>
      <c r="N20" s="85">
        <v>2</v>
      </c>
      <c r="O20" s="431">
        <v>1</v>
      </c>
      <c r="P20" s="527">
        <v>2</v>
      </c>
      <c r="Q20" s="85">
        <v>5</v>
      </c>
      <c r="R20" s="429">
        <v>6</v>
      </c>
      <c r="S20" s="3597"/>
      <c r="T20" s="3598"/>
      <c r="U20" s="87"/>
      <c r="V20" s="705">
        <v>11</v>
      </c>
      <c r="W20" s="705">
        <v>27</v>
      </c>
      <c r="X20" s="435">
        <v>10</v>
      </c>
      <c r="Y20" s="435">
        <v>10</v>
      </c>
      <c r="Z20" s="9" t="s">
        <v>30</v>
      </c>
      <c r="AA20" s="435">
        <f t="shared" si="0"/>
        <v>90</v>
      </c>
    </row>
    <row r="21" spans="1:27" ht="18.75" x14ac:dyDescent="0.25">
      <c r="A21" s="417">
        <v>12</v>
      </c>
      <c r="B21" s="685">
        <v>5191421012</v>
      </c>
      <c r="C21" s="85">
        <v>0</v>
      </c>
      <c r="D21" s="431">
        <v>1</v>
      </c>
      <c r="E21" s="688"/>
      <c r="F21" s="85">
        <v>2</v>
      </c>
      <c r="G21" s="429">
        <v>4</v>
      </c>
      <c r="H21" s="585">
        <v>6</v>
      </c>
      <c r="I21" s="87"/>
      <c r="J21" s="429"/>
      <c r="K21" s="429">
        <v>7</v>
      </c>
      <c r="L21" s="429"/>
      <c r="M21" s="523">
        <v>14</v>
      </c>
      <c r="N21" s="85">
        <v>0</v>
      </c>
      <c r="O21" s="431">
        <v>1</v>
      </c>
      <c r="P21" s="527">
        <v>1</v>
      </c>
      <c r="Q21" s="85">
        <v>2</v>
      </c>
      <c r="R21" s="429"/>
      <c r="S21" s="3597"/>
      <c r="T21" s="3598"/>
      <c r="U21" s="87"/>
      <c r="V21" s="705">
        <v>0</v>
      </c>
      <c r="W21" s="705">
        <v>4</v>
      </c>
      <c r="X21" s="435">
        <v>7</v>
      </c>
      <c r="Y21" s="435">
        <v>7</v>
      </c>
      <c r="Z21" s="9" t="s">
        <v>28</v>
      </c>
      <c r="AA21" s="435">
        <f t="shared" si="0"/>
        <v>50</v>
      </c>
    </row>
    <row r="22" spans="1:27" ht="18.75" x14ac:dyDescent="0.25">
      <c r="A22" s="417">
        <v>13</v>
      </c>
      <c r="B22" s="685">
        <v>5191421013</v>
      </c>
      <c r="C22" s="85">
        <v>1</v>
      </c>
      <c r="D22" s="431">
        <v>1</v>
      </c>
      <c r="E22" s="688">
        <v>2</v>
      </c>
      <c r="F22" s="85"/>
      <c r="G22" s="429"/>
      <c r="H22" s="585">
        <v>12</v>
      </c>
      <c r="I22" s="87"/>
      <c r="J22" s="429"/>
      <c r="K22" s="429">
        <v>8</v>
      </c>
      <c r="L22" s="429">
        <v>2</v>
      </c>
      <c r="M22" s="523">
        <f>SUM(C22:L22)</f>
        <v>26</v>
      </c>
      <c r="N22" s="85">
        <v>2</v>
      </c>
      <c r="O22" s="431">
        <v>2</v>
      </c>
      <c r="P22" s="527">
        <v>0</v>
      </c>
      <c r="Q22" s="85">
        <v>6</v>
      </c>
      <c r="R22" s="429">
        <v>3</v>
      </c>
      <c r="S22" s="3597">
        <v>6</v>
      </c>
      <c r="T22" s="3598"/>
      <c r="U22" s="87"/>
      <c r="V22" s="705">
        <v>8</v>
      </c>
      <c r="W22" s="705">
        <v>21</v>
      </c>
      <c r="X22" s="435">
        <v>9</v>
      </c>
      <c r="Y22" s="435">
        <v>9</v>
      </c>
      <c r="Z22" s="9" t="s">
        <v>27</v>
      </c>
      <c r="AA22" s="435">
        <f t="shared" si="0"/>
        <v>80</v>
      </c>
    </row>
    <row r="23" spans="1:27" ht="18.75" x14ac:dyDescent="0.25">
      <c r="A23" s="417">
        <v>14</v>
      </c>
      <c r="B23" s="685">
        <v>5191421014</v>
      </c>
      <c r="C23" s="85">
        <v>1</v>
      </c>
      <c r="D23" s="431">
        <v>1</v>
      </c>
      <c r="E23" s="688">
        <v>1</v>
      </c>
      <c r="F23" s="85">
        <v>6</v>
      </c>
      <c r="G23" s="429">
        <v>4</v>
      </c>
      <c r="H23" s="585"/>
      <c r="I23" s="87"/>
      <c r="J23" s="429"/>
      <c r="K23" s="429">
        <v>4</v>
      </c>
      <c r="L23" s="429">
        <v>1</v>
      </c>
      <c r="M23" s="523">
        <f>SUM(C23:L23)</f>
        <v>18</v>
      </c>
      <c r="N23" s="85"/>
      <c r="O23" s="431">
        <v>1</v>
      </c>
      <c r="P23" s="527"/>
      <c r="Q23" s="85"/>
      <c r="R23" s="429"/>
      <c r="S23" s="3597">
        <v>7</v>
      </c>
      <c r="T23" s="3598"/>
      <c r="U23" s="87"/>
      <c r="V23" s="705">
        <v>2</v>
      </c>
      <c r="W23" s="705">
        <v>10</v>
      </c>
      <c r="X23" s="435">
        <v>7</v>
      </c>
      <c r="Y23" s="435">
        <v>7</v>
      </c>
      <c r="Z23" s="9" t="s">
        <v>32</v>
      </c>
      <c r="AA23" s="435">
        <f t="shared" si="0"/>
        <v>70</v>
      </c>
    </row>
    <row r="24" spans="1:27" ht="18.75" x14ac:dyDescent="0.25">
      <c r="A24" s="417">
        <v>15</v>
      </c>
      <c r="B24" s="685">
        <v>5191421015</v>
      </c>
      <c r="C24" s="85">
        <v>2</v>
      </c>
      <c r="D24" s="431">
        <v>1</v>
      </c>
      <c r="E24" s="688">
        <v>2</v>
      </c>
      <c r="F24" s="85"/>
      <c r="G24" s="429">
        <v>1</v>
      </c>
      <c r="H24" s="585">
        <v>3</v>
      </c>
      <c r="I24" s="87"/>
      <c r="J24" s="429"/>
      <c r="K24" s="429">
        <v>4</v>
      </c>
      <c r="L24" s="429">
        <v>2</v>
      </c>
      <c r="M24" s="523">
        <v>14</v>
      </c>
      <c r="N24" s="85">
        <v>2</v>
      </c>
      <c r="O24" s="431">
        <v>2</v>
      </c>
      <c r="P24" s="527">
        <v>0</v>
      </c>
      <c r="Q24" s="85">
        <v>6</v>
      </c>
      <c r="R24" s="429">
        <v>4</v>
      </c>
      <c r="S24" s="3597"/>
      <c r="T24" s="3598"/>
      <c r="U24" s="87"/>
      <c r="V24" s="705">
        <v>4</v>
      </c>
      <c r="W24" s="705">
        <v>18</v>
      </c>
      <c r="X24" s="435">
        <v>9</v>
      </c>
      <c r="Y24" s="435">
        <v>9</v>
      </c>
      <c r="Z24" s="9" t="s">
        <v>32</v>
      </c>
      <c r="AA24" s="435">
        <f t="shared" si="0"/>
        <v>70</v>
      </c>
    </row>
    <row r="25" spans="1:27" ht="18.75" x14ac:dyDescent="0.25">
      <c r="A25" s="417">
        <v>16</v>
      </c>
      <c r="B25" s="685">
        <v>5191421016</v>
      </c>
      <c r="C25" s="85"/>
      <c r="D25" s="431"/>
      <c r="E25" s="688"/>
      <c r="F25" s="85"/>
      <c r="G25" s="526"/>
      <c r="H25" s="585"/>
      <c r="I25" s="87"/>
      <c r="J25" s="429"/>
      <c r="K25" s="429"/>
      <c r="L25" s="429"/>
      <c r="M25" s="523"/>
      <c r="N25" s="85">
        <v>1</v>
      </c>
      <c r="O25" s="431"/>
      <c r="P25" s="527"/>
      <c r="Q25" s="85">
        <v>2</v>
      </c>
      <c r="R25" s="429"/>
      <c r="S25" s="3597">
        <v>0</v>
      </c>
      <c r="T25" s="3598"/>
      <c r="U25" s="87">
        <v>0</v>
      </c>
      <c r="V25" s="705">
        <v>3</v>
      </c>
      <c r="W25" s="705">
        <v>6</v>
      </c>
      <c r="X25" s="435">
        <v>10</v>
      </c>
      <c r="Y25" s="435">
        <v>10</v>
      </c>
      <c r="Z25" s="9" t="s">
        <v>29</v>
      </c>
      <c r="AA25" s="435">
        <f t="shared" si="0"/>
        <v>39</v>
      </c>
    </row>
    <row r="26" spans="1:27" ht="18.75" x14ac:dyDescent="0.25">
      <c r="A26" s="417">
        <v>17</v>
      </c>
      <c r="B26" s="685">
        <v>5191421017</v>
      </c>
      <c r="C26" s="85">
        <v>0</v>
      </c>
      <c r="D26" s="431">
        <v>1</v>
      </c>
      <c r="E26" s="688">
        <v>2</v>
      </c>
      <c r="F26" s="85"/>
      <c r="G26" s="429">
        <v>1</v>
      </c>
      <c r="H26" s="585">
        <v>11</v>
      </c>
      <c r="I26" s="87">
        <v>8</v>
      </c>
      <c r="J26" s="429">
        <v>4</v>
      </c>
      <c r="K26" s="429"/>
      <c r="L26" s="429"/>
      <c r="M26" s="523">
        <v>26</v>
      </c>
      <c r="N26" s="85">
        <v>2</v>
      </c>
      <c r="O26" s="431">
        <v>1</v>
      </c>
      <c r="P26" s="527">
        <v>1</v>
      </c>
      <c r="Q26" s="85"/>
      <c r="R26" s="429">
        <v>6</v>
      </c>
      <c r="S26" s="3597">
        <v>6</v>
      </c>
      <c r="T26" s="3598"/>
      <c r="U26" s="87"/>
      <c r="V26" s="705">
        <v>8</v>
      </c>
      <c r="W26" s="705">
        <v>18</v>
      </c>
      <c r="X26" s="435">
        <v>10</v>
      </c>
      <c r="Y26" s="435">
        <v>10</v>
      </c>
      <c r="Z26" s="9" t="s">
        <v>32</v>
      </c>
      <c r="AA26" s="435">
        <f t="shared" si="0"/>
        <v>70</v>
      </c>
    </row>
    <row r="27" spans="1:27" ht="18.75" x14ac:dyDescent="0.25">
      <c r="A27" s="417">
        <v>18</v>
      </c>
      <c r="B27" s="685">
        <v>5191421018</v>
      </c>
      <c r="C27" s="83">
        <v>1</v>
      </c>
      <c r="D27" s="431"/>
      <c r="E27" s="688"/>
      <c r="F27" s="85"/>
      <c r="G27" s="429"/>
      <c r="H27" s="585">
        <v>4</v>
      </c>
      <c r="I27" s="87"/>
      <c r="J27" s="429"/>
      <c r="K27" s="429"/>
      <c r="L27" s="429"/>
      <c r="M27" s="523">
        <v>5</v>
      </c>
      <c r="N27" s="85"/>
      <c r="O27" s="431"/>
      <c r="P27" s="527"/>
      <c r="Q27" s="85">
        <v>2</v>
      </c>
      <c r="R27" s="429">
        <v>0</v>
      </c>
      <c r="S27" s="3597">
        <v>0</v>
      </c>
      <c r="T27" s="3598"/>
      <c r="U27" s="87">
        <v>0</v>
      </c>
      <c r="V27" s="705">
        <v>1</v>
      </c>
      <c r="W27" s="705">
        <v>3</v>
      </c>
      <c r="X27" s="435">
        <v>9</v>
      </c>
      <c r="Y27" s="435">
        <v>9</v>
      </c>
      <c r="Z27" s="9" t="s">
        <v>29</v>
      </c>
      <c r="AA27" s="435">
        <f t="shared" si="0"/>
        <v>39</v>
      </c>
    </row>
    <row r="28" spans="1:27" ht="18.75" x14ac:dyDescent="0.25">
      <c r="A28" s="417">
        <v>19</v>
      </c>
      <c r="B28" s="685">
        <v>5191421019</v>
      </c>
      <c r="C28" s="85">
        <v>0</v>
      </c>
      <c r="D28" s="429">
        <v>2</v>
      </c>
      <c r="E28" s="86">
        <v>2</v>
      </c>
      <c r="F28" s="87">
        <v>4</v>
      </c>
      <c r="G28" s="429">
        <v>6</v>
      </c>
      <c r="H28" s="585">
        <v>12</v>
      </c>
      <c r="I28" s="87"/>
      <c r="J28" s="429">
        <v>8</v>
      </c>
      <c r="K28" s="429">
        <v>4</v>
      </c>
      <c r="L28" s="429"/>
      <c r="M28" s="523">
        <v>28</v>
      </c>
      <c r="N28" s="85">
        <v>2</v>
      </c>
      <c r="O28" s="429">
        <v>2</v>
      </c>
      <c r="P28" s="528">
        <v>2</v>
      </c>
      <c r="Q28" s="87">
        <v>6</v>
      </c>
      <c r="R28" s="429">
        <v>6</v>
      </c>
      <c r="S28" s="3597">
        <v>11</v>
      </c>
      <c r="T28" s="3598"/>
      <c r="U28" s="87"/>
      <c r="V28" s="705">
        <v>12</v>
      </c>
      <c r="W28" s="705">
        <v>30</v>
      </c>
      <c r="X28" s="435">
        <v>10</v>
      </c>
      <c r="Y28" s="435">
        <v>10</v>
      </c>
      <c r="Z28" s="9" t="s">
        <v>30</v>
      </c>
      <c r="AA28" s="435">
        <f t="shared" si="0"/>
        <v>90</v>
      </c>
    </row>
    <row r="29" spans="1:27" ht="18.75" x14ac:dyDescent="0.25">
      <c r="A29" s="417">
        <v>20</v>
      </c>
      <c r="B29" s="685">
        <v>5191421020</v>
      </c>
      <c r="C29" s="87">
        <v>2</v>
      </c>
      <c r="D29" s="429">
        <v>2</v>
      </c>
      <c r="E29" s="86">
        <v>1</v>
      </c>
      <c r="F29" s="87"/>
      <c r="G29" s="429"/>
      <c r="H29" s="585">
        <v>10</v>
      </c>
      <c r="I29" s="87"/>
      <c r="J29" s="429"/>
      <c r="K29" s="429">
        <v>8</v>
      </c>
      <c r="L29" s="429">
        <v>4</v>
      </c>
      <c r="M29" s="523">
        <f>SUM(C29:L29)</f>
        <v>27</v>
      </c>
      <c r="N29" s="87">
        <v>2</v>
      </c>
      <c r="O29" s="429">
        <v>1</v>
      </c>
      <c r="P29" s="528">
        <v>1</v>
      </c>
      <c r="Q29" s="87">
        <v>6</v>
      </c>
      <c r="R29" s="429">
        <v>6</v>
      </c>
      <c r="S29" s="3597"/>
      <c r="T29" s="3598"/>
      <c r="U29" s="87"/>
      <c r="V29" s="705">
        <v>11</v>
      </c>
      <c r="W29" s="705">
        <v>27</v>
      </c>
      <c r="X29" s="435">
        <v>10</v>
      </c>
      <c r="Y29" s="435">
        <v>10</v>
      </c>
      <c r="Z29" s="9" t="s">
        <v>27</v>
      </c>
      <c r="AA29" s="435">
        <f t="shared" si="0"/>
        <v>80</v>
      </c>
    </row>
    <row r="30" spans="1:27" ht="18.75" x14ac:dyDescent="0.25">
      <c r="A30" s="417">
        <v>21</v>
      </c>
      <c r="B30" s="685">
        <v>5191421021</v>
      </c>
      <c r="C30" s="85">
        <v>1</v>
      </c>
      <c r="D30" s="429">
        <v>2</v>
      </c>
      <c r="E30" s="86">
        <v>1</v>
      </c>
      <c r="F30" s="87"/>
      <c r="G30" s="429"/>
      <c r="H30" s="585">
        <v>11</v>
      </c>
      <c r="I30" s="87">
        <v>5</v>
      </c>
      <c r="J30" s="429">
        <v>4</v>
      </c>
      <c r="K30" s="429"/>
      <c r="L30" s="429"/>
      <c r="M30" s="523">
        <f>SUM(C30:L30)</f>
        <v>24</v>
      </c>
      <c r="N30" s="85">
        <v>0</v>
      </c>
      <c r="O30" s="429">
        <v>0</v>
      </c>
      <c r="P30" s="528">
        <v>0</v>
      </c>
      <c r="Q30" s="87">
        <v>6</v>
      </c>
      <c r="R30" s="429">
        <v>6</v>
      </c>
      <c r="S30" s="3597"/>
      <c r="T30" s="3598"/>
      <c r="U30" s="87"/>
      <c r="V30" s="705">
        <v>5</v>
      </c>
      <c r="W30" s="705">
        <v>17</v>
      </c>
      <c r="X30" s="435">
        <v>10</v>
      </c>
      <c r="Y30" s="435">
        <v>10</v>
      </c>
      <c r="Z30" s="9" t="s">
        <v>27</v>
      </c>
      <c r="AA30" s="435">
        <f t="shared" si="0"/>
        <v>80</v>
      </c>
    </row>
    <row r="31" spans="1:27" ht="18.75" x14ac:dyDescent="0.25">
      <c r="A31" s="417">
        <v>22</v>
      </c>
      <c r="B31" s="694">
        <v>5191421022</v>
      </c>
      <c r="C31" s="428">
        <v>1</v>
      </c>
      <c r="D31" s="428">
        <v>1</v>
      </c>
      <c r="E31" s="428">
        <v>1</v>
      </c>
      <c r="F31" s="428">
        <v>4</v>
      </c>
      <c r="G31" s="428">
        <v>3</v>
      </c>
      <c r="H31" s="428"/>
      <c r="I31" s="428">
        <v>3</v>
      </c>
      <c r="J31" s="428"/>
      <c r="K31" s="429">
        <v>4</v>
      </c>
      <c r="L31" s="429"/>
      <c r="M31" s="523">
        <v>14</v>
      </c>
      <c r="N31" s="85">
        <v>0</v>
      </c>
      <c r="O31" s="429">
        <v>0</v>
      </c>
      <c r="P31" s="528">
        <v>0</v>
      </c>
      <c r="Q31" s="87"/>
      <c r="R31" s="429"/>
      <c r="S31" s="3597">
        <v>0</v>
      </c>
      <c r="T31" s="3598"/>
      <c r="U31" s="87"/>
      <c r="V31" s="705">
        <v>6</v>
      </c>
      <c r="W31" s="705">
        <v>6</v>
      </c>
      <c r="X31" s="435">
        <v>7</v>
      </c>
      <c r="Y31" s="435">
        <v>7</v>
      </c>
      <c r="Z31" s="9" t="s">
        <v>33</v>
      </c>
      <c r="AA31" s="435">
        <f t="shared" si="0"/>
        <v>60</v>
      </c>
    </row>
    <row r="32" spans="1:27" ht="18.75" x14ac:dyDescent="0.25">
      <c r="A32" s="417">
        <v>23</v>
      </c>
      <c r="B32" s="685">
        <v>5191421023</v>
      </c>
      <c r="C32" s="85">
        <v>1</v>
      </c>
      <c r="D32" s="429">
        <v>2</v>
      </c>
      <c r="E32" s="86">
        <v>2</v>
      </c>
      <c r="F32" s="87"/>
      <c r="G32" s="429"/>
      <c r="H32" s="585">
        <v>10</v>
      </c>
      <c r="I32" s="87"/>
      <c r="J32" s="429"/>
      <c r="K32" s="429">
        <v>6</v>
      </c>
      <c r="L32" s="429"/>
      <c r="M32" s="523">
        <v>21</v>
      </c>
      <c r="N32" s="85">
        <v>2</v>
      </c>
      <c r="O32" s="429">
        <v>1</v>
      </c>
      <c r="P32" s="528"/>
      <c r="Q32" s="87">
        <v>6</v>
      </c>
      <c r="R32" s="429">
        <v>4</v>
      </c>
      <c r="S32" s="3597"/>
      <c r="T32" s="3598"/>
      <c r="U32" s="87"/>
      <c r="V32" s="705"/>
      <c r="W32" s="705">
        <v>13</v>
      </c>
      <c r="X32" s="435">
        <v>7</v>
      </c>
      <c r="Y32" s="435">
        <v>7</v>
      </c>
      <c r="Z32" s="9" t="s">
        <v>31</v>
      </c>
      <c r="AA32" s="435">
        <f t="shared" si="0"/>
        <v>55</v>
      </c>
    </row>
    <row r="33" spans="1:27" ht="18.75" x14ac:dyDescent="0.25">
      <c r="A33" s="417">
        <v>24</v>
      </c>
      <c r="B33" s="685">
        <v>5191421024</v>
      </c>
      <c r="C33" s="85">
        <v>1</v>
      </c>
      <c r="D33" s="429">
        <v>1</v>
      </c>
      <c r="E33" s="86">
        <v>2</v>
      </c>
      <c r="F33" s="87">
        <v>5</v>
      </c>
      <c r="G33" s="429">
        <v>5</v>
      </c>
      <c r="H33" s="585"/>
      <c r="I33" s="87"/>
      <c r="J33" s="429"/>
      <c r="K33" s="429">
        <v>6</v>
      </c>
      <c r="L33" s="429"/>
      <c r="M33" s="523">
        <f>SUM(C33:L33)</f>
        <v>20</v>
      </c>
      <c r="N33" s="85">
        <v>2</v>
      </c>
      <c r="O33" s="429">
        <v>1</v>
      </c>
      <c r="P33" s="528"/>
      <c r="Q33" s="87">
        <v>6</v>
      </c>
      <c r="R33" s="429">
        <v>5</v>
      </c>
      <c r="S33" s="3597"/>
      <c r="T33" s="3598"/>
      <c r="U33" s="87"/>
      <c r="V33" s="705"/>
      <c r="W33" s="705">
        <v>14</v>
      </c>
      <c r="X33" s="435">
        <v>7</v>
      </c>
      <c r="Y33" s="435">
        <v>7</v>
      </c>
      <c r="Z33" s="9" t="s">
        <v>28</v>
      </c>
      <c r="AA33" s="435">
        <f t="shared" si="0"/>
        <v>50</v>
      </c>
    </row>
    <row r="34" spans="1:27" ht="18.75" x14ac:dyDescent="0.25">
      <c r="A34" s="417">
        <v>25</v>
      </c>
      <c r="B34" s="685">
        <v>5191421025</v>
      </c>
      <c r="C34" s="85">
        <v>2</v>
      </c>
      <c r="D34" s="429">
        <v>2</v>
      </c>
      <c r="E34" s="86">
        <v>2</v>
      </c>
      <c r="F34" s="87">
        <v>5</v>
      </c>
      <c r="G34" s="429">
        <v>6</v>
      </c>
      <c r="H34" s="585"/>
      <c r="I34" s="87">
        <v>8</v>
      </c>
      <c r="J34" s="429">
        <v>4</v>
      </c>
      <c r="K34" s="429"/>
      <c r="L34" s="429"/>
      <c r="M34" s="523">
        <f>SUM(C34:L34)</f>
        <v>29</v>
      </c>
      <c r="N34" s="85">
        <v>2</v>
      </c>
      <c r="O34" s="429">
        <v>2</v>
      </c>
      <c r="P34" s="528">
        <v>0</v>
      </c>
      <c r="Q34" s="87">
        <v>6</v>
      </c>
      <c r="R34" s="429">
        <v>6</v>
      </c>
      <c r="S34" s="3597"/>
      <c r="T34" s="3598"/>
      <c r="U34" s="87"/>
      <c r="V34" s="705">
        <v>10</v>
      </c>
      <c r="W34" s="705">
        <v>26</v>
      </c>
      <c r="X34" s="435">
        <v>10</v>
      </c>
      <c r="Y34" s="435">
        <v>10</v>
      </c>
      <c r="Z34" s="9" t="s">
        <v>30</v>
      </c>
      <c r="AA34" s="435">
        <f t="shared" si="0"/>
        <v>90</v>
      </c>
    </row>
    <row r="35" spans="1:27" ht="18.75" x14ac:dyDescent="0.25">
      <c r="A35" s="417">
        <v>26</v>
      </c>
      <c r="B35" s="685">
        <v>5191421026</v>
      </c>
      <c r="C35" s="85">
        <v>1</v>
      </c>
      <c r="D35" s="429">
        <v>2</v>
      </c>
      <c r="E35" s="86">
        <v>2</v>
      </c>
      <c r="F35" s="87"/>
      <c r="G35" s="429"/>
      <c r="H35" s="585">
        <v>6</v>
      </c>
      <c r="I35" s="87">
        <v>4</v>
      </c>
      <c r="J35" s="429">
        <v>3</v>
      </c>
      <c r="K35" s="429"/>
      <c r="L35" s="429"/>
      <c r="M35" s="523">
        <f>SUM(C35:L35)</f>
        <v>18</v>
      </c>
      <c r="N35" s="85">
        <v>1</v>
      </c>
      <c r="O35" s="429">
        <v>1</v>
      </c>
      <c r="P35" s="528">
        <v>0</v>
      </c>
      <c r="Q35" s="87"/>
      <c r="R35" s="429">
        <v>4</v>
      </c>
      <c r="S35" s="3597"/>
      <c r="T35" s="3598"/>
      <c r="U35" s="87"/>
      <c r="V35" s="705">
        <v>10</v>
      </c>
      <c r="W35" s="705">
        <v>16</v>
      </c>
      <c r="X35" s="435">
        <v>9</v>
      </c>
      <c r="Y35" s="435">
        <v>9</v>
      </c>
      <c r="Z35" s="9" t="s">
        <v>32</v>
      </c>
      <c r="AA35" s="435">
        <f t="shared" si="0"/>
        <v>70</v>
      </c>
    </row>
    <row r="36" spans="1:27" ht="18.75" x14ac:dyDescent="0.25">
      <c r="A36" s="417">
        <v>27</v>
      </c>
      <c r="B36" s="685">
        <v>5191421027</v>
      </c>
      <c r="C36" s="85">
        <v>1</v>
      </c>
      <c r="D36" s="429">
        <v>1</v>
      </c>
      <c r="E36" s="86">
        <v>1</v>
      </c>
      <c r="F36" s="87"/>
      <c r="G36" s="429"/>
      <c r="H36" s="585">
        <v>12</v>
      </c>
      <c r="I36" s="87">
        <v>8</v>
      </c>
      <c r="J36" s="429">
        <v>4</v>
      </c>
      <c r="K36" s="429"/>
      <c r="L36" s="429"/>
      <c r="M36" s="523">
        <f>SUM(C36:L36)</f>
        <v>27</v>
      </c>
      <c r="N36" s="85">
        <v>2</v>
      </c>
      <c r="O36" s="429">
        <v>1</v>
      </c>
      <c r="P36" s="528">
        <v>2</v>
      </c>
      <c r="Q36" s="87">
        <v>4</v>
      </c>
      <c r="R36" s="429">
        <v>6</v>
      </c>
      <c r="S36" s="3597"/>
      <c r="T36" s="3598"/>
      <c r="U36" s="87"/>
      <c r="V36" s="705">
        <v>11</v>
      </c>
      <c r="W36" s="705">
        <v>26</v>
      </c>
      <c r="X36" s="435">
        <v>10</v>
      </c>
      <c r="Y36" s="435">
        <v>10</v>
      </c>
      <c r="Z36" s="9" t="s">
        <v>27</v>
      </c>
      <c r="AA36" s="435">
        <f t="shared" si="0"/>
        <v>80</v>
      </c>
    </row>
    <row r="37" spans="1:27" ht="18.75" x14ac:dyDescent="0.25">
      <c r="A37" s="417">
        <v>28</v>
      </c>
      <c r="B37" s="685">
        <v>5191421028</v>
      </c>
      <c r="C37" s="85">
        <v>2</v>
      </c>
      <c r="D37" s="429">
        <v>1</v>
      </c>
      <c r="E37" s="86">
        <v>1</v>
      </c>
      <c r="F37" s="87"/>
      <c r="G37" s="429"/>
      <c r="H37" s="585">
        <v>11</v>
      </c>
      <c r="I37" s="87">
        <v>1</v>
      </c>
      <c r="J37" s="429"/>
      <c r="K37" s="429"/>
      <c r="L37" s="429"/>
      <c r="M37" s="523">
        <f>SUM(C37:L37)</f>
        <v>16</v>
      </c>
      <c r="N37" s="85">
        <v>1</v>
      </c>
      <c r="O37" s="429">
        <v>2</v>
      </c>
      <c r="P37" s="528">
        <v>2</v>
      </c>
      <c r="Q37" s="87">
        <v>6</v>
      </c>
      <c r="R37" s="429">
        <v>5</v>
      </c>
      <c r="S37" s="3597"/>
      <c r="T37" s="3598"/>
      <c r="U37" s="87"/>
      <c r="V37" s="705">
        <v>8</v>
      </c>
      <c r="W37" s="705">
        <v>24</v>
      </c>
      <c r="X37" s="435">
        <v>10</v>
      </c>
      <c r="Y37" s="435">
        <v>10</v>
      </c>
      <c r="Z37" s="102" t="s">
        <v>27</v>
      </c>
      <c r="AA37" s="435">
        <f t="shared" si="0"/>
        <v>80</v>
      </c>
    </row>
    <row r="38" spans="1:27" ht="18.75" x14ac:dyDescent="0.25">
      <c r="A38" s="417">
        <v>29</v>
      </c>
      <c r="B38" s="685">
        <v>5191421029</v>
      </c>
      <c r="C38" s="85">
        <v>1</v>
      </c>
      <c r="D38" s="429">
        <v>2</v>
      </c>
      <c r="E38" s="86">
        <v>2</v>
      </c>
      <c r="F38" s="87">
        <v>5</v>
      </c>
      <c r="G38" s="429">
        <v>6</v>
      </c>
      <c r="H38" s="585"/>
      <c r="I38" s="87">
        <v>2</v>
      </c>
      <c r="J38" s="429">
        <v>4</v>
      </c>
      <c r="K38" s="429">
        <v>7</v>
      </c>
      <c r="L38" s="429"/>
      <c r="M38" s="523">
        <v>23</v>
      </c>
      <c r="N38" s="85">
        <v>2</v>
      </c>
      <c r="O38" s="429">
        <v>2</v>
      </c>
      <c r="P38" s="528">
        <v>2</v>
      </c>
      <c r="Q38" s="87">
        <v>6</v>
      </c>
      <c r="R38" s="429">
        <v>5</v>
      </c>
      <c r="S38" s="3597"/>
      <c r="T38" s="3598"/>
      <c r="U38" s="87"/>
      <c r="V38" s="705">
        <v>5</v>
      </c>
      <c r="W38" s="705">
        <v>22</v>
      </c>
      <c r="X38" s="435">
        <v>10</v>
      </c>
      <c r="Y38" s="435">
        <v>10</v>
      </c>
      <c r="Z38" s="9" t="s">
        <v>32</v>
      </c>
      <c r="AA38" s="435">
        <f t="shared" si="0"/>
        <v>70</v>
      </c>
    </row>
    <row r="39" spans="1:27" ht="18.75" x14ac:dyDescent="0.25">
      <c r="A39" s="417">
        <v>30</v>
      </c>
      <c r="B39" s="685">
        <v>5191421030</v>
      </c>
      <c r="C39" s="83"/>
      <c r="D39" s="429"/>
      <c r="E39" s="86"/>
      <c r="F39" s="87"/>
      <c r="G39" s="429"/>
      <c r="H39" s="585">
        <v>3</v>
      </c>
      <c r="I39" s="87"/>
      <c r="J39" s="429" t="s">
        <v>273</v>
      </c>
      <c r="K39" s="429">
        <v>3</v>
      </c>
      <c r="L39" s="429">
        <v>1</v>
      </c>
      <c r="M39" s="523">
        <f t="shared" ref="M39:M44" si="1">SUM(C39:L39)</f>
        <v>7</v>
      </c>
      <c r="N39" s="85">
        <v>1</v>
      </c>
      <c r="O39" s="429">
        <v>1</v>
      </c>
      <c r="P39" s="528"/>
      <c r="Q39" s="87">
        <v>5</v>
      </c>
      <c r="R39" s="429">
        <v>3</v>
      </c>
      <c r="S39" s="3597"/>
      <c r="T39" s="3598"/>
      <c r="U39" s="87"/>
      <c r="V39" s="705"/>
      <c r="W39" s="705">
        <v>10</v>
      </c>
      <c r="X39" s="435">
        <v>7</v>
      </c>
      <c r="Y39" s="435">
        <v>7</v>
      </c>
      <c r="Z39" s="9" t="s">
        <v>28</v>
      </c>
      <c r="AA39" s="435">
        <f t="shared" si="0"/>
        <v>50</v>
      </c>
    </row>
    <row r="40" spans="1:27" ht="18.75" x14ac:dyDescent="0.25">
      <c r="A40" s="417">
        <v>31</v>
      </c>
      <c r="B40" s="685">
        <v>5191421031</v>
      </c>
      <c r="C40" s="87">
        <v>1</v>
      </c>
      <c r="D40" s="429">
        <v>2</v>
      </c>
      <c r="E40" s="86">
        <v>2</v>
      </c>
      <c r="F40" s="87">
        <v>3</v>
      </c>
      <c r="G40" s="429">
        <v>6</v>
      </c>
      <c r="H40" s="585"/>
      <c r="I40" s="87"/>
      <c r="J40" s="429"/>
      <c r="K40" s="429">
        <v>7</v>
      </c>
      <c r="L40" s="429">
        <v>3</v>
      </c>
      <c r="M40" s="523">
        <f t="shared" si="1"/>
        <v>24</v>
      </c>
      <c r="N40" s="85">
        <v>2</v>
      </c>
      <c r="O40" s="429">
        <v>1</v>
      </c>
      <c r="P40" s="528">
        <v>2</v>
      </c>
      <c r="Q40" s="87">
        <v>1</v>
      </c>
      <c r="R40" s="429">
        <v>5</v>
      </c>
      <c r="S40" s="3597">
        <v>7</v>
      </c>
      <c r="T40" s="3598"/>
      <c r="U40" s="87">
        <v>5</v>
      </c>
      <c r="V40" s="705"/>
      <c r="W40" s="705">
        <v>17</v>
      </c>
      <c r="X40" s="435">
        <v>7</v>
      </c>
      <c r="Y40" s="435">
        <v>7</v>
      </c>
      <c r="Z40" s="9" t="s">
        <v>32</v>
      </c>
      <c r="AA40" s="435">
        <f t="shared" si="0"/>
        <v>70</v>
      </c>
    </row>
    <row r="41" spans="1:27" ht="18.75" x14ac:dyDescent="0.25">
      <c r="A41" s="417">
        <v>32</v>
      </c>
      <c r="B41" s="694">
        <v>5191421032</v>
      </c>
      <c r="C41" s="428">
        <v>1</v>
      </c>
      <c r="D41" s="428">
        <v>0</v>
      </c>
      <c r="E41" s="428">
        <v>0</v>
      </c>
      <c r="F41" s="428"/>
      <c r="G41" s="428"/>
      <c r="H41" s="428">
        <v>2</v>
      </c>
      <c r="I41" s="428"/>
      <c r="J41" s="428"/>
      <c r="K41" s="429">
        <v>3</v>
      </c>
      <c r="L41" s="429">
        <v>0</v>
      </c>
      <c r="M41" s="523">
        <f t="shared" si="1"/>
        <v>6</v>
      </c>
      <c r="N41" s="87">
        <v>2</v>
      </c>
      <c r="O41" s="429">
        <v>1</v>
      </c>
      <c r="P41" s="528">
        <v>2</v>
      </c>
      <c r="Q41" s="87">
        <v>1</v>
      </c>
      <c r="R41" s="429">
        <v>3</v>
      </c>
      <c r="S41" s="3597"/>
      <c r="T41" s="3598"/>
      <c r="U41" s="87"/>
      <c r="V41" s="705"/>
      <c r="W41" s="705">
        <v>10</v>
      </c>
      <c r="X41" s="435">
        <v>7</v>
      </c>
      <c r="Y41" s="435">
        <v>7</v>
      </c>
      <c r="Z41" s="9" t="s">
        <v>28</v>
      </c>
      <c r="AA41" s="435">
        <f t="shared" si="0"/>
        <v>50</v>
      </c>
    </row>
    <row r="42" spans="1:27" ht="18.75" x14ac:dyDescent="0.25">
      <c r="A42" s="417">
        <v>33</v>
      </c>
      <c r="B42" s="685">
        <v>5191421033</v>
      </c>
      <c r="C42" s="85">
        <v>2</v>
      </c>
      <c r="D42" s="429">
        <v>1</v>
      </c>
      <c r="E42" s="86">
        <v>2</v>
      </c>
      <c r="F42" s="87"/>
      <c r="G42" s="429"/>
      <c r="H42" s="585">
        <v>12</v>
      </c>
      <c r="I42" s="87">
        <v>8</v>
      </c>
      <c r="J42" s="429">
        <v>4</v>
      </c>
      <c r="K42" s="429"/>
      <c r="L42" s="429"/>
      <c r="M42" s="523">
        <f t="shared" si="1"/>
        <v>29</v>
      </c>
      <c r="N42" s="85">
        <v>2</v>
      </c>
      <c r="O42" s="429">
        <v>1</v>
      </c>
      <c r="P42" s="528">
        <v>2</v>
      </c>
      <c r="Q42" s="87">
        <v>6</v>
      </c>
      <c r="R42" s="429">
        <v>6</v>
      </c>
      <c r="S42" s="3597"/>
      <c r="T42" s="3598"/>
      <c r="U42" s="87"/>
      <c r="V42" s="705">
        <v>12</v>
      </c>
      <c r="W42" s="705">
        <v>29</v>
      </c>
      <c r="X42" s="435">
        <v>10</v>
      </c>
      <c r="Y42" s="435">
        <v>10</v>
      </c>
      <c r="Z42" s="717" t="s">
        <v>30</v>
      </c>
      <c r="AA42" s="435">
        <f t="shared" si="0"/>
        <v>90</v>
      </c>
    </row>
    <row r="43" spans="1:27" ht="18.75" x14ac:dyDescent="0.25">
      <c r="A43" s="417">
        <v>34</v>
      </c>
      <c r="B43" s="685">
        <v>5191421034</v>
      </c>
      <c r="C43" s="85">
        <v>2</v>
      </c>
      <c r="D43" s="429">
        <v>2</v>
      </c>
      <c r="E43" s="86">
        <v>1</v>
      </c>
      <c r="F43" s="87"/>
      <c r="G43" s="429"/>
      <c r="H43" s="585">
        <v>12</v>
      </c>
      <c r="I43" s="87"/>
      <c r="J43" s="429"/>
      <c r="K43" s="429">
        <v>6</v>
      </c>
      <c r="L43" s="429">
        <v>4</v>
      </c>
      <c r="M43" s="523">
        <f t="shared" si="1"/>
        <v>27</v>
      </c>
      <c r="N43" s="87">
        <v>2</v>
      </c>
      <c r="O43" s="429">
        <v>1</v>
      </c>
      <c r="P43" s="528">
        <v>1</v>
      </c>
      <c r="Q43" s="87"/>
      <c r="R43" s="429"/>
      <c r="S43" s="3597">
        <v>11</v>
      </c>
      <c r="T43" s="3598"/>
      <c r="U43" s="87"/>
      <c r="V43" s="705">
        <v>10</v>
      </c>
      <c r="W43" s="705">
        <v>25</v>
      </c>
      <c r="X43" s="435">
        <v>10</v>
      </c>
      <c r="Y43" s="435">
        <v>10</v>
      </c>
      <c r="Z43" s="9" t="s">
        <v>27</v>
      </c>
      <c r="AA43" s="435">
        <f t="shared" si="0"/>
        <v>80</v>
      </c>
    </row>
    <row r="44" spans="1:27" ht="18.75" x14ac:dyDescent="0.25">
      <c r="A44" s="417">
        <v>35</v>
      </c>
      <c r="B44" s="685">
        <v>5191421035</v>
      </c>
      <c r="C44" s="85">
        <v>1</v>
      </c>
      <c r="D44" s="429">
        <v>1</v>
      </c>
      <c r="E44" s="86">
        <v>1</v>
      </c>
      <c r="F44" s="87">
        <v>4</v>
      </c>
      <c r="G44" s="429">
        <v>6</v>
      </c>
      <c r="H44" s="585"/>
      <c r="I44" s="87"/>
      <c r="J44" s="429"/>
      <c r="K44" s="429">
        <v>8</v>
      </c>
      <c r="L44" s="429"/>
      <c r="M44" s="523">
        <f t="shared" si="1"/>
        <v>21</v>
      </c>
      <c r="N44" s="85">
        <v>1</v>
      </c>
      <c r="O44" s="429">
        <v>0</v>
      </c>
      <c r="P44" s="528">
        <v>0</v>
      </c>
      <c r="Q44" s="87"/>
      <c r="R44" s="429">
        <v>4</v>
      </c>
      <c r="S44" s="3597">
        <v>2</v>
      </c>
      <c r="T44" s="3598"/>
      <c r="U44" s="87"/>
      <c r="V44" s="705">
        <v>4</v>
      </c>
      <c r="W44" s="705">
        <v>9</v>
      </c>
      <c r="X44" s="435">
        <v>9</v>
      </c>
      <c r="Y44" s="435">
        <v>9</v>
      </c>
      <c r="Z44" s="9" t="s">
        <v>28</v>
      </c>
      <c r="AA44" s="435">
        <f t="shared" si="0"/>
        <v>50</v>
      </c>
    </row>
    <row r="45" spans="1:27" ht="18.75" x14ac:dyDescent="0.25">
      <c r="A45" s="417">
        <v>36</v>
      </c>
      <c r="B45" s="685">
        <v>5191421036</v>
      </c>
      <c r="C45" s="85">
        <v>2</v>
      </c>
      <c r="D45" s="429">
        <v>2</v>
      </c>
      <c r="E45" s="86">
        <v>2</v>
      </c>
      <c r="F45" s="87">
        <v>5</v>
      </c>
      <c r="G45" s="429">
        <v>6</v>
      </c>
      <c r="H45" s="585">
        <v>12</v>
      </c>
      <c r="I45" s="87"/>
      <c r="J45" s="429">
        <v>4</v>
      </c>
      <c r="K45" s="429">
        <v>8</v>
      </c>
      <c r="L45" s="429"/>
      <c r="M45" s="523">
        <v>26</v>
      </c>
      <c r="N45" s="85">
        <v>2</v>
      </c>
      <c r="O45" s="429">
        <v>2</v>
      </c>
      <c r="P45" s="528">
        <v>1</v>
      </c>
      <c r="Q45" s="87">
        <v>5</v>
      </c>
      <c r="R45" s="429">
        <v>4</v>
      </c>
      <c r="S45" s="3597">
        <v>4</v>
      </c>
      <c r="T45" s="3598"/>
      <c r="U45" s="87"/>
      <c r="V45" s="705">
        <v>6</v>
      </c>
      <c r="W45" s="705">
        <v>20</v>
      </c>
      <c r="X45" s="435">
        <v>8</v>
      </c>
      <c r="Y45" s="435">
        <v>8</v>
      </c>
      <c r="Z45" s="9" t="s">
        <v>32</v>
      </c>
      <c r="AA45" s="435">
        <f t="shared" si="0"/>
        <v>70</v>
      </c>
    </row>
    <row r="46" spans="1:27" ht="18.75" x14ac:dyDescent="0.25">
      <c r="A46" s="417">
        <v>37</v>
      </c>
      <c r="B46" s="685">
        <v>5191421037</v>
      </c>
      <c r="C46" s="85">
        <v>1</v>
      </c>
      <c r="D46" s="429">
        <v>1</v>
      </c>
      <c r="E46" s="86">
        <v>2</v>
      </c>
      <c r="F46" s="87">
        <v>3</v>
      </c>
      <c r="G46" s="429"/>
      <c r="H46" s="585">
        <v>2</v>
      </c>
      <c r="I46" s="87"/>
      <c r="J46" s="429"/>
      <c r="K46" s="429"/>
      <c r="L46" s="429"/>
      <c r="M46" s="523">
        <v>7</v>
      </c>
      <c r="N46" s="85">
        <v>0</v>
      </c>
      <c r="O46" s="429">
        <v>0</v>
      </c>
      <c r="P46" s="528">
        <v>0</v>
      </c>
      <c r="Q46" s="87"/>
      <c r="R46" s="429"/>
      <c r="S46" s="3597"/>
      <c r="T46" s="3598"/>
      <c r="U46" s="87"/>
      <c r="V46" s="705">
        <v>4</v>
      </c>
      <c r="W46" s="705">
        <v>4</v>
      </c>
      <c r="X46" s="435">
        <v>8</v>
      </c>
      <c r="Y46" s="435">
        <v>8</v>
      </c>
      <c r="Z46" s="717" t="s">
        <v>154</v>
      </c>
      <c r="AA46" s="435" t="b">
        <f t="shared" si="0"/>
        <v>0</v>
      </c>
    </row>
    <row r="47" spans="1:27" ht="18.75" x14ac:dyDescent="0.25">
      <c r="A47" s="417">
        <v>38</v>
      </c>
      <c r="B47" s="685">
        <v>5191421038</v>
      </c>
      <c r="C47" s="85">
        <v>1</v>
      </c>
      <c r="D47" s="429">
        <v>2</v>
      </c>
      <c r="E47" s="86">
        <v>1</v>
      </c>
      <c r="F47" s="87">
        <v>2</v>
      </c>
      <c r="G47" s="429">
        <v>1</v>
      </c>
      <c r="H47" s="585"/>
      <c r="I47" s="87"/>
      <c r="J47" s="429">
        <v>2</v>
      </c>
      <c r="K47" s="429">
        <v>6</v>
      </c>
      <c r="L47" s="429"/>
      <c r="M47" s="523">
        <v>13</v>
      </c>
      <c r="N47" s="85">
        <v>1</v>
      </c>
      <c r="O47" s="429"/>
      <c r="P47" s="528"/>
      <c r="Q47" s="87"/>
      <c r="R47" s="429"/>
      <c r="S47" s="3597">
        <v>5</v>
      </c>
      <c r="T47" s="3598"/>
      <c r="U47" s="87"/>
      <c r="V47" s="705">
        <v>10</v>
      </c>
      <c r="W47" s="705">
        <v>16</v>
      </c>
      <c r="X47" s="435">
        <v>7</v>
      </c>
      <c r="Y47" s="435">
        <v>7</v>
      </c>
      <c r="Z47" s="9" t="s">
        <v>31</v>
      </c>
      <c r="AA47" s="435">
        <f t="shared" si="0"/>
        <v>55</v>
      </c>
    </row>
    <row r="48" spans="1:27" ht="18.75" x14ac:dyDescent="0.25">
      <c r="A48" s="417">
        <v>39</v>
      </c>
      <c r="B48" s="685">
        <v>5191421039</v>
      </c>
      <c r="C48" s="85">
        <v>2</v>
      </c>
      <c r="D48" s="429">
        <v>2</v>
      </c>
      <c r="E48" s="86">
        <v>1</v>
      </c>
      <c r="F48" s="87"/>
      <c r="G48" s="429"/>
      <c r="H48" s="585">
        <v>11</v>
      </c>
      <c r="I48" s="87">
        <v>7</v>
      </c>
      <c r="J48" s="429">
        <v>1</v>
      </c>
      <c r="K48" s="429"/>
      <c r="L48" s="429"/>
      <c r="M48" s="523">
        <f>SUM(C48:L48)</f>
        <v>24</v>
      </c>
      <c r="N48" s="85">
        <v>2</v>
      </c>
      <c r="O48" s="429">
        <v>2</v>
      </c>
      <c r="P48" s="528">
        <v>1</v>
      </c>
      <c r="Q48" s="87">
        <v>6</v>
      </c>
      <c r="R48" s="429">
        <v>4</v>
      </c>
      <c r="S48" s="3597">
        <v>6</v>
      </c>
      <c r="T48" s="3598"/>
      <c r="U48" s="87"/>
      <c r="V48" s="705">
        <v>4</v>
      </c>
      <c r="W48" s="705">
        <v>19</v>
      </c>
      <c r="X48" s="435">
        <v>7</v>
      </c>
      <c r="Y48" s="435">
        <v>7</v>
      </c>
      <c r="Z48" s="9" t="s">
        <v>32</v>
      </c>
      <c r="AA48" s="435">
        <f t="shared" si="0"/>
        <v>70</v>
      </c>
    </row>
    <row r="49" spans="1:27" ht="18.75" x14ac:dyDescent="0.25">
      <c r="A49" s="417">
        <v>40</v>
      </c>
      <c r="B49" s="685">
        <v>5191421040</v>
      </c>
      <c r="C49" s="83">
        <v>1</v>
      </c>
      <c r="D49" s="429">
        <v>2</v>
      </c>
      <c r="E49" s="86">
        <v>1</v>
      </c>
      <c r="F49" s="87">
        <v>5</v>
      </c>
      <c r="G49" s="429">
        <v>6</v>
      </c>
      <c r="H49" s="585"/>
      <c r="I49" s="87">
        <v>3</v>
      </c>
      <c r="J49" s="429">
        <v>3</v>
      </c>
      <c r="K49" s="429">
        <v>6</v>
      </c>
      <c r="L49" s="429">
        <v>4</v>
      </c>
      <c r="M49" s="523">
        <v>25</v>
      </c>
      <c r="N49" s="85"/>
      <c r="O49" s="429"/>
      <c r="P49" s="528"/>
      <c r="Q49" s="87"/>
      <c r="R49" s="429"/>
      <c r="S49" s="3597"/>
      <c r="T49" s="3598"/>
      <c r="U49" s="87"/>
      <c r="V49" s="705"/>
      <c r="W49" s="705"/>
      <c r="X49" s="435">
        <v>7</v>
      </c>
      <c r="Y49" s="435">
        <v>7</v>
      </c>
      <c r="Z49" s="9" t="s">
        <v>33</v>
      </c>
      <c r="AA49" s="435">
        <f t="shared" si="0"/>
        <v>60</v>
      </c>
    </row>
    <row r="50" spans="1:27" ht="18.75" x14ac:dyDescent="0.25">
      <c r="A50" s="417">
        <v>41</v>
      </c>
      <c r="B50" s="685">
        <v>5191421041</v>
      </c>
      <c r="C50" s="85">
        <v>1</v>
      </c>
      <c r="D50" s="429">
        <v>2</v>
      </c>
      <c r="E50" s="86">
        <v>1</v>
      </c>
      <c r="F50" s="87">
        <v>4</v>
      </c>
      <c r="G50" s="429">
        <v>6</v>
      </c>
      <c r="H50" s="585"/>
      <c r="I50" s="87">
        <v>7</v>
      </c>
      <c r="J50" s="429">
        <v>3</v>
      </c>
      <c r="K50" s="429"/>
      <c r="L50" s="429"/>
      <c r="M50" s="523">
        <f>SUM(C50:L50)</f>
        <v>24</v>
      </c>
      <c r="N50" s="85">
        <v>0</v>
      </c>
      <c r="O50" s="429">
        <v>1</v>
      </c>
      <c r="P50" s="528">
        <v>1</v>
      </c>
      <c r="Q50" s="87">
        <v>2</v>
      </c>
      <c r="R50" s="429">
        <v>2</v>
      </c>
      <c r="S50" s="3597"/>
      <c r="T50" s="3598"/>
      <c r="U50" s="87"/>
      <c r="V50" s="705">
        <v>2</v>
      </c>
      <c r="W50" s="705">
        <v>8</v>
      </c>
      <c r="X50" s="435">
        <v>7</v>
      </c>
      <c r="Y50" s="435">
        <v>7</v>
      </c>
      <c r="Z50" s="9" t="s">
        <v>33</v>
      </c>
      <c r="AA50" s="435">
        <f t="shared" si="0"/>
        <v>60</v>
      </c>
    </row>
    <row r="51" spans="1:27" ht="15" customHeight="1" x14ac:dyDescent="0.25">
      <c r="A51" s="417">
        <v>42</v>
      </c>
      <c r="B51" s="685">
        <v>5191421042</v>
      </c>
      <c r="C51" s="85"/>
      <c r="D51" s="429">
        <v>1</v>
      </c>
      <c r="E51" s="86">
        <v>2</v>
      </c>
      <c r="F51" s="87"/>
      <c r="G51" s="429"/>
      <c r="H51" s="585"/>
      <c r="I51" s="87">
        <v>1</v>
      </c>
      <c r="J51" s="429"/>
      <c r="K51" s="429"/>
      <c r="L51" s="429"/>
      <c r="M51" s="523">
        <f>SUM(C51:L51)</f>
        <v>4</v>
      </c>
      <c r="N51" s="85">
        <v>0</v>
      </c>
      <c r="O51" s="429"/>
      <c r="P51" s="528"/>
      <c r="Q51" s="87">
        <v>2</v>
      </c>
      <c r="R51" s="429"/>
      <c r="S51" s="3597"/>
      <c r="T51" s="3598"/>
      <c r="U51" s="87"/>
      <c r="V51" s="705"/>
      <c r="W51" s="705">
        <v>2</v>
      </c>
      <c r="X51" s="435">
        <v>10</v>
      </c>
      <c r="Y51" s="435">
        <v>10</v>
      </c>
      <c r="Z51" s="529" t="s">
        <v>29</v>
      </c>
      <c r="AA51" s="435">
        <f t="shared" si="0"/>
        <v>39</v>
      </c>
    </row>
    <row r="52" spans="1:27" ht="18.75" x14ac:dyDescent="0.25">
      <c r="A52" s="417">
        <v>43</v>
      </c>
      <c r="B52" s="685">
        <v>5191421043</v>
      </c>
      <c r="C52" s="85">
        <v>1</v>
      </c>
      <c r="D52" s="429">
        <v>2</v>
      </c>
      <c r="E52" s="86">
        <v>2</v>
      </c>
      <c r="F52" s="87">
        <v>6</v>
      </c>
      <c r="G52" s="429">
        <v>6</v>
      </c>
      <c r="H52" s="585"/>
      <c r="I52" s="87"/>
      <c r="J52" s="429"/>
      <c r="K52" s="429">
        <v>6</v>
      </c>
      <c r="L52" s="429">
        <v>4</v>
      </c>
      <c r="M52" s="523">
        <f>SUM(C52:L52)</f>
        <v>27</v>
      </c>
      <c r="N52" s="85">
        <v>2</v>
      </c>
      <c r="O52" s="429">
        <v>2</v>
      </c>
      <c r="P52" s="528">
        <v>1</v>
      </c>
      <c r="Q52" s="87">
        <v>6</v>
      </c>
      <c r="R52" s="429">
        <v>5</v>
      </c>
      <c r="S52" s="3597"/>
      <c r="T52" s="3598"/>
      <c r="U52" s="87"/>
      <c r="V52" s="705">
        <v>8</v>
      </c>
      <c r="W52" s="705">
        <v>24</v>
      </c>
      <c r="X52" s="435">
        <v>8</v>
      </c>
      <c r="Y52" s="435">
        <v>8</v>
      </c>
      <c r="Z52" s="9" t="s">
        <v>27</v>
      </c>
      <c r="AA52" s="435">
        <f t="shared" si="0"/>
        <v>80</v>
      </c>
    </row>
    <row r="53" spans="1:27" ht="18.75" x14ac:dyDescent="0.25">
      <c r="A53" s="417">
        <v>44</v>
      </c>
      <c r="B53" s="685">
        <v>5191421044</v>
      </c>
      <c r="C53" s="85">
        <v>1</v>
      </c>
      <c r="D53" s="429">
        <v>1</v>
      </c>
      <c r="E53" s="86">
        <v>2</v>
      </c>
      <c r="F53" s="87"/>
      <c r="G53" s="429"/>
      <c r="H53" s="585">
        <v>11</v>
      </c>
      <c r="I53" s="87">
        <v>8</v>
      </c>
      <c r="J53" s="429">
        <v>4</v>
      </c>
      <c r="K53" s="429">
        <v>3</v>
      </c>
      <c r="L53" s="429"/>
      <c r="M53" s="523">
        <v>27</v>
      </c>
      <c r="N53" s="85">
        <v>2</v>
      </c>
      <c r="O53" s="429">
        <v>2</v>
      </c>
      <c r="P53" s="528">
        <v>2</v>
      </c>
      <c r="Q53" s="87">
        <v>6</v>
      </c>
      <c r="R53" s="429">
        <v>6</v>
      </c>
      <c r="S53" s="3597"/>
      <c r="T53" s="3598"/>
      <c r="U53" s="87"/>
      <c r="V53" s="705">
        <v>9</v>
      </c>
      <c r="W53" s="705">
        <v>27</v>
      </c>
      <c r="X53" s="435">
        <v>10</v>
      </c>
      <c r="Y53" s="435">
        <v>10</v>
      </c>
      <c r="Z53" s="9" t="s">
        <v>30</v>
      </c>
      <c r="AA53" s="435">
        <f t="shared" si="0"/>
        <v>90</v>
      </c>
    </row>
    <row r="54" spans="1:27" ht="18.75" x14ac:dyDescent="0.25">
      <c r="A54" s="417">
        <v>45</v>
      </c>
      <c r="B54" s="685">
        <v>5191421045</v>
      </c>
      <c r="C54" s="83">
        <v>1</v>
      </c>
      <c r="D54" s="429">
        <v>1</v>
      </c>
      <c r="E54" s="86">
        <v>1</v>
      </c>
      <c r="F54" s="87">
        <v>4</v>
      </c>
      <c r="G54" s="429"/>
      <c r="H54" s="585">
        <v>3</v>
      </c>
      <c r="I54" s="87"/>
      <c r="J54" s="429">
        <v>3</v>
      </c>
      <c r="K54" s="429"/>
      <c r="L54" s="429"/>
      <c r="M54" s="523">
        <v>10</v>
      </c>
      <c r="N54" s="85">
        <v>0</v>
      </c>
      <c r="O54" s="429">
        <v>1</v>
      </c>
      <c r="P54" s="528"/>
      <c r="Q54" s="87">
        <v>2</v>
      </c>
      <c r="R54" s="429">
        <v>4</v>
      </c>
      <c r="S54" s="3597">
        <v>4</v>
      </c>
      <c r="T54" s="3598"/>
      <c r="U54" s="87"/>
      <c r="V54" s="705">
        <v>3</v>
      </c>
      <c r="W54" s="705">
        <v>10</v>
      </c>
      <c r="X54" s="435">
        <v>7</v>
      </c>
      <c r="Y54" s="435">
        <v>7</v>
      </c>
      <c r="Z54" s="9" t="s">
        <v>29</v>
      </c>
      <c r="AA54" s="435">
        <f t="shared" si="0"/>
        <v>39</v>
      </c>
    </row>
    <row r="55" spans="1:27" ht="18.75" x14ac:dyDescent="0.25">
      <c r="A55" s="417">
        <v>46</v>
      </c>
      <c r="B55" s="685">
        <v>5191421046</v>
      </c>
      <c r="C55" s="85">
        <v>1</v>
      </c>
      <c r="D55" s="429">
        <v>1</v>
      </c>
      <c r="E55" s="86">
        <v>2</v>
      </c>
      <c r="F55" s="87">
        <v>5</v>
      </c>
      <c r="G55" s="429">
        <v>6</v>
      </c>
      <c r="H55" s="585"/>
      <c r="I55" s="87">
        <v>7</v>
      </c>
      <c r="J55" s="429">
        <v>4</v>
      </c>
      <c r="K55" s="429"/>
      <c r="L55" s="429"/>
      <c r="M55" s="523">
        <f>SUM(C55:L55)</f>
        <v>26</v>
      </c>
      <c r="N55" s="85">
        <v>0</v>
      </c>
      <c r="O55" s="429">
        <v>1</v>
      </c>
      <c r="P55" s="528"/>
      <c r="Q55" s="87">
        <v>6</v>
      </c>
      <c r="R55" s="429">
        <v>5</v>
      </c>
      <c r="S55" s="3597"/>
      <c r="T55" s="3598"/>
      <c r="U55" s="87"/>
      <c r="V55" s="705">
        <v>2</v>
      </c>
      <c r="W55" s="705">
        <v>14</v>
      </c>
      <c r="X55" s="435">
        <v>7</v>
      </c>
      <c r="Y55" s="435">
        <v>7</v>
      </c>
      <c r="Z55" s="9" t="s">
        <v>32</v>
      </c>
      <c r="AA55" s="435">
        <f t="shared" si="0"/>
        <v>70</v>
      </c>
    </row>
    <row r="56" spans="1:27" ht="18.75" x14ac:dyDescent="0.25">
      <c r="A56" s="417">
        <v>47</v>
      </c>
      <c r="B56" s="685">
        <v>5191421047</v>
      </c>
      <c r="C56" s="85"/>
      <c r="D56" s="429"/>
      <c r="E56" s="86"/>
      <c r="F56" s="87"/>
      <c r="G56" s="429"/>
      <c r="H56" s="585"/>
      <c r="I56" s="87">
        <v>1</v>
      </c>
      <c r="J56" s="429">
        <v>2</v>
      </c>
      <c r="K56" s="429"/>
      <c r="L56" s="429"/>
      <c r="M56" s="523">
        <f>SUM(C56:L56)</f>
        <v>3</v>
      </c>
      <c r="N56" s="85">
        <v>1</v>
      </c>
      <c r="O56" s="429">
        <v>1</v>
      </c>
      <c r="P56" s="528"/>
      <c r="Q56" s="87">
        <v>3</v>
      </c>
      <c r="R56" s="429">
        <v>2</v>
      </c>
      <c r="S56" s="3597"/>
      <c r="T56" s="3598"/>
      <c r="U56" s="87"/>
      <c r="V56" s="705"/>
      <c r="W56" s="705">
        <v>7</v>
      </c>
      <c r="X56" s="435">
        <v>9</v>
      </c>
      <c r="Y56" s="435">
        <v>9</v>
      </c>
      <c r="Z56" s="9" t="s">
        <v>29</v>
      </c>
      <c r="AA56" s="435">
        <f t="shared" si="0"/>
        <v>39</v>
      </c>
    </row>
    <row r="57" spans="1:27" ht="18.75" x14ac:dyDescent="0.25">
      <c r="A57" s="417">
        <v>48</v>
      </c>
      <c r="B57" s="685">
        <v>5191421048</v>
      </c>
      <c r="C57" s="85">
        <v>0</v>
      </c>
      <c r="D57" s="429">
        <v>1</v>
      </c>
      <c r="E57" s="86">
        <v>2</v>
      </c>
      <c r="F57" s="87">
        <v>4</v>
      </c>
      <c r="G57" s="429">
        <v>4</v>
      </c>
      <c r="H57" s="585"/>
      <c r="I57" s="87"/>
      <c r="J57" s="429"/>
      <c r="K57" s="429">
        <v>4</v>
      </c>
      <c r="L57" s="429"/>
      <c r="M57" s="523">
        <f>SUM(C57:L57)</f>
        <v>15</v>
      </c>
      <c r="N57" s="85">
        <v>2</v>
      </c>
      <c r="O57" s="429">
        <v>1</v>
      </c>
      <c r="P57" s="528"/>
      <c r="Q57" s="87">
        <v>6</v>
      </c>
      <c r="R57" s="429">
        <v>4</v>
      </c>
      <c r="S57" s="3597"/>
      <c r="T57" s="3598"/>
      <c r="U57" s="87"/>
      <c r="V57" s="705">
        <v>0</v>
      </c>
      <c r="W57" s="705">
        <v>13</v>
      </c>
      <c r="X57" s="435">
        <v>8</v>
      </c>
      <c r="Y57" s="435">
        <v>8</v>
      </c>
      <c r="Z57" s="9" t="s">
        <v>31</v>
      </c>
      <c r="AA57" s="435">
        <f t="shared" si="0"/>
        <v>55</v>
      </c>
    </row>
    <row r="58" spans="1:27" ht="18.75" x14ac:dyDescent="0.25">
      <c r="A58" s="417">
        <v>49</v>
      </c>
      <c r="B58" s="685">
        <v>5191421049</v>
      </c>
      <c r="C58" s="85"/>
      <c r="D58" s="429"/>
      <c r="E58" s="86"/>
      <c r="F58" s="87"/>
      <c r="G58" s="429"/>
      <c r="H58" s="585"/>
      <c r="I58" s="87"/>
      <c r="J58" s="429"/>
      <c r="K58" s="429"/>
      <c r="L58" s="429"/>
      <c r="M58" s="523"/>
      <c r="N58" s="85"/>
      <c r="O58" s="429">
        <v>1</v>
      </c>
      <c r="P58" s="528">
        <v>1</v>
      </c>
      <c r="Q58" s="87">
        <v>3</v>
      </c>
      <c r="R58" s="429"/>
      <c r="S58" s="3597">
        <v>4</v>
      </c>
      <c r="T58" s="3598"/>
      <c r="U58" s="87"/>
      <c r="V58" s="705"/>
      <c r="W58" s="705">
        <v>6</v>
      </c>
      <c r="X58" s="435">
        <v>10</v>
      </c>
      <c r="Y58" s="435">
        <v>10</v>
      </c>
      <c r="Z58" s="9" t="s">
        <v>28</v>
      </c>
      <c r="AA58" s="435">
        <f t="shared" si="0"/>
        <v>50</v>
      </c>
    </row>
    <row r="59" spans="1:27" ht="18.75" x14ac:dyDescent="0.25">
      <c r="A59" s="417">
        <v>50</v>
      </c>
      <c r="B59" s="685">
        <v>5191421050</v>
      </c>
      <c r="C59" s="85">
        <v>1</v>
      </c>
      <c r="D59" s="429">
        <v>2</v>
      </c>
      <c r="E59" s="86">
        <v>1</v>
      </c>
      <c r="F59" s="87">
        <v>5</v>
      </c>
      <c r="G59" s="429">
        <v>2</v>
      </c>
      <c r="H59" s="585"/>
      <c r="I59" s="87"/>
      <c r="J59" s="429"/>
      <c r="K59" s="429">
        <v>7</v>
      </c>
      <c r="L59" s="429"/>
      <c r="M59" s="523">
        <f t="shared" ref="M59:M67" si="2">SUM(C59:L59)</f>
        <v>18</v>
      </c>
      <c r="N59" s="85">
        <v>1</v>
      </c>
      <c r="O59" s="429">
        <v>2</v>
      </c>
      <c r="P59" s="528"/>
      <c r="Q59" s="87"/>
      <c r="R59" s="429">
        <v>5</v>
      </c>
      <c r="S59" s="3597"/>
      <c r="T59" s="3598"/>
      <c r="U59" s="87"/>
      <c r="V59" s="705"/>
      <c r="W59" s="705">
        <v>8</v>
      </c>
      <c r="X59" s="435">
        <v>7</v>
      </c>
      <c r="Y59" s="435">
        <v>7</v>
      </c>
      <c r="Z59" s="469" t="s">
        <v>28</v>
      </c>
      <c r="AA59" s="435">
        <f t="shared" si="0"/>
        <v>50</v>
      </c>
    </row>
    <row r="60" spans="1:27" ht="18.75" x14ac:dyDescent="0.25">
      <c r="A60" s="417">
        <v>51</v>
      </c>
      <c r="B60" s="685">
        <v>5191421051</v>
      </c>
      <c r="C60" s="530">
        <v>2</v>
      </c>
      <c r="D60" s="531">
        <v>2</v>
      </c>
      <c r="E60" s="691">
        <v>2</v>
      </c>
      <c r="F60" s="587">
        <v>5</v>
      </c>
      <c r="G60" s="429">
        <v>6</v>
      </c>
      <c r="H60" s="588"/>
      <c r="I60" s="587"/>
      <c r="J60" s="531"/>
      <c r="K60" s="429">
        <v>6</v>
      </c>
      <c r="L60" s="429">
        <v>1</v>
      </c>
      <c r="M60" s="523">
        <f t="shared" si="2"/>
        <v>24</v>
      </c>
      <c r="N60" s="530">
        <v>2</v>
      </c>
      <c r="O60" s="531">
        <v>2</v>
      </c>
      <c r="P60" s="586">
        <v>0</v>
      </c>
      <c r="Q60" s="587"/>
      <c r="R60" s="429">
        <v>5</v>
      </c>
      <c r="S60" s="3597"/>
      <c r="T60" s="3598"/>
      <c r="U60" s="587"/>
      <c r="V60" s="705">
        <v>2</v>
      </c>
      <c r="W60" s="705">
        <v>11</v>
      </c>
      <c r="X60" s="435">
        <v>8</v>
      </c>
      <c r="Y60" s="435">
        <v>8</v>
      </c>
      <c r="Z60" s="9" t="s">
        <v>32</v>
      </c>
      <c r="AA60" s="435">
        <f t="shared" si="0"/>
        <v>70</v>
      </c>
    </row>
    <row r="61" spans="1:27" ht="18.75" x14ac:dyDescent="0.25">
      <c r="A61" s="417">
        <v>52</v>
      </c>
      <c r="B61" s="685">
        <v>5191421052</v>
      </c>
      <c r="C61" s="530">
        <v>2</v>
      </c>
      <c r="D61" s="531">
        <v>2</v>
      </c>
      <c r="E61" s="691">
        <v>2</v>
      </c>
      <c r="F61" s="587">
        <v>5</v>
      </c>
      <c r="G61" s="429">
        <v>5</v>
      </c>
      <c r="H61" s="588"/>
      <c r="I61" s="587">
        <v>8</v>
      </c>
      <c r="J61" s="531">
        <v>4</v>
      </c>
      <c r="K61" s="429"/>
      <c r="L61" s="429"/>
      <c r="M61" s="523">
        <f t="shared" si="2"/>
        <v>28</v>
      </c>
      <c r="N61" s="530">
        <v>2</v>
      </c>
      <c r="O61" s="531">
        <v>2</v>
      </c>
      <c r="P61" s="586">
        <v>1</v>
      </c>
      <c r="Q61" s="587"/>
      <c r="R61" s="429"/>
      <c r="S61" s="3597">
        <v>9</v>
      </c>
      <c r="T61" s="3598"/>
      <c r="U61" s="587"/>
      <c r="V61" s="705">
        <v>12</v>
      </c>
      <c r="W61" s="705">
        <v>26</v>
      </c>
      <c r="X61" s="435">
        <v>10</v>
      </c>
      <c r="Y61" s="435">
        <v>10</v>
      </c>
      <c r="Z61" s="9" t="s">
        <v>32</v>
      </c>
      <c r="AA61" s="435">
        <f t="shared" si="0"/>
        <v>70</v>
      </c>
    </row>
    <row r="62" spans="1:27" ht="18.75" x14ac:dyDescent="0.25">
      <c r="A62" s="417">
        <v>53</v>
      </c>
      <c r="B62" s="685">
        <v>5191421053</v>
      </c>
      <c r="C62" s="530">
        <v>2</v>
      </c>
      <c r="D62" s="531">
        <v>2</v>
      </c>
      <c r="E62" s="691">
        <v>2</v>
      </c>
      <c r="F62" s="587">
        <v>5</v>
      </c>
      <c r="G62" s="429">
        <v>4</v>
      </c>
      <c r="H62" s="588"/>
      <c r="I62" s="587">
        <v>3</v>
      </c>
      <c r="J62" s="531">
        <v>4</v>
      </c>
      <c r="K62" s="429"/>
      <c r="L62" s="429"/>
      <c r="M62" s="523">
        <f t="shared" si="2"/>
        <v>22</v>
      </c>
      <c r="N62" s="530"/>
      <c r="O62" s="531">
        <v>1</v>
      </c>
      <c r="P62" s="586">
        <v>2</v>
      </c>
      <c r="Q62" s="587"/>
      <c r="R62" s="429">
        <v>5</v>
      </c>
      <c r="S62" s="3597">
        <v>6</v>
      </c>
      <c r="T62" s="3598"/>
      <c r="U62" s="587"/>
      <c r="V62" s="705">
        <v>2</v>
      </c>
      <c r="W62" s="705">
        <v>11</v>
      </c>
      <c r="X62" s="435">
        <v>7</v>
      </c>
      <c r="Y62" s="435">
        <v>7</v>
      </c>
      <c r="Z62" s="529" t="s">
        <v>29</v>
      </c>
      <c r="AA62" s="435">
        <f t="shared" si="0"/>
        <v>39</v>
      </c>
    </row>
    <row r="63" spans="1:27" ht="18.75" x14ac:dyDescent="0.25">
      <c r="A63" s="417">
        <v>54</v>
      </c>
      <c r="B63" s="685">
        <v>5191421054</v>
      </c>
      <c r="C63" s="530">
        <v>1</v>
      </c>
      <c r="D63" s="531">
        <v>1</v>
      </c>
      <c r="E63" s="691">
        <v>1</v>
      </c>
      <c r="F63" s="587">
        <v>6</v>
      </c>
      <c r="G63" s="429">
        <v>6</v>
      </c>
      <c r="H63" s="588"/>
      <c r="I63" s="587">
        <v>1</v>
      </c>
      <c r="J63" s="531"/>
      <c r="K63" s="429"/>
      <c r="L63" s="429"/>
      <c r="M63" s="523">
        <f t="shared" si="2"/>
        <v>16</v>
      </c>
      <c r="N63" s="530"/>
      <c r="O63" s="531"/>
      <c r="P63" s="586"/>
      <c r="Q63" s="587"/>
      <c r="R63" s="429"/>
      <c r="S63" s="3597">
        <v>3</v>
      </c>
      <c r="T63" s="3598"/>
      <c r="U63" s="587"/>
      <c r="V63" s="705"/>
      <c r="W63" s="705">
        <v>3</v>
      </c>
      <c r="X63" s="435">
        <v>8</v>
      </c>
      <c r="Y63" s="435">
        <v>8</v>
      </c>
      <c r="Z63" s="9" t="s">
        <v>33</v>
      </c>
      <c r="AA63" s="435">
        <f t="shared" si="0"/>
        <v>60</v>
      </c>
    </row>
    <row r="64" spans="1:27" ht="18.75" x14ac:dyDescent="0.25">
      <c r="A64" s="417">
        <v>55</v>
      </c>
      <c r="B64" s="685">
        <v>5191421055</v>
      </c>
      <c r="C64" s="530">
        <v>1</v>
      </c>
      <c r="D64" s="531">
        <v>2</v>
      </c>
      <c r="E64" s="691">
        <v>1</v>
      </c>
      <c r="F64" s="587">
        <v>4</v>
      </c>
      <c r="G64" s="429">
        <v>5</v>
      </c>
      <c r="H64" s="588"/>
      <c r="I64" s="587">
        <v>0</v>
      </c>
      <c r="J64" s="531"/>
      <c r="K64" s="429"/>
      <c r="L64" s="429"/>
      <c r="M64" s="523">
        <f t="shared" si="2"/>
        <v>13</v>
      </c>
      <c r="N64" s="530"/>
      <c r="O64" s="531"/>
      <c r="P64" s="586"/>
      <c r="Q64" s="587"/>
      <c r="R64" s="429">
        <v>1</v>
      </c>
      <c r="S64" s="3597">
        <v>6</v>
      </c>
      <c r="T64" s="3598"/>
      <c r="U64" s="587">
        <v>1</v>
      </c>
      <c r="V64" s="705"/>
      <c r="W64" s="705">
        <v>7</v>
      </c>
      <c r="X64" s="435">
        <v>8</v>
      </c>
      <c r="Y64" s="435">
        <v>8</v>
      </c>
      <c r="Z64" s="9" t="s">
        <v>31</v>
      </c>
      <c r="AA64" s="435">
        <f t="shared" si="0"/>
        <v>55</v>
      </c>
    </row>
    <row r="65" spans="1:27" ht="18.75" x14ac:dyDescent="0.25">
      <c r="A65" s="417">
        <v>56</v>
      </c>
      <c r="B65" s="685">
        <v>5191421056</v>
      </c>
      <c r="C65" s="530">
        <v>1</v>
      </c>
      <c r="D65" s="531">
        <v>1</v>
      </c>
      <c r="E65" s="691"/>
      <c r="F65" s="587">
        <v>4</v>
      </c>
      <c r="G65" s="429">
        <v>3</v>
      </c>
      <c r="H65" s="588"/>
      <c r="I65" s="587">
        <v>2</v>
      </c>
      <c r="J65" s="531">
        <v>4</v>
      </c>
      <c r="K65" s="429"/>
      <c r="L65" s="429"/>
      <c r="M65" s="523">
        <f t="shared" si="2"/>
        <v>15</v>
      </c>
      <c r="N65" s="530">
        <v>0</v>
      </c>
      <c r="O65" s="531"/>
      <c r="P65" s="586"/>
      <c r="Q65" s="587"/>
      <c r="R65" s="429"/>
      <c r="S65" s="3597">
        <v>6</v>
      </c>
      <c r="T65" s="3598"/>
      <c r="U65" s="587"/>
      <c r="V65" s="705">
        <v>6</v>
      </c>
      <c r="W65" s="705">
        <v>12</v>
      </c>
      <c r="X65" s="435">
        <v>7</v>
      </c>
      <c r="Y65" s="435">
        <v>7</v>
      </c>
      <c r="Z65" s="9" t="s">
        <v>31</v>
      </c>
      <c r="AA65" s="435">
        <f t="shared" si="0"/>
        <v>55</v>
      </c>
    </row>
    <row r="66" spans="1:27" ht="18.75" x14ac:dyDescent="0.25">
      <c r="A66" s="417">
        <v>57</v>
      </c>
      <c r="B66" s="685">
        <v>5191421057</v>
      </c>
      <c r="C66" s="530">
        <v>2</v>
      </c>
      <c r="D66" s="531">
        <v>2</v>
      </c>
      <c r="E66" s="691">
        <v>1</v>
      </c>
      <c r="F66" s="587"/>
      <c r="G66" s="429"/>
      <c r="H66" s="588">
        <v>12</v>
      </c>
      <c r="I66" s="587"/>
      <c r="J66" s="531"/>
      <c r="K66" s="429">
        <v>8</v>
      </c>
      <c r="L66" s="429">
        <v>0</v>
      </c>
      <c r="M66" s="523">
        <f t="shared" si="2"/>
        <v>25</v>
      </c>
      <c r="N66" s="530">
        <v>2</v>
      </c>
      <c r="O66" s="531">
        <v>2</v>
      </c>
      <c r="P66" s="586">
        <v>2</v>
      </c>
      <c r="Q66" s="587">
        <v>5</v>
      </c>
      <c r="R66" s="429">
        <v>6</v>
      </c>
      <c r="S66" s="3597"/>
      <c r="T66" s="3598"/>
      <c r="U66" s="587"/>
      <c r="V66" s="693">
        <v>10</v>
      </c>
      <c r="W66" s="705">
        <v>27</v>
      </c>
      <c r="X66" s="435">
        <v>8</v>
      </c>
      <c r="Y66" s="435">
        <v>8</v>
      </c>
      <c r="Z66" s="103" t="s">
        <v>30</v>
      </c>
      <c r="AA66" s="435">
        <f t="shared" si="0"/>
        <v>90</v>
      </c>
    </row>
    <row r="67" spans="1:27" ht="19.5" thickBot="1" x14ac:dyDescent="0.3">
      <c r="A67" s="417">
        <v>58</v>
      </c>
      <c r="B67" s="685">
        <v>5191421058</v>
      </c>
      <c r="C67" s="94">
        <v>1</v>
      </c>
      <c r="D67" s="410">
        <v>0</v>
      </c>
      <c r="E67" s="91">
        <v>1</v>
      </c>
      <c r="F67" s="92">
        <v>4</v>
      </c>
      <c r="G67" s="410">
        <v>2</v>
      </c>
      <c r="H67" s="706"/>
      <c r="I67" s="92"/>
      <c r="J67" s="410">
        <v>3</v>
      </c>
      <c r="K67" s="429"/>
      <c r="L67" s="429"/>
      <c r="M67" s="523">
        <f t="shared" si="2"/>
        <v>11</v>
      </c>
      <c r="N67" s="94"/>
      <c r="O67" s="410"/>
      <c r="P67" s="104"/>
      <c r="Q67" s="92"/>
      <c r="R67" s="410"/>
      <c r="S67" s="3605">
        <v>1</v>
      </c>
      <c r="T67" s="3606"/>
      <c r="U67" s="92"/>
      <c r="V67" s="718"/>
      <c r="W67" s="705">
        <v>1</v>
      </c>
      <c r="X67" s="435">
        <v>8</v>
      </c>
      <c r="Y67" s="435">
        <v>8</v>
      </c>
      <c r="Z67" s="444" t="s">
        <v>29</v>
      </c>
      <c r="AA67" s="435">
        <f t="shared" si="0"/>
        <v>39</v>
      </c>
    </row>
    <row r="68" spans="1:27" x14ac:dyDescent="0.25">
      <c r="C68" s="409">
        <f t="shared" ref="C68:L68" si="3">COUNT(C11:C67)</f>
        <v>52</v>
      </c>
      <c r="D68" s="409">
        <f t="shared" si="3"/>
        <v>52</v>
      </c>
      <c r="E68" s="409">
        <f t="shared" si="3"/>
        <v>50</v>
      </c>
      <c r="F68" s="409">
        <f t="shared" si="3"/>
        <v>33</v>
      </c>
      <c r="G68" s="409">
        <f t="shared" si="3"/>
        <v>32</v>
      </c>
      <c r="H68" s="409">
        <f t="shared" si="3"/>
        <v>27</v>
      </c>
      <c r="I68" s="409">
        <f t="shared" si="3"/>
        <v>27</v>
      </c>
      <c r="J68" s="409">
        <f t="shared" si="3"/>
        <v>27</v>
      </c>
      <c r="K68" s="409">
        <f t="shared" si="3"/>
        <v>29</v>
      </c>
      <c r="L68" s="409">
        <f t="shared" si="3"/>
        <v>14</v>
      </c>
      <c r="M68" s="409"/>
      <c r="N68" s="409">
        <f t="shared" ref="N68:Y68" si="4">COUNT(N10:N67)</f>
        <v>50</v>
      </c>
      <c r="O68" s="409">
        <f t="shared" si="4"/>
        <v>49</v>
      </c>
      <c r="P68" s="409">
        <f t="shared" si="4"/>
        <v>39</v>
      </c>
      <c r="Q68" s="409">
        <f t="shared" si="4"/>
        <v>39</v>
      </c>
      <c r="R68" s="409">
        <f t="shared" si="4"/>
        <v>42</v>
      </c>
      <c r="S68" s="3607">
        <f t="shared" si="4"/>
        <v>24</v>
      </c>
      <c r="T68" s="3607"/>
      <c r="U68" s="409">
        <f t="shared" si="4"/>
        <v>4</v>
      </c>
      <c r="V68" s="409">
        <f t="shared" si="4"/>
        <v>45</v>
      </c>
      <c r="W68" s="409"/>
      <c r="X68" s="409">
        <f t="shared" si="4"/>
        <v>58</v>
      </c>
      <c r="Y68" s="409">
        <f t="shared" si="4"/>
        <v>58</v>
      </c>
    </row>
    <row r="69" spans="1:27" x14ac:dyDescent="0.25">
      <c r="A69" s="328" t="s">
        <v>34</v>
      </c>
      <c r="B69" s="401">
        <v>55</v>
      </c>
      <c r="C69" s="341">
        <f>C9*(B69/100)</f>
        <v>1.1000000000000001</v>
      </c>
      <c r="D69" s="341">
        <f>D9*(B69/100)</f>
        <v>1.1000000000000001</v>
      </c>
      <c r="E69" s="341">
        <f>E9*(B69/100)</f>
        <v>1.1000000000000001</v>
      </c>
      <c r="F69" s="341">
        <f t="shared" ref="F69:H69" si="5">F9*(B69/100)</f>
        <v>3.3000000000000003</v>
      </c>
      <c r="G69" s="341">
        <f t="shared" si="5"/>
        <v>6.6000000000000003E-2</v>
      </c>
      <c r="H69" s="341">
        <f t="shared" si="5"/>
        <v>0.13200000000000001</v>
      </c>
      <c r="I69" s="341">
        <f>I9*(F69/100)</f>
        <v>0.26400000000000001</v>
      </c>
      <c r="J69" s="341">
        <f>J9*(G69/100)</f>
        <v>2.64E-3</v>
      </c>
      <c r="K69" s="341">
        <f>K9*(H69/100)</f>
        <v>1.056E-2</v>
      </c>
      <c r="L69" s="341">
        <f>L9*(I69/100)</f>
        <v>1.056E-2</v>
      </c>
      <c r="M69" s="409"/>
      <c r="N69" s="341">
        <f>N9*(B69/100)</f>
        <v>1.1000000000000001</v>
      </c>
      <c r="O69" s="341">
        <f>O9*(B69/100)</f>
        <v>1.1000000000000001</v>
      </c>
      <c r="P69" s="341">
        <f>P9*(B69/100)</f>
        <v>1.1000000000000001</v>
      </c>
      <c r="Q69" s="341">
        <f>Q9*(B69/100)</f>
        <v>3.3000000000000003</v>
      </c>
      <c r="R69" s="341">
        <f>R9*(B69/100)</f>
        <v>3.3000000000000003</v>
      </c>
      <c r="S69" s="3608">
        <f>S9*(B69/100)</f>
        <v>6.6000000000000005</v>
      </c>
      <c r="T69" s="3608"/>
      <c r="U69" s="341">
        <f>U9*(B69/100)</f>
        <v>6.6000000000000005</v>
      </c>
      <c r="V69" s="341">
        <f>V9*(C69/100)</f>
        <v>0.13200000000000001</v>
      </c>
      <c r="W69" s="341"/>
      <c r="X69" s="341">
        <f t="shared" ref="X69:Y69" si="6">X9*(E69/100)</f>
        <v>0.11000000000000001</v>
      </c>
      <c r="Y69" s="341">
        <f t="shared" si="6"/>
        <v>0.33</v>
      </c>
    </row>
    <row r="70" spans="1:27" x14ac:dyDescent="0.25">
      <c r="A70" s="3075" t="s">
        <v>35</v>
      </c>
      <c r="B70" s="3075"/>
      <c r="C70" s="409">
        <f t="shared" ref="C70:L70" si="7">COUNTIF(C11:C67,"&gt;=" &amp;C69)</f>
        <v>14</v>
      </c>
      <c r="D70" s="409">
        <f t="shared" si="7"/>
        <v>25</v>
      </c>
      <c r="E70" s="409">
        <f t="shared" si="7"/>
        <v>23</v>
      </c>
      <c r="F70" s="409">
        <f t="shared" si="7"/>
        <v>26</v>
      </c>
      <c r="G70" s="409">
        <f t="shared" si="7"/>
        <v>32</v>
      </c>
      <c r="H70" s="409">
        <f t="shared" si="7"/>
        <v>27</v>
      </c>
      <c r="I70" s="409">
        <f t="shared" si="7"/>
        <v>26</v>
      </c>
      <c r="J70" s="409">
        <f t="shared" si="7"/>
        <v>27</v>
      </c>
      <c r="K70" s="409">
        <f t="shared" si="7"/>
        <v>29</v>
      </c>
      <c r="L70" s="409">
        <f t="shared" si="7"/>
        <v>12</v>
      </c>
      <c r="M70" s="409"/>
      <c r="N70" s="409">
        <f t="shared" ref="N70:Y70" si="8">COUNTIF(N10:N60,"&gt;=" &amp;N69)</f>
        <v>26</v>
      </c>
      <c r="O70" s="409">
        <f t="shared" si="8"/>
        <v>14</v>
      </c>
      <c r="P70" s="409">
        <f t="shared" si="8"/>
        <v>10</v>
      </c>
      <c r="Q70" s="409">
        <f t="shared" si="8"/>
        <v>24</v>
      </c>
      <c r="R70" s="409">
        <f t="shared" si="8"/>
        <v>30</v>
      </c>
      <c r="S70" s="3604">
        <f t="shared" si="8"/>
        <v>4</v>
      </c>
      <c r="T70" s="3604"/>
      <c r="U70" s="409">
        <f t="shared" si="8"/>
        <v>0</v>
      </c>
      <c r="V70" s="409">
        <f t="shared" si="8"/>
        <v>39</v>
      </c>
      <c r="W70" s="409"/>
      <c r="X70" s="409">
        <f t="shared" si="8"/>
        <v>51</v>
      </c>
      <c r="Y70" s="409">
        <f t="shared" si="8"/>
        <v>51</v>
      </c>
      <c r="AA70" s="409">
        <f>COUNTIF(AA10:AA67,"&gt;="&amp;B69)</f>
        <v>42</v>
      </c>
    </row>
    <row r="71" spans="1:27" x14ac:dyDescent="0.25">
      <c r="A71" s="3061" t="s">
        <v>36</v>
      </c>
      <c r="B71" s="3061"/>
      <c r="C71" s="409">
        <f t="shared" ref="C71:Y71" si="9">C70/C68</f>
        <v>0.26923076923076922</v>
      </c>
      <c r="D71" s="409">
        <f t="shared" si="9"/>
        <v>0.48076923076923078</v>
      </c>
      <c r="E71" s="409">
        <f t="shared" si="9"/>
        <v>0.46</v>
      </c>
      <c r="F71" s="409">
        <f t="shared" si="9"/>
        <v>0.78787878787878785</v>
      </c>
      <c r="G71" s="409">
        <f t="shared" si="9"/>
        <v>1</v>
      </c>
      <c r="H71" s="409">
        <f t="shared" si="9"/>
        <v>1</v>
      </c>
      <c r="I71" s="409">
        <f t="shared" si="9"/>
        <v>0.96296296296296291</v>
      </c>
      <c r="J71" s="409">
        <f t="shared" si="9"/>
        <v>1</v>
      </c>
      <c r="K71" s="409">
        <f t="shared" si="9"/>
        <v>1</v>
      </c>
      <c r="L71" s="409">
        <f t="shared" si="9"/>
        <v>0.8571428571428571</v>
      </c>
      <c r="M71" s="409"/>
      <c r="N71" s="409">
        <f t="shared" si="9"/>
        <v>0.52</v>
      </c>
      <c r="O71" s="409">
        <f t="shared" si="9"/>
        <v>0.2857142857142857</v>
      </c>
      <c r="P71" s="409">
        <f t="shared" si="9"/>
        <v>0.25641025641025639</v>
      </c>
      <c r="Q71" s="409">
        <f t="shared" si="9"/>
        <v>0.61538461538461542</v>
      </c>
      <c r="R71" s="409">
        <f t="shared" si="9"/>
        <v>0.7142857142857143</v>
      </c>
      <c r="S71" s="3603">
        <f t="shared" si="9"/>
        <v>0.16666666666666666</v>
      </c>
      <c r="T71" s="3603"/>
      <c r="U71" s="409">
        <f t="shared" si="9"/>
        <v>0</v>
      </c>
      <c r="V71" s="409">
        <f t="shared" si="9"/>
        <v>0.8666666666666667</v>
      </c>
      <c r="W71" s="409"/>
      <c r="X71" s="409">
        <f t="shared" si="9"/>
        <v>0.87931034482758619</v>
      </c>
      <c r="Y71" s="409">
        <f t="shared" si="9"/>
        <v>0.87931034482758619</v>
      </c>
      <c r="AA71" s="409">
        <f>(AA70/A67)*100</f>
        <v>72.41379310344827</v>
      </c>
    </row>
    <row r="72" spans="1:27" x14ac:dyDescent="0.25">
      <c r="C72" s="72" t="s">
        <v>22</v>
      </c>
      <c r="D72" s="72" t="s">
        <v>21</v>
      </c>
      <c r="E72" s="683" t="s">
        <v>21</v>
      </c>
      <c r="F72" s="374" t="s">
        <v>20</v>
      </c>
      <c r="G72" s="374" t="s">
        <v>20</v>
      </c>
      <c r="H72" s="521" t="s">
        <v>20</v>
      </c>
      <c r="I72" s="710" t="s">
        <v>21</v>
      </c>
      <c r="J72" s="710" t="s">
        <v>21</v>
      </c>
      <c r="K72" s="711" t="s">
        <v>40</v>
      </c>
      <c r="L72" s="711" t="s">
        <v>40</v>
      </c>
      <c r="M72" s="409"/>
      <c r="N72" s="72" t="s">
        <v>41</v>
      </c>
      <c r="O72" s="464" t="s">
        <v>42</v>
      </c>
      <c r="P72" s="521" t="s">
        <v>42</v>
      </c>
      <c r="Q72" s="72" t="s">
        <v>41</v>
      </c>
      <c r="R72" s="464" t="s">
        <v>41</v>
      </c>
      <c r="S72" s="3599" t="s">
        <v>41</v>
      </c>
      <c r="T72" s="3600"/>
      <c r="U72" s="72" t="s">
        <v>42</v>
      </c>
      <c r="V72" s="464" t="s">
        <v>42</v>
      </c>
      <c r="W72" s="409"/>
      <c r="X72" s="435" t="s">
        <v>274</v>
      </c>
      <c r="Y72" s="449" t="s">
        <v>275</v>
      </c>
    </row>
    <row r="74" spans="1:27" x14ac:dyDescent="0.25">
      <c r="D74" s="401" t="s">
        <v>38</v>
      </c>
      <c r="E74" s="2837" t="s">
        <v>39</v>
      </c>
      <c r="F74" s="2837"/>
      <c r="G74" s="2837" t="s">
        <v>37</v>
      </c>
      <c r="H74" s="2837"/>
      <c r="I74" s="401"/>
      <c r="J74" s="401"/>
    </row>
    <row r="75" spans="1:27" x14ac:dyDescent="0.25">
      <c r="B75" s="401" t="s">
        <v>22</v>
      </c>
      <c r="C75" s="409">
        <f>AVERAGE(C71,F71,G71,H71)*100</f>
        <v>76.427738927738929</v>
      </c>
      <c r="D75" s="409">
        <f t="shared" ref="D75:D78" si="10">IF(C75&gt;=70,3,IF(AND(C75&gt;=60,C75&lt;70),2,IF(AND(C75&gt;=50,C75&lt;60),1)))</f>
        <v>3</v>
      </c>
      <c r="E75" s="3604">
        <f>IF(AA71&gt;=70,3,IF(AND(AA71&gt;=60,AA71&lt;70),2,IF(AND(AA71&gt;=50,AA71&lt;60),1)))</f>
        <v>3</v>
      </c>
      <c r="F75" s="3604"/>
      <c r="G75" s="409">
        <f>(70/100)*E75+(30/100)*D75</f>
        <v>2.9999999999999996</v>
      </c>
      <c r="H75" s="409"/>
      <c r="I75" s="409"/>
      <c r="J75" s="409"/>
    </row>
    <row r="76" spans="1:27" x14ac:dyDescent="0.25">
      <c r="B76" s="401" t="s">
        <v>40</v>
      </c>
      <c r="C76" s="409">
        <f>AVERAGE(D71,E71,I71,J71,K71,L71)*100</f>
        <v>79.347917514584182</v>
      </c>
      <c r="D76" s="409">
        <f t="shared" si="10"/>
        <v>3</v>
      </c>
      <c r="E76" s="3604">
        <f>IF(AA71&gt;=70,3,IF(AND(AA71&gt;=60,AA71&lt;70),2,IF(AND(AA71&gt;=50,AA71&lt;60),1)))</f>
        <v>3</v>
      </c>
      <c r="F76" s="3604"/>
      <c r="G76" s="409">
        <f t="shared" ref="G76:G78" si="11">(70/100)*E76+(30/100)*D76</f>
        <v>2.9999999999999996</v>
      </c>
      <c r="H76" s="409"/>
      <c r="I76" s="409"/>
      <c r="J76" s="409"/>
    </row>
    <row r="77" spans="1:27" x14ac:dyDescent="0.25">
      <c r="B77" s="401" t="s">
        <v>41</v>
      </c>
      <c r="C77" s="409">
        <f>AVERAGE(N71,Q71,R71,S71)*100</f>
        <v>50.408424908424912</v>
      </c>
      <c r="D77" s="409">
        <f t="shared" si="10"/>
        <v>1</v>
      </c>
      <c r="E77" s="3604">
        <f>IF(AA71&gt;=70,3,IF(AND(AA71&gt;=60,AA71&lt;70),2,IF(AND(AA71&gt;=50,AA71&lt;60),1)))</f>
        <v>3</v>
      </c>
      <c r="F77" s="3604"/>
      <c r="G77" s="409">
        <f t="shared" si="11"/>
        <v>2.3999999999999995</v>
      </c>
      <c r="H77" s="409"/>
      <c r="I77" s="409"/>
      <c r="J77" s="409"/>
    </row>
    <row r="78" spans="1:27" x14ac:dyDescent="0.25">
      <c r="B78" s="401" t="s">
        <v>42</v>
      </c>
      <c r="C78" s="409">
        <f>AVERAGE(O71,P71,U71,V71)*100</f>
        <v>35.219780219780219</v>
      </c>
      <c r="D78" s="409" t="b">
        <f t="shared" si="10"/>
        <v>0</v>
      </c>
      <c r="E78" s="3604">
        <f>IF(AA71&gt;=70,3,IF(AND(AA71&gt;=60,AA71&lt;70),2,IF(AND(AA71&gt;=50,AA71&lt;60),1)))</f>
        <v>3</v>
      </c>
      <c r="F78" s="3604"/>
      <c r="G78" s="409">
        <f t="shared" si="11"/>
        <v>2.0999999999999996</v>
      </c>
      <c r="H78" s="409"/>
      <c r="I78" s="409"/>
      <c r="J78" s="409"/>
    </row>
    <row r="79" spans="1:27" x14ac:dyDescent="0.25">
      <c r="B79" s="2872" t="s">
        <v>44</v>
      </c>
      <c r="C79" s="2872"/>
      <c r="D79" s="2872"/>
      <c r="E79" s="2872"/>
      <c r="F79" s="2872"/>
      <c r="G79" s="403">
        <f>AVERAGE(G75:G78)</f>
        <v>2.6249999999999996</v>
      </c>
    </row>
    <row r="81" spans="1:23" x14ac:dyDescent="0.25">
      <c r="A81" s="3041" t="s">
        <v>134</v>
      </c>
      <c r="B81" s="3041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70"/>
      <c r="N81" s="337"/>
      <c r="O81" s="337"/>
      <c r="P81" s="337"/>
      <c r="Q81" s="337"/>
    </row>
    <row r="82" spans="1:23" x14ac:dyDescent="0.25">
      <c r="A82" s="337"/>
      <c r="B82" s="337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70"/>
      <c r="N82" s="337"/>
      <c r="O82" s="337"/>
      <c r="P82" s="337"/>
      <c r="Q82" s="337"/>
    </row>
    <row r="83" spans="1:23" x14ac:dyDescent="0.25">
      <c r="A83" s="337"/>
      <c r="B83" s="453" t="s">
        <v>45</v>
      </c>
      <c r="C83" s="589" t="s">
        <v>68</v>
      </c>
      <c r="D83" s="589" t="s">
        <v>69</v>
      </c>
      <c r="E83" s="589" t="s">
        <v>70</v>
      </c>
      <c r="F83" s="589" t="s">
        <v>71</v>
      </c>
      <c r="G83" s="589" t="s">
        <v>72</v>
      </c>
      <c r="H83" s="589" t="s">
        <v>73</v>
      </c>
      <c r="I83" s="589" t="s">
        <v>74</v>
      </c>
      <c r="J83" s="590" t="s">
        <v>75</v>
      </c>
      <c r="K83" s="589" t="s">
        <v>76</v>
      </c>
      <c r="L83" s="589" t="s">
        <v>77</v>
      </c>
      <c r="M83" s="589" t="s">
        <v>78</v>
      </c>
      <c r="N83" s="589" t="s">
        <v>79</v>
      </c>
      <c r="T83" s="332"/>
      <c r="W83" s="354"/>
    </row>
    <row r="84" spans="1:23" x14ac:dyDescent="0.25">
      <c r="A84" s="337"/>
      <c r="B84" s="573" t="s">
        <v>20</v>
      </c>
      <c r="C84" s="457">
        <v>3</v>
      </c>
      <c r="D84" s="457">
        <v>3</v>
      </c>
      <c r="E84" s="457">
        <v>2</v>
      </c>
      <c r="F84" s="457">
        <v>1</v>
      </c>
      <c r="G84" s="457">
        <v>2</v>
      </c>
      <c r="H84" s="457"/>
      <c r="I84" s="457"/>
      <c r="J84" s="457"/>
      <c r="K84" s="457"/>
      <c r="L84" s="457"/>
      <c r="M84" s="457"/>
      <c r="N84" s="457">
        <v>2</v>
      </c>
      <c r="T84" s="332"/>
      <c r="W84" s="354"/>
    </row>
    <row r="85" spans="1:23" x14ac:dyDescent="0.25">
      <c r="A85" s="337"/>
      <c r="B85" s="573" t="s">
        <v>21</v>
      </c>
      <c r="C85" s="457">
        <v>3</v>
      </c>
      <c r="D85" s="457">
        <v>3</v>
      </c>
      <c r="E85" s="457">
        <v>2</v>
      </c>
      <c r="F85" s="457">
        <v>1</v>
      </c>
      <c r="G85" s="457">
        <v>2</v>
      </c>
      <c r="H85" s="457">
        <v>1</v>
      </c>
      <c r="I85" s="457"/>
      <c r="J85" s="457"/>
      <c r="K85" s="457"/>
      <c r="L85" s="457"/>
      <c r="M85" s="457"/>
      <c r="N85" s="457">
        <v>2</v>
      </c>
      <c r="T85" s="332"/>
      <c r="W85" s="354"/>
    </row>
    <row r="86" spans="1:23" x14ac:dyDescent="0.25">
      <c r="A86" s="337"/>
      <c r="B86" s="573" t="s">
        <v>23</v>
      </c>
      <c r="C86" s="457">
        <v>3</v>
      </c>
      <c r="D86" s="457">
        <v>3</v>
      </c>
      <c r="E86" s="457">
        <v>3</v>
      </c>
      <c r="F86" s="457">
        <v>1</v>
      </c>
      <c r="G86" s="457">
        <v>3</v>
      </c>
      <c r="H86" s="457">
        <v>2</v>
      </c>
      <c r="I86" s="457"/>
      <c r="J86" s="457"/>
      <c r="K86" s="457"/>
      <c r="L86" s="457"/>
      <c r="M86" s="457"/>
      <c r="N86" s="457">
        <v>2</v>
      </c>
      <c r="T86" s="332"/>
      <c r="W86" s="354"/>
    </row>
    <row r="87" spans="1:23" x14ac:dyDescent="0.25">
      <c r="A87" s="337"/>
      <c r="B87" s="573" t="s">
        <v>25</v>
      </c>
      <c r="C87" s="457">
        <v>2</v>
      </c>
      <c r="D87" s="457">
        <v>2</v>
      </c>
      <c r="E87" s="457">
        <v>3</v>
      </c>
      <c r="F87" s="457">
        <v>1</v>
      </c>
      <c r="G87" s="457">
        <v>1</v>
      </c>
      <c r="H87" s="457"/>
      <c r="I87" s="457"/>
      <c r="J87" s="457"/>
      <c r="K87" s="457"/>
      <c r="L87" s="457"/>
      <c r="M87" s="457"/>
      <c r="N87" s="457">
        <v>2</v>
      </c>
      <c r="T87" s="332"/>
      <c r="W87" s="354"/>
    </row>
    <row r="88" spans="1:23" x14ac:dyDescent="0.25">
      <c r="A88" s="337"/>
      <c r="B88" s="579" t="s">
        <v>10</v>
      </c>
      <c r="C88" s="707">
        <f t="shared" ref="C88:H88" si="12">AVERAGE(C84:C87)</f>
        <v>2.75</v>
      </c>
      <c r="D88" s="707">
        <f t="shared" si="12"/>
        <v>2.75</v>
      </c>
      <c r="E88" s="707">
        <f t="shared" si="12"/>
        <v>2.5</v>
      </c>
      <c r="F88" s="707">
        <f t="shared" si="12"/>
        <v>1</v>
      </c>
      <c r="G88" s="707">
        <f t="shared" si="12"/>
        <v>2</v>
      </c>
      <c r="H88" s="707">
        <f t="shared" si="12"/>
        <v>1.5</v>
      </c>
      <c r="I88" s="707"/>
      <c r="J88" s="707"/>
      <c r="K88" s="707"/>
      <c r="L88" s="707"/>
      <c r="M88" s="707"/>
      <c r="N88" s="707">
        <f>AVERAGE(N84:N87)</f>
        <v>2</v>
      </c>
      <c r="T88" s="332"/>
      <c r="W88" s="354"/>
    </row>
    <row r="89" spans="1:23" x14ac:dyDescent="0.25">
      <c r="A89" s="337"/>
      <c r="B89" s="458" t="s">
        <v>58</v>
      </c>
      <c r="C89" s="3599">
        <f>AVERAGE(C88:N88)</f>
        <v>2.0714285714285716</v>
      </c>
      <c r="D89" s="3284"/>
      <c r="E89" s="3284"/>
      <c r="F89" s="3284"/>
      <c r="G89" s="3284"/>
      <c r="H89" s="3284"/>
      <c r="I89" s="3284"/>
      <c r="J89" s="3284"/>
      <c r="K89" s="3284"/>
      <c r="L89" s="3284"/>
      <c r="M89" s="3284"/>
      <c r="N89" s="3609"/>
      <c r="O89" s="497"/>
      <c r="P89" s="497"/>
      <c r="Q89" s="497"/>
    </row>
    <row r="90" spans="1:23" x14ac:dyDescent="0.25">
      <c r="A90" s="337"/>
      <c r="B90" s="337"/>
      <c r="C90" s="336"/>
      <c r="D90" s="326"/>
      <c r="E90" s="326"/>
      <c r="F90" s="326"/>
      <c r="G90" s="326"/>
      <c r="H90" s="326"/>
      <c r="I90" s="326"/>
      <c r="J90" s="326"/>
      <c r="K90" s="326"/>
      <c r="L90" s="326"/>
      <c r="M90" s="70"/>
      <c r="N90" s="337"/>
      <c r="O90" s="337"/>
      <c r="P90" s="337"/>
      <c r="Q90" s="337"/>
    </row>
    <row r="91" spans="1:23" x14ac:dyDescent="0.25">
      <c r="A91" s="337"/>
      <c r="B91" s="337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70"/>
      <c r="N91" s="337"/>
      <c r="O91" s="337"/>
      <c r="P91" s="337"/>
      <c r="Q91" s="337"/>
    </row>
    <row r="92" spans="1:23" x14ac:dyDescent="0.25">
      <c r="A92" s="3041" t="s">
        <v>148</v>
      </c>
      <c r="B92" s="3041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70"/>
      <c r="N92" s="337"/>
      <c r="O92" s="337"/>
      <c r="P92" s="337"/>
      <c r="Q92" s="337"/>
    </row>
    <row r="93" spans="1:23" x14ac:dyDescent="0.25">
      <c r="A93" s="337"/>
      <c r="B93" s="337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70"/>
      <c r="N93" s="337"/>
      <c r="O93" s="337"/>
      <c r="P93" s="337"/>
      <c r="Q93" s="337"/>
    </row>
    <row r="94" spans="1:23" x14ac:dyDescent="0.25">
      <c r="A94" s="337"/>
      <c r="B94" s="453" t="s">
        <v>45</v>
      </c>
      <c r="C94" s="589" t="s">
        <v>68</v>
      </c>
      <c r="D94" s="589" t="s">
        <v>69</v>
      </c>
      <c r="E94" s="589" t="s">
        <v>70</v>
      </c>
      <c r="F94" s="589" t="s">
        <v>71</v>
      </c>
      <c r="G94" s="589" t="s">
        <v>72</v>
      </c>
      <c r="H94" s="589" t="s">
        <v>73</v>
      </c>
      <c r="I94" s="589" t="s">
        <v>74</v>
      </c>
      <c r="J94" s="590" t="s">
        <v>75</v>
      </c>
      <c r="K94" s="589" t="s">
        <v>76</v>
      </c>
      <c r="L94" s="589" t="s">
        <v>77</v>
      </c>
      <c r="M94" s="589" t="s">
        <v>78</v>
      </c>
      <c r="N94" s="589" t="s">
        <v>79</v>
      </c>
      <c r="T94" s="332"/>
      <c r="W94" s="354"/>
    </row>
    <row r="95" spans="1:23" x14ac:dyDescent="0.25">
      <c r="A95" s="337"/>
      <c r="B95" s="573" t="s">
        <v>20</v>
      </c>
      <c r="C95" s="459">
        <f>G75*C84/3</f>
        <v>2.9999999999999996</v>
      </c>
      <c r="D95" s="459">
        <f>G75*D84/3</f>
        <v>2.9999999999999996</v>
      </c>
      <c r="E95" s="459">
        <f>G75*E84/3</f>
        <v>1.9999999999999998</v>
      </c>
      <c r="F95" s="459">
        <f>G75*F84/3</f>
        <v>0.99999999999999989</v>
      </c>
      <c r="G95" s="459">
        <f>G75*G84/3</f>
        <v>1.9999999999999998</v>
      </c>
      <c r="H95" s="459"/>
      <c r="I95" s="459"/>
      <c r="J95" s="459"/>
      <c r="K95" s="459"/>
      <c r="L95" s="459"/>
      <c r="M95" s="459"/>
      <c r="N95" s="459">
        <f>G75*N84/3</f>
        <v>1.9999999999999998</v>
      </c>
      <c r="T95" s="332"/>
      <c r="W95" s="354"/>
    </row>
    <row r="96" spans="1:23" x14ac:dyDescent="0.25">
      <c r="A96" s="337"/>
      <c r="B96" s="573" t="s">
        <v>21</v>
      </c>
      <c r="C96" s="459">
        <f>G76*C85/3</f>
        <v>2.9999999999999996</v>
      </c>
      <c r="D96" s="459">
        <f>G76*D85/3</f>
        <v>2.9999999999999996</v>
      </c>
      <c r="E96" s="459">
        <f>G76*E85/3</f>
        <v>1.9999999999999998</v>
      </c>
      <c r="F96" s="459">
        <f>G76*F85/3</f>
        <v>0.99999999999999989</v>
      </c>
      <c r="G96" s="459">
        <f>G76*G85/3</f>
        <v>1.9999999999999998</v>
      </c>
      <c r="H96" s="459">
        <f>G76*H85/3</f>
        <v>0.99999999999999989</v>
      </c>
      <c r="I96" s="459"/>
      <c r="J96" s="459"/>
      <c r="K96" s="459"/>
      <c r="L96" s="459"/>
      <c r="M96" s="459"/>
      <c r="N96" s="459">
        <f>G76*N85/3</f>
        <v>1.9999999999999998</v>
      </c>
      <c r="T96" s="332"/>
      <c r="W96" s="354"/>
    </row>
    <row r="97" spans="1:23" x14ac:dyDescent="0.25">
      <c r="A97" s="337"/>
      <c r="B97" s="573" t="s">
        <v>23</v>
      </c>
      <c r="C97" s="459">
        <f>G77*C86/3</f>
        <v>2.3999999999999995</v>
      </c>
      <c r="D97" s="459">
        <f>G77*D86/3</f>
        <v>2.3999999999999995</v>
      </c>
      <c r="E97" s="459">
        <f>G77*E86/3</f>
        <v>2.3999999999999995</v>
      </c>
      <c r="F97" s="459">
        <f>G77*F86/3</f>
        <v>0.79999999999999982</v>
      </c>
      <c r="G97" s="459">
        <f>G77*G86/3</f>
        <v>2.3999999999999995</v>
      </c>
      <c r="H97" s="459">
        <f>G77*H86/3</f>
        <v>1.5999999999999996</v>
      </c>
      <c r="I97" s="459"/>
      <c r="J97" s="459"/>
      <c r="K97" s="459"/>
      <c r="L97" s="459"/>
      <c r="M97" s="459"/>
      <c r="N97" s="459">
        <f>G77*N86/3</f>
        <v>1.5999999999999996</v>
      </c>
      <c r="T97" s="332"/>
      <c r="W97" s="354"/>
    </row>
    <row r="98" spans="1:23" x14ac:dyDescent="0.25">
      <c r="A98" s="337"/>
      <c r="B98" s="573" t="s">
        <v>25</v>
      </c>
      <c r="C98" s="459">
        <f>G78*C87/3</f>
        <v>1.3999999999999997</v>
      </c>
      <c r="D98" s="459">
        <f>G78*D87/3</f>
        <v>1.3999999999999997</v>
      </c>
      <c r="E98" s="459">
        <f>G78*E87/3</f>
        <v>2.0999999999999996</v>
      </c>
      <c r="F98" s="459">
        <f>G78*F87/3</f>
        <v>0.69999999999999984</v>
      </c>
      <c r="G98" s="459">
        <f>G78*G87/3</f>
        <v>0.69999999999999984</v>
      </c>
      <c r="H98" s="459"/>
      <c r="I98" s="459"/>
      <c r="J98" s="459"/>
      <c r="K98" s="459"/>
      <c r="L98" s="459"/>
      <c r="M98" s="459"/>
      <c r="N98" s="459">
        <f>G78*N87/3</f>
        <v>1.3999999999999997</v>
      </c>
      <c r="T98" s="332"/>
      <c r="W98" s="354"/>
    </row>
    <row r="99" spans="1:23" x14ac:dyDescent="0.25">
      <c r="A99" s="337"/>
      <c r="B99" s="579" t="s">
        <v>10</v>
      </c>
      <c r="C99" s="708">
        <f t="shared" ref="C99:H99" si="13">AVERAGE(C95:C98)</f>
        <v>2.4499999999999997</v>
      </c>
      <c r="D99" s="708">
        <f t="shared" si="13"/>
        <v>2.4499999999999997</v>
      </c>
      <c r="E99" s="708">
        <f t="shared" si="13"/>
        <v>2.1249999999999996</v>
      </c>
      <c r="F99" s="708">
        <f t="shared" si="13"/>
        <v>0.87499999999999989</v>
      </c>
      <c r="G99" s="708">
        <f t="shared" si="13"/>
        <v>1.7749999999999997</v>
      </c>
      <c r="H99" s="708">
        <f t="shared" si="13"/>
        <v>1.2999999999999998</v>
      </c>
      <c r="I99" s="708"/>
      <c r="J99" s="708"/>
      <c r="K99" s="708"/>
      <c r="L99" s="708"/>
      <c r="M99" s="708"/>
      <c r="N99" s="708">
        <f>AVERAGE(N95:N98)</f>
        <v>1.7499999999999998</v>
      </c>
      <c r="T99" s="332"/>
      <c r="W99" s="354"/>
    </row>
    <row r="100" spans="1:23" x14ac:dyDescent="0.25">
      <c r="A100" s="337"/>
      <c r="B100" s="458" t="s">
        <v>58</v>
      </c>
      <c r="C100" s="3400">
        <f>AVERAGE(C99:N99)</f>
        <v>1.8178571428571426</v>
      </c>
      <c r="D100" s="3285"/>
      <c r="E100" s="3285"/>
      <c r="F100" s="3285"/>
      <c r="G100" s="3285"/>
      <c r="H100" s="3285"/>
      <c r="I100" s="3285"/>
      <c r="J100" s="3285"/>
      <c r="K100" s="3285"/>
      <c r="L100" s="3285"/>
      <c r="M100" s="3285"/>
      <c r="N100" s="3401"/>
      <c r="O100" s="69"/>
      <c r="P100" s="69"/>
      <c r="Q100" s="69"/>
    </row>
    <row r="101" spans="1:23" x14ac:dyDescent="0.25">
      <c r="A101" s="337"/>
      <c r="B101" s="337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70"/>
      <c r="N101" s="337"/>
      <c r="O101" s="337"/>
      <c r="P101" s="337"/>
      <c r="Q101" s="337"/>
    </row>
    <row r="102" spans="1:23" x14ac:dyDescent="0.25">
      <c r="A102" s="3041" t="s">
        <v>137</v>
      </c>
      <c r="B102" s="3041"/>
      <c r="C102" s="326"/>
      <c r="D102" s="326"/>
      <c r="E102" s="326"/>
      <c r="F102" s="326"/>
      <c r="G102" s="326"/>
      <c r="H102" s="326"/>
      <c r="I102" s="326"/>
      <c r="J102" s="326"/>
      <c r="K102" s="3041" t="s">
        <v>149</v>
      </c>
      <c r="L102" s="3041"/>
      <c r="M102" s="3041"/>
      <c r="N102" s="334"/>
      <c r="O102" s="334"/>
      <c r="P102" s="337"/>
      <c r="Q102" s="337"/>
    </row>
    <row r="103" spans="1:23" x14ac:dyDescent="0.25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4"/>
      <c r="N103" s="334"/>
      <c r="O103" s="334"/>
      <c r="P103" s="337"/>
      <c r="Q103" s="337"/>
    </row>
    <row r="104" spans="1:23" x14ac:dyDescent="0.25">
      <c r="A104" s="337"/>
      <c r="B104" s="453" t="s">
        <v>59</v>
      </c>
      <c r="C104" s="589" t="s">
        <v>60</v>
      </c>
      <c r="D104" s="589" t="s">
        <v>61</v>
      </c>
      <c r="E104" s="589" t="s">
        <v>62</v>
      </c>
      <c r="F104" s="326"/>
      <c r="G104" s="326"/>
      <c r="H104" s="326"/>
      <c r="I104" s="326"/>
      <c r="J104" s="326"/>
      <c r="K104" s="326"/>
      <c r="L104" s="326"/>
      <c r="M104" s="460" t="s">
        <v>59</v>
      </c>
      <c r="N104" s="589" t="s">
        <v>60</v>
      </c>
      <c r="O104" s="589" t="s">
        <v>61</v>
      </c>
      <c r="P104" s="589" t="s">
        <v>62</v>
      </c>
      <c r="Q104" s="337"/>
    </row>
    <row r="105" spans="1:23" x14ac:dyDescent="0.25">
      <c r="A105" s="337"/>
      <c r="B105" s="331" t="s">
        <v>20</v>
      </c>
      <c r="C105" s="457">
        <v>3</v>
      </c>
      <c r="D105" s="457">
        <v>2</v>
      </c>
      <c r="E105" s="457"/>
      <c r="F105" s="326"/>
      <c r="G105" s="326"/>
      <c r="H105" s="326"/>
      <c r="I105" s="326"/>
      <c r="J105" s="326"/>
      <c r="K105" s="326"/>
      <c r="L105" s="326"/>
      <c r="M105" s="320" t="s">
        <v>20</v>
      </c>
      <c r="N105" s="459">
        <f>G75*C105/3</f>
        <v>2.9999999999999996</v>
      </c>
      <c r="O105" s="459">
        <f>G75*D105/3</f>
        <v>1.9999999999999998</v>
      </c>
      <c r="P105" s="459"/>
      <c r="Q105" s="337"/>
    </row>
    <row r="106" spans="1:23" x14ac:dyDescent="0.25">
      <c r="A106" s="337"/>
      <c r="B106" s="573" t="s">
        <v>21</v>
      </c>
      <c r="C106" s="457">
        <v>3</v>
      </c>
      <c r="D106" s="457">
        <v>2</v>
      </c>
      <c r="E106" s="457">
        <v>1</v>
      </c>
      <c r="F106" s="326"/>
      <c r="G106" s="326"/>
      <c r="H106" s="326"/>
      <c r="I106" s="326"/>
      <c r="J106" s="326"/>
      <c r="K106" s="326"/>
      <c r="L106" s="326"/>
      <c r="M106" s="591" t="s">
        <v>21</v>
      </c>
      <c r="N106" s="459">
        <f>G76*C106/3</f>
        <v>2.9999999999999996</v>
      </c>
      <c r="O106" s="459">
        <f>G76*D106/3</f>
        <v>1.9999999999999998</v>
      </c>
      <c r="P106" s="459">
        <f>G76*E106/3</f>
        <v>0.99999999999999989</v>
      </c>
      <c r="Q106" s="337"/>
    </row>
    <row r="107" spans="1:23" x14ac:dyDescent="0.25">
      <c r="A107" s="337"/>
      <c r="B107" s="573" t="s">
        <v>23</v>
      </c>
      <c r="C107" s="457">
        <v>3</v>
      </c>
      <c r="D107" s="457">
        <v>3</v>
      </c>
      <c r="E107" s="457">
        <v>1</v>
      </c>
      <c r="F107" s="326"/>
      <c r="G107" s="326"/>
      <c r="H107" s="326"/>
      <c r="I107" s="326"/>
      <c r="J107" s="326"/>
      <c r="K107" s="326"/>
      <c r="L107" s="326"/>
      <c r="M107" s="591" t="s">
        <v>23</v>
      </c>
      <c r="N107" s="459">
        <f>G77*C107/3</f>
        <v>2.3999999999999995</v>
      </c>
      <c r="O107" s="459">
        <f>G77*D107/3</f>
        <v>2.3999999999999995</v>
      </c>
      <c r="P107" s="459">
        <f>G77*E107/3</f>
        <v>0.79999999999999982</v>
      </c>
      <c r="Q107" s="337"/>
    </row>
    <row r="108" spans="1:23" x14ac:dyDescent="0.25">
      <c r="A108" s="337"/>
      <c r="B108" s="573" t="s">
        <v>25</v>
      </c>
      <c r="C108" s="457">
        <v>2</v>
      </c>
      <c r="D108" s="457">
        <v>2</v>
      </c>
      <c r="E108" s="457"/>
      <c r="F108" s="326"/>
      <c r="G108" s="326"/>
      <c r="H108" s="326"/>
      <c r="I108" s="326"/>
      <c r="J108" s="326"/>
      <c r="K108" s="326"/>
      <c r="L108" s="326"/>
      <c r="M108" s="591" t="s">
        <v>25</v>
      </c>
      <c r="N108" s="459">
        <f>G78*C108/3</f>
        <v>1.3999999999999997</v>
      </c>
      <c r="O108" s="459">
        <f>G78*D108/3</f>
        <v>1.3999999999999997</v>
      </c>
      <c r="P108" s="459"/>
      <c r="Q108" s="337"/>
    </row>
    <row r="109" spans="1:23" x14ac:dyDescent="0.25">
      <c r="A109" s="337"/>
      <c r="B109" s="522" t="s">
        <v>10</v>
      </c>
      <c r="C109" s="338">
        <f>AVERAGE(C105:C108)</f>
        <v>2.75</v>
      </c>
      <c r="D109" s="338">
        <f>AVERAGE(D105:D108)</f>
        <v>2.25</v>
      </c>
      <c r="E109" s="338">
        <f>AVERAGE(E105:E108)</f>
        <v>1</v>
      </c>
      <c r="F109" s="326"/>
      <c r="G109" s="326"/>
      <c r="H109" s="326"/>
      <c r="I109" s="326"/>
      <c r="J109" s="326"/>
      <c r="K109" s="326"/>
      <c r="L109" s="326"/>
      <c r="M109" s="592" t="s">
        <v>10</v>
      </c>
      <c r="N109" s="459">
        <f>AVERAGE(N105:N108)</f>
        <v>2.4499999999999997</v>
      </c>
      <c r="O109" s="459">
        <f>AVERAGE(O105:O108)</f>
        <v>1.9499999999999995</v>
      </c>
      <c r="P109" s="459">
        <f>AVERAGE(P105:P108)</f>
        <v>0.89999999999999991</v>
      </c>
      <c r="Q109" s="337"/>
    </row>
    <row r="110" spans="1:23" ht="25.5" x14ac:dyDescent="0.25">
      <c r="A110" s="379"/>
      <c r="B110" s="521" t="s">
        <v>58</v>
      </c>
      <c r="C110" s="3599">
        <f>AVERAGE(C109:E109)</f>
        <v>2</v>
      </c>
      <c r="D110" s="3284"/>
      <c r="E110" s="3609"/>
      <c r="F110" s="379"/>
      <c r="G110" s="379"/>
      <c r="H110" s="379"/>
      <c r="I110" s="379"/>
      <c r="J110" s="379"/>
      <c r="K110" s="379"/>
      <c r="L110" s="379"/>
      <c r="M110" s="593" t="s">
        <v>58</v>
      </c>
      <c r="N110" s="3599">
        <f>AVERAGE(N109:P109)</f>
        <v>1.7666666666666664</v>
      </c>
      <c r="O110" s="3284"/>
      <c r="P110" s="3609"/>
      <c r="Q110" s="379"/>
    </row>
    <row r="111" spans="1:23" x14ac:dyDescent="0.25">
      <c r="A111" s="337"/>
      <c r="B111" s="337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70"/>
      <c r="N111" s="337"/>
      <c r="O111" s="337"/>
      <c r="P111" s="337"/>
      <c r="Q111" s="337"/>
    </row>
    <row r="113" spans="1:17" x14ac:dyDescent="0.25">
      <c r="A113" s="3054"/>
      <c r="B113" s="3054"/>
      <c r="C113" s="3054"/>
      <c r="D113" s="3054"/>
      <c r="E113" s="3054"/>
      <c r="F113" s="3054"/>
      <c r="G113" s="3054"/>
      <c r="H113" s="3054"/>
      <c r="I113" s="3054"/>
      <c r="J113" s="3054"/>
      <c r="K113" s="3054"/>
      <c r="L113" s="3054"/>
      <c r="M113" s="3054"/>
      <c r="N113" s="3054"/>
      <c r="O113" s="3054"/>
      <c r="P113" s="3054"/>
      <c r="Q113" s="3054"/>
    </row>
    <row r="114" spans="1:17" x14ac:dyDescent="0.25">
      <c r="A114" s="405"/>
      <c r="B114" s="405"/>
      <c r="C114" s="405"/>
      <c r="D114" s="405"/>
      <c r="E114" s="405"/>
      <c r="F114" s="405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405"/>
    </row>
    <row r="115" spans="1:17" x14ac:dyDescent="0.25">
      <c r="A115" s="3053"/>
      <c r="B115" s="3053"/>
      <c r="C115" s="3053"/>
      <c r="D115" s="3053"/>
      <c r="E115" s="3053"/>
      <c r="F115" s="3053"/>
      <c r="G115" s="3053"/>
      <c r="H115" s="3053"/>
      <c r="I115" s="3053"/>
      <c r="J115" s="3053"/>
      <c r="K115" s="3053"/>
      <c r="L115" s="3053"/>
      <c r="M115" s="3053"/>
      <c r="N115" s="3053"/>
      <c r="O115" s="3053"/>
      <c r="P115" s="3053"/>
      <c r="Q115" s="3053"/>
    </row>
    <row r="116" spans="1:17" x14ac:dyDescent="0.25">
      <c r="A116" s="3053"/>
      <c r="B116" s="3053"/>
      <c r="C116" s="3053"/>
      <c r="D116" s="3053"/>
      <c r="E116" s="3053"/>
      <c r="F116" s="3053"/>
      <c r="G116" s="3053"/>
      <c r="H116" s="3053"/>
      <c r="I116" s="3053"/>
      <c r="J116" s="3053"/>
      <c r="K116" s="3053"/>
      <c r="L116" s="3053"/>
      <c r="M116" s="3053"/>
      <c r="N116" s="3053"/>
      <c r="O116" s="3053"/>
      <c r="P116" s="3053"/>
      <c r="Q116" s="3053"/>
    </row>
    <row r="117" spans="1:17" x14ac:dyDescent="0.25">
      <c r="A117" s="3053"/>
      <c r="B117" s="3053"/>
      <c r="C117" s="3053"/>
      <c r="D117" s="3053"/>
      <c r="E117" s="3053"/>
      <c r="F117" s="3053"/>
      <c r="G117" s="3053"/>
      <c r="H117" s="3053"/>
      <c r="I117" s="3053"/>
      <c r="J117" s="3053"/>
      <c r="K117" s="3053"/>
      <c r="L117" s="3053"/>
      <c r="M117" s="3053"/>
      <c r="N117" s="3053"/>
      <c r="O117" s="3053"/>
      <c r="P117" s="3053"/>
      <c r="Q117" s="3053"/>
    </row>
    <row r="118" spans="1:17" x14ac:dyDescent="0.25">
      <c r="A118" s="3053"/>
      <c r="B118" s="3053"/>
      <c r="C118" s="3053"/>
      <c r="D118" s="3053"/>
      <c r="E118" s="3053"/>
      <c r="F118" s="3053"/>
      <c r="G118" s="3053"/>
      <c r="H118" s="3053"/>
      <c r="I118" s="3053"/>
      <c r="J118" s="3053"/>
      <c r="K118" s="3053"/>
      <c r="L118" s="3053"/>
      <c r="M118" s="3053"/>
      <c r="N118" s="3053"/>
      <c r="O118" s="3053"/>
      <c r="P118" s="3053"/>
      <c r="Q118" s="3053"/>
    </row>
    <row r="119" spans="1:17" x14ac:dyDescent="0.25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  <c r="P119" s="3053"/>
      <c r="Q119" s="3053"/>
    </row>
    <row r="120" spans="1:17" x14ac:dyDescent="0.25">
      <c r="A120" s="3053"/>
      <c r="B120" s="3053"/>
      <c r="C120" s="3053"/>
      <c r="D120" s="3053"/>
      <c r="E120" s="3053"/>
      <c r="F120" s="3053"/>
      <c r="G120" s="3053"/>
      <c r="H120" s="3053"/>
      <c r="I120" s="3053"/>
      <c r="J120" s="3053"/>
      <c r="K120" s="3053"/>
      <c r="L120" s="3053"/>
      <c r="M120" s="3053"/>
      <c r="N120" s="3053"/>
      <c r="O120" s="3053"/>
      <c r="P120" s="3053"/>
      <c r="Q120" s="3053"/>
    </row>
    <row r="121" spans="1:17" x14ac:dyDescent="0.25">
      <c r="A121" s="3054"/>
      <c r="B121" s="3054"/>
      <c r="C121" s="3054"/>
      <c r="D121" s="3054"/>
      <c r="E121" s="3054"/>
      <c r="F121" s="3054"/>
      <c r="G121" s="3054"/>
      <c r="H121" s="3054"/>
      <c r="I121" s="3054"/>
      <c r="J121" s="3054"/>
      <c r="K121" s="3054"/>
      <c r="L121" s="3054"/>
      <c r="M121" s="3054"/>
      <c r="N121" s="3054"/>
      <c r="O121" s="3054"/>
      <c r="P121" s="3054"/>
      <c r="Q121" s="3054"/>
    </row>
    <row r="122" spans="1:17" x14ac:dyDescent="0.25">
      <c r="A122" s="3055"/>
      <c r="B122" s="3055"/>
      <c r="C122" s="3055"/>
      <c r="D122" s="3055"/>
      <c r="E122" s="3055"/>
      <c r="F122" s="3055"/>
      <c r="G122" s="3055"/>
      <c r="H122" s="3055"/>
      <c r="I122" s="3055"/>
      <c r="J122" s="3055"/>
      <c r="K122" s="3055"/>
      <c r="L122" s="3055"/>
      <c r="M122" s="3055"/>
      <c r="N122" s="3055"/>
      <c r="O122" s="3055"/>
      <c r="P122" s="3055"/>
      <c r="Q122" s="3055"/>
    </row>
    <row r="123" spans="1:17" x14ac:dyDescent="0.25">
      <c r="A123" s="2983"/>
      <c r="B123" s="2983"/>
      <c r="C123" s="2983"/>
      <c r="D123" s="2983"/>
      <c r="E123" s="2983"/>
      <c r="F123" s="2983"/>
      <c r="G123" s="2983"/>
      <c r="H123" s="2983"/>
      <c r="I123" s="2983"/>
      <c r="J123" s="2983"/>
      <c r="K123" s="2983"/>
      <c r="L123" s="2983"/>
      <c r="M123" s="2983"/>
      <c r="N123" s="2983"/>
      <c r="O123" s="2983"/>
      <c r="P123" s="2983"/>
      <c r="Q123" s="2983"/>
    </row>
    <row r="124" spans="1:17" x14ac:dyDescent="0.25">
      <c r="A124" s="3045"/>
      <c r="B124" s="3045"/>
      <c r="C124" s="3045"/>
      <c r="D124" s="3045"/>
      <c r="E124" s="3045"/>
      <c r="F124" s="3045"/>
      <c r="G124" s="3045"/>
      <c r="H124" s="3045"/>
      <c r="I124" s="3045"/>
      <c r="J124" s="3045"/>
      <c r="K124" s="3045"/>
      <c r="L124" s="3045"/>
      <c r="M124" s="3045"/>
      <c r="N124" s="3045"/>
      <c r="O124" s="3045"/>
      <c r="P124" s="3045"/>
      <c r="Q124" s="3045"/>
    </row>
    <row r="125" spans="1:17" x14ac:dyDescent="0.25">
      <c r="A125" s="3046"/>
      <c r="B125" s="3046"/>
      <c r="C125" s="3046"/>
      <c r="D125" s="3046"/>
      <c r="E125" s="3046"/>
      <c r="F125" s="3046"/>
      <c r="G125" s="3046"/>
      <c r="H125" s="3046"/>
      <c r="I125" s="3046"/>
      <c r="J125" s="3046"/>
      <c r="K125" s="3046"/>
      <c r="L125" s="3046"/>
      <c r="M125" s="3046"/>
      <c r="N125" s="3046"/>
      <c r="O125" s="3046"/>
      <c r="P125" s="3046"/>
      <c r="Q125" s="3046"/>
    </row>
    <row r="126" spans="1:17" x14ac:dyDescent="0.25">
      <c r="A126" s="3046"/>
      <c r="B126" s="3046"/>
      <c r="C126" s="3046"/>
      <c r="D126" s="3046"/>
      <c r="E126" s="3046"/>
      <c r="F126" s="3046"/>
      <c r="G126" s="3046"/>
      <c r="H126" s="3046"/>
      <c r="I126" s="3046"/>
      <c r="J126" s="3046"/>
      <c r="K126" s="3046"/>
      <c r="L126" s="3046"/>
      <c r="M126" s="3046"/>
      <c r="N126" s="3046"/>
      <c r="O126" s="3046"/>
      <c r="P126" s="3046"/>
      <c r="Q126" s="3046"/>
    </row>
    <row r="127" spans="1:17" x14ac:dyDescent="0.25">
      <c r="A127" s="2983"/>
      <c r="B127" s="2983"/>
      <c r="C127" s="2983"/>
      <c r="D127" s="2983"/>
      <c r="E127" s="2983"/>
      <c r="F127" s="2983"/>
      <c r="G127" s="2983"/>
      <c r="H127" s="2983"/>
      <c r="I127" s="2983"/>
      <c r="J127" s="2983"/>
      <c r="K127" s="2983"/>
      <c r="L127" s="2983"/>
      <c r="M127" s="2983"/>
      <c r="N127" s="2983"/>
      <c r="O127" s="2983"/>
      <c r="P127" s="2983"/>
      <c r="Q127" s="2983"/>
    </row>
  </sheetData>
  <mergeCells count="121">
    <mergeCell ref="A126:Q126"/>
    <mergeCell ref="A127:Q127"/>
    <mergeCell ref="A120:Q120"/>
    <mergeCell ref="A121:Q121"/>
    <mergeCell ref="A122:Q122"/>
    <mergeCell ref="A123:Q123"/>
    <mergeCell ref="A124:Q124"/>
    <mergeCell ref="A125:Q125"/>
    <mergeCell ref="A113:Q113"/>
    <mergeCell ref="A115:Q115"/>
    <mergeCell ref="A116:Q116"/>
    <mergeCell ref="A117:Q117"/>
    <mergeCell ref="A118:Q118"/>
    <mergeCell ref="A119:Q119"/>
    <mergeCell ref="A92:B92"/>
    <mergeCell ref="C100:N100"/>
    <mergeCell ref="A102:B102"/>
    <mergeCell ref="K102:M102"/>
    <mergeCell ref="C110:E110"/>
    <mergeCell ref="N110:P110"/>
    <mergeCell ref="E76:F76"/>
    <mergeCell ref="E77:F77"/>
    <mergeCell ref="E78:F78"/>
    <mergeCell ref="B79:F79"/>
    <mergeCell ref="A81:B81"/>
    <mergeCell ref="C89:N89"/>
    <mergeCell ref="A71:B71"/>
    <mergeCell ref="S71:T71"/>
    <mergeCell ref="S72:T72"/>
    <mergeCell ref="E74:F74"/>
    <mergeCell ref="G74:H74"/>
    <mergeCell ref="E75:F75"/>
    <mergeCell ref="S65:T65"/>
    <mergeCell ref="S66:T66"/>
    <mergeCell ref="S67:T67"/>
    <mergeCell ref="S68:T68"/>
    <mergeCell ref="S69:T69"/>
    <mergeCell ref="A70:B70"/>
    <mergeCell ref="S70:T70"/>
    <mergeCell ref="S59:T59"/>
    <mergeCell ref="S60:T60"/>
    <mergeCell ref="S61:T61"/>
    <mergeCell ref="S62:T62"/>
    <mergeCell ref="S63:T63"/>
    <mergeCell ref="S64:T64"/>
    <mergeCell ref="S53:T53"/>
    <mergeCell ref="S54:T54"/>
    <mergeCell ref="S55:T55"/>
    <mergeCell ref="S56:T56"/>
    <mergeCell ref="S57:T57"/>
    <mergeCell ref="S58:T58"/>
    <mergeCell ref="S47:T47"/>
    <mergeCell ref="S48:T48"/>
    <mergeCell ref="S49:T49"/>
    <mergeCell ref="S50:T50"/>
    <mergeCell ref="S51:T51"/>
    <mergeCell ref="S52:T52"/>
    <mergeCell ref="S41:T41"/>
    <mergeCell ref="S42:T42"/>
    <mergeCell ref="S43:T43"/>
    <mergeCell ref="S44:T44"/>
    <mergeCell ref="S45:T45"/>
    <mergeCell ref="S46:T46"/>
    <mergeCell ref="S35:T35"/>
    <mergeCell ref="S36:T36"/>
    <mergeCell ref="S37:T37"/>
    <mergeCell ref="S38:T38"/>
    <mergeCell ref="S39:T39"/>
    <mergeCell ref="S40:T40"/>
    <mergeCell ref="S29:T29"/>
    <mergeCell ref="S30:T30"/>
    <mergeCell ref="S31:T31"/>
    <mergeCell ref="S32:T32"/>
    <mergeCell ref="S33:T33"/>
    <mergeCell ref="S34:T34"/>
    <mergeCell ref="S23:T23"/>
    <mergeCell ref="S24:T24"/>
    <mergeCell ref="S25:T25"/>
    <mergeCell ref="S26:T26"/>
    <mergeCell ref="S27:T27"/>
    <mergeCell ref="S28:T28"/>
    <mergeCell ref="S17:T17"/>
    <mergeCell ref="S18:T18"/>
    <mergeCell ref="S19:T19"/>
    <mergeCell ref="S20:T20"/>
    <mergeCell ref="S21:T21"/>
    <mergeCell ref="S22:T22"/>
    <mergeCell ref="S11:T11"/>
    <mergeCell ref="S12:T12"/>
    <mergeCell ref="S13:T13"/>
    <mergeCell ref="S14:T14"/>
    <mergeCell ref="S15:T15"/>
    <mergeCell ref="S16:T16"/>
    <mergeCell ref="Z6:Z9"/>
    <mergeCell ref="AA6:AA9"/>
    <mergeCell ref="S7:T7"/>
    <mergeCell ref="S8:T8"/>
    <mergeCell ref="S9:T9"/>
    <mergeCell ref="S10:T10"/>
    <mergeCell ref="X6:X8"/>
    <mergeCell ref="Y6:Y8"/>
    <mergeCell ref="A2:B2"/>
    <mergeCell ref="C2:M2"/>
    <mergeCell ref="O2:W2"/>
    <mergeCell ref="A3:B3"/>
    <mergeCell ref="C3:M3"/>
    <mergeCell ref="O3:W3"/>
    <mergeCell ref="K6:L6"/>
    <mergeCell ref="N6:P6"/>
    <mergeCell ref="Q6:R6"/>
    <mergeCell ref="S6:T6"/>
    <mergeCell ref="C4:M4"/>
    <mergeCell ref="O4:W4"/>
    <mergeCell ref="A5:B5"/>
    <mergeCell ref="C5:N5"/>
    <mergeCell ref="O5:X5"/>
    <mergeCell ref="A6:A8"/>
    <mergeCell ref="B6:B7"/>
    <mergeCell ref="C6:E6"/>
    <mergeCell ref="F6:G6"/>
    <mergeCell ref="I6:J6"/>
  </mergeCells>
  <conditionalFormatting sqref="Z10:Z67">
    <cfRule type="containsText" dxfId="77" priority="1" operator="containsText" text="F">
      <formula>NOT(ISERROR(SEARCH("F",Z10)))</formula>
    </cfRule>
  </conditionalFormatting>
  <pageMargins left="0.7" right="0.7" top="0.75" bottom="0.75" header="0.3" footer="0.3"/>
  <pageSetup paperSize="8" scale="4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AC131"/>
  <sheetViews>
    <sheetView topLeftCell="A101" zoomScale="88" zoomScaleNormal="88" workbookViewId="0">
      <selection activeCell="G102" sqref="G102"/>
    </sheetView>
  </sheetViews>
  <sheetFormatPr defaultColWidth="9.140625" defaultRowHeight="15.75" x14ac:dyDescent="0.25"/>
  <cols>
    <col min="1" max="1" width="15.140625" style="792" bestFit="1" customWidth="1"/>
    <col min="2" max="2" width="18.28515625" style="792" bestFit="1" customWidth="1"/>
    <col min="3" max="12" width="8.7109375" style="845" customWidth="1"/>
    <col min="13" max="13" width="10.5703125" style="806" customWidth="1"/>
    <col min="14" max="14" width="10.5703125" style="792" customWidth="1"/>
    <col min="15" max="17" width="11.140625" style="792" bestFit="1" customWidth="1"/>
    <col min="18" max="19" width="9.140625" style="792"/>
    <col min="20" max="21" width="10.42578125" style="792" customWidth="1"/>
    <col min="22" max="24" width="10.5703125" style="792" customWidth="1"/>
    <col min="25" max="25" width="10.5703125" style="806" customWidth="1"/>
    <col min="26" max="28" width="9.140625" style="792"/>
    <col min="29" max="29" width="8" style="792" customWidth="1"/>
    <col min="30" max="30" width="17.140625" style="792" bestFit="1" customWidth="1"/>
    <col min="31" max="16384" width="9.140625" style="792"/>
  </cols>
  <sheetData>
    <row r="1" spans="1:29" x14ac:dyDescent="0.25">
      <c r="A1" s="333"/>
    </row>
    <row r="2" spans="1:29" x14ac:dyDescent="0.25">
      <c r="A2" s="3124" t="s">
        <v>0</v>
      </c>
      <c r="B2" s="3125"/>
      <c r="C2" s="3126" t="s">
        <v>125</v>
      </c>
      <c r="D2" s="3374"/>
      <c r="E2" s="3374"/>
      <c r="F2" s="3374"/>
      <c r="G2" s="3374"/>
      <c r="H2" s="3374"/>
      <c r="I2" s="3374"/>
      <c r="J2" s="3374"/>
      <c r="K2" s="3374"/>
      <c r="L2" s="3374"/>
      <c r="M2" s="3128"/>
      <c r="N2" s="802" t="s">
        <v>63</v>
      </c>
      <c r="O2" s="3375" t="s">
        <v>271</v>
      </c>
      <c r="P2" s="3375"/>
      <c r="Q2" s="3375"/>
      <c r="R2" s="3375"/>
      <c r="S2" s="3375"/>
      <c r="T2" s="3375"/>
      <c r="U2" s="3375"/>
      <c r="V2" s="3375"/>
      <c r="W2" s="3375"/>
      <c r="X2" s="3375"/>
      <c r="Y2" s="3375"/>
      <c r="Z2" s="735"/>
      <c r="AA2" s="735"/>
      <c r="AB2" s="735"/>
      <c r="AC2" s="735"/>
    </row>
    <row r="3" spans="1:29" x14ac:dyDescent="0.25">
      <c r="A3" s="3124" t="s">
        <v>1</v>
      </c>
      <c r="B3" s="3125"/>
      <c r="C3" s="3126" t="s">
        <v>325</v>
      </c>
      <c r="D3" s="3374"/>
      <c r="E3" s="3374"/>
      <c r="F3" s="3374"/>
      <c r="G3" s="3374"/>
      <c r="H3" s="3374"/>
      <c r="I3" s="3374"/>
      <c r="J3" s="3374"/>
      <c r="K3" s="3374"/>
      <c r="L3" s="3374"/>
      <c r="M3" s="3128"/>
      <c r="N3" s="803" t="s">
        <v>64</v>
      </c>
      <c r="O3" s="3375" t="s">
        <v>232</v>
      </c>
      <c r="P3" s="3375"/>
      <c r="Q3" s="3375"/>
      <c r="R3" s="3375"/>
      <c r="S3" s="3375"/>
      <c r="T3" s="3375"/>
      <c r="U3" s="3375"/>
      <c r="V3" s="3375"/>
      <c r="W3" s="3375"/>
      <c r="X3" s="3375"/>
      <c r="Y3" s="3375"/>
      <c r="Z3" s="735"/>
      <c r="AA3" s="735"/>
      <c r="AB3" s="735"/>
      <c r="AC3" s="735"/>
    </row>
    <row r="4" spans="1:29" ht="16.5" thickBot="1" x14ac:dyDescent="0.3">
      <c r="A4" s="883"/>
      <c r="B4" s="884" t="s">
        <v>2</v>
      </c>
      <c r="C4" s="3588" t="s">
        <v>272</v>
      </c>
      <c r="D4" s="3589"/>
      <c r="E4" s="3589"/>
      <c r="F4" s="3589"/>
      <c r="G4" s="3589"/>
      <c r="H4" s="3589"/>
      <c r="I4" s="3589"/>
      <c r="J4" s="3589"/>
      <c r="K4" s="3589"/>
      <c r="L4" s="3589"/>
      <c r="M4" s="3590"/>
      <c r="N4" s="884" t="s">
        <v>65</v>
      </c>
      <c r="O4" s="3375" t="s">
        <v>66</v>
      </c>
      <c r="P4" s="3375"/>
      <c r="Q4" s="3375"/>
      <c r="R4" s="3375"/>
      <c r="S4" s="3375"/>
      <c r="T4" s="3375"/>
      <c r="U4" s="3375"/>
      <c r="V4" s="3375"/>
      <c r="W4" s="3375"/>
      <c r="X4" s="3375"/>
      <c r="Y4" s="3375"/>
      <c r="Z4" s="735"/>
      <c r="AA4" s="735"/>
      <c r="AB4" s="735"/>
      <c r="AC4" s="735"/>
    </row>
    <row r="5" spans="1:29" ht="16.5" thickBot="1" x14ac:dyDescent="0.3">
      <c r="A5" s="3064"/>
      <c r="B5" s="3591"/>
      <c r="C5" s="3294" t="s">
        <v>3</v>
      </c>
      <c r="D5" s="3295"/>
      <c r="E5" s="3295"/>
      <c r="F5" s="3295"/>
      <c r="G5" s="3295"/>
      <c r="H5" s="3295"/>
      <c r="I5" s="3295"/>
      <c r="J5" s="3295"/>
      <c r="K5" s="3295"/>
      <c r="L5" s="3295"/>
      <c r="M5" s="3295"/>
      <c r="N5" s="3592"/>
      <c r="O5" s="3593" t="s">
        <v>4</v>
      </c>
      <c r="P5" s="3594"/>
      <c r="Q5" s="3594"/>
      <c r="R5" s="3594"/>
      <c r="S5" s="3594"/>
      <c r="T5" s="3594"/>
      <c r="U5" s="3594"/>
      <c r="V5" s="3594"/>
      <c r="W5" s="3594"/>
      <c r="X5" s="3594"/>
      <c r="Y5" s="3594"/>
      <c r="Z5" s="3089"/>
      <c r="AA5" s="829"/>
      <c r="AB5" s="518"/>
      <c r="AC5" s="518"/>
    </row>
    <row r="6" spans="1:29" ht="15.75" customHeight="1" thickBot="1" x14ac:dyDescent="0.3">
      <c r="A6" s="3066"/>
      <c r="B6" s="3595" t="s">
        <v>5</v>
      </c>
      <c r="C6" s="3584" t="s">
        <v>6</v>
      </c>
      <c r="D6" s="3585"/>
      <c r="E6" s="3596"/>
      <c r="F6" s="3586" t="s">
        <v>7</v>
      </c>
      <c r="G6" s="3587"/>
      <c r="H6" s="758" t="s">
        <v>8</v>
      </c>
      <c r="I6" s="3096" t="s">
        <v>9</v>
      </c>
      <c r="J6" s="3098"/>
      <c r="K6" s="3098" t="s">
        <v>236</v>
      </c>
      <c r="L6" s="3119"/>
      <c r="M6" s="759" t="s">
        <v>146</v>
      </c>
      <c r="N6" s="3584" t="s">
        <v>6</v>
      </c>
      <c r="O6" s="3585"/>
      <c r="P6" s="3585"/>
      <c r="Q6" s="3586" t="s">
        <v>7</v>
      </c>
      <c r="R6" s="3610"/>
      <c r="S6" s="3586" t="s">
        <v>8</v>
      </c>
      <c r="T6" s="3587"/>
      <c r="U6" s="3586" t="s">
        <v>9</v>
      </c>
      <c r="V6" s="3610"/>
      <c r="W6" s="3586" t="s">
        <v>236</v>
      </c>
      <c r="X6" s="3610"/>
      <c r="Y6" s="858" t="s">
        <v>147</v>
      </c>
      <c r="Z6" s="3601" t="s">
        <v>151</v>
      </c>
      <c r="AA6" s="3099" t="s">
        <v>152</v>
      </c>
      <c r="AB6" s="2679" t="s">
        <v>11</v>
      </c>
      <c r="AC6" s="3052" t="s">
        <v>12</v>
      </c>
    </row>
    <row r="7" spans="1:29" ht="15.75" customHeight="1" x14ac:dyDescent="0.25">
      <c r="A7" s="3067"/>
      <c r="B7" s="3069"/>
      <c r="C7" s="816" t="s">
        <v>13</v>
      </c>
      <c r="D7" s="824" t="s">
        <v>14</v>
      </c>
      <c r="E7" s="817" t="s">
        <v>15</v>
      </c>
      <c r="F7" s="816" t="s">
        <v>13</v>
      </c>
      <c r="G7" s="824" t="s">
        <v>14</v>
      </c>
      <c r="H7" s="824" t="s">
        <v>13</v>
      </c>
      <c r="I7" s="816" t="s">
        <v>13</v>
      </c>
      <c r="J7" s="851" t="s">
        <v>14</v>
      </c>
      <c r="K7" s="760" t="s">
        <v>13</v>
      </c>
      <c r="L7" s="824" t="s">
        <v>14</v>
      </c>
      <c r="M7" s="857"/>
      <c r="N7" s="816" t="s">
        <v>13</v>
      </c>
      <c r="O7" s="824" t="s">
        <v>14</v>
      </c>
      <c r="P7" s="851" t="s">
        <v>15</v>
      </c>
      <c r="Q7" s="816" t="s">
        <v>13</v>
      </c>
      <c r="R7" s="817" t="s">
        <v>14</v>
      </c>
      <c r="S7" s="913" t="s">
        <v>13</v>
      </c>
      <c r="T7" s="914" t="s">
        <v>14</v>
      </c>
      <c r="U7" s="915" t="s">
        <v>13</v>
      </c>
      <c r="V7" s="770" t="s">
        <v>14</v>
      </c>
      <c r="W7" s="816" t="s">
        <v>13</v>
      </c>
      <c r="X7" s="817" t="s">
        <v>14</v>
      </c>
      <c r="Y7" s="815"/>
      <c r="Z7" s="3304"/>
      <c r="AA7" s="3602"/>
      <c r="AB7" s="2679"/>
      <c r="AC7" s="3052"/>
    </row>
    <row r="8" spans="1:29" x14ac:dyDescent="0.25">
      <c r="A8" s="3068"/>
      <c r="B8" s="763" t="s">
        <v>19</v>
      </c>
      <c r="C8" s="818" t="s">
        <v>22</v>
      </c>
      <c r="D8" s="818" t="s">
        <v>21</v>
      </c>
      <c r="E8" s="831" t="s">
        <v>326</v>
      </c>
      <c r="F8" s="847" t="s">
        <v>20</v>
      </c>
      <c r="G8" s="847" t="s">
        <v>20</v>
      </c>
      <c r="H8" s="827" t="s">
        <v>20</v>
      </c>
      <c r="I8" s="848" t="s">
        <v>21</v>
      </c>
      <c r="J8" s="848" t="s">
        <v>21</v>
      </c>
      <c r="K8" s="849" t="s">
        <v>40</v>
      </c>
      <c r="L8" s="849" t="s">
        <v>41</v>
      </c>
      <c r="M8" s="831"/>
      <c r="N8" s="818" t="s">
        <v>41</v>
      </c>
      <c r="O8" s="826" t="s">
        <v>42</v>
      </c>
      <c r="P8" s="827" t="s">
        <v>43</v>
      </c>
      <c r="Q8" s="818" t="s">
        <v>41</v>
      </c>
      <c r="R8" s="819" t="s">
        <v>43</v>
      </c>
      <c r="S8" s="916" t="s">
        <v>43</v>
      </c>
      <c r="T8" s="774" t="s">
        <v>41</v>
      </c>
      <c r="U8" s="818" t="s">
        <v>42</v>
      </c>
      <c r="V8" s="767" t="s">
        <v>43</v>
      </c>
      <c r="W8" s="818" t="s">
        <v>42</v>
      </c>
      <c r="X8" s="819" t="s">
        <v>42</v>
      </c>
      <c r="Y8" s="815" t="s">
        <v>237</v>
      </c>
      <c r="Z8" s="3048"/>
      <c r="AA8" s="3100"/>
      <c r="AB8" s="2679"/>
      <c r="AC8" s="3052"/>
    </row>
    <row r="9" spans="1:29" x14ac:dyDescent="0.25">
      <c r="A9" s="824" t="s">
        <v>18</v>
      </c>
      <c r="B9" s="851" t="s">
        <v>26</v>
      </c>
      <c r="C9" s="818">
        <v>2</v>
      </c>
      <c r="D9" s="826">
        <v>2</v>
      </c>
      <c r="E9" s="819">
        <v>2</v>
      </c>
      <c r="F9" s="818">
        <v>6</v>
      </c>
      <c r="G9" s="826">
        <v>6</v>
      </c>
      <c r="H9" s="826">
        <v>12</v>
      </c>
      <c r="I9" s="818">
        <v>8</v>
      </c>
      <c r="J9" s="828">
        <v>4</v>
      </c>
      <c r="K9" s="824">
        <v>8</v>
      </c>
      <c r="L9" s="824">
        <v>4</v>
      </c>
      <c r="M9" s="767">
        <v>30</v>
      </c>
      <c r="N9" s="818"/>
      <c r="O9" s="826"/>
      <c r="P9" s="827"/>
      <c r="Q9" s="818">
        <v>6</v>
      </c>
      <c r="R9" s="819">
        <v>6</v>
      </c>
      <c r="S9" s="818">
        <v>6</v>
      </c>
      <c r="T9" s="827">
        <v>6</v>
      </c>
      <c r="U9" s="818">
        <v>6</v>
      </c>
      <c r="V9" s="767">
        <v>6</v>
      </c>
      <c r="W9" s="818">
        <v>6</v>
      </c>
      <c r="X9" s="819"/>
      <c r="Y9" s="815"/>
      <c r="Z9" s="757"/>
      <c r="AA9" s="757"/>
      <c r="AB9" s="2679"/>
      <c r="AC9" s="3052"/>
    </row>
    <row r="10" spans="1:29" ht="18.75" x14ac:dyDescent="0.25">
      <c r="A10" s="824">
        <v>1</v>
      </c>
      <c r="B10" s="779">
        <v>5191421001</v>
      </c>
      <c r="C10" s="83">
        <v>1</v>
      </c>
      <c r="D10" s="837">
        <v>2</v>
      </c>
      <c r="E10" s="840">
        <v>2</v>
      </c>
      <c r="F10" s="841"/>
      <c r="G10" s="837"/>
      <c r="H10" s="842">
        <v>4</v>
      </c>
      <c r="I10" s="841">
        <v>6</v>
      </c>
      <c r="J10" s="54"/>
      <c r="K10" s="839"/>
      <c r="L10" s="839"/>
      <c r="M10" s="523">
        <v>15</v>
      </c>
      <c r="N10" s="822"/>
      <c r="O10" s="813">
        <v>2</v>
      </c>
      <c r="P10" s="843"/>
      <c r="Q10" s="822">
        <v>6</v>
      </c>
      <c r="R10" s="821">
        <v>6</v>
      </c>
      <c r="S10" s="751"/>
      <c r="T10" s="917"/>
      <c r="U10" s="751"/>
      <c r="V10" s="852"/>
      <c r="W10" s="820">
        <v>6</v>
      </c>
      <c r="X10" s="523">
        <v>6</v>
      </c>
      <c r="Y10" s="762">
        <v>26</v>
      </c>
      <c r="Z10" s="866">
        <v>8</v>
      </c>
      <c r="AA10" s="866">
        <v>10</v>
      </c>
      <c r="AB10" s="867" t="s">
        <v>30</v>
      </c>
      <c r="AC10" s="703">
        <f>IF(AB10="O",100,IF(AB10="A+",90,IF(AB10="A",80,IF(AB10="B+",70,IF(AB10="B",60,IF(AB10="C",55,IF(AB10="P",50,IF(AB10="F",39))))))))</f>
        <v>90</v>
      </c>
    </row>
    <row r="11" spans="1:29" ht="18.75" x14ac:dyDescent="0.25">
      <c r="A11" s="895">
        <v>2</v>
      </c>
      <c r="B11" s="918">
        <v>5191421002</v>
      </c>
      <c r="C11" s="888">
        <v>1</v>
      </c>
      <c r="D11" s="886">
        <v>1</v>
      </c>
      <c r="E11" s="919">
        <v>2</v>
      </c>
      <c r="F11" s="888">
        <v>1</v>
      </c>
      <c r="G11" s="886"/>
      <c r="H11" s="889"/>
      <c r="I11" s="888"/>
      <c r="J11" s="886"/>
      <c r="K11" s="839">
        <v>2</v>
      </c>
      <c r="L11" s="839">
        <v>6</v>
      </c>
      <c r="M11" s="523">
        <v>13</v>
      </c>
      <c r="N11" s="885">
        <v>2</v>
      </c>
      <c r="O11" s="920">
        <v>1</v>
      </c>
      <c r="P11" s="921"/>
      <c r="Q11" s="885"/>
      <c r="R11" s="821"/>
      <c r="S11" s="751">
        <v>6</v>
      </c>
      <c r="T11" s="917">
        <v>5</v>
      </c>
      <c r="U11" s="751">
        <v>5</v>
      </c>
      <c r="V11" s="922">
        <v>6</v>
      </c>
      <c r="W11" s="888"/>
      <c r="X11" s="923"/>
      <c r="Y11" s="924">
        <v>25</v>
      </c>
      <c r="Z11" s="866">
        <v>10</v>
      </c>
      <c r="AA11" s="866">
        <v>10</v>
      </c>
      <c r="AB11" s="867" t="s">
        <v>32</v>
      </c>
      <c r="AC11" s="866">
        <f t="shared" ref="AC11:AC67" si="0">IF(AB11="O",100,IF(AB11="A+",90,IF(AB11="A",80,IF(AB11="B+",70,IF(AB11="B",60,IF(AB11="C",55,IF(AB11="P",50,IF(AB11="F",39))))))))</f>
        <v>70</v>
      </c>
    </row>
    <row r="12" spans="1:29" s="30" customFormat="1" ht="18.75" x14ac:dyDescent="0.25">
      <c r="A12" s="824">
        <v>3</v>
      </c>
      <c r="B12" s="694">
        <v>5191421003</v>
      </c>
      <c r="C12" s="813">
        <v>2</v>
      </c>
      <c r="D12" s="813">
        <v>2</v>
      </c>
      <c r="E12" s="813">
        <v>2</v>
      </c>
      <c r="F12" s="813">
        <v>4</v>
      </c>
      <c r="G12" s="839"/>
      <c r="H12" s="839"/>
      <c r="I12" s="839"/>
      <c r="J12" s="839"/>
      <c r="K12" s="839">
        <v>2</v>
      </c>
      <c r="L12" s="839">
        <v>6</v>
      </c>
      <c r="M12" s="523">
        <v>18</v>
      </c>
      <c r="N12" s="813"/>
      <c r="O12" s="813">
        <v>2</v>
      </c>
      <c r="P12" s="843"/>
      <c r="Q12" s="822">
        <v>6</v>
      </c>
      <c r="R12" s="821">
        <v>5</v>
      </c>
      <c r="S12" s="751"/>
      <c r="T12" s="917"/>
      <c r="U12" s="751"/>
      <c r="V12" s="852"/>
      <c r="W12" s="820">
        <v>4</v>
      </c>
      <c r="X12" s="584">
        <v>6</v>
      </c>
      <c r="Y12" s="762">
        <v>23</v>
      </c>
      <c r="Z12" s="866">
        <v>10</v>
      </c>
      <c r="AA12" s="866">
        <v>10</v>
      </c>
      <c r="AB12" s="867" t="s">
        <v>27</v>
      </c>
      <c r="AC12" s="866">
        <f t="shared" si="0"/>
        <v>80</v>
      </c>
    </row>
    <row r="13" spans="1:29" s="30" customFormat="1" ht="18.75" x14ac:dyDescent="0.25">
      <c r="A13" s="824">
        <v>4</v>
      </c>
      <c r="B13" s="694">
        <v>5191421004</v>
      </c>
      <c r="C13" s="695">
        <v>2</v>
      </c>
      <c r="D13" s="813">
        <v>2</v>
      </c>
      <c r="E13" s="813">
        <v>2</v>
      </c>
      <c r="F13" s="813"/>
      <c r="G13" s="839"/>
      <c r="H13" s="839">
        <v>2</v>
      </c>
      <c r="I13" s="839"/>
      <c r="J13" s="839"/>
      <c r="K13" s="839"/>
      <c r="L13" s="839"/>
      <c r="M13" s="523">
        <v>8</v>
      </c>
      <c r="N13" s="813"/>
      <c r="O13" s="813">
        <v>2</v>
      </c>
      <c r="P13" s="843"/>
      <c r="Q13" s="822">
        <v>4</v>
      </c>
      <c r="R13" s="821">
        <v>3</v>
      </c>
      <c r="S13" s="751"/>
      <c r="T13" s="917"/>
      <c r="U13" s="751"/>
      <c r="V13" s="852"/>
      <c r="W13" s="820"/>
      <c r="X13" s="584">
        <v>3</v>
      </c>
      <c r="Y13" s="762">
        <v>12</v>
      </c>
      <c r="Z13" s="866">
        <v>9</v>
      </c>
      <c r="AA13" s="866">
        <v>7</v>
      </c>
      <c r="AB13" s="867" t="s">
        <v>31</v>
      </c>
      <c r="AC13" s="866">
        <f t="shared" si="0"/>
        <v>55</v>
      </c>
    </row>
    <row r="14" spans="1:29" ht="18.75" x14ac:dyDescent="0.25">
      <c r="A14" s="761">
        <v>5</v>
      </c>
      <c r="B14" s="696">
        <v>5191421005</v>
      </c>
      <c r="C14" s="833"/>
      <c r="D14" s="834">
        <v>2</v>
      </c>
      <c r="E14" s="835"/>
      <c r="F14" s="833"/>
      <c r="G14" s="724"/>
      <c r="H14" s="700">
        <v>9</v>
      </c>
      <c r="I14" s="836">
        <v>5</v>
      </c>
      <c r="J14" s="724"/>
      <c r="K14" s="839"/>
      <c r="L14" s="839"/>
      <c r="M14" s="523">
        <v>16</v>
      </c>
      <c r="N14" s="833">
        <v>2</v>
      </c>
      <c r="O14" s="834">
        <v>2</v>
      </c>
      <c r="P14" s="844">
        <v>1</v>
      </c>
      <c r="Q14" s="833">
        <v>6</v>
      </c>
      <c r="R14" s="821">
        <v>6</v>
      </c>
      <c r="S14" s="751"/>
      <c r="T14" s="917"/>
      <c r="U14" s="751"/>
      <c r="V14" s="854"/>
      <c r="W14" s="836">
        <v>3</v>
      </c>
      <c r="X14" s="752">
        <v>4</v>
      </c>
      <c r="Y14" s="702">
        <v>24</v>
      </c>
      <c r="Z14" s="716">
        <v>10</v>
      </c>
      <c r="AA14" s="716">
        <v>8</v>
      </c>
      <c r="AB14" s="867" t="s">
        <v>27</v>
      </c>
      <c r="AC14" s="866">
        <f t="shared" si="0"/>
        <v>80</v>
      </c>
    </row>
    <row r="15" spans="1:29" ht="18.75" x14ac:dyDescent="0.25">
      <c r="A15" s="824">
        <v>6</v>
      </c>
      <c r="B15" s="779">
        <v>5191421006</v>
      </c>
      <c r="C15" s="822">
        <v>1</v>
      </c>
      <c r="D15" s="813">
        <v>2</v>
      </c>
      <c r="E15" s="832">
        <v>1</v>
      </c>
      <c r="F15" s="822"/>
      <c r="G15" s="839"/>
      <c r="H15" s="830">
        <v>9</v>
      </c>
      <c r="I15" s="820"/>
      <c r="J15" s="839"/>
      <c r="K15" s="839">
        <v>1</v>
      </c>
      <c r="L15" s="839">
        <v>6</v>
      </c>
      <c r="M15" s="523">
        <f>SUM(C15:L15)</f>
        <v>20</v>
      </c>
      <c r="N15" s="822"/>
      <c r="O15" s="813">
        <v>2</v>
      </c>
      <c r="P15" s="843">
        <v>1</v>
      </c>
      <c r="Q15" s="822"/>
      <c r="R15" s="821"/>
      <c r="S15" s="751">
        <v>5</v>
      </c>
      <c r="T15" s="917">
        <v>6</v>
      </c>
      <c r="U15" s="751"/>
      <c r="V15" s="852"/>
      <c r="W15" s="820">
        <v>4</v>
      </c>
      <c r="X15" s="584">
        <v>2</v>
      </c>
      <c r="Y15" s="762">
        <v>20</v>
      </c>
      <c r="Z15" s="866">
        <v>10</v>
      </c>
      <c r="AA15" s="866">
        <v>10</v>
      </c>
      <c r="AB15" s="867" t="s">
        <v>27</v>
      </c>
      <c r="AC15" s="866">
        <f t="shared" si="0"/>
        <v>80</v>
      </c>
    </row>
    <row r="16" spans="1:29" ht="18.75" x14ac:dyDescent="0.25">
      <c r="A16" s="824">
        <v>7</v>
      </c>
      <c r="B16" s="779">
        <v>5191421007</v>
      </c>
      <c r="C16" s="822">
        <v>1</v>
      </c>
      <c r="D16" s="813">
        <v>1</v>
      </c>
      <c r="E16" s="832"/>
      <c r="F16" s="822">
        <v>2</v>
      </c>
      <c r="G16" s="839"/>
      <c r="H16" s="830"/>
      <c r="I16" s="820"/>
      <c r="J16" s="839"/>
      <c r="K16" s="839"/>
      <c r="L16" s="839">
        <v>6</v>
      </c>
      <c r="M16" s="523">
        <v>10</v>
      </c>
      <c r="N16" s="822">
        <v>2</v>
      </c>
      <c r="O16" s="813">
        <v>1</v>
      </c>
      <c r="P16" s="843">
        <v>2</v>
      </c>
      <c r="Q16" s="822">
        <v>6</v>
      </c>
      <c r="R16" s="821">
        <v>6</v>
      </c>
      <c r="S16" s="751"/>
      <c r="T16" s="917"/>
      <c r="U16" s="751"/>
      <c r="V16" s="852"/>
      <c r="W16" s="820">
        <v>6</v>
      </c>
      <c r="X16" s="584">
        <v>6</v>
      </c>
      <c r="Y16" s="762">
        <v>29</v>
      </c>
      <c r="Z16" s="866">
        <v>7</v>
      </c>
      <c r="AA16" s="866">
        <v>9</v>
      </c>
      <c r="AB16" s="867" t="s">
        <v>27</v>
      </c>
      <c r="AC16" s="866">
        <f t="shared" si="0"/>
        <v>80</v>
      </c>
    </row>
    <row r="17" spans="1:29" ht="18.75" x14ac:dyDescent="0.25">
      <c r="A17" s="824">
        <v>8</v>
      </c>
      <c r="B17" s="779">
        <v>5191421008</v>
      </c>
      <c r="C17" s="822">
        <v>1</v>
      </c>
      <c r="D17" s="813">
        <v>2</v>
      </c>
      <c r="E17" s="832">
        <v>1</v>
      </c>
      <c r="F17" s="822">
        <v>4</v>
      </c>
      <c r="G17" s="839"/>
      <c r="H17" s="830"/>
      <c r="I17" s="820">
        <v>3</v>
      </c>
      <c r="J17" s="839"/>
      <c r="K17" s="839"/>
      <c r="L17" s="839"/>
      <c r="M17" s="523">
        <v>11</v>
      </c>
      <c r="N17" s="822"/>
      <c r="O17" s="813">
        <v>1</v>
      </c>
      <c r="P17" s="843">
        <v>1</v>
      </c>
      <c r="Q17" s="822"/>
      <c r="R17" s="821"/>
      <c r="S17" s="751">
        <v>6</v>
      </c>
      <c r="T17" s="917">
        <v>5</v>
      </c>
      <c r="U17" s="751">
        <v>6</v>
      </c>
      <c r="V17" s="852">
        <v>4</v>
      </c>
      <c r="W17" s="820"/>
      <c r="X17" s="584"/>
      <c r="Y17" s="762">
        <v>23</v>
      </c>
      <c r="Z17" s="866">
        <v>7</v>
      </c>
      <c r="AA17" s="866">
        <v>9</v>
      </c>
      <c r="AB17" s="867" t="s">
        <v>32</v>
      </c>
      <c r="AC17" s="866">
        <f t="shared" si="0"/>
        <v>70</v>
      </c>
    </row>
    <row r="18" spans="1:29" ht="18.75" x14ac:dyDescent="0.25">
      <c r="A18" s="824">
        <v>9</v>
      </c>
      <c r="B18" s="779">
        <v>5191421009</v>
      </c>
      <c r="C18" s="820">
        <v>1</v>
      </c>
      <c r="D18" s="820">
        <v>1</v>
      </c>
      <c r="E18" s="820">
        <v>1</v>
      </c>
      <c r="F18" s="820"/>
      <c r="G18" s="839">
        <v>1</v>
      </c>
      <c r="H18" s="830"/>
      <c r="I18" s="820">
        <v>4</v>
      </c>
      <c r="J18" s="839">
        <v>3</v>
      </c>
      <c r="K18" s="839"/>
      <c r="L18" s="839"/>
      <c r="M18" s="523">
        <v>11</v>
      </c>
      <c r="N18" s="822"/>
      <c r="O18" s="813">
        <v>1</v>
      </c>
      <c r="P18" s="843"/>
      <c r="Q18" s="822">
        <v>6</v>
      </c>
      <c r="R18" s="821">
        <v>2</v>
      </c>
      <c r="S18" s="751"/>
      <c r="T18" s="917"/>
      <c r="U18" s="751"/>
      <c r="V18" s="852"/>
      <c r="W18" s="820">
        <v>6</v>
      </c>
      <c r="X18" s="584">
        <v>2</v>
      </c>
      <c r="Y18" s="762">
        <v>17</v>
      </c>
      <c r="Z18" s="866">
        <v>8</v>
      </c>
      <c r="AA18" s="866">
        <v>10</v>
      </c>
      <c r="AB18" s="867" t="s">
        <v>32</v>
      </c>
      <c r="AC18" s="866">
        <f t="shared" si="0"/>
        <v>70</v>
      </c>
    </row>
    <row r="19" spans="1:29" ht="18.75" x14ac:dyDescent="0.25">
      <c r="A19" s="824">
        <v>10</v>
      </c>
      <c r="B19" s="925">
        <v>5191421010</v>
      </c>
      <c r="C19" s="822"/>
      <c r="D19" s="813"/>
      <c r="E19" s="832"/>
      <c r="F19" s="822"/>
      <c r="G19" s="839"/>
      <c r="H19" s="830"/>
      <c r="I19" s="820"/>
      <c r="J19" s="839"/>
      <c r="K19" s="839"/>
      <c r="L19" s="839"/>
      <c r="M19" s="523">
        <f>SUM(C19:L19)</f>
        <v>0</v>
      </c>
      <c r="N19" s="822"/>
      <c r="O19" s="813">
        <v>1</v>
      </c>
      <c r="P19" s="843"/>
      <c r="Q19" s="822">
        <v>6</v>
      </c>
      <c r="R19" s="821">
        <v>6</v>
      </c>
      <c r="S19" s="751"/>
      <c r="T19" s="917"/>
      <c r="U19" s="751"/>
      <c r="V19" s="852"/>
      <c r="W19" s="820">
        <v>6</v>
      </c>
      <c r="X19" s="584"/>
      <c r="Y19" s="762">
        <v>19</v>
      </c>
      <c r="Z19" s="866">
        <v>10</v>
      </c>
      <c r="AA19" s="866">
        <v>10</v>
      </c>
      <c r="AB19" s="867" t="s">
        <v>27</v>
      </c>
      <c r="AC19" s="866">
        <f t="shared" si="0"/>
        <v>80</v>
      </c>
    </row>
    <row r="20" spans="1:29" ht="18.75" x14ac:dyDescent="0.25">
      <c r="A20" s="824">
        <v>11</v>
      </c>
      <c r="B20" s="779">
        <v>5191421011</v>
      </c>
      <c r="C20" s="822">
        <v>2</v>
      </c>
      <c r="D20" s="813">
        <v>2</v>
      </c>
      <c r="E20" s="832">
        <v>2</v>
      </c>
      <c r="F20" s="822">
        <v>2</v>
      </c>
      <c r="G20" s="839">
        <v>2</v>
      </c>
      <c r="H20" s="830"/>
      <c r="I20" s="820">
        <v>6</v>
      </c>
      <c r="J20" s="839">
        <v>2</v>
      </c>
      <c r="K20" s="839"/>
      <c r="L20" s="839"/>
      <c r="M20" s="523">
        <f>SUM(C20:L20)</f>
        <v>18</v>
      </c>
      <c r="N20" s="822"/>
      <c r="O20" s="813">
        <v>2</v>
      </c>
      <c r="P20" s="843">
        <v>1</v>
      </c>
      <c r="Q20" s="822">
        <v>6</v>
      </c>
      <c r="R20" s="821">
        <v>6</v>
      </c>
      <c r="S20" s="751"/>
      <c r="T20" s="917"/>
      <c r="U20" s="751">
        <v>5</v>
      </c>
      <c r="V20" s="852">
        <v>6</v>
      </c>
      <c r="W20" s="820"/>
      <c r="X20" s="584"/>
      <c r="Y20" s="762">
        <v>26</v>
      </c>
      <c r="Z20" s="866">
        <v>10</v>
      </c>
      <c r="AA20" s="866">
        <v>10</v>
      </c>
      <c r="AB20" s="867" t="s">
        <v>30</v>
      </c>
      <c r="AC20" s="866">
        <f t="shared" si="0"/>
        <v>90</v>
      </c>
    </row>
    <row r="21" spans="1:29" ht="18.75" x14ac:dyDescent="0.25">
      <c r="A21" s="824">
        <v>12</v>
      </c>
      <c r="B21" s="779">
        <v>5191421012</v>
      </c>
      <c r="C21" s="822"/>
      <c r="D21" s="813">
        <v>1</v>
      </c>
      <c r="E21" s="832">
        <v>1</v>
      </c>
      <c r="F21" s="822"/>
      <c r="G21" s="839"/>
      <c r="H21" s="830"/>
      <c r="I21" s="820">
        <v>3</v>
      </c>
      <c r="J21" s="839"/>
      <c r="K21" s="839"/>
      <c r="L21" s="839">
        <v>4</v>
      </c>
      <c r="M21" s="523">
        <v>9</v>
      </c>
      <c r="N21" s="822"/>
      <c r="O21" s="813"/>
      <c r="P21" s="843"/>
      <c r="Q21" s="822">
        <v>6</v>
      </c>
      <c r="R21" s="821">
        <v>6</v>
      </c>
      <c r="S21" s="751"/>
      <c r="T21" s="917"/>
      <c r="U21" s="751"/>
      <c r="V21" s="852"/>
      <c r="W21" s="820"/>
      <c r="X21" s="584">
        <v>6</v>
      </c>
      <c r="Y21" s="762">
        <v>18</v>
      </c>
      <c r="Z21" s="866">
        <v>7</v>
      </c>
      <c r="AA21" s="866">
        <v>9</v>
      </c>
      <c r="AB21" s="867" t="s">
        <v>33</v>
      </c>
      <c r="AC21" s="866">
        <f t="shared" si="0"/>
        <v>60</v>
      </c>
    </row>
    <row r="22" spans="1:29" ht="18.75" x14ac:dyDescent="0.25">
      <c r="A22" s="824">
        <v>13</v>
      </c>
      <c r="B22" s="779">
        <v>5191421013</v>
      </c>
      <c r="C22" s="822">
        <v>2</v>
      </c>
      <c r="D22" s="813">
        <v>2</v>
      </c>
      <c r="E22" s="832">
        <v>2</v>
      </c>
      <c r="F22" s="822">
        <v>4</v>
      </c>
      <c r="G22" s="839"/>
      <c r="H22" s="830"/>
      <c r="I22" s="820">
        <v>6</v>
      </c>
      <c r="J22" s="839">
        <v>4</v>
      </c>
      <c r="K22" s="839"/>
      <c r="L22" s="839"/>
      <c r="M22" s="523">
        <f>SUM(C22:L22)</f>
        <v>20</v>
      </c>
      <c r="N22" s="822"/>
      <c r="O22" s="813">
        <v>2</v>
      </c>
      <c r="P22" s="843"/>
      <c r="Q22" s="822">
        <v>6</v>
      </c>
      <c r="R22" s="821">
        <v>6</v>
      </c>
      <c r="S22" s="751"/>
      <c r="T22" s="917"/>
      <c r="U22" s="751"/>
      <c r="V22" s="852"/>
      <c r="W22" s="820">
        <v>6</v>
      </c>
      <c r="X22" s="584">
        <v>6</v>
      </c>
      <c r="Y22" s="762">
        <v>26</v>
      </c>
      <c r="Z22" s="866">
        <v>9</v>
      </c>
      <c r="AA22" s="866">
        <v>7</v>
      </c>
      <c r="AB22" s="867" t="s">
        <v>27</v>
      </c>
      <c r="AC22" s="866">
        <f t="shared" si="0"/>
        <v>80</v>
      </c>
    </row>
    <row r="23" spans="1:29" ht="18.75" x14ac:dyDescent="0.25">
      <c r="A23" s="824">
        <v>14</v>
      </c>
      <c r="B23" s="779">
        <v>5191421014</v>
      </c>
      <c r="C23" s="822">
        <v>1</v>
      </c>
      <c r="D23" s="813">
        <v>1</v>
      </c>
      <c r="E23" s="832">
        <v>1</v>
      </c>
      <c r="F23" s="822"/>
      <c r="G23" s="839"/>
      <c r="H23" s="830">
        <v>2</v>
      </c>
      <c r="I23" s="820">
        <v>3</v>
      </c>
      <c r="J23" s="839"/>
      <c r="K23" s="839"/>
      <c r="L23" s="839"/>
      <c r="M23" s="523">
        <f>SUM(C23:L23)</f>
        <v>8</v>
      </c>
      <c r="N23" s="822">
        <v>1</v>
      </c>
      <c r="O23" s="813"/>
      <c r="P23" s="843"/>
      <c r="Q23" s="822">
        <v>6</v>
      </c>
      <c r="R23" s="821">
        <v>6</v>
      </c>
      <c r="S23" s="751"/>
      <c r="T23" s="917"/>
      <c r="U23" s="751"/>
      <c r="V23" s="852"/>
      <c r="W23" s="820">
        <v>2</v>
      </c>
      <c r="X23" s="584"/>
      <c r="Y23" s="762">
        <v>15</v>
      </c>
      <c r="Z23" s="866">
        <v>7</v>
      </c>
      <c r="AA23" s="866">
        <v>9</v>
      </c>
      <c r="AB23" s="867" t="s">
        <v>33</v>
      </c>
      <c r="AC23" s="866">
        <f t="shared" si="0"/>
        <v>60</v>
      </c>
    </row>
    <row r="24" spans="1:29" ht="18.75" x14ac:dyDescent="0.25">
      <c r="A24" s="824">
        <v>15</v>
      </c>
      <c r="B24" s="779">
        <v>5191421015</v>
      </c>
      <c r="C24" s="822">
        <v>1</v>
      </c>
      <c r="D24" s="813">
        <v>1</v>
      </c>
      <c r="E24" s="832"/>
      <c r="F24" s="822"/>
      <c r="G24" s="839"/>
      <c r="H24" s="830">
        <v>4</v>
      </c>
      <c r="I24" s="820"/>
      <c r="J24" s="839"/>
      <c r="K24" s="839"/>
      <c r="L24" s="839">
        <v>6</v>
      </c>
      <c r="M24" s="523">
        <v>12</v>
      </c>
      <c r="N24" s="822"/>
      <c r="O24" s="813"/>
      <c r="P24" s="843">
        <v>2</v>
      </c>
      <c r="Q24" s="822"/>
      <c r="R24" s="821"/>
      <c r="S24" s="751">
        <v>4</v>
      </c>
      <c r="T24" s="917">
        <v>4</v>
      </c>
      <c r="U24" s="751">
        <v>4</v>
      </c>
      <c r="V24" s="852">
        <v>6</v>
      </c>
      <c r="W24" s="820"/>
      <c r="X24" s="584"/>
      <c r="Y24" s="762">
        <v>20</v>
      </c>
      <c r="Z24" s="866">
        <v>10</v>
      </c>
      <c r="AA24" s="866">
        <v>8</v>
      </c>
      <c r="AB24" s="867" t="s">
        <v>32</v>
      </c>
      <c r="AC24" s="866">
        <f t="shared" si="0"/>
        <v>70</v>
      </c>
    </row>
    <row r="25" spans="1:29" ht="18.75" x14ac:dyDescent="0.25">
      <c r="A25" s="824">
        <v>16</v>
      </c>
      <c r="B25" s="926">
        <v>5191421016</v>
      </c>
      <c r="C25" s="822"/>
      <c r="D25" s="813"/>
      <c r="E25" s="832"/>
      <c r="F25" s="822"/>
      <c r="G25" s="526"/>
      <c r="H25" s="830"/>
      <c r="I25" s="820"/>
      <c r="J25" s="839"/>
      <c r="K25" s="839"/>
      <c r="L25" s="839"/>
      <c r="M25" s="523"/>
      <c r="N25" s="822"/>
      <c r="O25" s="813"/>
      <c r="P25" s="843"/>
      <c r="Q25" s="822">
        <v>6</v>
      </c>
      <c r="R25" s="821">
        <v>3</v>
      </c>
      <c r="S25" s="751"/>
      <c r="T25" s="917"/>
      <c r="U25" s="751">
        <v>3</v>
      </c>
      <c r="V25" s="852">
        <v>0</v>
      </c>
      <c r="W25" s="820"/>
      <c r="X25" s="584"/>
      <c r="Y25" s="762">
        <v>12</v>
      </c>
      <c r="Z25" s="866">
        <v>9</v>
      </c>
      <c r="AA25" s="866">
        <v>7</v>
      </c>
      <c r="AB25" s="867" t="s">
        <v>28</v>
      </c>
      <c r="AC25" s="866">
        <f t="shared" si="0"/>
        <v>50</v>
      </c>
    </row>
    <row r="26" spans="1:29" ht="18.75" x14ac:dyDescent="0.25">
      <c r="A26" s="824">
        <v>17</v>
      </c>
      <c r="B26" s="779">
        <v>5191421017</v>
      </c>
      <c r="C26" s="822">
        <v>2</v>
      </c>
      <c r="D26" s="813">
        <v>2</v>
      </c>
      <c r="E26" s="832">
        <v>2</v>
      </c>
      <c r="F26" s="822">
        <v>2</v>
      </c>
      <c r="G26" s="839">
        <v>1</v>
      </c>
      <c r="H26" s="830"/>
      <c r="I26" s="820">
        <v>5</v>
      </c>
      <c r="J26" s="839">
        <v>1</v>
      </c>
      <c r="K26" s="839"/>
      <c r="L26" s="839"/>
      <c r="M26" s="523">
        <v>15</v>
      </c>
      <c r="N26" s="822"/>
      <c r="O26" s="813">
        <v>2</v>
      </c>
      <c r="P26" s="843"/>
      <c r="Q26" s="822">
        <v>6</v>
      </c>
      <c r="R26" s="821">
        <v>6</v>
      </c>
      <c r="S26" s="751"/>
      <c r="T26" s="917"/>
      <c r="U26" s="751"/>
      <c r="V26" s="852"/>
      <c r="W26" s="820">
        <v>6</v>
      </c>
      <c r="X26" s="584">
        <v>6</v>
      </c>
      <c r="Y26" s="762">
        <v>26</v>
      </c>
      <c r="Z26" s="866">
        <v>10</v>
      </c>
      <c r="AA26" s="866">
        <v>10</v>
      </c>
      <c r="AB26" s="867" t="s">
        <v>27</v>
      </c>
      <c r="AC26" s="866">
        <f t="shared" si="0"/>
        <v>80</v>
      </c>
    </row>
    <row r="27" spans="1:29" ht="18.75" x14ac:dyDescent="0.25">
      <c r="A27" s="824">
        <v>18</v>
      </c>
      <c r="B27" s="779">
        <v>5191421018</v>
      </c>
      <c r="C27" s="83"/>
      <c r="D27" s="813">
        <v>1</v>
      </c>
      <c r="E27" s="832"/>
      <c r="F27" s="822">
        <v>4</v>
      </c>
      <c r="G27" s="839"/>
      <c r="H27" s="830"/>
      <c r="I27" s="820"/>
      <c r="J27" s="839"/>
      <c r="K27" s="839"/>
      <c r="L27" s="839"/>
      <c r="M27" s="523">
        <v>5</v>
      </c>
      <c r="N27" s="822"/>
      <c r="O27" s="813"/>
      <c r="P27" s="843"/>
      <c r="Q27" s="822"/>
      <c r="R27" s="821"/>
      <c r="S27" s="751"/>
      <c r="T27" s="917"/>
      <c r="U27" s="751"/>
      <c r="V27" s="852">
        <v>0</v>
      </c>
      <c r="W27" s="820"/>
      <c r="X27" s="584"/>
      <c r="Y27" s="762">
        <v>0</v>
      </c>
      <c r="Z27" s="866">
        <v>10</v>
      </c>
      <c r="AA27" s="866">
        <v>10</v>
      </c>
      <c r="AB27" s="867" t="s">
        <v>29</v>
      </c>
      <c r="AC27" s="866">
        <f t="shared" si="0"/>
        <v>39</v>
      </c>
    </row>
    <row r="28" spans="1:29" ht="18.75" x14ac:dyDescent="0.25">
      <c r="A28" s="824">
        <v>19</v>
      </c>
      <c r="B28" s="779">
        <v>5191421019</v>
      </c>
      <c r="C28" s="822">
        <v>2</v>
      </c>
      <c r="D28" s="839">
        <v>2</v>
      </c>
      <c r="E28" s="821">
        <v>2</v>
      </c>
      <c r="F28" s="820">
        <v>2</v>
      </c>
      <c r="G28" s="839"/>
      <c r="H28" s="830"/>
      <c r="I28" s="820"/>
      <c r="J28" s="839"/>
      <c r="K28" s="839">
        <v>6</v>
      </c>
      <c r="L28" s="839">
        <v>6</v>
      </c>
      <c r="M28" s="523">
        <v>20</v>
      </c>
      <c r="N28" s="822"/>
      <c r="O28" s="839">
        <v>2</v>
      </c>
      <c r="P28" s="838">
        <v>2</v>
      </c>
      <c r="Q28" s="820">
        <v>6</v>
      </c>
      <c r="R28" s="821">
        <v>6</v>
      </c>
      <c r="S28" s="751"/>
      <c r="T28" s="917"/>
      <c r="U28" s="751"/>
      <c r="V28" s="852"/>
      <c r="W28" s="820">
        <v>4</v>
      </c>
      <c r="X28" s="584">
        <v>6</v>
      </c>
      <c r="Y28" s="762">
        <v>26</v>
      </c>
      <c r="Z28" s="866">
        <v>10</v>
      </c>
      <c r="AA28" s="866">
        <v>10</v>
      </c>
      <c r="AB28" s="867" t="s">
        <v>30</v>
      </c>
      <c r="AC28" s="866">
        <f t="shared" si="0"/>
        <v>90</v>
      </c>
    </row>
    <row r="29" spans="1:29" ht="18.75" x14ac:dyDescent="0.25">
      <c r="A29" s="824">
        <v>20</v>
      </c>
      <c r="B29" s="779">
        <v>5191421020</v>
      </c>
      <c r="C29" s="820">
        <v>1</v>
      </c>
      <c r="D29" s="839">
        <v>2</v>
      </c>
      <c r="E29" s="821"/>
      <c r="F29" s="820"/>
      <c r="G29" s="839"/>
      <c r="H29" s="830"/>
      <c r="I29" s="820">
        <v>5</v>
      </c>
      <c r="J29" s="839">
        <v>1</v>
      </c>
      <c r="K29" s="839"/>
      <c r="L29" s="839"/>
      <c r="M29" s="523">
        <f>SUM(C29:L29)</f>
        <v>9</v>
      </c>
      <c r="N29" s="820">
        <v>2</v>
      </c>
      <c r="O29" s="839">
        <v>1</v>
      </c>
      <c r="P29" s="838"/>
      <c r="Q29" s="820">
        <v>5</v>
      </c>
      <c r="R29" s="821">
        <v>4</v>
      </c>
      <c r="S29" s="751"/>
      <c r="T29" s="917"/>
      <c r="U29" s="751">
        <v>5</v>
      </c>
      <c r="V29" s="852">
        <v>6</v>
      </c>
      <c r="W29" s="820"/>
      <c r="X29" s="584"/>
      <c r="Y29" s="762">
        <v>23</v>
      </c>
      <c r="Z29" s="866">
        <v>10</v>
      </c>
      <c r="AA29" s="866">
        <v>10</v>
      </c>
      <c r="AB29" s="867" t="s">
        <v>32</v>
      </c>
      <c r="AC29" s="866">
        <f t="shared" si="0"/>
        <v>70</v>
      </c>
    </row>
    <row r="30" spans="1:29" ht="18.75" x14ac:dyDescent="0.25">
      <c r="A30" s="824">
        <v>21</v>
      </c>
      <c r="B30" s="779">
        <v>5191421021</v>
      </c>
      <c r="C30" s="822">
        <v>2</v>
      </c>
      <c r="D30" s="839">
        <v>2</v>
      </c>
      <c r="E30" s="821"/>
      <c r="F30" s="820"/>
      <c r="G30" s="839"/>
      <c r="H30" s="830">
        <v>3</v>
      </c>
      <c r="I30" s="820">
        <v>5</v>
      </c>
      <c r="J30" s="839">
        <v>1</v>
      </c>
      <c r="K30" s="839"/>
      <c r="L30" s="839"/>
      <c r="M30" s="523">
        <f>SUM(C30:L30)</f>
        <v>13</v>
      </c>
      <c r="N30" s="822">
        <v>2</v>
      </c>
      <c r="O30" s="839">
        <v>2</v>
      </c>
      <c r="P30" s="838"/>
      <c r="Q30" s="820">
        <v>4</v>
      </c>
      <c r="R30" s="821">
        <v>6</v>
      </c>
      <c r="S30" s="751"/>
      <c r="T30" s="917"/>
      <c r="U30" s="751"/>
      <c r="V30" s="852"/>
      <c r="W30" s="820">
        <v>6</v>
      </c>
      <c r="X30" s="584">
        <v>4</v>
      </c>
      <c r="Y30" s="762">
        <v>24</v>
      </c>
      <c r="Z30" s="866">
        <v>10</v>
      </c>
      <c r="AA30" s="866">
        <v>10</v>
      </c>
      <c r="AB30" s="867" t="s">
        <v>27</v>
      </c>
      <c r="AC30" s="866">
        <f t="shared" si="0"/>
        <v>80</v>
      </c>
    </row>
    <row r="31" spans="1:29" ht="18.75" x14ac:dyDescent="0.25">
      <c r="A31" s="824">
        <v>22</v>
      </c>
      <c r="B31" s="694">
        <v>5191421022</v>
      </c>
      <c r="C31" s="837">
        <v>1</v>
      </c>
      <c r="D31" s="837">
        <v>2</v>
      </c>
      <c r="E31" s="837"/>
      <c r="F31" s="837"/>
      <c r="G31" s="837"/>
      <c r="H31" s="837"/>
      <c r="I31" s="837">
        <v>5</v>
      </c>
      <c r="J31" s="837"/>
      <c r="K31" s="839"/>
      <c r="L31" s="839"/>
      <c r="M31" s="523">
        <v>8</v>
      </c>
      <c r="N31" s="822">
        <v>1</v>
      </c>
      <c r="O31" s="839"/>
      <c r="P31" s="838"/>
      <c r="Q31" s="820">
        <v>6</v>
      </c>
      <c r="R31" s="821">
        <v>2</v>
      </c>
      <c r="S31" s="751"/>
      <c r="T31" s="917"/>
      <c r="U31" s="751"/>
      <c r="V31" s="852"/>
      <c r="W31" s="820"/>
      <c r="X31" s="584"/>
      <c r="Y31" s="762">
        <v>9</v>
      </c>
      <c r="Z31" s="866">
        <v>7</v>
      </c>
      <c r="AA31" s="866">
        <v>9</v>
      </c>
      <c r="AB31" s="867" t="s">
        <v>33</v>
      </c>
      <c r="AC31" s="866">
        <f t="shared" si="0"/>
        <v>60</v>
      </c>
    </row>
    <row r="32" spans="1:29" ht="18.75" x14ac:dyDescent="0.25">
      <c r="A32" s="824">
        <v>23</v>
      </c>
      <c r="B32" s="779">
        <v>5191421023</v>
      </c>
      <c r="C32" s="822"/>
      <c r="D32" s="839"/>
      <c r="E32" s="821"/>
      <c r="F32" s="820"/>
      <c r="G32" s="839"/>
      <c r="H32" s="830">
        <v>10</v>
      </c>
      <c r="I32" s="820"/>
      <c r="J32" s="839"/>
      <c r="K32" s="839"/>
      <c r="L32" s="839"/>
      <c r="M32" s="523">
        <v>10</v>
      </c>
      <c r="N32" s="822"/>
      <c r="O32" s="839"/>
      <c r="P32" s="838"/>
      <c r="Q32" s="820">
        <v>6</v>
      </c>
      <c r="R32" s="821">
        <v>6</v>
      </c>
      <c r="S32" s="751"/>
      <c r="T32" s="917"/>
      <c r="U32" s="751">
        <v>2</v>
      </c>
      <c r="V32" s="852">
        <v>6</v>
      </c>
      <c r="W32" s="820"/>
      <c r="X32" s="584"/>
      <c r="Y32" s="762">
        <v>20</v>
      </c>
      <c r="Z32" s="866">
        <v>9</v>
      </c>
      <c r="AA32" s="866">
        <v>7</v>
      </c>
      <c r="AB32" s="867" t="s">
        <v>33</v>
      </c>
      <c r="AC32" s="866">
        <f t="shared" si="0"/>
        <v>60</v>
      </c>
    </row>
    <row r="33" spans="1:29" ht="18.75" x14ac:dyDescent="0.25">
      <c r="A33" s="824">
        <v>24</v>
      </c>
      <c r="B33" s="779">
        <v>5191421024</v>
      </c>
      <c r="C33" s="822"/>
      <c r="D33" s="839"/>
      <c r="E33" s="821"/>
      <c r="F33" s="820">
        <v>2</v>
      </c>
      <c r="G33" s="839"/>
      <c r="H33" s="830"/>
      <c r="I33" s="820">
        <v>4</v>
      </c>
      <c r="J33" s="839"/>
      <c r="K33" s="839"/>
      <c r="L33" s="839"/>
      <c r="M33" s="523">
        <f>SUM(C33:L33)</f>
        <v>6</v>
      </c>
      <c r="N33" s="822"/>
      <c r="O33" s="839"/>
      <c r="P33" s="838"/>
      <c r="Q33" s="820">
        <v>6</v>
      </c>
      <c r="R33" s="821">
        <v>4</v>
      </c>
      <c r="S33" s="751"/>
      <c r="T33" s="917"/>
      <c r="U33" s="751"/>
      <c r="V33" s="852">
        <v>4</v>
      </c>
      <c r="W33" s="820"/>
      <c r="X33" s="584"/>
      <c r="Y33" s="762">
        <v>14</v>
      </c>
      <c r="Z33" s="866">
        <v>7</v>
      </c>
      <c r="AA33" s="866">
        <v>9</v>
      </c>
      <c r="AB33" s="867" t="s">
        <v>33</v>
      </c>
      <c r="AC33" s="866">
        <f t="shared" si="0"/>
        <v>60</v>
      </c>
    </row>
    <row r="34" spans="1:29" ht="18.75" x14ac:dyDescent="0.25">
      <c r="A34" s="824">
        <v>25</v>
      </c>
      <c r="B34" s="779">
        <v>5191421025</v>
      </c>
      <c r="C34" s="822">
        <v>2</v>
      </c>
      <c r="D34" s="839">
        <v>2</v>
      </c>
      <c r="E34" s="821">
        <v>2</v>
      </c>
      <c r="F34" s="820">
        <v>2</v>
      </c>
      <c r="G34" s="839">
        <v>6</v>
      </c>
      <c r="H34" s="830"/>
      <c r="I34" s="820"/>
      <c r="J34" s="839"/>
      <c r="K34" s="839">
        <v>5</v>
      </c>
      <c r="L34" s="839">
        <v>6</v>
      </c>
      <c r="M34" s="523">
        <f>SUM(C34:L34)</f>
        <v>25</v>
      </c>
      <c r="N34" s="822"/>
      <c r="O34" s="839">
        <v>2</v>
      </c>
      <c r="P34" s="838">
        <v>1</v>
      </c>
      <c r="Q34" s="820"/>
      <c r="R34" s="821"/>
      <c r="S34" s="751">
        <v>5</v>
      </c>
      <c r="T34" s="917">
        <v>4</v>
      </c>
      <c r="U34" s="751">
        <v>6</v>
      </c>
      <c r="V34" s="852">
        <v>6</v>
      </c>
      <c r="W34" s="820"/>
      <c r="X34" s="584"/>
      <c r="Y34" s="762">
        <v>24</v>
      </c>
      <c r="Z34" s="866">
        <v>10</v>
      </c>
      <c r="AA34" s="866">
        <v>10</v>
      </c>
      <c r="AB34" s="867" t="s">
        <v>30</v>
      </c>
      <c r="AC34" s="866">
        <f t="shared" si="0"/>
        <v>90</v>
      </c>
    </row>
    <row r="35" spans="1:29" ht="18.75" x14ac:dyDescent="0.25">
      <c r="A35" s="824">
        <v>26</v>
      </c>
      <c r="B35" s="779">
        <v>5191421026</v>
      </c>
      <c r="C35" s="822">
        <v>1</v>
      </c>
      <c r="D35" s="839">
        <v>2</v>
      </c>
      <c r="E35" s="821">
        <v>1</v>
      </c>
      <c r="F35" s="820">
        <v>2</v>
      </c>
      <c r="G35" s="839"/>
      <c r="H35" s="830"/>
      <c r="I35" s="820">
        <v>5</v>
      </c>
      <c r="J35" s="839">
        <v>1</v>
      </c>
      <c r="K35" s="839"/>
      <c r="L35" s="839"/>
      <c r="M35" s="523">
        <f>SUM(C35:L35)</f>
        <v>12</v>
      </c>
      <c r="N35" s="822">
        <v>1</v>
      </c>
      <c r="O35" s="839"/>
      <c r="P35" s="838"/>
      <c r="Q35" s="820">
        <v>5</v>
      </c>
      <c r="R35" s="821">
        <v>6</v>
      </c>
      <c r="S35" s="751"/>
      <c r="T35" s="917"/>
      <c r="U35" s="751"/>
      <c r="V35" s="852"/>
      <c r="W35" s="820"/>
      <c r="X35" s="584">
        <v>6</v>
      </c>
      <c r="Y35" s="762">
        <v>18</v>
      </c>
      <c r="Z35" s="866">
        <v>7</v>
      </c>
      <c r="AA35" s="866">
        <v>9</v>
      </c>
      <c r="AB35" s="867" t="s">
        <v>32</v>
      </c>
      <c r="AC35" s="866">
        <f t="shared" si="0"/>
        <v>70</v>
      </c>
    </row>
    <row r="36" spans="1:29" ht="18.75" x14ac:dyDescent="0.25">
      <c r="A36" s="824">
        <v>27</v>
      </c>
      <c r="B36" s="779">
        <v>5191421027</v>
      </c>
      <c r="C36" s="822"/>
      <c r="D36" s="839">
        <v>2</v>
      </c>
      <c r="E36" s="821"/>
      <c r="F36" s="820"/>
      <c r="G36" s="839"/>
      <c r="H36" s="830"/>
      <c r="I36" s="820"/>
      <c r="J36" s="839"/>
      <c r="K36" s="839"/>
      <c r="L36" s="839">
        <v>6</v>
      </c>
      <c r="M36" s="523">
        <f>SUM(C36:L36)</f>
        <v>8</v>
      </c>
      <c r="N36" s="822"/>
      <c r="O36" s="839">
        <v>1</v>
      </c>
      <c r="P36" s="838"/>
      <c r="Q36" s="820">
        <v>6</v>
      </c>
      <c r="R36" s="821">
        <v>6</v>
      </c>
      <c r="S36" s="751"/>
      <c r="T36" s="917"/>
      <c r="U36" s="751"/>
      <c r="V36" s="852"/>
      <c r="W36" s="820">
        <v>6</v>
      </c>
      <c r="X36" s="584">
        <v>2</v>
      </c>
      <c r="Y36" s="762">
        <v>21</v>
      </c>
      <c r="Z36" s="866">
        <v>10</v>
      </c>
      <c r="AA36" s="866">
        <v>10</v>
      </c>
      <c r="AB36" s="867" t="s">
        <v>27</v>
      </c>
      <c r="AC36" s="866">
        <f t="shared" si="0"/>
        <v>80</v>
      </c>
    </row>
    <row r="37" spans="1:29" ht="18.75" x14ac:dyDescent="0.25">
      <c r="A37" s="824">
        <v>28</v>
      </c>
      <c r="B37" s="779">
        <v>5191421028</v>
      </c>
      <c r="C37" s="822"/>
      <c r="D37" s="839">
        <v>2</v>
      </c>
      <c r="E37" s="821"/>
      <c r="F37" s="820"/>
      <c r="G37" s="839"/>
      <c r="H37" s="830">
        <v>9</v>
      </c>
      <c r="I37" s="820">
        <v>6</v>
      </c>
      <c r="J37" s="839">
        <v>4</v>
      </c>
      <c r="K37" s="839"/>
      <c r="L37" s="839"/>
      <c r="M37" s="523">
        <f>SUM(C37:L37)</f>
        <v>21</v>
      </c>
      <c r="N37" s="822"/>
      <c r="O37" s="839">
        <v>2</v>
      </c>
      <c r="P37" s="838">
        <v>1</v>
      </c>
      <c r="Q37" s="820"/>
      <c r="R37" s="821"/>
      <c r="S37" s="751">
        <v>5</v>
      </c>
      <c r="T37" s="917">
        <v>5</v>
      </c>
      <c r="U37" s="751">
        <v>5</v>
      </c>
      <c r="V37" s="852">
        <v>6</v>
      </c>
      <c r="W37" s="820"/>
      <c r="X37" s="584"/>
      <c r="Y37" s="762">
        <v>24</v>
      </c>
      <c r="Z37" s="866">
        <v>9</v>
      </c>
      <c r="AA37" s="866">
        <v>9</v>
      </c>
      <c r="AB37" s="870" t="s">
        <v>30</v>
      </c>
      <c r="AC37" s="866">
        <f t="shared" si="0"/>
        <v>90</v>
      </c>
    </row>
    <row r="38" spans="1:29" ht="18.75" x14ac:dyDescent="0.25">
      <c r="A38" s="824">
        <v>29</v>
      </c>
      <c r="B38" s="779">
        <v>5191421029</v>
      </c>
      <c r="C38" s="822">
        <v>2</v>
      </c>
      <c r="D38" s="839">
        <v>2</v>
      </c>
      <c r="E38" s="821">
        <v>1</v>
      </c>
      <c r="F38" s="820"/>
      <c r="G38" s="839">
        <v>1</v>
      </c>
      <c r="H38" s="830"/>
      <c r="I38" s="820">
        <v>6</v>
      </c>
      <c r="J38" s="839">
        <v>4</v>
      </c>
      <c r="K38" s="839"/>
      <c r="L38" s="839"/>
      <c r="M38" s="523">
        <v>16</v>
      </c>
      <c r="N38" s="822"/>
      <c r="O38" s="839">
        <v>1</v>
      </c>
      <c r="P38" s="838"/>
      <c r="Q38" s="820">
        <v>5</v>
      </c>
      <c r="R38" s="821">
        <v>6</v>
      </c>
      <c r="S38" s="751"/>
      <c r="T38" s="917"/>
      <c r="U38" s="751">
        <v>4</v>
      </c>
      <c r="V38" s="852">
        <v>6</v>
      </c>
      <c r="W38" s="820"/>
      <c r="X38" s="584"/>
      <c r="Y38" s="762">
        <v>22</v>
      </c>
      <c r="Z38" s="866">
        <v>9</v>
      </c>
      <c r="AA38" s="866">
        <v>9</v>
      </c>
      <c r="AB38" s="867" t="s">
        <v>27</v>
      </c>
      <c r="AC38" s="866">
        <f t="shared" si="0"/>
        <v>80</v>
      </c>
    </row>
    <row r="39" spans="1:29" ht="18.75" x14ac:dyDescent="0.25">
      <c r="A39" s="824">
        <v>30</v>
      </c>
      <c r="B39" s="779">
        <v>5191421030</v>
      </c>
      <c r="C39" s="98">
        <v>1</v>
      </c>
      <c r="D39" s="839">
        <v>2</v>
      </c>
      <c r="E39" s="821"/>
      <c r="F39" s="820"/>
      <c r="G39" s="839"/>
      <c r="H39" s="830"/>
      <c r="I39" s="820">
        <v>2</v>
      </c>
      <c r="J39" s="839"/>
      <c r="K39" s="839"/>
      <c r="L39" s="839"/>
      <c r="M39" s="523">
        <f t="shared" ref="M39:M44" si="1">SUM(C39:L39)</f>
        <v>5</v>
      </c>
      <c r="N39" s="822"/>
      <c r="O39" s="839"/>
      <c r="P39" s="838"/>
      <c r="Q39" s="820">
        <v>6</v>
      </c>
      <c r="R39" s="821">
        <v>3</v>
      </c>
      <c r="S39" s="751"/>
      <c r="T39" s="917"/>
      <c r="U39" s="751"/>
      <c r="V39" s="852"/>
      <c r="W39" s="820"/>
      <c r="X39" s="584"/>
      <c r="Y39" s="762">
        <v>9</v>
      </c>
      <c r="Z39" s="866">
        <v>7</v>
      </c>
      <c r="AA39" s="866">
        <v>9</v>
      </c>
      <c r="AB39" s="867" t="s">
        <v>28</v>
      </c>
      <c r="AC39" s="866">
        <f t="shared" si="0"/>
        <v>50</v>
      </c>
    </row>
    <row r="40" spans="1:29" ht="18.75" x14ac:dyDescent="0.25">
      <c r="A40" s="824">
        <v>31</v>
      </c>
      <c r="B40" s="926">
        <v>5191421031</v>
      </c>
      <c r="C40" s="820">
        <v>1</v>
      </c>
      <c r="D40" s="839">
        <v>2</v>
      </c>
      <c r="E40" s="821">
        <v>0</v>
      </c>
      <c r="F40" s="820">
        <v>2</v>
      </c>
      <c r="G40" s="839"/>
      <c r="H40" s="830"/>
      <c r="I40" s="820">
        <v>6</v>
      </c>
      <c r="J40" s="839">
        <v>4</v>
      </c>
      <c r="K40" s="839"/>
      <c r="L40" s="839"/>
      <c r="M40" s="523">
        <f t="shared" si="1"/>
        <v>15</v>
      </c>
      <c r="N40" s="822"/>
      <c r="O40" s="839">
        <v>1</v>
      </c>
      <c r="P40" s="838">
        <v>1</v>
      </c>
      <c r="Q40" s="820">
        <v>6</v>
      </c>
      <c r="R40" s="821">
        <v>6</v>
      </c>
      <c r="S40" s="751"/>
      <c r="T40" s="917"/>
      <c r="U40" s="751">
        <v>4</v>
      </c>
      <c r="V40" s="852">
        <v>6</v>
      </c>
      <c r="W40" s="820"/>
      <c r="X40" s="584"/>
      <c r="Y40" s="762">
        <v>24</v>
      </c>
      <c r="Z40" s="866">
        <v>9</v>
      </c>
      <c r="AA40" s="866">
        <v>7</v>
      </c>
      <c r="AB40" s="867" t="s">
        <v>33</v>
      </c>
      <c r="AC40" s="866">
        <f t="shared" si="0"/>
        <v>60</v>
      </c>
    </row>
    <row r="41" spans="1:29" ht="18.75" x14ac:dyDescent="0.25">
      <c r="A41" s="824">
        <v>32</v>
      </c>
      <c r="B41" s="694">
        <v>5191421032</v>
      </c>
      <c r="C41" s="837">
        <v>2</v>
      </c>
      <c r="D41" s="837">
        <v>2</v>
      </c>
      <c r="E41" s="837">
        <v>1</v>
      </c>
      <c r="F41" s="837"/>
      <c r="G41" s="837">
        <v>2</v>
      </c>
      <c r="H41" s="837"/>
      <c r="I41" s="837">
        <v>2</v>
      </c>
      <c r="J41" s="837"/>
      <c r="K41" s="839"/>
      <c r="L41" s="839"/>
      <c r="M41" s="523">
        <f t="shared" si="1"/>
        <v>9</v>
      </c>
      <c r="N41" s="820">
        <v>1</v>
      </c>
      <c r="O41" s="839">
        <v>1</v>
      </c>
      <c r="P41" s="838">
        <v>1</v>
      </c>
      <c r="Q41" s="820">
        <v>3</v>
      </c>
      <c r="R41" s="821">
        <v>4</v>
      </c>
      <c r="S41" s="751"/>
      <c r="T41" s="917"/>
      <c r="U41" s="751">
        <v>1</v>
      </c>
      <c r="V41" s="852"/>
      <c r="W41" s="820"/>
      <c r="X41" s="584"/>
      <c r="Y41" s="762">
        <v>11</v>
      </c>
      <c r="Z41" s="866">
        <v>7</v>
      </c>
      <c r="AA41" s="866">
        <v>9</v>
      </c>
      <c r="AB41" s="867" t="s">
        <v>31</v>
      </c>
      <c r="AC41" s="866">
        <f t="shared" si="0"/>
        <v>55</v>
      </c>
    </row>
    <row r="42" spans="1:29" ht="18.75" x14ac:dyDescent="0.25">
      <c r="A42" s="824">
        <v>33</v>
      </c>
      <c r="B42" s="779">
        <v>5191421033</v>
      </c>
      <c r="C42" s="822">
        <v>2</v>
      </c>
      <c r="D42" s="839">
        <v>2</v>
      </c>
      <c r="E42" s="821">
        <v>2</v>
      </c>
      <c r="F42" s="820"/>
      <c r="G42" s="839"/>
      <c r="H42" s="830"/>
      <c r="I42" s="820">
        <v>6</v>
      </c>
      <c r="J42" s="839">
        <v>1</v>
      </c>
      <c r="K42" s="839"/>
      <c r="L42" s="839"/>
      <c r="M42" s="523">
        <f t="shared" si="1"/>
        <v>13</v>
      </c>
      <c r="N42" s="822">
        <v>2</v>
      </c>
      <c r="O42" s="839">
        <v>2</v>
      </c>
      <c r="P42" s="838"/>
      <c r="Q42" s="820">
        <v>6</v>
      </c>
      <c r="R42" s="821">
        <v>6</v>
      </c>
      <c r="S42" s="751"/>
      <c r="T42" s="917"/>
      <c r="U42" s="751">
        <v>4</v>
      </c>
      <c r="V42" s="852">
        <v>6</v>
      </c>
      <c r="W42" s="820"/>
      <c r="X42" s="584"/>
      <c r="Y42" s="762">
        <v>26</v>
      </c>
      <c r="Z42" s="866">
        <v>10</v>
      </c>
      <c r="AA42" s="866">
        <v>10</v>
      </c>
      <c r="AB42" s="846" t="s">
        <v>30</v>
      </c>
      <c r="AC42" s="866">
        <f t="shared" si="0"/>
        <v>90</v>
      </c>
    </row>
    <row r="43" spans="1:29" ht="18.75" x14ac:dyDescent="0.25">
      <c r="A43" s="824">
        <v>34</v>
      </c>
      <c r="B43" s="926">
        <v>5191421034</v>
      </c>
      <c r="C43" s="822">
        <v>2</v>
      </c>
      <c r="D43" s="839">
        <v>2</v>
      </c>
      <c r="E43" s="821">
        <v>1</v>
      </c>
      <c r="F43" s="820">
        <v>2</v>
      </c>
      <c r="G43" s="839"/>
      <c r="H43" s="830"/>
      <c r="I43" s="820">
        <v>6</v>
      </c>
      <c r="J43" s="839">
        <v>4</v>
      </c>
      <c r="K43" s="839"/>
      <c r="L43" s="839"/>
      <c r="M43" s="523">
        <f t="shared" si="1"/>
        <v>17</v>
      </c>
      <c r="N43" s="820"/>
      <c r="O43" s="839">
        <v>2</v>
      </c>
      <c r="P43" s="838"/>
      <c r="Q43" s="820">
        <v>6</v>
      </c>
      <c r="R43" s="821">
        <v>6</v>
      </c>
      <c r="S43" s="751"/>
      <c r="T43" s="917"/>
      <c r="U43" s="751"/>
      <c r="V43" s="852"/>
      <c r="W43" s="820">
        <v>5</v>
      </c>
      <c r="X43" s="584">
        <v>6</v>
      </c>
      <c r="Y43" s="762">
        <v>25</v>
      </c>
      <c r="Z43" s="866">
        <v>10</v>
      </c>
      <c r="AA43" s="866">
        <v>10</v>
      </c>
      <c r="AB43" s="867" t="s">
        <v>27</v>
      </c>
      <c r="AC43" s="866">
        <f t="shared" si="0"/>
        <v>80</v>
      </c>
    </row>
    <row r="44" spans="1:29" ht="18.75" x14ac:dyDescent="0.25">
      <c r="A44" s="824">
        <v>35</v>
      </c>
      <c r="B44" s="779">
        <v>5191421035</v>
      </c>
      <c r="C44" s="822">
        <v>2</v>
      </c>
      <c r="D44" s="839">
        <v>2</v>
      </c>
      <c r="E44" s="821"/>
      <c r="F44" s="820"/>
      <c r="G44" s="839"/>
      <c r="H44" s="830"/>
      <c r="I44" s="820">
        <v>1</v>
      </c>
      <c r="J44" s="839"/>
      <c r="K44" s="839"/>
      <c r="L44" s="839"/>
      <c r="M44" s="523">
        <f t="shared" si="1"/>
        <v>5</v>
      </c>
      <c r="N44" s="822">
        <v>1</v>
      </c>
      <c r="O44" s="839"/>
      <c r="P44" s="838"/>
      <c r="Q44" s="820"/>
      <c r="R44" s="821">
        <v>6</v>
      </c>
      <c r="S44" s="751"/>
      <c r="T44" s="917"/>
      <c r="U44" s="751"/>
      <c r="V44" s="852"/>
      <c r="W44" s="820">
        <v>4</v>
      </c>
      <c r="X44" s="584"/>
      <c r="Y44" s="762">
        <v>11</v>
      </c>
      <c r="Z44" s="866">
        <v>8</v>
      </c>
      <c r="AA44" s="866">
        <v>8</v>
      </c>
      <c r="AB44" s="867" t="s">
        <v>31</v>
      </c>
      <c r="AC44" s="866">
        <f t="shared" si="0"/>
        <v>55</v>
      </c>
    </row>
    <row r="45" spans="1:29" ht="18.75" x14ac:dyDescent="0.25">
      <c r="A45" s="824">
        <v>36</v>
      </c>
      <c r="B45" s="779">
        <v>5191421036</v>
      </c>
      <c r="C45" s="822"/>
      <c r="D45" s="839">
        <v>2</v>
      </c>
      <c r="E45" s="821">
        <v>2</v>
      </c>
      <c r="F45" s="820"/>
      <c r="G45" s="839"/>
      <c r="H45" s="830">
        <v>12</v>
      </c>
      <c r="I45" s="820">
        <v>5</v>
      </c>
      <c r="J45" s="839">
        <v>4</v>
      </c>
      <c r="K45" s="839"/>
      <c r="L45" s="839"/>
      <c r="M45" s="523">
        <v>25</v>
      </c>
      <c r="N45" s="822"/>
      <c r="O45" s="839"/>
      <c r="P45" s="838">
        <v>2</v>
      </c>
      <c r="Q45" s="820">
        <v>6</v>
      </c>
      <c r="R45" s="821">
        <v>5</v>
      </c>
      <c r="S45" s="751">
        <v>6</v>
      </c>
      <c r="T45" s="917">
        <v>6</v>
      </c>
      <c r="U45" s="751">
        <v>4</v>
      </c>
      <c r="V45" s="852">
        <v>6</v>
      </c>
      <c r="W45" s="820"/>
      <c r="X45" s="584"/>
      <c r="Y45" s="762">
        <v>24</v>
      </c>
      <c r="Z45" s="866">
        <v>10</v>
      </c>
      <c r="AA45" s="866">
        <v>10</v>
      </c>
      <c r="AB45" s="867" t="s">
        <v>27</v>
      </c>
      <c r="AC45" s="866">
        <f t="shared" si="0"/>
        <v>80</v>
      </c>
    </row>
    <row r="46" spans="1:29" ht="18.75" x14ac:dyDescent="0.25">
      <c r="A46" s="824">
        <v>37</v>
      </c>
      <c r="B46" s="779">
        <v>5191421037</v>
      </c>
      <c r="C46" s="822"/>
      <c r="D46" s="839">
        <v>2</v>
      </c>
      <c r="E46" s="821">
        <v>1</v>
      </c>
      <c r="F46" s="820"/>
      <c r="G46" s="839"/>
      <c r="H46" s="830">
        <v>9</v>
      </c>
      <c r="I46" s="820">
        <v>4</v>
      </c>
      <c r="J46" s="839"/>
      <c r="K46" s="839"/>
      <c r="L46" s="839"/>
      <c r="M46" s="523">
        <v>16</v>
      </c>
      <c r="N46" s="822">
        <v>1</v>
      </c>
      <c r="O46" s="839"/>
      <c r="P46" s="838"/>
      <c r="Q46" s="820"/>
      <c r="R46" s="821"/>
      <c r="S46" s="751">
        <v>2</v>
      </c>
      <c r="T46" s="917">
        <v>3</v>
      </c>
      <c r="U46" s="751"/>
      <c r="V46" s="852"/>
      <c r="W46" s="820"/>
      <c r="X46" s="584"/>
      <c r="Y46" s="762">
        <v>6</v>
      </c>
      <c r="Z46" s="866">
        <v>8</v>
      </c>
      <c r="AA46" s="866">
        <v>8</v>
      </c>
      <c r="AB46" s="846" t="s">
        <v>154</v>
      </c>
      <c r="AC46" s="866" t="b">
        <f t="shared" si="0"/>
        <v>0</v>
      </c>
    </row>
    <row r="47" spans="1:29" ht="18.75" x14ac:dyDescent="0.25">
      <c r="A47" s="824">
        <v>38</v>
      </c>
      <c r="B47" s="926">
        <v>5191421038</v>
      </c>
      <c r="C47" s="822"/>
      <c r="D47" s="839">
        <v>2</v>
      </c>
      <c r="E47" s="821"/>
      <c r="F47" s="820"/>
      <c r="G47" s="839"/>
      <c r="H47" s="830"/>
      <c r="I47" s="820"/>
      <c r="J47" s="839"/>
      <c r="K47" s="839">
        <v>6</v>
      </c>
      <c r="L47" s="839">
        <v>5</v>
      </c>
      <c r="M47" s="523">
        <v>13</v>
      </c>
      <c r="N47" s="822"/>
      <c r="O47" s="839">
        <v>2</v>
      </c>
      <c r="P47" s="838"/>
      <c r="Q47" s="820">
        <v>5</v>
      </c>
      <c r="R47" s="821">
        <v>4</v>
      </c>
      <c r="S47" s="751"/>
      <c r="T47" s="917"/>
      <c r="U47" s="751">
        <v>3</v>
      </c>
      <c r="V47" s="852"/>
      <c r="W47" s="820"/>
      <c r="X47" s="584"/>
      <c r="Y47" s="762">
        <v>14</v>
      </c>
      <c r="Z47" s="866">
        <v>9</v>
      </c>
      <c r="AA47" s="866">
        <v>7</v>
      </c>
      <c r="AB47" s="867" t="s">
        <v>32</v>
      </c>
      <c r="AC47" s="866">
        <f t="shared" si="0"/>
        <v>70</v>
      </c>
    </row>
    <row r="48" spans="1:29" ht="18.75" x14ac:dyDescent="0.25">
      <c r="A48" s="824">
        <v>39</v>
      </c>
      <c r="B48" s="779">
        <v>5191421039</v>
      </c>
      <c r="C48" s="822"/>
      <c r="D48" s="839">
        <v>2</v>
      </c>
      <c r="E48" s="821">
        <v>1</v>
      </c>
      <c r="F48" s="820">
        <v>1</v>
      </c>
      <c r="G48" s="839">
        <v>1</v>
      </c>
      <c r="H48" s="830"/>
      <c r="I48" s="820">
        <v>5</v>
      </c>
      <c r="J48" s="839">
        <v>1</v>
      </c>
      <c r="K48" s="839"/>
      <c r="L48" s="839"/>
      <c r="M48" s="523">
        <f>SUM(C48:L48)</f>
        <v>11</v>
      </c>
      <c r="N48" s="822"/>
      <c r="O48" s="839">
        <v>2</v>
      </c>
      <c r="P48" s="838"/>
      <c r="Q48" s="820"/>
      <c r="R48" s="821"/>
      <c r="S48" s="751">
        <v>5</v>
      </c>
      <c r="T48" s="917">
        <v>4</v>
      </c>
      <c r="U48" s="751">
        <v>5</v>
      </c>
      <c r="V48" s="852">
        <v>6</v>
      </c>
      <c r="W48" s="820"/>
      <c r="X48" s="584"/>
      <c r="Y48" s="762">
        <v>22</v>
      </c>
      <c r="Z48" s="866">
        <v>10</v>
      </c>
      <c r="AA48" s="866">
        <v>10</v>
      </c>
      <c r="AB48" s="867" t="s">
        <v>27</v>
      </c>
      <c r="AC48" s="866">
        <f t="shared" si="0"/>
        <v>80</v>
      </c>
    </row>
    <row r="49" spans="1:29" ht="18.75" x14ac:dyDescent="0.25">
      <c r="A49" s="824">
        <v>40</v>
      </c>
      <c r="B49" s="926">
        <v>5191421040</v>
      </c>
      <c r="C49" s="83"/>
      <c r="D49" s="839">
        <v>2</v>
      </c>
      <c r="E49" s="821"/>
      <c r="F49" s="820"/>
      <c r="G49" s="839"/>
      <c r="H49" s="830">
        <v>8</v>
      </c>
      <c r="I49" s="820">
        <v>5</v>
      </c>
      <c r="J49" s="839">
        <v>3</v>
      </c>
      <c r="K49" s="839"/>
      <c r="L49" s="839"/>
      <c r="M49" s="523">
        <f>SUM(C49:L49)</f>
        <v>18</v>
      </c>
      <c r="N49" s="822"/>
      <c r="O49" s="839"/>
      <c r="P49" s="838"/>
      <c r="Q49" s="820"/>
      <c r="R49" s="821"/>
      <c r="S49" s="751"/>
      <c r="T49" s="917"/>
      <c r="U49" s="751"/>
      <c r="V49" s="852"/>
      <c r="W49" s="820"/>
      <c r="X49" s="584"/>
      <c r="Y49" s="762">
        <v>0</v>
      </c>
      <c r="Z49" s="866">
        <v>8</v>
      </c>
      <c r="AA49" s="866">
        <v>8</v>
      </c>
      <c r="AB49" s="867" t="s">
        <v>32</v>
      </c>
      <c r="AC49" s="866">
        <f t="shared" si="0"/>
        <v>70</v>
      </c>
    </row>
    <row r="50" spans="1:29" ht="18.75" x14ac:dyDescent="0.25">
      <c r="A50" s="824">
        <v>41</v>
      </c>
      <c r="B50" s="779">
        <v>5191421041</v>
      </c>
      <c r="C50" s="822">
        <v>1</v>
      </c>
      <c r="D50" s="839">
        <v>2</v>
      </c>
      <c r="E50" s="821">
        <v>1</v>
      </c>
      <c r="F50" s="820">
        <v>2</v>
      </c>
      <c r="G50" s="839"/>
      <c r="H50" s="830"/>
      <c r="I50" s="820"/>
      <c r="J50" s="839"/>
      <c r="K50" s="839"/>
      <c r="L50" s="839"/>
      <c r="M50" s="523">
        <f>SUM(C50:L50)</f>
        <v>6</v>
      </c>
      <c r="N50" s="822">
        <v>2</v>
      </c>
      <c r="O50" s="839">
        <v>2</v>
      </c>
      <c r="P50" s="838">
        <v>1</v>
      </c>
      <c r="Q50" s="820">
        <v>4</v>
      </c>
      <c r="R50" s="821"/>
      <c r="S50" s="751"/>
      <c r="T50" s="917"/>
      <c r="U50" s="751">
        <v>4</v>
      </c>
      <c r="V50" s="852"/>
      <c r="W50" s="820"/>
      <c r="X50" s="584"/>
      <c r="Y50" s="762">
        <v>13</v>
      </c>
      <c r="Z50" s="866">
        <v>7</v>
      </c>
      <c r="AA50" s="866">
        <v>9</v>
      </c>
      <c r="AB50" s="867" t="s">
        <v>32</v>
      </c>
      <c r="AC50" s="866">
        <f t="shared" si="0"/>
        <v>70</v>
      </c>
    </row>
    <row r="51" spans="1:29" ht="15" customHeight="1" x14ac:dyDescent="0.25">
      <c r="A51" s="824">
        <v>42</v>
      </c>
      <c r="B51" s="779">
        <v>5191421042</v>
      </c>
      <c r="C51" s="822"/>
      <c r="D51" s="839"/>
      <c r="E51" s="821"/>
      <c r="F51" s="820"/>
      <c r="G51" s="839"/>
      <c r="H51" s="830"/>
      <c r="I51" s="820">
        <v>1</v>
      </c>
      <c r="J51" s="839"/>
      <c r="K51" s="839"/>
      <c r="L51" s="839"/>
      <c r="M51" s="523">
        <f>SUM(C51:L51)</f>
        <v>1</v>
      </c>
      <c r="N51" s="822"/>
      <c r="O51" s="839"/>
      <c r="P51" s="838">
        <v>1</v>
      </c>
      <c r="Q51" s="820">
        <v>6</v>
      </c>
      <c r="R51" s="821">
        <v>2</v>
      </c>
      <c r="S51" s="751"/>
      <c r="T51" s="917"/>
      <c r="U51" s="751">
        <v>3</v>
      </c>
      <c r="V51" s="852">
        <v>6</v>
      </c>
      <c r="W51" s="820"/>
      <c r="X51" s="584"/>
      <c r="Y51" s="762">
        <v>18</v>
      </c>
      <c r="Z51" s="866">
        <v>8</v>
      </c>
      <c r="AA51" s="866">
        <v>8</v>
      </c>
      <c r="AB51" s="529" t="s">
        <v>31</v>
      </c>
      <c r="AC51" s="866">
        <f t="shared" si="0"/>
        <v>55</v>
      </c>
    </row>
    <row r="52" spans="1:29" ht="18.75" x14ac:dyDescent="0.25">
      <c r="A52" s="824">
        <v>43</v>
      </c>
      <c r="B52" s="779">
        <v>5191421043</v>
      </c>
      <c r="C52" s="822">
        <v>1</v>
      </c>
      <c r="D52" s="839">
        <v>2</v>
      </c>
      <c r="E52" s="821"/>
      <c r="F52" s="820"/>
      <c r="G52" s="839"/>
      <c r="H52" s="830"/>
      <c r="I52" s="820">
        <v>4</v>
      </c>
      <c r="J52" s="839">
        <v>2</v>
      </c>
      <c r="K52" s="839"/>
      <c r="L52" s="839"/>
      <c r="M52" s="523">
        <f>SUM(C52:L52)</f>
        <v>9</v>
      </c>
      <c r="N52" s="822"/>
      <c r="O52" s="839">
        <v>1</v>
      </c>
      <c r="P52" s="838">
        <v>2</v>
      </c>
      <c r="Q52" s="820">
        <v>6</v>
      </c>
      <c r="R52" s="821">
        <v>6</v>
      </c>
      <c r="S52" s="751"/>
      <c r="T52" s="917"/>
      <c r="U52" s="751"/>
      <c r="V52" s="852"/>
      <c r="W52" s="820">
        <v>6</v>
      </c>
      <c r="X52" s="584">
        <v>6</v>
      </c>
      <c r="Y52" s="762">
        <v>27</v>
      </c>
      <c r="Z52" s="866">
        <v>10</v>
      </c>
      <c r="AA52" s="866">
        <v>10</v>
      </c>
      <c r="AB52" s="867" t="s">
        <v>30</v>
      </c>
      <c r="AC52" s="866">
        <f t="shared" si="0"/>
        <v>90</v>
      </c>
    </row>
    <row r="53" spans="1:29" ht="18.75" x14ac:dyDescent="0.25">
      <c r="A53" s="824">
        <v>44</v>
      </c>
      <c r="B53" s="926">
        <v>5191421044</v>
      </c>
      <c r="C53" s="822">
        <v>1</v>
      </c>
      <c r="D53" s="839">
        <v>2</v>
      </c>
      <c r="E53" s="821">
        <v>2</v>
      </c>
      <c r="F53" s="820"/>
      <c r="G53" s="839"/>
      <c r="H53" s="830">
        <v>11</v>
      </c>
      <c r="I53" s="820">
        <v>4</v>
      </c>
      <c r="J53" s="839">
        <v>3</v>
      </c>
      <c r="K53" s="839">
        <v>6</v>
      </c>
      <c r="L53" s="839">
        <v>5</v>
      </c>
      <c r="M53" s="523">
        <v>27</v>
      </c>
      <c r="N53" s="822">
        <v>1</v>
      </c>
      <c r="O53" s="839">
        <v>1</v>
      </c>
      <c r="P53" s="838">
        <v>2</v>
      </c>
      <c r="Q53" s="820">
        <v>6</v>
      </c>
      <c r="R53" s="821">
        <v>6</v>
      </c>
      <c r="S53" s="751"/>
      <c r="T53" s="917"/>
      <c r="U53" s="751">
        <v>5</v>
      </c>
      <c r="V53" s="852">
        <v>6</v>
      </c>
      <c r="W53" s="820"/>
      <c r="X53" s="584"/>
      <c r="Y53" s="762">
        <v>27</v>
      </c>
      <c r="Z53" s="866">
        <v>10</v>
      </c>
      <c r="AA53" s="866">
        <v>10</v>
      </c>
      <c r="AB53" s="867" t="s">
        <v>30</v>
      </c>
      <c r="AC53" s="866">
        <f t="shared" si="0"/>
        <v>90</v>
      </c>
    </row>
    <row r="54" spans="1:29" ht="18.75" x14ac:dyDescent="0.25">
      <c r="A54" s="824">
        <v>45</v>
      </c>
      <c r="B54" s="779">
        <v>5191421045</v>
      </c>
      <c r="C54" s="83"/>
      <c r="D54" s="839">
        <v>2</v>
      </c>
      <c r="E54" s="821">
        <v>2</v>
      </c>
      <c r="F54" s="820"/>
      <c r="G54" s="839"/>
      <c r="H54" s="830"/>
      <c r="I54" s="820"/>
      <c r="J54" s="839"/>
      <c r="K54" s="839"/>
      <c r="L54" s="839"/>
      <c r="M54" s="523">
        <v>4</v>
      </c>
      <c r="N54" s="822">
        <v>1</v>
      </c>
      <c r="O54" s="839"/>
      <c r="P54" s="838">
        <v>2</v>
      </c>
      <c r="Q54" s="820"/>
      <c r="R54" s="821"/>
      <c r="S54" s="751"/>
      <c r="T54" s="917">
        <v>4</v>
      </c>
      <c r="U54" s="751">
        <v>1</v>
      </c>
      <c r="V54" s="852">
        <v>6</v>
      </c>
      <c r="W54" s="820"/>
      <c r="X54" s="584"/>
      <c r="Y54" s="762">
        <v>14</v>
      </c>
      <c r="Z54" s="866">
        <v>7</v>
      </c>
      <c r="AA54" s="866">
        <v>9</v>
      </c>
      <c r="AB54" s="867" t="s">
        <v>28</v>
      </c>
      <c r="AC54" s="866">
        <f t="shared" si="0"/>
        <v>50</v>
      </c>
    </row>
    <row r="55" spans="1:29" ht="18.75" x14ac:dyDescent="0.25">
      <c r="A55" s="824">
        <v>46</v>
      </c>
      <c r="B55" s="779">
        <v>5191421046</v>
      </c>
      <c r="C55" s="822">
        <v>2</v>
      </c>
      <c r="D55" s="839">
        <v>2</v>
      </c>
      <c r="E55" s="821">
        <v>1</v>
      </c>
      <c r="F55" s="820"/>
      <c r="G55" s="839"/>
      <c r="H55" s="830">
        <v>1</v>
      </c>
      <c r="I55" s="820">
        <v>2</v>
      </c>
      <c r="J55" s="839"/>
      <c r="K55" s="839"/>
      <c r="L55" s="839"/>
      <c r="M55" s="523">
        <f>SUM(C55:L55)</f>
        <v>8</v>
      </c>
      <c r="N55" s="822">
        <v>1</v>
      </c>
      <c r="O55" s="839">
        <v>2</v>
      </c>
      <c r="P55" s="838">
        <v>2</v>
      </c>
      <c r="Q55" s="820"/>
      <c r="R55" s="821"/>
      <c r="S55" s="751">
        <v>2</v>
      </c>
      <c r="T55" s="917">
        <v>5</v>
      </c>
      <c r="U55" s="751">
        <v>4</v>
      </c>
      <c r="V55" s="852">
        <v>6</v>
      </c>
      <c r="W55" s="820"/>
      <c r="X55" s="584"/>
      <c r="Y55" s="762">
        <v>22</v>
      </c>
      <c r="Z55" s="866">
        <v>7</v>
      </c>
      <c r="AA55" s="866">
        <v>7</v>
      </c>
      <c r="AB55" s="867" t="s">
        <v>32</v>
      </c>
      <c r="AC55" s="866">
        <f t="shared" si="0"/>
        <v>70</v>
      </c>
    </row>
    <row r="56" spans="1:29" ht="18.75" x14ac:dyDescent="0.25">
      <c r="A56" s="824">
        <v>47</v>
      </c>
      <c r="B56" s="779">
        <v>5191421047</v>
      </c>
      <c r="C56" s="822">
        <v>0</v>
      </c>
      <c r="D56" s="839">
        <v>0</v>
      </c>
      <c r="E56" s="821">
        <v>0</v>
      </c>
      <c r="F56" s="820"/>
      <c r="G56" s="839"/>
      <c r="H56" s="830"/>
      <c r="I56" s="820"/>
      <c r="J56" s="839"/>
      <c r="K56" s="839"/>
      <c r="L56" s="839"/>
      <c r="M56" s="523">
        <f>SUM(C56:L56)</f>
        <v>0</v>
      </c>
      <c r="N56" s="822"/>
      <c r="O56" s="839"/>
      <c r="P56" s="838"/>
      <c r="Q56" s="820">
        <v>2</v>
      </c>
      <c r="R56" s="821">
        <v>3</v>
      </c>
      <c r="S56" s="751"/>
      <c r="T56" s="917"/>
      <c r="U56" s="751"/>
      <c r="V56" s="852"/>
      <c r="W56" s="820"/>
      <c r="X56" s="584"/>
      <c r="Y56" s="762">
        <v>5</v>
      </c>
      <c r="Z56" s="866">
        <v>10</v>
      </c>
      <c r="AA56" s="866">
        <v>10</v>
      </c>
      <c r="AB56" s="867" t="s">
        <v>29</v>
      </c>
      <c r="AC56" s="866">
        <f t="shared" si="0"/>
        <v>39</v>
      </c>
    </row>
    <row r="57" spans="1:29" ht="18.75" x14ac:dyDescent="0.25">
      <c r="A57" s="824">
        <v>48</v>
      </c>
      <c r="B57" s="779">
        <v>5191421048</v>
      </c>
      <c r="C57" s="822">
        <v>2</v>
      </c>
      <c r="D57" s="839">
        <v>1</v>
      </c>
      <c r="E57" s="821">
        <v>1</v>
      </c>
      <c r="F57" s="820">
        <v>2</v>
      </c>
      <c r="G57" s="839"/>
      <c r="H57" s="830"/>
      <c r="I57" s="820"/>
      <c r="J57" s="839"/>
      <c r="K57" s="839"/>
      <c r="L57" s="839"/>
      <c r="M57" s="523">
        <f>SUM(C57:L57)</f>
        <v>6</v>
      </c>
      <c r="N57" s="822"/>
      <c r="O57" s="839"/>
      <c r="P57" s="838"/>
      <c r="Q57" s="820"/>
      <c r="R57" s="821"/>
      <c r="S57" s="751"/>
      <c r="T57" s="917"/>
      <c r="U57" s="751"/>
      <c r="V57" s="852"/>
      <c r="W57" s="820"/>
      <c r="X57" s="584"/>
      <c r="Y57" s="762">
        <v>0</v>
      </c>
      <c r="Z57" s="866">
        <v>10</v>
      </c>
      <c r="AA57" s="866">
        <v>10</v>
      </c>
      <c r="AB57" s="867" t="s">
        <v>31</v>
      </c>
      <c r="AC57" s="866">
        <f t="shared" si="0"/>
        <v>55</v>
      </c>
    </row>
    <row r="58" spans="1:29" ht="18.75" x14ac:dyDescent="0.25">
      <c r="A58" s="824">
        <v>49</v>
      </c>
      <c r="B58" s="925">
        <v>5191421049</v>
      </c>
      <c r="C58" s="822"/>
      <c r="D58" s="839"/>
      <c r="E58" s="821"/>
      <c r="F58" s="820"/>
      <c r="G58" s="839"/>
      <c r="H58" s="830"/>
      <c r="I58" s="820"/>
      <c r="J58" s="839"/>
      <c r="K58" s="839"/>
      <c r="L58" s="839"/>
      <c r="M58" s="523"/>
      <c r="N58" s="822"/>
      <c r="O58" s="839">
        <v>2</v>
      </c>
      <c r="P58" s="838"/>
      <c r="Q58" s="820">
        <v>5</v>
      </c>
      <c r="R58" s="821"/>
      <c r="S58" s="751"/>
      <c r="T58" s="917"/>
      <c r="U58" s="751"/>
      <c r="V58" s="852"/>
      <c r="W58" s="820"/>
      <c r="X58" s="584"/>
      <c r="Y58" s="762">
        <v>7</v>
      </c>
      <c r="Z58" s="866">
        <v>10</v>
      </c>
      <c r="AA58" s="866">
        <v>10</v>
      </c>
      <c r="AB58" s="867" t="s">
        <v>32</v>
      </c>
      <c r="AC58" s="866">
        <f t="shared" si="0"/>
        <v>70</v>
      </c>
    </row>
    <row r="59" spans="1:29" ht="18.75" x14ac:dyDescent="0.25">
      <c r="A59" s="824">
        <v>50</v>
      </c>
      <c r="B59" s="779">
        <v>5191421050</v>
      </c>
      <c r="C59" s="822"/>
      <c r="D59" s="839">
        <v>2</v>
      </c>
      <c r="E59" s="821">
        <v>1</v>
      </c>
      <c r="F59" s="820"/>
      <c r="G59" s="839"/>
      <c r="H59" s="830"/>
      <c r="I59" s="820"/>
      <c r="J59" s="839"/>
      <c r="K59" s="839"/>
      <c r="L59" s="839"/>
      <c r="M59" s="523">
        <f t="shared" ref="M59:M67" si="2">SUM(C59:L59)</f>
        <v>3</v>
      </c>
      <c r="N59" s="822">
        <v>2</v>
      </c>
      <c r="O59" s="839">
        <v>2</v>
      </c>
      <c r="P59" s="838"/>
      <c r="Q59" s="820">
        <v>3</v>
      </c>
      <c r="R59" s="821">
        <v>6</v>
      </c>
      <c r="S59" s="751"/>
      <c r="T59" s="917"/>
      <c r="U59" s="751"/>
      <c r="V59" s="852">
        <v>6</v>
      </c>
      <c r="W59" s="820"/>
      <c r="X59" s="584"/>
      <c r="Y59" s="762">
        <v>19</v>
      </c>
      <c r="Z59" s="866">
        <v>7</v>
      </c>
      <c r="AA59" s="866">
        <v>9</v>
      </c>
      <c r="AB59" s="867" t="s">
        <v>32</v>
      </c>
      <c r="AC59" s="866">
        <f t="shared" si="0"/>
        <v>70</v>
      </c>
    </row>
    <row r="60" spans="1:29" ht="18.75" x14ac:dyDescent="0.25">
      <c r="A60" s="824">
        <v>51</v>
      </c>
      <c r="B60" s="779">
        <v>5191421051</v>
      </c>
      <c r="C60" s="885"/>
      <c r="D60" s="886">
        <v>2</v>
      </c>
      <c r="E60" s="919">
        <v>2</v>
      </c>
      <c r="F60" s="888"/>
      <c r="G60" s="839">
        <v>1</v>
      </c>
      <c r="H60" s="889"/>
      <c r="I60" s="888">
        <v>6</v>
      </c>
      <c r="J60" s="886">
        <v>3</v>
      </c>
      <c r="K60" s="839"/>
      <c r="L60" s="839"/>
      <c r="M60" s="523">
        <f t="shared" si="2"/>
        <v>14</v>
      </c>
      <c r="N60" s="885">
        <v>1</v>
      </c>
      <c r="O60" s="886">
        <v>2</v>
      </c>
      <c r="P60" s="887"/>
      <c r="Q60" s="888">
        <v>6</v>
      </c>
      <c r="R60" s="821">
        <v>6</v>
      </c>
      <c r="S60" s="751"/>
      <c r="T60" s="917"/>
      <c r="U60" s="751">
        <v>4</v>
      </c>
      <c r="V60" s="922">
        <v>6</v>
      </c>
      <c r="W60" s="888"/>
      <c r="X60" s="584"/>
      <c r="Y60" s="762">
        <v>25</v>
      </c>
      <c r="Z60" s="866">
        <v>9</v>
      </c>
      <c r="AA60" s="866">
        <v>9</v>
      </c>
      <c r="AB60" s="867" t="s">
        <v>30</v>
      </c>
      <c r="AC60" s="866">
        <f t="shared" si="0"/>
        <v>90</v>
      </c>
    </row>
    <row r="61" spans="1:29" ht="18.75" x14ac:dyDescent="0.25">
      <c r="A61" s="824">
        <v>52</v>
      </c>
      <c r="B61" s="779">
        <v>5191421052</v>
      </c>
      <c r="C61" s="885">
        <v>2</v>
      </c>
      <c r="D61" s="886">
        <v>2</v>
      </c>
      <c r="E61" s="919">
        <v>1</v>
      </c>
      <c r="F61" s="888">
        <v>3</v>
      </c>
      <c r="G61" s="839"/>
      <c r="H61" s="889"/>
      <c r="I61" s="888">
        <v>5</v>
      </c>
      <c r="J61" s="886">
        <v>2</v>
      </c>
      <c r="K61" s="839"/>
      <c r="L61" s="839"/>
      <c r="M61" s="523">
        <f t="shared" si="2"/>
        <v>15</v>
      </c>
      <c r="N61" s="885"/>
      <c r="O61" s="886">
        <v>2</v>
      </c>
      <c r="P61" s="887"/>
      <c r="Q61" s="888"/>
      <c r="R61" s="821"/>
      <c r="S61" s="751">
        <v>5</v>
      </c>
      <c r="T61" s="917">
        <v>6</v>
      </c>
      <c r="U61" s="751">
        <v>6</v>
      </c>
      <c r="V61" s="922">
        <v>6</v>
      </c>
      <c r="W61" s="888"/>
      <c r="X61" s="584"/>
      <c r="Y61" s="762">
        <v>25</v>
      </c>
      <c r="Z61" s="866">
        <v>10</v>
      </c>
      <c r="AA61" s="866">
        <v>10</v>
      </c>
      <c r="AB61" s="867" t="s">
        <v>32</v>
      </c>
      <c r="AC61" s="866">
        <f t="shared" si="0"/>
        <v>70</v>
      </c>
    </row>
    <row r="62" spans="1:29" ht="18.75" x14ac:dyDescent="0.25">
      <c r="A62" s="824">
        <v>53</v>
      </c>
      <c r="B62" s="779">
        <v>5191421053</v>
      </c>
      <c r="C62" s="885">
        <v>1</v>
      </c>
      <c r="D62" s="886">
        <v>2</v>
      </c>
      <c r="E62" s="919">
        <v>2</v>
      </c>
      <c r="F62" s="888"/>
      <c r="G62" s="839"/>
      <c r="H62" s="889">
        <v>4</v>
      </c>
      <c r="I62" s="888">
        <v>6</v>
      </c>
      <c r="J62" s="886"/>
      <c r="K62" s="839"/>
      <c r="L62" s="839"/>
      <c r="M62" s="523">
        <f t="shared" si="2"/>
        <v>15</v>
      </c>
      <c r="N62" s="885"/>
      <c r="O62" s="886">
        <v>2</v>
      </c>
      <c r="P62" s="887"/>
      <c r="Q62" s="888"/>
      <c r="R62" s="821"/>
      <c r="S62" s="751">
        <v>5</v>
      </c>
      <c r="T62" s="917">
        <v>5</v>
      </c>
      <c r="U62" s="751"/>
      <c r="V62" s="922"/>
      <c r="W62" s="888">
        <v>6</v>
      </c>
      <c r="X62" s="584">
        <v>6</v>
      </c>
      <c r="Y62" s="762">
        <v>24</v>
      </c>
      <c r="Z62" s="866">
        <v>10</v>
      </c>
      <c r="AA62" s="866">
        <v>10</v>
      </c>
      <c r="AB62" s="867" t="s">
        <v>27</v>
      </c>
      <c r="AC62" s="866">
        <f t="shared" si="0"/>
        <v>80</v>
      </c>
    </row>
    <row r="63" spans="1:29" ht="18.75" x14ac:dyDescent="0.25">
      <c r="A63" s="824">
        <v>54</v>
      </c>
      <c r="B63" s="779">
        <v>5191421054</v>
      </c>
      <c r="C63" s="885">
        <v>1</v>
      </c>
      <c r="D63" s="886"/>
      <c r="E63" s="919"/>
      <c r="F63" s="888"/>
      <c r="G63" s="839"/>
      <c r="H63" s="889">
        <v>2</v>
      </c>
      <c r="I63" s="888"/>
      <c r="J63" s="886"/>
      <c r="K63" s="839"/>
      <c r="L63" s="839">
        <v>6</v>
      </c>
      <c r="M63" s="523">
        <f t="shared" si="2"/>
        <v>9</v>
      </c>
      <c r="N63" s="885">
        <v>2</v>
      </c>
      <c r="O63" s="886"/>
      <c r="P63" s="887"/>
      <c r="Q63" s="888">
        <v>4</v>
      </c>
      <c r="R63" s="821">
        <v>6</v>
      </c>
      <c r="S63" s="751"/>
      <c r="T63" s="917"/>
      <c r="U63" s="751">
        <v>3</v>
      </c>
      <c r="V63" s="922">
        <v>5</v>
      </c>
      <c r="W63" s="888"/>
      <c r="X63" s="584"/>
      <c r="Y63" s="762">
        <v>20</v>
      </c>
      <c r="Z63" s="866">
        <v>9</v>
      </c>
      <c r="AA63" s="866">
        <v>7</v>
      </c>
      <c r="AB63" s="867" t="s">
        <v>32</v>
      </c>
      <c r="AC63" s="866">
        <f t="shared" si="0"/>
        <v>70</v>
      </c>
    </row>
    <row r="64" spans="1:29" ht="18.75" x14ac:dyDescent="0.25">
      <c r="A64" s="824">
        <v>55</v>
      </c>
      <c r="B64" s="779">
        <v>5191421055</v>
      </c>
      <c r="C64" s="885">
        <v>1</v>
      </c>
      <c r="D64" s="886"/>
      <c r="E64" s="919"/>
      <c r="F64" s="888"/>
      <c r="G64" s="839"/>
      <c r="H64" s="889">
        <v>2</v>
      </c>
      <c r="I64" s="888"/>
      <c r="J64" s="886"/>
      <c r="K64" s="839"/>
      <c r="L64" s="839"/>
      <c r="M64" s="523">
        <f t="shared" si="2"/>
        <v>3</v>
      </c>
      <c r="N64" s="885">
        <v>2</v>
      </c>
      <c r="O64" s="886">
        <v>2</v>
      </c>
      <c r="P64" s="887"/>
      <c r="Q64" s="888">
        <v>5</v>
      </c>
      <c r="R64" s="821">
        <v>6</v>
      </c>
      <c r="S64" s="751"/>
      <c r="T64" s="917"/>
      <c r="U64" s="751"/>
      <c r="V64" s="922"/>
      <c r="W64" s="888"/>
      <c r="X64" s="584">
        <v>6</v>
      </c>
      <c r="Y64" s="762">
        <v>21</v>
      </c>
      <c r="Z64" s="866">
        <v>7</v>
      </c>
      <c r="AA64" s="866">
        <v>9</v>
      </c>
      <c r="AB64" s="867" t="s">
        <v>31</v>
      </c>
      <c r="AC64" s="866">
        <f t="shared" si="0"/>
        <v>55</v>
      </c>
    </row>
    <row r="65" spans="1:29" ht="18.75" x14ac:dyDescent="0.25">
      <c r="A65" s="824">
        <v>56</v>
      </c>
      <c r="B65" s="779">
        <v>5191421056</v>
      </c>
      <c r="C65" s="885"/>
      <c r="D65" s="886">
        <v>1</v>
      </c>
      <c r="E65" s="919"/>
      <c r="F65" s="888"/>
      <c r="G65" s="839"/>
      <c r="H65" s="889">
        <v>5</v>
      </c>
      <c r="I65" s="888">
        <v>6</v>
      </c>
      <c r="J65" s="886">
        <v>2</v>
      </c>
      <c r="K65" s="839"/>
      <c r="L65" s="839"/>
      <c r="M65" s="523">
        <f t="shared" si="2"/>
        <v>14</v>
      </c>
      <c r="N65" s="885">
        <v>2</v>
      </c>
      <c r="O65" s="886">
        <v>1</v>
      </c>
      <c r="P65" s="887"/>
      <c r="Q65" s="888">
        <v>5</v>
      </c>
      <c r="R65" s="821">
        <v>6</v>
      </c>
      <c r="S65" s="751"/>
      <c r="T65" s="917"/>
      <c r="U65" s="751">
        <v>4</v>
      </c>
      <c r="V65" s="922">
        <v>2</v>
      </c>
      <c r="W65" s="888"/>
      <c r="X65" s="584"/>
      <c r="Y65" s="762">
        <v>20</v>
      </c>
      <c r="Z65" s="866">
        <v>7</v>
      </c>
      <c r="AA65" s="866">
        <v>9</v>
      </c>
      <c r="AB65" s="867" t="s">
        <v>32</v>
      </c>
      <c r="AC65" s="866">
        <f t="shared" si="0"/>
        <v>70</v>
      </c>
    </row>
    <row r="66" spans="1:29" ht="18.75" x14ac:dyDescent="0.25">
      <c r="A66" s="824">
        <v>57</v>
      </c>
      <c r="B66" s="779">
        <v>5191421057</v>
      </c>
      <c r="C66" s="885">
        <v>2</v>
      </c>
      <c r="D66" s="886">
        <v>2</v>
      </c>
      <c r="E66" s="919">
        <v>1</v>
      </c>
      <c r="F66" s="888"/>
      <c r="G66" s="839"/>
      <c r="H66" s="889">
        <v>12</v>
      </c>
      <c r="I66" s="888"/>
      <c r="J66" s="886"/>
      <c r="K66" s="839">
        <v>3</v>
      </c>
      <c r="L66" s="839">
        <v>4</v>
      </c>
      <c r="M66" s="523">
        <f t="shared" si="2"/>
        <v>24</v>
      </c>
      <c r="N66" s="885">
        <v>1</v>
      </c>
      <c r="O66" s="886">
        <v>2</v>
      </c>
      <c r="P66" s="887"/>
      <c r="Q66" s="888"/>
      <c r="R66" s="821"/>
      <c r="S66" s="751">
        <v>6</v>
      </c>
      <c r="T66" s="917">
        <v>5</v>
      </c>
      <c r="U66" s="751"/>
      <c r="V66" s="922"/>
      <c r="W66" s="888">
        <v>6</v>
      </c>
      <c r="X66" s="923">
        <v>6</v>
      </c>
      <c r="Y66" s="762">
        <v>26</v>
      </c>
      <c r="Z66" s="866">
        <v>10</v>
      </c>
      <c r="AA66" s="866">
        <v>10</v>
      </c>
      <c r="AB66" s="868" t="s">
        <v>30</v>
      </c>
      <c r="AC66" s="866">
        <f t="shared" si="0"/>
        <v>90</v>
      </c>
    </row>
    <row r="67" spans="1:29" ht="19.5" thickBot="1" x14ac:dyDescent="0.3">
      <c r="A67" s="824">
        <v>58</v>
      </c>
      <c r="B67" s="779">
        <v>5191421058</v>
      </c>
      <c r="C67" s="94"/>
      <c r="D67" s="410">
        <v>2</v>
      </c>
      <c r="E67" s="91">
        <v>1</v>
      </c>
      <c r="F67" s="92"/>
      <c r="G67" s="410"/>
      <c r="H67" s="706"/>
      <c r="I67" s="92"/>
      <c r="J67" s="410"/>
      <c r="K67" s="839"/>
      <c r="L67" s="839"/>
      <c r="M67" s="523">
        <f t="shared" si="2"/>
        <v>3</v>
      </c>
      <c r="N67" s="94"/>
      <c r="O67" s="410"/>
      <c r="P67" s="104"/>
      <c r="Q67" s="92">
        <v>5</v>
      </c>
      <c r="R67" s="91"/>
      <c r="S67" s="753"/>
      <c r="T67" s="927"/>
      <c r="U67" s="753"/>
      <c r="V67" s="768"/>
      <c r="W67" s="92"/>
      <c r="X67" s="754"/>
      <c r="Y67" s="762">
        <v>5</v>
      </c>
      <c r="Z67" s="866">
        <v>9</v>
      </c>
      <c r="AA67" s="866">
        <v>9</v>
      </c>
      <c r="AB67" s="869" t="s">
        <v>28</v>
      </c>
      <c r="AC67" s="866">
        <f t="shared" si="0"/>
        <v>50</v>
      </c>
    </row>
    <row r="68" spans="1:29" x14ac:dyDescent="0.25">
      <c r="C68" s="793">
        <f t="shared" ref="C68:L68" si="3">COUNT(C11:C67)</f>
        <v>36</v>
      </c>
      <c r="D68" s="793">
        <f t="shared" si="3"/>
        <v>49</v>
      </c>
      <c r="E68" s="793">
        <f t="shared" si="3"/>
        <v>34</v>
      </c>
      <c r="F68" s="793">
        <f t="shared" si="3"/>
        <v>18</v>
      </c>
      <c r="G68" s="793">
        <f t="shared" si="3"/>
        <v>8</v>
      </c>
      <c r="H68" s="793">
        <f t="shared" si="3"/>
        <v>18</v>
      </c>
      <c r="I68" s="793">
        <f t="shared" si="3"/>
        <v>33</v>
      </c>
      <c r="J68" s="793">
        <f t="shared" si="3"/>
        <v>20</v>
      </c>
      <c r="K68" s="793">
        <f t="shared" si="3"/>
        <v>8</v>
      </c>
      <c r="L68" s="793">
        <f t="shared" si="3"/>
        <v>13</v>
      </c>
      <c r="M68" s="793"/>
      <c r="N68" s="793">
        <f t="shared" ref="N68:X68" si="4">COUNT(N10:N67)</f>
        <v>22</v>
      </c>
      <c r="O68" s="793">
        <f t="shared" si="4"/>
        <v>38</v>
      </c>
      <c r="P68" s="793">
        <f t="shared" si="4"/>
        <v>18</v>
      </c>
      <c r="Q68" s="793">
        <f t="shared" si="4"/>
        <v>41</v>
      </c>
      <c r="R68" s="793">
        <f t="shared" si="4"/>
        <v>39</v>
      </c>
      <c r="S68" s="27">
        <f t="shared" si="4"/>
        <v>13</v>
      </c>
      <c r="T68" s="27">
        <f t="shared" si="4"/>
        <v>14</v>
      </c>
      <c r="U68" s="27">
        <f t="shared" si="4"/>
        <v>25</v>
      </c>
      <c r="V68" s="27">
        <f t="shared" si="4"/>
        <v>25</v>
      </c>
      <c r="W68" s="27">
        <f t="shared" si="4"/>
        <v>18</v>
      </c>
      <c r="X68" s="27">
        <f t="shared" si="4"/>
        <v>19</v>
      </c>
      <c r="Y68" s="793"/>
      <c r="Z68" s="793">
        <f t="shared" ref="Z68:AA68" si="5">COUNT(Z10:Z67)</f>
        <v>58</v>
      </c>
      <c r="AA68" s="793">
        <f t="shared" si="5"/>
        <v>58</v>
      </c>
    </row>
    <row r="69" spans="1:29" x14ac:dyDescent="0.25">
      <c r="A69" s="328" t="s">
        <v>34</v>
      </c>
      <c r="B69" s="805">
        <v>55</v>
      </c>
      <c r="C69" s="769">
        <f>C9*(B69/100)</f>
        <v>1.1000000000000001</v>
      </c>
      <c r="D69" s="769">
        <f>D9*(B69/100)</f>
        <v>1.1000000000000001</v>
      </c>
      <c r="E69" s="769">
        <f>E9*(B69/100)</f>
        <v>1.1000000000000001</v>
      </c>
      <c r="F69" s="769">
        <f t="shared" ref="F69" si="6">F9*(B69/100)</f>
        <v>3.3000000000000003</v>
      </c>
      <c r="G69" s="769">
        <v>3</v>
      </c>
      <c r="H69" s="769">
        <v>3</v>
      </c>
      <c r="I69" s="769">
        <v>3</v>
      </c>
      <c r="J69" s="769">
        <v>3</v>
      </c>
      <c r="K69" s="769">
        <v>3</v>
      </c>
      <c r="L69" s="769">
        <v>3</v>
      </c>
      <c r="M69" s="793"/>
      <c r="N69" s="769">
        <v>1</v>
      </c>
      <c r="O69" s="769">
        <v>1</v>
      </c>
      <c r="P69" s="769">
        <v>1</v>
      </c>
      <c r="Q69" s="769">
        <f>Q9*(B69/100)</f>
        <v>3.3000000000000003</v>
      </c>
      <c r="R69" s="769">
        <f>R9*(B69/100)</f>
        <v>3.3000000000000003</v>
      </c>
      <c r="S69" s="928">
        <f>S9*(B69/100)</f>
        <v>3.3000000000000003</v>
      </c>
      <c r="T69" s="928">
        <v>3</v>
      </c>
      <c r="U69" s="928">
        <v>3</v>
      </c>
      <c r="V69" s="928">
        <v>3</v>
      </c>
      <c r="W69" s="928">
        <v>3</v>
      </c>
      <c r="X69" s="928">
        <v>3</v>
      </c>
      <c r="Y69" s="769"/>
      <c r="Z69" s="769">
        <v>5</v>
      </c>
      <c r="AA69" s="769">
        <v>5</v>
      </c>
    </row>
    <row r="70" spans="1:29" x14ac:dyDescent="0.25">
      <c r="A70" s="3075" t="s">
        <v>35</v>
      </c>
      <c r="B70" s="3075"/>
      <c r="C70" s="793">
        <f t="shared" ref="C70:L70" si="7">COUNTIF(C11:C67,"&gt;=" &amp;C69)</f>
        <v>17</v>
      </c>
      <c r="D70" s="793">
        <f t="shared" si="7"/>
        <v>39</v>
      </c>
      <c r="E70" s="793">
        <f t="shared" si="7"/>
        <v>14</v>
      </c>
      <c r="F70" s="793">
        <f t="shared" si="7"/>
        <v>4</v>
      </c>
      <c r="G70" s="793">
        <f t="shared" si="7"/>
        <v>1</v>
      </c>
      <c r="H70" s="793">
        <f t="shared" si="7"/>
        <v>13</v>
      </c>
      <c r="I70" s="793">
        <f t="shared" si="7"/>
        <v>28</v>
      </c>
      <c r="J70" s="793">
        <f t="shared" si="7"/>
        <v>10</v>
      </c>
      <c r="K70" s="793">
        <f t="shared" si="7"/>
        <v>5</v>
      </c>
      <c r="L70" s="793">
        <f t="shared" si="7"/>
        <v>13</v>
      </c>
      <c r="M70" s="793"/>
      <c r="N70" s="793">
        <f>COUNTIF(N10:N67,"&gt;=" &amp;N69)</f>
        <v>22</v>
      </c>
      <c r="O70" s="793">
        <f t="shared" ref="O70:X70" si="8">COUNTIF(O10:O67,"&gt;=" &amp;O69)</f>
        <v>38</v>
      </c>
      <c r="P70" s="793">
        <f t="shared" si="8"/>
        <v>18</v>
      </c>
      <c r="Q70" s="793">
        <f t="shared" si="8"/>
        <v>38</v>
      </c>
      <c r="R70" s="793">
        <f t="shared" si="8"/>
        <v>32</v>
      </c>
      <c r="S70" s="793">
        <f t="shared" si="8"/>
        <v>11</v>
      </c>
      <c r="T70" s="793">
        <f t="shared" si="8"/>
        <v>14</v>
      </c>
      <c r="U70" s="793">
        <f t="shared" si="8"/>
        <v>22</v>
      </c>
      <c r="V70" s="793">
        <f t="shared" si="8"/>
        <v>22</v>
      </c>
      <c r="W70" s="793">
        <f t="shared" si="8"/>
        <v>17</v>
      </c>
      <c r="X70" s="793">
        <f t="shared" si="8"/>
        <v>16</v>
      </c>
      <c r="Y70" s="793"/>
      <c r="Z70" s="793">
        <f>COUNTIF(Z10:Z67,"&gt;=" &amp;Z69)</f>
        <v>58</v>
      </c>
      <c r="AA70" s="793">
        <f>COUNTIF(AA10:AA67,"&gt;=" &amp;AA69)</f>
        <v>58</v>
      </c>
      <c r="AC70" s="793">
        <f>COUNTIF(AC10:AC67,"&gt;="&amp;B69)</f>
        <v>51</v>
      </c>
    </row>
    <row r="71" spans="1:29" x14ac:dyDescent="0.25">
      <c r="A71" s="3061" t="s">
        <v>36</v>
      </c>
      <c r="B71" s="3061"/>
      <c r="C71" s="793">
        <f t="shared" ref="C71:AA71" si="9">C70/C68</f>
        <v>0.47222222222222221</v>
      </c>
      <c r="D71" s="793">
        <f t="shared" si="9"/>
        <v>0.79591836734693877</v>
      </c>
      <c r="E71" s="793">
        <f t="shared" si="9"/>
        <v>0.41176470588235292</v>
      </c>
      <c r="F71" s="793">
        <f t="shared" si="9"/>
        <v>0.22222222222222221</v>
      </c>
      <c r="G71" s="793">
        <f t="shared" si="9"/>
        <v>0.125</v>
      </c>
      <c r="H71" s="793">
        <f t="shared" si="9"/>
        <v>0.72222222222222221</v>
      </c>
      <c r="I71" s="793">
        <f t="shared" si="9"/>
        <v>0.84848484848484851</v>
      </c>
      <c r="J71" s="793">
        <f t="shared" si="9"/>
        <v>0.5</v>
      </c>
      <c r="K71" s="793">
        <f t="shared" si="9"/>
        <v>0.625</v>
      </c>
      <c r="L71" s="793">
        <f t="shared" si="9"/>
        <v>1</v>
      </c>
      <c r="M71" s="793"/>
      <c r="N71" s="793">
        <f t="shared" si="9"/>
        <v>1</v>
      </c>
      <c r="O71" s="793">
        <f t="shared" si="9"/>
        <v>1</v>
      </c>
      <c r="P71" s="793">
        <f t="shared" si="9"/>
        <v>1</v>
      </c>
      <c r="Q71" s="793">
        <f t="shared" si="9"/>
        <v>0.92682926829268297</v>
      </c>
      <c r="R71" s="793">
        <f t="shared" si="9"/>
        <v>0.82051282051282048</v>
      </c>
      <c r="S71" s="468">
        <f t="shared" si="9"/>
        <v>0.84615384615384615</v>
      </c>
      <c r="T71" s="468">
        <f t="shared" si="9"/>
        <v>1</v>
      </c>
      <c r="U71" s="468">
        <f t="shared" si="9"/>
        <v>0.88</v>
      </c>
      <c r="V71" s="468">
        <f t="shared" si="9"/>
        <v>0.88</v>
      </c>
      <c r="W71" s="468">
        <f t="shared" si="9"/>
        <v>0.94444444444444442</v>
      </c>
      <c r="X71" s="468">
        <f t="shared" si="9"/>
        <v>0.84210526315789469</v>
      </c>
      <c r="Y71" s="793"/>
      <c r="Z71" s="853">
        <f t="shared" si="9"/>
        <v>1</v>
      </c>
      <c r="AA71" s="853">
        <f t="shared" si="9"/>
        <v>1</v>
      </c>
      <c r="AC71" s="793">
        <f>(AC70/A67)*100</f>
        <v>87.931034482758619</v>
      </c>
    </row>
    <row r="72" spans="1:29" ht="31.5" x14ac:dyDescent="0.25">
      <c r="C72" s="818" t="s">
        <v>22</v>
      </c>
      <c r="D72" s="818" t="s">
        <v>21</v>
      </c>
      <c r="E72" s="831" t="s">
        <v>326</v>
      </c>
      <c r="F72" s="847" t="s">
        <v>20</v>
      </c>
      <c r="G72" s="847" t="s">
        <v>20</v>
      </c>
      <c r="H72" s="827" t="s">
        <v>20</v>
      </c>
      <c r="I72" s="848" t="s">
        <v>21</v>
      </c>
      <c r="J72" s="848" t="s">
        <v>21</v>
      </c>
      <c r="K72" s="849" t="s">
        <v>40</v>
      </c>
      <c r="L72" s="849" t="s">
        <v>41</v>
      </c>
      <c r="M72" s="793"/>
      <c r="N72" s="818" t="s">
        <v>41</v>
      </c>
      <c r="O72" s="826" t="s">
        <v>42</v>
      </c>
      <c r="P72" s="827" t="s">
        <v>43</v>
      </c>
      <c r="Q72" s="818" t="s">
        <v>41</v>
      </c>
      <c r="R72" s="819" t="s">
        <v>43</v>
      </c>
      <c r="S72" s="916" t="s">
        <v>43</v>
      </c>
      <c r="T72" s="774" t="s">
        <v>41</v>
      </c>
      <c r="U72" s="818" t="s">
        <v>42</v>
      </c>
      <c r="V72" s="767" t="s">
        <v>43</v>
      </c>
      <c r="W72" s="818" t="s">
        <v>42</v>
      </c>
      <c r="X72" s="819" t="s">
        <v>42</v>
      </c>
      <c r="Y72" s="793"/>
      <c r="Z72" s="733" t="s">
        <v>274</v>
      </c>
      <c r="AA72" s="929" t="s">
        <v>327</v>
      </c>
    </row>
    <row r="73" spans="1:29" x14ac:dyDescent="0.25">
      <c r="Z73" s="929"/>
      <c r="AA73" s="929"/>
    </row>
    <row r="74" spans="1:29" x14ac:dyDescent="0.25">
      <c r="D74" s="805" t="s">
        <v>38</v>
      </c>
      <c r="E74" s="2837" t="s">
        <v>39</v>
      </c>
      <c r="F74" s="2837"/>
      <c r="G74" s="2837" t="s">
        <v>37</v>
      </c>
      <c r="H74" s="2837"/>
      <c r="I74" s="805"/>
      <c r="J74" s="805"/>
    </row>
    <row r="75" spans="1:29" x14ac:dyDescent="0.25">
      <c r="B75" s="805" t="s">
        <v>22</v>
      </c>
      <c r="C75" s="793">
        <f>AVERAGE(C71,F71,G71,H71,Z71,E71)*100</f>
        <v>49.223856209150327</v>
      </c>
      <c r="D75" s="793" t="b">
        <f t="shared" ref="D75:D79" si="10">IF(C75&gt;=70,3,IF(AND(C75&gt;=60,C75&lt;70),2,IF(AND(C75&gt;=50,C75&lt;60),1)))</f>
        <v>0</v>
      </c>
      <c r="E75" s="3604">
        <f>IF(AC71&gt;=70,3,IF(AND(AC71&gt;=60,AC71&lt;70),2,IF(AND(AC71&gt;=50,AC71&lt;60),1)))</f>
        <v>3</v>
      </c>
      <c r="F75" s="3604"/>
      <c r="G75" s="793">
        <f>(70/100)*E75+(30/100)*D75</f>
        <v>2.0999999999999996</v>
      </c>
      <c r="H75" s="793"/>
      <c r="I75" s="793"/>
      <c r="J75" s="793"/>
    </row>
    <row r="76" spans="1:29" x14ac:dyDescent="0.25">
      <c r="B76" s="805" t="s">
        <v>40</v>
      </c>
      <c r="C76" s="793">
        <f>AVERAGE(D71,E71,I71,J71,K71,Z71)*100</f>
        <v>69.686132028569006</v>
      </c>
      <c r="D76" s="793">
        <f t="shared" si="10"/>
        <v>2</v>
      </c>
      <c r="E76" s="3604">
        <f>IF(AC71&gt;=70,3,IF(AND(AC71&gt;=60,AC71&lt;70),2,IF(AND(AC71&gt;=50,AC71&lt;60),1)))</f>
        <v>3</v>
      </c>
      <c r="F76" s="3604"/>
      <c r="G76" s="793">
        <f t="shared" ref="G76:G79" si="11">(70/100)*E76+(30/100)*D76</f>
        <v>2.6999999999999997</v>
      </c>
      <c r="H76" s="793"/>
      <c r="I76" s="793"/>
      <c r="J76" s="793"/>
    </row>
    <row r="77" spans="1:29" x14ac:dyDescent="0.25">
      <c r="B77" s="805" t="s">
        <v>41</v>
      </c>
      <c r="C77" s="793">
        <f>AVERAGE(N71,L71,Q71,T71,AA71)*100</f>
        <v>98.536585365853654</v>
      </c>
      <c r="D77" s="793">
        <f t="shared" si="10"/>
        <v>3</v>
      </c>
      <c r="E77" s="3604">
        <f>IF(AC71&gt;=70,3,IF(AND(AC71&gt;=60,AC71&lt;70),2,IF(AND(AC71&gt;=50,AC71&lt;60),1)))</f>
        <v>3</v>
      </c>
      <c r="F77" s="3604"/>
      <c r="G77" s="793">
        <f t="shared" si="11"/>
        <v>2.9999999999999996</v>
      </c>
      <c r="H77" s="793"/>
      <c r="I77" s="793"/>
      <c r="J77" s="793"/>
    </row>
    <row r="78" spans="1:29" x14ac:dyDescent="0.25">
      <c r="B78" s="805" t="s">
        <v>42</v>
      </c>
      <c r="C78" s="793">
        <f>AVERAGE(O71,P71,V71,X71)*100</f>
        <v>93.05263157894737</v>
      </c>
      <c r="D78" s="793">
        <f t="shared" si="10"/>
        <v>3</v>
      </c>
      <c r="E78" s="3604">
        <f>IF(AC71&gt;=70,3,IF(AND(AC71&gt;=60,AC71&lt;70),2,IF(AND(AC71&gt;=50,AC71&lt;60),1)))</f>
        <v>3</v>
      </c>
      <c r="F78" s="3604"/>
      <c r="G78" s="793">
        <f t="shared" si="11"/>
        <v>2.9999999999999996</v>
      </c>
      <c r="H78" s="793"/>
      <c r="I78" s="793"/>
      <c r="J78" s="793"/>
    </row>
    <row r="79" spans="1:29" x14ac:dyDescent="0.25">
      <c r="B79" s="805" t="s">
        <v>43</v>
      </c>
      <c r="C79" s="793">
        <f>AVERAGE(P71,R71,S71,V71,AA71)*100</f>
        <v>90.933333333333337</v>
      </c>
      <c r="D79" s="793">
        <f t="shared" si="10"/>
        <v>3</v>
      </c>
      <c r="E79" s="3604">
        <f>IF(AC71&gt;=70,3,IF(AND(AC71&gt;=60,AC71&lt;70),2,IF(AND(AC71&gt;=50,AC71&lt;60),1)))</f>
        <v>3</v>
      </c>
      <c r="F79" s="3604"/>
      <c r="G79" s="793">
        <f t="shared" si="11"/>
        <v>2.9999999999999996</v>
      </c>
      <c r="H79" s="793"/>
      <c r="I79" s="793"/>
      <c r="J79" s="793"/>
    </row>
    <row r="80" spans="1:29" x14ac:dyDescent="0.25">
      <c r="B80" s="2872" t="s">
        <v>44</v>
      </c>
      <c r="C80" s="2872"/>
      <c r="D80" s="2872"/>
      <c r="E80" s="2872"/>
      <c r="F80" s="2872"/>
      <c r="G80" s="845">
        <f>AVERAGE(G75:G79)</f>
        <v>2.76</v>
      </c>
    </row>
    <row r="82" spans="1:25" x14ac:dyDescent="0.25">
      <c r="A82" s="3041" t="s">
        <v>134</v>
      </c>
      <c r="B82" s="3041"/>
      <c r="C82" s="798"/>
      <c r="D82" s="798"/>
      <c r="E82" s="798"/>
      <c r="F82" s="798"/>
      <c r="G82" s="798"/>
      <c r="H82" s="798"/>
      <c r="I82" s="798"/>
      <c r="J82" s="798"/>
      <c r="K82" s="798"/>
      <c r="L82" s="798"/>
      <c r="M82" s="807"/>
      <c r="N82" s="794"/>
      <c r="O82" s="794"/>
      <c r="P82" s="794"/>
      <c r="Q82" s="794"/>
    </row>
    <row r="83" spans="1:25" x14ac:dyDescent="0.25">
      <c r="A83" s="794"/>
      <c r="B83" s="794"/>
      <c r="C83" s="798"/>
      <c r="D83" s="798"/>
      <c r="E83" s="798"/>
      <c r="F83" s="798"/>
      <c r="G83" s="798"/>
      <c r="H83" s="798"/>
      <c r="I83" s="798"/>
      <c r="J83" s="798"/>
      <c r="K83" s="798"/>
      <c r="L83" s="798"/>
      <c r="M83" s="807"/>
      <c r="N83" s="794"/>
      <c r="O83" s="794"/>
      <c r="P83" s="794"/>
      <c r="Q83" s="794"/>
    </row>
    <row r="84" spans="1:25" x14ac:dyDescent="0.25">
      <c r="A84" s="794"/>
      <c r="B84" s="795" t="s">
        <v>45</v>
      </c>
      <c r="C84" s="890" t="s">
        <v>68</v>
      </c>
      <c r="D84" s="890" t="s">
        <v>69</v>
      </c>
      <c r="E84" s="890" t="s">
        <v>70</v>
      </c>
      <c r="F84" s="890" t="s">
        <v>71</v>
      </c>
      <c r="G84" s="890" t="s">
        <v>72</v>
      </c>
      <c r="H84" s="890" t="s">
        <v>73</v>
      </c>
      <c r="I84" s="890" t="s">
        <v>74</v>
      </c>
      <c r="J84" s="891" t="s">
        <v>75</v>
      </c>
      <c r="K84" s="890" t="s">
        <v>76</v>
      </c>
      <c r="L84" s="890" t="s">
        <v>77</v>
      </c>
      <c r="M84" s="890" t="s">
        <v>78</v>
      </c>
      <c r="N84" s="890" t="s">
        <v>79</v>
      </c>
      <c r="T84" s="806"/>
      <c r="U84" s="806"/>
      <c r="Y84" s="792"/>
    </row>
    <row r="85" spans="1:25" x14ac:dyDescent="0.25">
      <c r="A85" s="794"/>
      <c r="B85" s="796" t="s">
        <v>20</v>
      </c>
      <c r="C85" s="814">
        <v>3</v>
      </c>
      <c r="D85" s="814">
        <v>3</v>
      </c>
      <c r="E85" s="814"/>
      <c r="F85" s="814"/>
      <c r="G85" s="814">
        <v>1</v>
      </c>
      <c r="H85" s="814"/>
      <c r="I85" s="814"/>
      <c r="J85" s="814"/>
      <c r="K85" s="814"/>
      <c r="L85" s="814"/>
      <c r="M85" s="814"/>
      <c r="N85" s="814"/>
      <c r="T85" s="806"/>
      <c r="U85" s="806"/>
      <c r="Y85" s="792"/>
    </row>
    <row r="86" spans="1:25" x14ac:dyDescent="0.25">
      <c r="A86" s="794"/>
      <c r="B86" s="796" t="s">
        <v>21</v>
      </c>
      <c r="C86" s="814">
        <v>3</v>
      </c>
      <c r="D86" s="814">
        <v>3</v>
      </c>
      <c r="E86" s="814">
        <v>3</v>
      </c>
      <c r="F86" s="814">
        <v>3</v>
      </c>
      <c r="G86" s="814">
        <v>3</v>
      </c>
      <c r="H86" s="814">
        <v>2</v>
      </c>
      <c r="I86" s="814"/>
      <c r="J86" s="814"/>
      <c r="K86" s="814"/>
      <c r="L86" s="814"/>
      <c r="M86" s="814"/>
      <c r="N86" s="814">
        <v>3</v>
      </c>
      <c r="T86" s="806"/>
      <c r="U86" s="806"/>
      <c r="Y86" s="792"/>
    </row>
    <row r="87" spans="1:25" x14ac:dyDescent="0.25">
      <c r="A87" s="794"/>
      <c r="B87" s="796" t="s">
        <v>23</v>
      </c>
      <c r="C87" s="814">
        <v>3</v>
      </c>
      <c r="D87" s="814">
        <v>3</v>
      </c>
      <c r="E87" s="814">
        <v>3</v>
      </c>
      <c r="F87" s="814">
        <v>3</v>
      </c>
      <c r="G87" s="814">
        <v>3</v>
      </c>
      <c r="H87" s="814"/>
      <c r="I87" s="814"/>
      <c r="J87" s="814"/>
      <c r="K87" s="814"/>
      <c r="L87" s="814"/>
      <c r="M87" s="814"/>
      <c r="N87" s="814">
        <v>3</v>
      </c>
      <c r="T87" s="806"/>
      <c r="U87" s="806"/>
      <c r="Y87" s="792"/>
    </row>
    <row r="88" spans="1:25" x14ac:dyDescent="0.25">
      <c r="A88" s="794"/>
      <c r="B88" s="796" t="s">
        <v>25</v>
      </c>
      <c r="C88" s="814">
        <v>3</v>
      </c>
      <c r="D88" s="814">
        <v>3</v>
      </c>
      <c r="E88" s="814">
        <v>2</v>
      </c>
      <c r="F88" s="814">
        <v>2</v>
      </c>
      <c r="G88" s="814">
        <v>3</v>
      </c>
      <c r="H88" s="814"/>
      <c r="I88" s="814"/>
      <c r="J88" s="814"/>
      <c r="K88" s="814"/>
      <c r="L88" s="814"/>
      <c r="M88" s="814"/>
      <c r="N88" s="814">
        <v>3</v>
      </c>
      <c r="T88" s="806"/>
      <c r="U88" s="806"/>
      <c r="Y88" s="792"/>
    </row>
    <row r="89" spans="1:25" x14ac:dyDescent="0.25">
      <c r="A89" s="794"/>
      <c r="B89" s="796" t="s">
        <v>24</v>
      </c>
      <c r="C89" s="814">
        <v>3</v>
      </c>
      <c r="D89" s="814">
        <v>2</v>
      </c>
      <c r="E89" s="814">
        <v>2</v>
      </c>
      <c r="F89" s="814">
        <v>2</v>
      </c>
      <c r="G89" s="814">
        <v>3</v>
      </c>
      <c r="H89" s="814"/>
      <c r="I89" s="814"/>
      <c r="J89" s="814"/>
      <c r="K89" s="814"/>
      <c r="L89" s="814"/>
      <c r="M89" s="814"/>
      <c r="N89" s="814">
        <v>3</v>
      </c>
      <c r="T89" s="806"/>
      <c r="U89" s="806"/>
      <c r="Y89" s="792"/>
    </row>
    <row r="90" spans="1:25" x14ac:dyDescent="0.25">
      <c r="A90" s="794"/>
      <c r="B90" s="930" t="s">
        <v>10</v>
      </c>
      <c r="C90" s="37">
        <f>AVERAGE(C85:C89)</f>
        <v>3</v>
      </c>
      <c r="D90" s="37">
        <f t="shared" ref="D90:N90" si="12">AVERAGE(D85:D89)</f>
        <v>2.8</v>
      </c>
      <c r="E90" s="37">
        <f t="shared" si="12"/>
        <v>2.5</v>
      </c>
      <c r="F90" s="37">
        <f t="shared" si="12"/>
        <v>2.5</v>
      </c>
      <c r="G90" s="37">
        <f t="shared" si="12"/>
        <v>2.6</v>
      </c>
      <c r="H90" s="37">
        <f t="shared" si="12"/>
        <v>2</v>
      </c>
      <c r="I90" s="37"/>
      <c r="J90" s="37"/>
      <c r="K90" s="37"/>
      <c r="L90" s="37"/>
      <c r="M90" s="37"/>
      <c r="N90" s="37">
        <f t="shared" si="12"/>
        <v>3</v>
      </c>
      <c r="T90" s="806"/>
      <c r="U90" s="806"/>
      <c r="Y90" s="792"/>
    </row>
    <row r="91" spans="1:25" x14ac:dyDescent="0.25">
      <c r="A91" s="794"/>
      <c r="B91" s="801" t="s">
        <v>58</v>
      </c>
      <c r="C91" s="3113">
        <f>AVERAGE(C90:N90)</f>
        <v>2.6285714285714286</v>
      </c>
      <c r="D91" s="3284"/>
      <c r="E91" s="3284"/>
      <c r="F91" s="3284"/>
      <c r="G91" s="3284"/>
      <c r="H91" s="3284"/>
      <c r="I91" s="3284"/>
      <c r="J91" s="3284"/>
      <c r="K91" s="3284"/>
      <c r="L91" s="3284"/>
      <c r="M91" s="3284"/>
      <c r="N91" s="3115"/>
      <c r="O91" s="497"/>
      <c r="P91" s="497"/>
      <c r="Q91" s="497"/>
    </row>
    <row r="92" spans="1:25" x14ac:dyDescent="0.25">
      <c r="A92" s="794"/>
      <c r="B92" s="794"/>
      <c r="C92" s="336"/>
      <c r="D92" s="798"/>
      <c r="E92" s="798"/>
      <c r="F92" s="798"/>
      <c r="G92" s="798"/>
      <c r="H92" s="798"/>
      <c r="I92" s="798"/>
      <c r="J92" s="798"/>
      <c r="K92" s="798"/>
      <c r="L92" s="798"/>
      <c r="M92" s="807"/>
      <c r="N92" s="794"/>
      <c r="O92" s="794"/>
      <c r="P92" s="794"/>
      <c r="Q92" s="794"/>
    </row>
    <row r="93" spans="1:25" x14ac:dyDescent="0.25">
      <c r="A93" s="794"/>
      <c r="B93" s="794"/>
      <c r="C93" s="798"/>
      <c r="D93" s="798"/>
      <c r="E93" s="798"/>
      <c r="F93" s="798"/>
      <c r="G93" s="798"/>
      <c r="H93" s="798"/>
      <c r="I93" s="798"/>
      <c r="J93" s="798"/>
      <c r="K93" s="798"/>
      <c r="L93" s="798"/>
      <c r="M93" s="807"/>
      <c r="N93" s="794"/>
      <c r="O93" s="794"/>
      <c r="P93" s="794"/>
      <c r="Q93" s="794"/>
    </row>
    <row r="94" spans="1:25" x14ac:dyDescent="0.25">
      <c r="A94" s="3041" t="s">
        <v>148</v>
      </c>
      <c r="B94" s="3041"/>
      <c r="C94" s="798"/>
      <c r="D94" s="798"/>
      <c r="E94" s="798"/>
      <c r="F94" s="798"/>
      <c r="G94" s="798"/>
      <c r="H94" s="798"/>
      <c r="I94" s="798"/>
      <c r="J94" s="798"/>
      <c r="K94" s="798"/>
      <c r="L94" s="798"/>
      <c r="M94" s="807"/>
      <c r="N94" s="794"/>
      <c r="O94" s="794"/>
      <c r="P94" s="794"/>
      <c r="Q94" s="794"/>
    </row>
    <row r="95" spans="1:25" x14ac:dyDescent="0.25">
      <c r="A95" s="794"/>
      <c r="B95" s="794"/>
      <c r="C95" s="798"/>
      <c r="D95" s="798"/>
      <c r="E95" s="798"/>
      <c r="F95" s="798"/>
      <c r="G95" s="798"/>
      <c r="H95" s="798"/>
      <c r="I95" s="798"/>
      <c r="J95" s="798"/>
      <c r="K95" s="798"/>
      <c r="L95" s="798"/>
      <c r="M95" s="807"/>
      <c r="N95" s="794"/>
      <c r="O95" s="794"/>
      <c r="P95" s="794"/>
      <c r="Q95" s="794"/>
    </row>
    <row r="96" spans="1:25" x14ac:dyDescent="0.25">
      <c r="A96" s="794"/>
      <c r="B96" s="795" t="s">
        <v>45</v>
      </c>
      <c r="C96" s="890" t="s">
        <v>68</v>
      </c>
      <c r="D96" s="890" t="s">
        <v>69</v>
      </c>
      <c r="E96" s="890" t="s">
        <v>70</v>
      </c>
      <c r="F96" s="890" t="s">
        <v>71</v>
      </c>
      <c r="G96" s="890" t="s">
        <v>72</v>
      </c>
      <c r="H96" s="890" t="s">
        <v>73</v>
      </c>
      <c r="I96" s="890" t="s">
        <v>74</v>
      </c>
      <c r="J96" s="891" t="s">
        <v>75</v>
      </c>
      <c r="K96" s="890" t="s">
        <v>76</v>
      </c>
      <c r="L96" s="890" t="s">
        <v>77</v>
      </c>
      <c r="M96" s="890" t="s">
        <v>78</v>
      </c>
      <c r="N96" s="890" t="s">
        <v>79</v>
      </c>
      <c r="T96" s="806"/>
      <c r="U96" s="806"/>
      <c r="Y96" s="792"/>
    </row>
    <row r="97" spans="1:25" x14ac:dyDescent="0.25">
      <c r="A97" s="794"/>
      <c r="B97" s="796" t="s">
        <v>20</v>
      </c>
      <c r="C97" s="797">
        <f>G75*C85/3</f>
        <v>2.0999999999999996</v>
      </c>
      <c r="D97" s="797">
        <f>G75*D85/3</f>
        <v>2.0999999999999996</v>
      </c>
      <c r="E97" s="797"/>
      <c r="F97" s="797"/>
      <c r="G97" s="797">
        <f>G75*G85/3</f>
        <v>0.69999999999999984</v>
      </c>
      <c r="H97" s="797"/>
      <c r="I97" s="797"/>
      <c r="J97" s="797"/>
      <c r="K97" s="797"/>
      <c r="L97" s="797"/>
      <c r="M97" s="797"/>
      <c r="N97" s="797"/>
      <c r="T97" s="806"/>
      <c r="U97" s="806"/>
      <c r="Y97" s="792"/>
    </row>
    <row r="98" spans="1:25" x14ac:dyDescent="0.25">
      <c r="A98" s="794"/>
      <c r="B98" s="796" t="s">
        <v>21</v>
      </c>
      <c r="C98" s="797">
        <f>G76*C86/3</f>
        <v>2.6999999999999997</v>
      </c>
      <c r="D98" s="797">
        <f>G76*D86/3</f>
        <v>2.6999999999999997</v>
      </c>
      <c r="E98" s="797">
        <f>G76*E86/3</f>
        <v>2.6999999999999997</v>
      </c>
      <c r="F98" s="797">
        <f>G76*F86/3</f>
        <v>2.6999999999999997</v>
      </c>
      <c r="G98" s="797">
        <f>G76*G86/3</f>
        <v>2.6999999999999997</v>
      </c>
      <c r="H98" s="797">
        <f>G76*H86/3</f>
        <v>1.7999999999999998</v>
      </c>
      <c r="I98" s="797"/>
      <c r="J98" s="797"/>
      <c r="K98" s="797"/>
      <c r="L98" s="797"/>
      <c r="M98" s="797"/>
      <c r="N98" s="797">
        <f>G76*N86/3</f>
        <v>2.6999999999999997</v>
      </c>
      <c r="T98" s="806"/>
      <c r="U98" s="806"/>
      <c r="Y98" s="792"/>
    </row>
    <row r="99" spans="1:25" x14ac:dyDescent="0.25">
      <c r="A99" s="794"/>
      <c r="B99" s="796" t="s">
        <v>23</v>
      </c>
      <c r="C99" s="797">
        <f>G77*C87/3</f>
        <v>2.9999999999999996</v>
      </c>
      <c r="D99" s="797">
        <f>G77*D87/3</f>
        <v>2.9999999999999996</v>
      </c>
      <c r="E99" s="797">
        <f>G77*E87/3</f>
        <v>2.9999999999999996</v>
      </c>
      <c r="F99" s="797">
        <f>G77*F87/3</f>
        <v>2.9999999999999996</v>
      </c>
      <c r="G99" s="797">
        <f>G77*G87/3</f>
        <v>2.9999999999999996</v>
      </c>
      <c r="H99" s="797"/>
      <c r="I99" s="797"/>
      <c r="J99" s="797"/>
      <c r="K99" s="797"/>
      <c r="L99" s="797"/>
      <c r="M99" s="797"/>
      <c r="N99" s="797">
        <f>G77*N87/3</f>
        <v>2.9999999999999996</v>
      </c>
      <c r="T99" s="806"/>
      <c r="U99" s="806"/>
      <c r="Y99" s="792"/>
    </row>
    <row r="100" spans="1:25" x14ac:dyDescent="0.25">
      <c r="A100" s="794"/>
      <c r="B100" s="796" t="s">
        <v>25</v>
      </c>
      <c r="C100" s="797">
        <f>G78*C88/3</f>
        <v>2.9999999999999996</v>
      </c>
      <c r="D100" s="797">
        <f>G78*D88/3</f>
        <v>2.9999999999999996</v>
      </c>
      <c r="E100" s="797">
        <f>G78*E88/3</f>
        <v>1.9999999999999998</v>
      </c>
      <c r="F100" s="797">
        <f>G78*F88/3</f>
        <v>1.9999999999999998</v>
      </c>
      <c r="G100" s="797">
        <f>G78*G88/3</f>
        <v>2.9999999999999996</v>
      </c>
      <c r="H100" s="797"/>
      <c r="I100" s="797"/>
      <c r="J100" s="797"/>
      <c r="K100" s="797"/>
      <c r="L100" s="797"/>
      <c r="M100" s="797"/>
      <c r="N100" s="797">
        <f>G78*N88/3</f>
        <v>2.9999999999999996</v>
      </c>
      <c r="T100" s="806"/>
      <c r="U100" s="806"/>
      <c r="Y100" s="792"/>
    </row>
    <row r="101" spans="1:25" x14ac:dyDescent="0.25">
      <c r="A101" s="794"/>
      <c r="B101" s="796" t="s">
        <v>24</v>
      </c>
      <c r="C101" s="797">
        <f>G79*C89/3</f>
        <v>2.9999999999999996</v>
      </c>
      <c r="D101" s="797">
        <f>G79*D89/3</f>
        <v>1.9999999999999998</v>
      </c>
      <c r="E101" s="797">
        <f>G79*E89/3</f>
        <v>1.9999999999999998</v>
      </c>
      <c r="F101" s="797">
        <f>G79*F89/3</f>
        <v>1.9999999999999998</v>
      </c>
      <c r="G101" s="797">
        <f>G79*G89/3</f>
        <v>2.9999999999999996</v>
      </c>
      <c r="H101" s="797"/>
      <c r="I101" s="797"/>
      <c r="J101" s="797"/>
      <c r="K101" s="797"/>
      <c r="L101" s="797"/>
      <c r="M101" s="797"/>
      <c r="N101" s="797">
        <f>G79*N89/3</f>
        <v>2.9999999999999996</v>
      </c>
      <c r="T101" s="806"/>
      <c r="U101" s="806"/>
      <c r="Y101" s="792"/>
    </row>
    <row r="102" spans="1:25" x14ac:dyDescent="0.25">
      <c r="A102" s="794"/>
      <c r="B102" s="930" t="s">
        <v>10</v>
      </c>
      <c r="C102" s="736">
        <f>AVERAGE(C97:C101)</f>
        <v>2.76</v>
      </c>
      <c r="D102" s="736">
        <f t="shared" ref="D102:N102" si="13">AVERAGE(D97:D101)</f>
        <v>2.5599999999999996</v>
      </c>
      <c r="E102" s="736">
        <f t="shared" si="13"/>
        <v>2.4249999999999998</v>
      </c>
      <c r="F102" s="736">
        <f t="shared" si="13"/>
        <v>2.4249999999999998</v>
      </c>
      <c r="G102" s="736">
        <f t="shared" si="13"/>
        <v>2.4799999999999995</v>
      </c>
      <c r="H102" s="736">
        <f t="shared" si="13"/>
        <v>1.7999999999999998</v>
      </c>
      <c r="I102" s="736"/>
      <c r="J102" s="736"/>
      <c r="K102" s="736"/>
      <c r="L102" s="736"/>
      <c r="M102" s="736"/>
      <c r="N102" s="736">
        <f t="shared" si="13"/>
        <v>2.9249999999999998</v>
      </c>
      <c r="T102" s="806"/>
      <c r="U102" s="806"/>
      <c r="Y102" s="792"/>
    </row>
    <row r="103" spans="1:25" x14ac:dyDescent="0.25">
      <c r="A103" s="794"/>
      <c r="B103" s="801" t="s">
        <v>58</v>
      </c>
      <c r="C103" s="3102">
        <f>AVERAGE(C102:N102)</f>
        <v>2.4821428571428572</v>
      </c>
      <c r="D103" s="3285"/>
      <c r="E103" s="3285"/>
      <c r="F103" s="3285"/>
      <c r="G103" s="3285"/>
      <c r="H103" s="3285"/>
      <c r="I103" s="3285"/>
      <c r="J103" s="3285"/>
      <c r="K103" s="3285"/>
      <c r="L103" s="3285"/>
      <c r="M103" s="3285"/>
      <c r="N103" s="3104"/>
      <c r="O103" s="69"/>
      <c r="P103" s="69"/>
      <c r="Q103" s="69"/>
    </row>
    <row r="104" spans="1:25" x14ac:dyDescent="0.25">
      <c r="A104" s="794"/>
      <c r="B104" s="794"/>
      <c r="C104" s="798"/>
      <c r="D104" s="798"/>
      <c r="E104" s="798"/>
      <c r="F104" s="798"/>
      <c r="G104" s="798"/>
      <c r="H104" s="798"/>
      <c r="I104" s="798"/>
      <c r="J104" s="798"/>
      <c r="K104" s="798"/>
      <c r="L104" s="798"/>
      <c r="M104" s="807"/>
      <c r="N104" s="794"/>
      <c r="O104" s="794"/>
      <c r="P104" s="794"/>
      <c r="Q104" s="794"/>
    </row>
    <row r="105" spans="1:25" x14ac:dyDescent="0.25">
      <c r="A105" s="3041" t="s">
        <v>137</v>
      </c>
      <c r="B105" s="3041"/>
      <c r="C105" s="798"/>
      <c r="D105" s="798"/>
      <c r="E105" s="798"/>
      <c r="F105" s="798"/>
      <c r="G105" s="798"/>
      <c r="H105" s="798"/>
      <c r="I105" s="798"/>
      <c r="J105" s="798"/>
      <c r="K105" s="3041" t="s">
        <v>149</v>
      </c>
      <c r="L105" s="3041"/>
      <c r="M105" s="3041"/>
      <c r="N105" s="732"/>
      <c r="O105" s="732"/>
      <c r="P105" s="794"/>
      <c r="Q105" s="794"/>
    </row>
    <row r="106" spans="1:25" x14ac:dyDescent="0.25">
      <c r="A106" s="798"/>
      <c r="B106" s="798"/>
      <c r="C106" s="798"/>
      <c r="D106" s="798"/>
      <c r="E106" s="798"/>
      <c r="F106" s="798"/>
      <c r="G106" s="798"/>
      <c r="H106" s="798"/>
      <c r="I106" s="798"/>
      <c r="J106" s="798"/>
      <c r="K106" s="798"/>
      <c r="L106" s="798"/>
      <c r="M106" s="808"/>
      <c r="N106" s="732"/>
      <c r="O106" s="732"/>
      <c r="P106" s="794"/>
      <c r="Q106" s="794"/>
    </row>
    <row r="107" spans="1:25" x14ac:dyDescent="0.25">
      <c r="A107" s="794"/>
      <c r="B107" s="795" t="s">
        <v>59</v>
      </c>
      <c r="C107" s="890" t="s">
        <v>60</v>
      </c>
      <c r="D107" s="890" t="s">
        <v>61</v>
      </c>
      <c r="E107" s="890" t="s">
        <v>62</v>
      </c>
      <c r="F107" s="798"/>
      <c r="G107" s="798"/>
      <c r="H107" s="798"/>
      <c r="I107" s="798"/>
      <c r="J107" s="798"/>
      <c r="K107" s="798"/>
      <c r="L107" s="798"/>
      <c r="M107" s="809" t="s">
        <v>59</v>
      </c>
      <c r="N107" s="890" t="s">
        <v>60</v>
      </c>
      <c r="O107" s="890" t="s">
        <v>61</v>
      </c>
      <c r="P107" s="890" t="s">
        <v>62</v>
      </c>
      <c r="Q107" s="794"/>
    </row>
    <row r="108" spans="1:25" x14ac:dyDescent="0.25">
      <c r="A108" s="794"/>
      <c r="B108" s="799" t="s">
        <v>20</v>
      </c>
      <c r="C108" s="814">
        <v>3</v>
      </c>
      <c r="D108" s="814">
        <v>3</v>
      </c>
      <c r="E108" s="814">
        <v>2</v>
      </c>
      <c r="F108" s="798"/>
      <c r="G108" s="798"/>
      <c r="H108" s="798"/>
      <c r="I108" s="798"/>
      <c r="J108" s="798"/>
      <c r="K108" s="798"/>
      <c r="L108" s="798"/>
      <c r="M108" s="810" t="s">
        <v>20</v>
      </c>
      <c r="N108" s="797">
        <f>G75*C108/3</f>
        <v>2.0999999999999996</v>
      </c>
      <c r="O108" s="797">
        <f>G75*D108/3</f>
        <v>2.0999999999999996</v>
      </c>
      <c r="P108" s="797">
        <f>G75*E108/3</f>
        <v>1.3999999999999997</v>
      </c>
      <c r="Q108" s="794"/>
    </row>
    <row r="109" spans="1:25" x14ac:dyDescent="0.25">
      <c r="A109" s="794"/>
      <c r="B109" s="796" t="s">
        <v>21</v>
      </c>
      <c r="C109" s="814">
        <v>3</v>
      </c>
      <c r="D109" s="814">
        <v>3</v>
      </c>
      <c r="E109" s="814">
        <v>3</v>
      </c>
      <c r="F109" s="798"/>
      <c r="G109" s="798"/>
      <c r="H109" s="798"/>
      <c r="I109" s="798"/>
      <c r="J109" s="798"/>
      <c r="K109" s="798"/>
      <c r="L109" s="798"/>
      <c r="M109" s="811" t="s">
        <v>21</v>
      </c>
      <c r="N109" s="797">
        <f>G76*C109/3</f>
        <v>2.6999999999999997</v>
      </c>
      <c r="O109" s="797">
        <f>G76*D109/3</f>
        <v>2.6999999999999997</v>
      </c>
      <c r="P109" s="797">
        <f>G76*E109/3</f>
        <v>2.6999999999999997</v>
      </c>
      <c r="Q109" s="794"/>
    </row>
    <row r="110" spans="1:25" x14ac:dyDescent="0.25">
      <c r="A110" s="794"/>
      <c r="B110" s="796" t="s">
        <v>23</v>
      </c>
      <c r="C110" s="814">
        <v>3</v>
      </c>
      <c r="D110" s="814">
        <v>3</v>
      </c>
      <c r="E110" s="814">
        <v>3</v>
      </c>
      <c r="F110" s="798"/>
      <c r="G110" s="798"/>
      <c r="H110" s="798"/>
      <c r="I110" s="798"/>
      <c r="J110" s="798"/>
      <c r="K110" s="798"/>
      <c r="L110" s="798"/>
      <c r="M110" s="811" t="s">
        <v>23</v>
      </c>
      <c r="N110" s="797">
        <f>G77*C110/3</f>
        <v>2.9999999999999996</v>
      </c>
      <c r="O110" s="797">
        <f>G77*D110/3</f>
        <v>2.9999999999999996</v>
      </c>
      <c r="P110" s="797">
        <f>G77*E110/3</f>
        <v>2.9999999999999996</v>
      </c>
      <c r="Q110" s="794"/>
    </row>
    <row r="111" spans="1:25" x14ac:dyDescent="0.25">
      <c r="A111" s="794"/>
      <c r="B111" s="796" t="s">
        <v>25</v>
      </c>
      <c r="C111" s="814">
        <v>3</v>
      </c>
      <c r="D111" s="814">
        <v>3</v>
      </c>
      <c r="E111" s="814">
        <v>2</v>
      </c>
      <c r="F111" s="798"/>
      <c r="G111" s="798"/>
      <c r="H111" s="798"/>
      <c r="I111" s="798"/>
      <c r="J111" s="798"/>
      <c r="K111" s="798"/>
      <c r="L111" s="798"/>
      <c r="M111" s="811" t="s">
        <v>25</v>
      </c>
      <c r="N111" s="797">
        <f>G78*C111/3</f>
        <v>2.9999999999999996</v>
      </c>
      <c r="O111" s="797">
        <f>G78*D111/3</f>
        <v>2.9999999999999996</v>
      </c>
      <c r="P111" s="797">
        <f>G78*E111/3</f>
        <v>1.9999999999999998</v>
      </c>
      <c r="Q111" s="794"/>
    </row>
    <row r="112" spans="1:25" x14ac:dyDescent="0.25">
      <c r="A112" s="794"/>
      <c r="B112" s="796" t="s">
        <v>24</v>
      </c>
      <c r="C112" s="850">
        <v>3</v>
      </c>
      <c r="D112" s="850">
        <v>3</v>
      </c>
      <c r="E112" s="850">
        <v>2</v>
      </c>
      <c r="F112" s="798"/>
      <c r="G112" s="798"/>
      <c r="H112" s="798"/>
      <c r="I112" s="798"/>
      <c r="J112" s="798"/>
      <c r="K112" s="798"/>
      <c r="L112" s="798"/>
      <c r="M112" s="811" t="s">
        <v>24</v>
      </c>
      <c r="N112" s="797">
        <f>G79*C112/3</f>
        <v>2.9999999999999996</v>
      </c>
      <c r="O112" s="797">
        <f>G79*D112/3</f>
        <v>2.9999999999999996</v>
      </c>
      <c r="P112" s="797">
        <f>G79*E112/3</f>
        <v>1.9999999999999998</v>
      </c>
      <c r="Q112" s="794"/>
    </row>
    <row r="113" spans="1:17" x14ac:dyDescent="0.25">
      <c r="A113" s="794"/>
      <c r="B113" s="823" t="s">
        <v>10</v>
      </c>
      <c r="C113" s="804">
        <f>AVERAGE(C108:C112)</f>
        <v>3</v>
      </c>
      <c r="D113" s="804">
        <f t="shared" ref="D113:E113" si="14">AVERAGE(D108:D112)</f>
        <v>3</v>
      </c>
      <c r="E113" s="804">
        <f t="shared" si="14"/>
        <v>2.4</v>
      </c>
      <c r="F113" s="798"/>
      <c r="G113" s="798"/>
      <c r="H113" s="798"/>
      <c r="I113" s="798"/>
      <c r="J113" s="798"/>
      <c r="K113" s="798"/>
      <c r="L113" s="798"/>
      <c r="M113" s="812" t="s">
        <v>10</v>
      </c>
      <c r="N113" s="797">
        <f>AVERAGE(N108:N112)</f>
        <v>2.76</v>
      </c>
      <c r="O113" s="797">
        <f t="shared" ref="O113:P113" si="15">AVERAGE(O108:O112)</f>
        <v>2.76</v>
      </c>
      <c r="P113" s="797">
        <f t="shared" si="15"/>
        <v>2.2199999999999998</v>
      </c>
      <c r="Q113" s="794"/>
    </row>
    <row r="114" spans="1:17" ht="25.5" x14ac:dyDescent="0.25">
      <c r="A114" s="800"/>
      <c r="B114" s="827" t="s">
        <v>58</v>
      </c>
      <c r="C114" s="3113">
        <f>AVERAGE(C113:E113)</f>
        <v>2.8000000000000003</v>
      </c>
      <c r="D114" s="3284"/>
      <c r="E114" s="3115"/>
      <c r="F114" s="800"/>
      <c r="G114" s="800"/>
      <c r="H114" s="800"/>
      <c r="I114" s="800"/>
      <c r="J114" s="800"/>
      <c r="K114" s="800"/>
      <c r="L114" s="800"/>
      <c r="M114" s="828" t="s">
        <v>58</v>
      </c>
      <c r="N114" s="3113">
        <f>AVERAGE(N113:P113)</f>
        <v>2.5799999999999996</v>
      </c>
      <c r="O114" s="3284"/>
      <c r="P114" s="3115"/>
      <c r="Q114" s="800"/>
    </row>
    <row r="115" spans="1:17" x14ac:dyDescent="0.25">
      <c r="A115" s="794"/>
      <c r="B115" s="794"/>
      <c r="C115" s="798"/>
      <c r="D115" s="798"/>
      <c r="E115" s="798"/>
      <c r="F115" s="798"/>
      <c r="G115" s="798"/>
      <c r="H115" s="798"/>
      <c r="I115" s="798"/>
      <c r="J115" s="798"/>
      <c r="K115" s="798"/>
      <c r="L115" s="798"/>
      <c r="M115" s="807"/>
      <c r="N115" s="794"/>
      <c r="O115" s="794"/>
      <c r="P115" s="794"/>
      <c r="Q115" s="794"/>
    </row>
    <row r="117" spans="1:17" x14ac:dyDescent="0.25">
      <c r="A117" s="3054"/>
      <c r="B117" s="3054"/>
      <c r="C117" s="3054"/>
      <c r="D117" s="3054"/>
      <c r="E117" s="3054"/>
      <c r="F117" s="3054"/>
      <c r="G117" s="3054"/>
      <c r="H117" s="3054"/>
      <c r="I117" s="3054"/>
      <c r="J117" s="3054"/>
      <c r="K117" s="3054"/>
      <c r="L117" s="3054"/>
      <c r="M117" s="3054"/>
      <c r="N117" s="3054"/>
      <c r="O117" s="3054"/>
      <c r="P117" s="3054"/>
      <c r="Q117" s="3054"/>
    </row>
    <row r="118" spans="1:17" x14ac:dyDescent="0.25">
      <c r="A118" s="825"/>
      <c r="B118" s="825"/>
      <c r="C118" s="825"/>
      <c r="D118" s="825"/>
      <c r="E118" s="825"/>
      <c r="F118" s="825"/>
      <c r="G118" s="825"/>
      <c r="H118" s="825"/>
      <c r="I118" s="825"/>
      <c r="J118" s="825"/>
      <c r="K118" s="825"/>
      <c r="L118" s="825"/>
      <c r="M118" s="825"/>
      <c r="N118" s="825"/>
      <c r="O118" s="825"/>
      <c r="P118" s="825"/>
      <c r="Q118" s="825"/>
    </row>
    <row r="119" spans="1:17" x14ac:dyDescent="0.25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  <c r="P119" s="3053"/>
      <c r="Q119" s="3053"/>
    </row>
    <row r="120" spans="1:17" x14ac:dyDescent="0.25">
      <c r="A120" s="3053"/>
      <c r="B120" s="3053"/>
      <c r="C120" s="3053"/>
      <c r="D120" s="3053"/>
      <c r="E120" s="3053"/>
      <c r="F120" s="3053"/>
      <c r="G120" s="3053"/>
      <c r="H120" s="3053"/>
      <c r="I120" s="3053"/>
      <c r="J120" s="3053"/>
      <c r="K120" s="3053"/>
      <c r="L120" s="3053"/>
      <c r="M120" s="3053"/>
      <c r="N120" s="3053"/>
      <c r="O120" s="3053"/>
      <c r="P120" s="3053"/>
      <c r="Q120" s="3053"/>
    </row>
    <row r="121" spans="1:17" x14ac:dyDescent="0.25">
      <c r="A121" s="3053"/>
      <c r="B121" s="3053"/>
      <c r="C121" s="3053"/>
      <c r="D121" s="3053"/>
      <c r="E121" s="3053"/>
      <c r="F121" s="3053"/>
      <c r="G121" s="3053"/>
      <c r="H121" s="3053"/>
      <c r="I121" s="3053"/>
      <c r="J121" s="3053"/>
      <c r="K121" s="3053"/>
      <c r="L121" s="3053"/>
      <c r="M121" s="3053"/>
      <c r="N121" s="3053"/>
      <c r="O121" s="3053"/>
      <c r="P121" s="3053"/>
      <c r="Q121" s="3053"/>
    </row>
    <row r="122" spans="1:17" x14ac:dyDescent="0.25">
      <c r="A122" s="3053"/>
      <c r="B122" s="3053"/>
      <c r="C122" s="3053"/>
      <c r="D122" s="3053"/>
      <c r="E122" s="3053"/>
      <c r="F122" s="3053"/>
      <c r="G122" s="3053"/>
      <c r="H122" s="3053"/>
      <c r="I122" s="3053"/>
      <c r="J122" s="3053"/>
      <c r="K122" s="3053"/>
      <c r="L122" s="3053"/>
      <c r="M122" s="3053"/>
      <c r="N122" s="3053"/>
      <c r="O122" s="3053"/>
      <c r="P122" s="3053"/>
      <c r="Q122" s="3053"/>
    </row>
    <row r="123" spans="1:17" x14ac:dyDescent="0.25">
      <c r="A123" s="3053"/>
      <c r="B123" s="3053"/>
      <c r="C123" s="3053"/>
      <c r="D123" s="3053"/>
      <c r="E123" s="3053"/>
      <c r="F123" s="3053"/>
      <c r="G123" s="3053"/>
      <c r="H123" s="3053"/>
      <c r="I123" s="3053"/>
      <c r="J123" s="3053"/>
      <c r="K123" s="3053"/>
      <c r="L123" s="3053"/>
      <c r="M123" s="3053"/>
      <c r="N123" s="3053"/>
      <c r="O123" s="3053"/>
      <c r="P123" s="3053"/>
      <c r="Q123" s="3053"/>
    </row>
    <row r="124" spans="1:17" x14ac:dyDescent="0.25">
      <c r="A124" s="3053"/>
      <c r="B124" s="3053"/>
      <c r="C124" s="3053"/>
      <c r="D124" s="3053"/>
      <c r="E124" s="3053"/>
      <c r="F124" s="3053"/>
      <c r="G124" s="3053"/>
      <c r="H124" s="3053"/>
      <c r="I124" s="3053"/>
      <c r="J124" s="3053"/>
      <c r="K124" s="3053"/>
      <c r="L124" s="3053"/>
      <c r="M124" s="3053"/>
      <c r="N124" s="3053"/>
      <c r="O124" s="3053"/>
      <c r="P124" s="3053"/>
      <c r="Q124" s="3053"/>
    </row>
    <row r="125" spans="1:17" x14ac:dyDescent="0.25">
      <c r="A125" s="3054"/>
      <c r="B125" s="3054"/>
      <c r="C125" s="3054"/>
      <c r="D125" s="3054"/>
      <c r="E125" s="3054"/>
      <c r="F125" s="3054"/>
      <c r="G125" s="3054"/>
      <c r="H125" s="3054"/>
      <c r="I125" s="3054"/>
      <c r="J125" s="3054"/>
      <c r="K125" s="3054"/>
      <c r="L125" s="3054"/>
      <c r="M125" s="3054"/>
      <c r="N125" s="3054"/>
      <c r="O125" s="3054"/>
      <c r="P125" s="3054"/>
      <c r="Q125" s="3054"/>
    </row>
    <row r="126" spans="1:17" x14ac:dyDescent="0.25">
      <c r="A126" s="3055"/>
      <c r="B126" s="3055"/>
      <c r="C126" s="3055"/>
      <c r="D126" s="3055"/>
      <c r="E126" s="3055"/>
      <c r="F126" s="3055"/>
      <c r="G126" s="3055"/>
      <c r="H126" s="3055"/>
      <c r="I126" s="3055"/>
      <c r="J126" s="3055"/>
      <c r="K126" s="3055"/>
      <c r="L126" s="3055"/>
      <c r="M126" s="3055"/>
      <c r="N126" s="3055"/>
      <c r="O126" s="3055"/>
      <c r="P126" s="3055"/>
      <c r="Q126" s="3055"/>
    </row>
    <row r="127" spans="1:17" x14ac:dyDescent="0.25">
      <c r="A127" s="2983"/>
      <c r="B127" s="2983"/>
      <c r="C127" s="2983"/>
      <c r="D127" s="2983"/>
      <c r="E127" s="2983"/>
      <c r="F127" s="2983"/>
      <c r="G127" s="2983"/>
      <c r="H127" s="2983"/>
      <c r="I127" s="2983"/>
      <c r="J127" s="2983"/>
      <c r="K127" s="2983"/>
      <c r="L127" s="2983"/>
      <c r="M127" s="2983"/>
      <c r="N127" s="2983"/>
      <c r="O127" s="2983"/>
      <c r="P127" s="2983"/>
      <c r="Q127" s="2983"/>
    </row>
    <row r="128" spans="1:17" x14ac:dyDescent="0.25">
      <c r="A128" s="3045"/>
      <c r="B128" s="3045"/>
      <c r="C128" s="3045"/>
      <c r="D128" s="3045"/>
      <c r="E128" s="3045"/>
      <c r="F128" s="3045"/>
      <c r="G128" s="3045"/>
      <c r="H128" s="3045"/>
      <c r="I128" s="3045"/>
      <c r="J128" s="3045"/>
      <c r="K128" s="3045"/>
      <c r="L128" s="3045"/>
      <c r="M128" s="3045"/>
      <c r="N128" s="3045"/>
      <c r="O128" s="3045"/>
      <c r="P128" s="3045"/>
      <c r="Q128" s="3045"/>
    </row>
    <row r="129" spans="1:17" x14ac:dyDescent="0.25">
      <c r="A129" s="3046"/>
      <c r="B129" s="3046"/>
      <c r="C129" s="3046"/>
      <c r="D129" s="3046"/>
      <c r="E129" s="3046"/>
      <c r="F129" s="3046"/>
      <c r="G129" s="3046"/>
      <c r="H129" s="3046"/>
      <c r="I129" s="3046"/>
      <c r="J129" s="3046"/>
      <c r="K129" s="3046"/>
      <c r="L129" s="3046"/>
      <c r="M129" s="3046"/>
      <c r="N129" s="3046"/>
      <c r="O129" s="3046"/>
      <c r="P129" s="3046"/>
      <c r="Q129" s="3046"/>
    </row>
    <row r="130" spans="1:17" x14ac:dyDescent="0.25">
      <c r="A130" s="3046"/>
      <c r="B130" s="3046"/>
      <c r="C130" s="3046"/>
      <c r="D130" s="3046"/>
      <c r="E130" s="3046"/>
      <c r="F130" s="3046"/>
      <c r="G130" s="3046"/>
      <c r="H130" s="3046"/>
      <c r="I130" s="3046"/>
      <c r="J130" s="3046"/>
      <c r="K130" s="3046"/>
      <c r="L130" s="3046"/>
      <c r="M130" s="3046"/>
      <c r="N130" s="3046"/>
      <c r="O130" s="3046"/>
      <c r="P130" s="3046"/>
      <c r="Q130" s="3046"/>
    </row>
    <row r="131" spans="1:17" x14ac:dyDescent="0.25">
      <c r="A131" s="2983"/>
      <c r="B131" s="2983"/>
      <c r="C131" s="2983"/>
      <c r="D131" s="2983"/>
      <c r="E131" s="2983"/>
      <c r="F131" s="2983"/>
      <c r="G131" s="2983"/>
      <c r="H131" s="2983"/>
      <c r="I131" s="2983"/>
      <c r="J131" s="2983"/>
      <c r="K131" s="2983"/>
      <c r="L131" s="2983"/>
      <c r="M131" s="2983"/>
      <c r="N131" s="2983"/>
      <c r="O131" s="2983"/>
      <c r="P131" s="2983"/>
      <c r="Q131" s="2983"/>
    </row>
  </sheetData>
  <mergeCells count="58">
    <mergeCell ref="A131:Q131"/>
    <mergeCell ref="A120:Q120"/>
    <mergeCell ref="A121:Q121"/>
    <mergeCell ref="A122:Q122"/>
    <mergeCell ref="A123:Q123"/>
    <mergeCell ref="A124:Q124"/>
    <mergeCell ref="A125:Q125"/>
    <mergeCell ref="A126:Q126"/>
    <mergeCell ref="A127:Q127"/>
    <mergeCell ref="A128:Q128"/>
    <mergeCell ref="A129:Q129"/>
    <mergeCell ref="A130:Q130"/>
    <mergeCell ref="A119:Q119"/>
    <mergeCell ref="E79:F79"/>
    <mergeCell ref="B80:F80"/>
    <mergeCell ref="A82:B82"/>
    <mergeCell ref="C91:N91"/>
    <mergeCell ref="A94:B94"/>
    <mergeCell ref="C103:N103"/>
    <mergeCell ref="A105:B105"/>
    <mergeCell ref="K105:M105"/>
    <mergeCell ref="C114:E114"/>
    <mergeCell ref="N114:P114"/>
    <mergeCell ref="A117:Q117"/>
    <mergeCell ref="E78:F78"/>
    <mergeCell ref="Z6:Z8"/>
    <mergeCell ref="AA6:AA8"/>
    <mergeCell ref="AB6:AB9"/>
    <mergeCell ref="AC6:AC9"/>
    <mergeCell ref="S6:T6"/>
    <mergeCell ref="U6:V6"/>
    <mergeCell ref="W6:X6"/>
    <mergeCell ref="E74:F74"/>
    <mergeCell ref="G74:H74"/>
    <mergeCell ref="E75:F75"/>
    <mergeCell ref="E76:F76"/>
    <mergeCell ref="E77:F77"/>
    <mergeCell ref="A70:B70"/>
    <mergeCell ref="A71:B71"/>
    <mergeCell ref="K6:L6"/>
    <mergeCell ref="N6:P6"/>
    <mergeCell ref="Q6:R6"/>
    <mergeCell ref="A6:A8"/>
    <mergeCell ref="B6:B7"/>
    <mergeCell ref="C6:E6"/>
    <mergeCell ref="F6:G6"/>
    <mergeCell ref="I6:J6"/>
    <mergeCell ref="C4:M4"/>
    <mergeCell ref="O4:Y4"/>
    <mergeCell ref="A5:B5"/>
    <mergeCell ref="C5:N5"/>
    <mergeCell ref="O5:Z5"/>
    <mergeCell ref="A2:B2"/>
    <mergeCell ref="C2:M2"/>
    <mergeCell ref="O2:Y2"/>
    <mergeCell ref="A3:B3"/>
    <mergeCell ref="C3:M3"/>
    <mergeCell ref="O3:Y3"/>
  </mergeCells>
  <conditionalFormatting sqref="AB12">
    <cfRule type="containsText" dxfId="76" priority="1" operator="containsText" text="F">
      <formula>NOT(ISERROR(SEARCH("F",AB12)))</formula>
    </cfRule>
  </conditionalFormatting>
  <conditionalFormatting sqref="AB10:AB11 AB13:AB67">
    <cfRule type="containsText" dxfId="75" priority="2" operator="containsText" text="F">
      <formula>NOT(ISERROR(SEARCH("F",AB10)))</formula>
    </cfRule>
  </conditionalFormatting>
  <pageMargins left="0.7" right="0.7" top="0.75" bottom="0.75" header="0.3" footer="0.3"/>
  <pageSetup paperSize="8" scale="44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AC131"/>
  <sheetViews>
    <sheetView topLeftCell="A65" zoomScale="71" zoomScaleNormal="71" workbookViewId="0">
      <selection activeCell="F79" sqref="F79"/>
    </sheetView>
  </sheetViews>
  <sheetFormatPr defaultRowHeight="16.5" x14ac:dyDescent="0.25"/>
  <cols>
    <col min="1" max="1" width="15.140625" style="493" bestFit="1" customWidth="1"/>
    <col min="2" max="2" width="18.28515625" style="493" bestFit="1" customWidth="1"/>
    <col min="3" max="5" width="9.140625" style="493"/>
    <col min="6" max="6" width="11.140625" style="493" customWidth="1"/>
    <col min="7" max="8" width="9.85546875" style="493" customWidth="1"/>
    <col min="9" max="10" width="10.5703125" style="493" customWidth="1"/>
    <col min="11" max="11" width="15.140625" style="493" customWidth="1"/>
    <col min="12" max="12" width="10.5703125" style="493" customWidth="1"/>
    <col min="13" max="13" width="12.7109375" style="595" customWidth="1"/>
    <col min="14" max="14" width="10.5703125" style="493" customWidth="1"/>
    <col min="15" max="17" width="11.140625" style="493" bestFit="1" customWidth="1"/>
    <col min="18" max="20" width="10.42578125" style="493" customWidth="1"/>
    <col min="21" max="24" width="10.5703125" style="493" customWidth="1"/>
    <col min="25" max="25" width="10.5703125" style="595" customWidth="1"/>
    <col min="26" max="27" width="9.140625" style="493"/>
    <col min="28" max="28" width="8" style="493" customWidth="1"/>
    <col min="29" max="29" width="7.42578125" style="493" customWidth="1"/>
    <col min="30" max="16384" width="9.140625" style="493"/>
  </cols>
  <sheetData>
    <row r="1" spans="1:29" x14ac:dyDescent="0.25">
      <c r="A1" s="737"/>
    </row>
    <row r="2" spans="1:29" s="1116" customFormat="1" ht="24.75" customHeight="1" x14ac:dyDescent="0.3">
      <c r="A2" s="3403" t="s">
        <v>0</v>
      </c>
      <c r="B2" s="3404"/>
      <c r="C2" s="3405" t="s">
        <v>110</v>
      </c>
      <c r="D2" s="3317"/>
      <c r="E2" s="3317"/>
      <c r="F2" s="3317"/>
      <c r="G2" s="3317"/>
      <c r="H2" s="3317"/>
      <c r="I2" s="3317"/>
      <c r="J2" s="3317"/>
      <c r="K2" s="3317"/>
      <c r="L2" s="3317"/>
      <c r="M2" s="3406"/>
      <c r="N2" s="1115" t="s">
        <v>63</v>
      </c>
      <c r="O2" s="3611" t="s">
        <v>230</v>
      </c>
      <c r="P2" s="3612"/>
      <c r="Q2" s="3612"/>
      <c r="R2" s="3612"/>
      <c r="S2" s="3612"/>
      <c r="T2" s="3612"/>
      <c r="U2" s="3612"/>
      <c r="V2" s="3612"/>
      <c r="W2" s="3612"/>
      <c r="X2" s="3612"/>
      <c r="Y2" s="3612"/>
    </row>
    <row r="3" spans="1:29" s="1116" customFormat="1" ht="24.75" customHeight="1" x14ac:dyDescent="0.3">
      <c r="A3" s="3403" t="s">
        <v>1</v>
      </c>
      <c r="B3" s="3404"/>
      <c r="C3" s="3405" t="s">
        <v>231</v>
      </c>
      <c r="D3" s="3317"/>
      <c r="E3" s="3317"/>
      <c r="F3" s="3317"/>
      <c r="G3" s="3317"/>
      <c r="H3" s="3317"/>
      <c r="I3" s="3317"/>
      <c r="J3" s="3317"/>
      <c r="K3" s="3317"/>
      <c r="L3" s="3317"/>
      <c r="M3" s="3406"/>
      <c r="N3" s="1117" t="s">
        <v>64</v>
      </c>
      <c r="O3" s="3611" t="s">
        <v>232</v>
      </c>
      <c r="P3" s="3612"/>
      <c r="Q3" s="3612"/>
      <c r="R3" s="3612"/>
      <c r="S3" s="3612"/>
      <c r="T3" s="3612"/>
      <c r="U3" s="3612"/>
      <c r="V3" s="3612"/>
      <c r="W3" s="3612"/>
      <c r="X3" s="3612"/>
      <c r="Y3" s="3612"/>
    </row>
    <row r="4" spans="1:29" s="1116" customFormat="1" ht="24.75" customHeight="1" thickBot="1" x14ac:dyDescent="0.35">
      <c r="A4" s="1346"/>
      <c r="B4" s="1347" t="s">
        <v>2</v>
      </c>
      <c r="C4" s="3408" t="s">
        <v>272</v>
      </c>
      <c r="D4" s="3409"/>
      <c r="E4" s="3409"/>
      <c r="F4" s="3409"/>
      <c r="G4" s="3409"/>
      <c r="H4" s="3409"/>
      <c r="I4" s="3409"/>
      <c r="J4" s="3409"/>
      <c r="K4" s="3409"/>
      <c r="L4" s="3409"/>
      <c r="M4" s="3410"/>
      <c r="N4" s="1347" t="s">
        <v>65</v>
      </c>
      <c r="O4" s="3613" t="s">
        <v>66</v>
      </c>
      <c r="P4" s="3614"/>
      <c r="Q4" s="3614"/>
      <c r="R4" s="3614"/>
      <c r="S4" s="3614"/>
      <c r="T4" s="3614"/>
      <c r="U4" s="3614"/>
      <c r="V4" s="3614"/>
      <c r="W4" s="3614"/>
      <c r="X4" s="3614"/>
      <c r="Y4" s="3614"/>
    </row>
    <row r="5" spans="1:29" s="1116" customFormat="1" ht="24.75" customHeight="1" thickBot="1" x14ac:dyDescent="0.35">
      <c r="A5" s="3336"/>
      <c r="B5" s="3415"/>
      <c r="C5" s="3416" t="s">
        <v>3</v>
      </c>
      <c r="D5" s="3417"/>
      <c r="E5" s="3417"/>
      <c r="F5" s="3418"/>
      <c r="G5" s="3418"/>
      <c r="H5" s="3418"/>
      <c r="I5" s="3418"/>
      <c r="J5" s="3418"/>
      <c r="K5" s="3418"/>
      <c r="L5" s="3418"/>
      <c r="M5" s="3418"/>
      <c r="N5" s="3419"/>
      <c r="O5" s="3341" t="s">
        <v>4</v>
      </c>
      <c r="P5" s="3342"/>
      <c r="Q5" s="3342"/>
      <c r="R5" s="3342"/>
      <c r="S5" s="3342"/>
      <c r="T5" s="3342"/>
      <c r="U5" s="3342"/>
      <c r="V5" s="3342"/>
      <c r="W5" s="3342"/>
      <c r="X5" s="3342"/>
      <c r="Y5" s="3342"/>
      <c r="Z5" s="3342"/>
      <c r="AA5" s="1014"/>
      <c r="AB5" s="1118"/>
      <c r="AC5" s="1119"/>
    </row>
    <row r="6" spans="1:29" s="1116" customFormat="1" ht="24.75" customHeight="1" x14ac:dyDescent="0.3">
      <c r="A6" s="3321"/>
      <c r="B6" s="3325" t="s">
        <v>5</v>
      </c>
      <c r="C6" s="3428" t="s">
        <v>6</v>
      </c>
      <c r="D6" s="3429"/>
      <c r="E6" s="3429"/>
      <c r="F6" s="3431" t="s">
        <v>7</v>
      </c>
      <c r="G6" s="3413"/>
      <c r="H6" s="3413" t="s">
        <v>8</v>
      </c>
      <c r="I6" s="3413"/>
      <c r="J6" s="3424" t="s">
        <v>9</v>
      </c>
      <c r="K6" s="3430"/>
      <c r="L6" s="3424" t="s">
        <v>236</v>
      </c>
      <c r="M6" s="3425"/>
      <c r="N6" s="3426" t="s">
        <v>146</v>
      </c>
      <c r="O6" s="3428" t="s">
        <v>6</v>
      </c>
      <c r="P6" s="3429"/>
      <c r="Q6" s="3429"/>
      <c r="R6" s="3424" t="s">
        <v>7</v>
      </c>
      <c r="S6" s="3430"/>
      <c r="T6" s="3424" t="s">
        <v>8</v>
      </c>
      <c r="U6" s="3430"/>
      <c r="V6" s="3424" t="s">
        <v>9</v>
      </c>
      <c r="W6" s="3430"/>
      <c r="X6" s="3424" t="s">
        <v>236</v>
      </c>
      <c r="Y6" s="3430"/>
      <c r="Z6" s="3432" t="s">
        <v>147</v>
      </c>
      <c r="AA6" s="3352" t="s">
        <v>10</v>
      </c>
      <c r="AB6" s="3352" t="s">
        <v>11</v>
      </c>
      <c r="AC6" s="3422" t="s">
        <v>12</v>
      </c>
    </row>
    <row r="7" spans="1:29" s="1116" customFormat="1" ht="24.75" customHeight="1" x14ac:dyDescent="0.3">
      <c r="A7" s="3322"/>
      <c r="B7" s="3205"/>
      <c r="C7" s="1122" t="s">
        <v>13</v>
      </c>
      <c r="D7" s="1126" t="s">
        <v>14</v>
      </c>
      <c r="E7" s="1126" t="s">
        <v>15</v>
      </c>
      <c r="F7" s="1349" t="s">
        <v>13</v>
      </c>
      <c r="G7" s="1350" t="s">
        <v>14</v>
      </c>
      <c r="H7" s="1351" t="s">
        <v>13</v>
      </c>
      <c r="I7" s="1350" t="s">
        <v>14</v>
      </c>
      <c r="J7" s="1526" t="s">
        <v>13</v>
      </c>
      <c r="K7" s="1352" t="s">
        <v>14</v>
      </c>
      <c r="L7" s="1352" t="s">
        <v>13</v>
      </c>
      <c r="M7" s="1352" t="s">
        <v>14</v>
      </c>
      <c r="N7" s="3427"/>
      <c r="O7" s="1122" t="s">
        <v>13</v>
      </c>
      <c r="P7" s="1126" t="s">
        <v>14</v>
      </c>
      <c r="Q7" s="1126" t="s">
        <v>15</v>
      </c>
      <c r="R7" s="1125" t="s">
        <v>13</v>
      </c>
      <c r="S7" s="1125" t="s">
        <v>14</v>
      </c>
      <c r="T7" s="1125" t="s">
        <v>13</v>
      </c>
      <c r="U7" s="1125" t="s">
        <v>14</v>
      </c>
      <c r="V7" s="1125" t="s">
        <v>13</v>
      </c>
      <c r="W7" s="1125" t="s">
        <v>14</v>
      </c>
      <c r="X7" s="1125" t="s">
        <v>13</v>
      </c>
      <c r="Y7" s="1125" t="s">
        <v>14</v>
      </c>
      <c r="Z7" s="3433"/>
      <c r="AA7" s="3344"/>
      <c r="AB7" s="3344"/>
      <c r="AC7" s="3423"/>
    </row>
    <row r="8" spans="1:29" s="1116" customFormat="1" ht="24.75" customHeight="1" x14ac:dyDescent="0.3">
      <c r="A8" s="3323"/>
      <c r="B8" s="1246" t="s">
        <v>19</v>
      </c>
      <c r="C8" s="1122" t="s">
        <v>20</v>
      </c>
      <c r="D8" s="1126" t="s">
        <v>20</v>
      </c>
      <c r="E8" s="1126" t="s">
        <v>21</v>
      </c>
      <c r="F8" s="1126" t="s">
        <v>20</v>
      </c>
      <c r="G8" s="1126" t="s">
        <v>20</v>
      </c>
      <c r="H8" s="1126" t="s">
        <v>20</v>
      </c>
      <c r="I8" s="1126" t="s">
        <v>20</v>
      </c>
      <c r="J8" s="1126" t="s">
        <v>282</v>
      </c>
      <c r="K8" s="1126" t="s">
        <v>21</v>
      </c>
      <c r="L8" s="1126" t="s">
        <v>21</v>
      </c>
      <c r="M8" s="1126" t="s">
        <v>21</v>
      </c>
      <c r="N8" s="3427"/>
      <c r="O8" s="1122" t="s">
        <v>41</v>
      </c>
      <c r="P8" s="1122" t="s">
        <v>42</v>
      </c>
      <c r="Q8" s="1122" t="s">
        <v>43</v>
      </c>
      <c r="R8" s="1122" t="s">
        <v>41</v>
      </c>
      <c r="S8" s="1122" t="s">
        <v>42</v>
      </c>
      <c r="T8" s="1122" t="s">
        <v>41</v>
      </c>
      <c r="U8" s="1122" t="s">
        <v>42</v>
      </c>
      <c r="V8" s="1126" t="s">
        <v>41</v>
      </c>
      <c r="W8" s="1126" t="s">
        <v>43</v>
      </c>
      <c r="X8" s="1126" t="s">
        <v>42</v>
      </c>
      <c r="Y8" s="1126" t="s">
        <v>43</v>
      </c>
      <c r="Z8" s="3433"/>
      <c r="AA8" s="3344"/>
      <c r="AB8" s="3344"/>
      <c r="AC8" s="3423"/>
    </row>
    <row r="9" spans="1:29" s="1116" customFormat="1" ht="24.75" customHeight="1" x14ac:dyDescent="0.3">
      <c r="A9" s="1126" t="s">
        <v>18</v>
      </c>
      <c r="B9" s="1129" t="s">
        <v>26</v>
      </c>
      <c r="C9" s="1122">
        <v>2</v>
      </c>
      <c r="D9" s="1126">
        <v>2</v>
      </c>
      <c r="E9" s="1129">
        <v>2</v>
      </c>
      <c r="F9" s="1126">
        <v>6</v>
      </c>
      <c r="G9" s="1126">
        <v>6</v>
      </c>
      <c r="H9" s="1126">
        <v>6</v>
      </c>
      <c r="I9" s="1126">
        <v>6</v>
      </c>
      <c r="J9" s="1280">
        <v>6</v>
      </c>
      <c r="K9" s="1280">
        <v>6</v>
      </c>
      <c r="L9" s="1246">
        <v>6</v>
      </c>
      <c r="M9" s="1281">
        <v>6</v>
      </c>
      <c r="N9" s="1130">
        <f>SUM(C9:I9)</f>
        <v>30</v>
      </c>
      <c r="O9" s="1122">
        <v>2</v>
      </c>
      <c r="P9" s="1126">
        <v>2</v>
      </c>
      <c r="Q9" s="1126">
        <v>2</v>
      </c>
      <c r="R9" s="1126">
        <v>5</v>
      </c>
      <c r="S9" s="1126">
        <v>5</v>
      </c>
      <c r="T9" s="1126">
        <v>5</v>
      </c>
      <c r="U9" s="1126">
        <v>5</v>
      </c>
      <c r="V9" s="1126">
        <v>5</v>
      </c>
      <c r="W9" s="1126">
        <v>5</v>
      </c>
      <c r="X9" s="1126">
        <v>5</v>
      </c>
      <c r="Y9" s="1282">
        <v>5</v>
      </c>
      <c r="Z9" s="1161"/>
      <c r="AA9" s="1126"/>
      <c r="AB9" s="1013"/>
      <c r="AC9" s="193"/>
    </row>
    <row r="10" spans="1:29" s="1116" customFormat="1" ht="24.75" customHeight="1" x14ac:dyDescent="0.3">
      <c r="A10" s="1126">
        <v>1</v>
      </c>
      <c r="B10" s="1132">
        <v>5191421001</v>
      </c>
      <c r="C10" s="1133">
        <v>2</v>
      </c>
      <c r="D10" s="1134">
        <v>1</v>
      </c>
      <c r="E10" s="1238">
        <v>2</v>
      </c>
      <c r="F10" s="1126">
        <v>4</v>
      </c>
      <c r="G10" s="1126">
        <v>1</v>
      </c>
      <c r="H10" s="1126"/>
      <c r="I10" s="1126"/>
      <c r="J10" s="1126">
        <v>6</v>
      </c>
      <c r="K10" s="1134">
        <v>3</v>
      </c>
      <c r="L10" s="1134"/>
      <c r="M10" s="1134"/>
      <c r="N10" s="1353">
        <f>SUM(C10:M10)</f>
        <v>19</v>
      </c>
      <c r="O10" s="1136">
        <v>1</v>
      </c>
      <c r="P10" s="1137"/>
      <c r="Q10" s="1137">
        <v>1</v>
      </c>
      <c r="R10" s="1138"/>
      <c r="S10" s="1239"/>
      <c r="T10" s="1239">
        <v>5</v>
      </c>
      <c r="U10" s="1134">
        <v>2</v>
      </c>
      <c r="V10" s="1134"/>
      <c r="W10" s="1134"/>
      <c r="X10" s="1134"/>
      <c r="Y10" s="1221">
        <v>5</v>
      </c>
      <c r="Z10" s="1140">
        <f>SUM(O10:Y10)</f>
        <v>14</v>
      </c>
      <c r="AA10" s="1134">
        <f t="shared" ref="AA10:AA67" si="0">ROUND(AVERAGE(N10,Z10),0)</f>
        <v>17</v>
      </c>
      <c r="AB10" s="1527" t="s">
        <v>31</v>
      </c>
      <c r="AC10" s="1134">
        <f>IF(AB10="O",100,IF(AB10="A+",90,IF(AB10="A",80,IF(AB10="B+",70,IF(AB10="B",60,IF(AB10="C",55,IF(AB10="P",50,IF(AB10="F",39))))))))</f>
        <v>55</v>
      </c>
    </row>
    <row r="11" spans="1:29" s="1116" customFormat="1" ht="24.75" customHeight="1" x14ac:dyDescent="0.3">
      <c r="A11" s="1126">
        <v>2</v>
      </c>
      <c r="B11" s="1132">
        <v>5191421002</v>
      </c>
      <c r="C11" s="1138">
        <v>1</v>
      </c>
      <c r="D11" s="1134">
        <v>1</v>
      </c>
      <c r="E11" s="1238">
        <v>2</v>
      </c>
      <c r="F11" s="1126">
        <v>6</v>
      </c>
      <c r="G11" s="1126">
        <v>2</v>
      </c>
      <c r="H11" s="1126"/>
      <c r="I11" s="1126"/>
      <c r="J11" s="1162">
        <v>6</v>
      </c>
      <c r="K11" s="1367">
        <v>6</v>
      </c>
      <c r="L11" s="1134"/>
      <c r="M11" s="1134"/>
      <c r="N11" s="1353">
        <f t="shared" ref="N11:N66" si="1">SUM(C11:M11)</f>
        <v>24</v>
      </c>
      <c r="O11" s="1136">
        <v>2</v>
      </c>
      <c r="P11" s="1137">
        <v>1</v>
      </c>
      <c r="Q11" s="1137">
        <v>1</v>
      </c>
      <c r="R11" s="1138"/>
      <c r="S11" s="1239"/>
      <c r="T11" s="1239">
        <v>3</v>
      </c>
      <c r="U11" s="1134">
        <v>3</v>
      </c>
      <c r="V11" s="1134">
        <v>2</v>
      </c>
      <c r="W11" s="1134"/>
      <c r="X11" s="1134"/>
      <c r="Y11" s="1221"/>
      <c r="Z11" s="1140">
        <f t="shared" ref="Z11:Z67" si="2">SUM(O11:Y11)</f>
        <v>12</v>
      </c>
      <c r="AA11" s="1134">
        <f t="shared" si="0"/>
        <v>18</v>
      </c>
      <c r="AB11" s="1527" t="s">
        <v>31</v>
      </c>
      <c r="AC11" s="1134">
        <f t="shared" ref="AC11:AC67" si="3">IF(AB11="O",100,IF(AB11="A+",90,IF(AB11="A",80,IF(AB11="B+",70,IF(AB11="B",60,IF(AB11="C",55,IF(AB11="P",50,IF(AB11="F",39))))))))</f>
        <v>55</v>
      </c>
    </row>
    <row r="12" spans="1:29" s="1116" customFormat="1" ht="24.75" customHeight="1" x14ac:dyDescent="0.3">
      <c r="A12" s="1126">
        <v>3</v>
      </c>
      <c r="B12" s="1132">
        <v>5191421003</v>
      </c>
      <c r="C12" s="1136">
        <v>2</v>
      </c>
      <c r="D12" s="1136">
        <v>2</v>
      </c>
      <c r="E12" s="1143">
        <v>1</v>
      </c>
      <c r="F12" s="1126">
        <v>6</v>
      </c>
      <c r="G12" s="1126">
        <v>5</v>
      </c>
      <c r="H12" s="1126"/>
      <c r="I12" s="1126"/>
      <c r="J12" s="1126">
        <v>6</v>
      </c>
      <c r="K12" s="1134">
        <v>5</v>
      </c>
      <c r="L12" s="1134"/>
      <c r="M12" s="1134"/>
      <c r="N12" s="1353">
        <f t="shared" si="1"/>
        <v>27</v>
      </c>
      <c r="O12" s="1136">
        <v>2</v>
      </c>
      <c r="P12" s="1137">
        <v>1</v>
      </c>
      <c r="Q12" s="1137">
        <v>2</v>
      </c>
      <c r="R12" s="1138">
        <v>5</v>
      </c>
      <c r="S12" s="1239">
        <v>4</v>
      </c>
      <c r="T12" s="1239"/>
      <c r="U12" s="1134"/>
      <c r="V12" s="1134">
        <v>4</v>
      </c>
      <c r="W12" s="1134">
        <v>1</v>
      </c>
      <c r="X12" s="1134"/>
      <c r="Y12" s="1221"/>
      <c r="Z12" s="1140">
        <f t="shared" si="2"/>
        <v>19</v>
      </c>
      <c r="AA12" s="1134">
        <f t="shared" si="0"/>
        <v>23</v>
      </c>
      <c r="AB12" s="1527" t="s">
        <v>32</v>
      </c>
      <c r="AC12" s="1134">
        <f t="shared" si="3"/>
        <v>70</v>
      </c>
    </row>
    <row r="13" spans="1:29" s="1116" customFormat="1" ht="24.75" customHeight="1" x14ac:dyDescent="0.3">
      <c r="A13" s="1126">
        <v>4</v>
      </c>
      <c r="B13" s="1132">
        <v>5191421004</v>
      </c>
      <c r="C13" s="1133">
        <v>1</v>
      </c>
      <c r="D13" s="1137">
        <v>1</v>
      </c>
      <c r="E13" s="1144">
        <v>2</v>
      </c>
      <c r="F13" s="1126">
        <v>2</v>
      </c>
      <c r="G13" s="1126"/>
      <c r="H13" s="1126"/>
      <c r="I13" s="1126"/>
      <c r="J13" s="1126"/>
      <c r="K13" s="1134">
        <v>3</v>
      </c>
      <c r="L13" s="1134"/>
      <c r="M13" s="1134"/>
      <c r="N13" s="1353">
        <f t="shared" si="1"/>
        <v>9</v>
      </c>
      <c r="O13" s="1136"/>
      <c r="P13" s="1137"/>
      <c r="Q13" s="1137">
        <v>2</v>
      </c>
      <c r="R13" s="1138"/>
      <c r="S13" s="1239"/>
      <c r="T13" s="1239">
        <v>2</v>
      </c>
      <c r="U13" s="1134">
        <v>2</v>
      </c>
      <c r="V13" s="1134"/>
      <c r="W13" s="1134"/>
      <c r="X13" s="1134">
        <v>2</v>
      </c>
      <c r="Y13" s="1221">
        <v>3</v>
      </c>
      <c r="Z13" s="1140">
        <f t="shared" si="2"/>
        <v>11</v>
      </c>
      <c r="AA13" s="1134">
        <f t="shared" si="0"/>
        <v>10</v>
      </c>
      <c r="AB13" s="1527" t="s">
        <v>31</v>
      </c>
      <c r="AC13" s="1134">
        <f t="shared" si="3"/>
        <v>55</v>
      </c>
    </row>
    <row r="14" spans="1:29" s="1116" customFormat="1" ht="24.75" customHeight="1" x14ac:dyDescent="0.3">
      <c r="A14" s="1126">
        <v>5</v>
      </c>
      <c r="B14" s="1132">
        <v>5191421005</v>
      </c>
      <c r="C14" s="1136">
        <v>1</v>
      </c>
      <c r="D14" s="1137"/>
      <c r="E14" s="1144">
        <v>1</v>
      </c>
      <c r="F14" s="1126"/>
      <c r="G14" s="1126"/>
      <c r="H14" s="1126">
        <v>2</v>
      </c>
      <c r="I14" s="1126">
        <v>2</v>
      </c>
      <c r="J14" s="1126">
        <v>6</v>
      </c>
      <c r="K14" s="1134">
        <v>6</v>
      </c>
      <c r="L14" s="1134"/>
      <c r="M14" s="1134"/>
      <c r="N14" s="1353">
        <f t="shared" si="1"/>
        <v>18</v>
      </c>
      <c r="O14" s="1136">
        <v>0</v>
      </c>
      <c r="P14" s="1137">
        <v>1</v>
      </c>
      <c r="Q14" s="1137">
        <v>2</v>
      </c>
      <c r="R14" s="1138"/>
      <c r="S14" s="1239"/>
      <c r="T14" s="1239">
        <v>6</v>
      </c>
      <c r="U14" s="1134">
        <v>5</v>
      </c>
      <c r="V14" s="1134">
        <v>6</v>
      </c>
      <c r="W14" s="1134">
        <v>3</v>
      </c>
      <c r="X14" s="1134"/>
      <c r="Y14" s="1221"/>
      <c r="Z14" s="1140">
        <f t="shared" si="2"/>
        <v>23</v>
      </c>
      <c r="AA14" s="1134">
        <f t="shared" si="0"/>
        <v>21</v>
      </c>
      <c r="AB14" s="1527" t="s">
        <v>32</v>
      </c>
      <c r="AC14" s="1134">
        <f t="shared" si="3"/>
        <v>70</v>
      </c>
    </row>
    <row r="15" spans="1:29" s="1116" customFormat="1" ht="24.75" customHeight="1" x14ac:dyDescent="0.3">
      <c r="A15" s="1126">
        <v>6</v>
      </c>
      <c r="B15" s="1132">
        <v>5191421006</v>
      </c>
      <c r="C15" s="1136">
        <v>1</v>
      </c>
      <c r="D15" s="1137">
        <v>1</v>
      </c>
      <c r="E15" s="1144">
        <v>2</v>
      </c>
      <c r="F15" s="1126">
        <v>6</v>
      </c>
      <c r="G15" s="1126">
        <v>6</v>
      </c>
      <c r="H15" s="1126"/>
      <c r="I15" s="1126"/>
      <c r="J15" s="1126"/>
      <c r="K15" s="1134">
        <v>6</v>
      </c>
      <c r="L15" s="1134"/>
      <c r="M15" s="1134"/>
      <c r="N15" s="1353">
        <f t="shared" si="1"/>
        <v>22</v>
      </c>
      <c r="O15" s="1136">
        <v>2</v>
      </c>
      <c r="P15" s="1137">
        <v>2</v>
      </c>
      <c r="Q15" s="1137">
        <v>1</v>
      </c>
      <c r="R15" s="1138">
        <v>4</v>
      </c>
      <c r="S15" s="1239">
        <v>5</v>
      </c>
      <c r="T15" s="1239"/>
      <c r="U15" s="1134"/>
      <c r="V15" s="1134"/>
      <c r="W15" s="1134"/>
      <c r="X15" s="1134">
        <v>5</v>
      </c>
      <c r="Y15" s="1221">
        <v>6</v>
      </c>
      <c r="Z15" s="1140">
        <f t="shared" si="2"/>
        <v>25</v>
      </c>
      <c r="AA15" s="1134">
        <f t="shared" si="0"/>
        <v>24</v>
      </c>
      <c r="AB15" s="1527" t="s">
        <v>31</v>
      </c>
      <c r="AC15" s="1134">
        <f t="shared" si="3"/>
        <v>55</v>
      </c>
    </row>
    <row r="16" spans="1:29" s="1116" customFormat="1" ht="24.75" customHeight="1" x14ac:dyDescent="0.3">
      <c r="A16" s="1126">
        <v>7</v>
      </c>
      <c r="B16" s="1132">
        <v>5191421007</v>
      </c>
      <c r="C16" s="1136">
        <v>1</v>
      </c>
      <c r="D16" s="1137"/>
      <c r="E16" s="1144"/>
      <c r="F16" s="1126"/>
      <c r="G16" s="1126"/>
      <c r="H16" s="1126">
        <v>3</v>
      </c>
      <c r="I16" s="1126"/>
      <c r="J16" s="1126">
        <v>6</v>
      </c>
      <c r="K16" s="1134">
        <v>5</v>
      </c>
      <c r="L16" s="1134"/>
      <c r="M16" s="1134"/>
      <c r="N16" s="1353">
        <f t="shared" si="1"/>
        <v>15</v>
      </c>
      <c r="O16" s="1136">
        <v>2</v>
      </c>
      <c r="P16" s="1137">
        <v>1</v>
      </c>
      <c r="Q16" s="1137">
        <v>1</v>
      </c>
      <c r="R16" s="1138"/>
      <c r="S16" s="1239"/>
      <c r="T16" s="1239">
        <v>5</v>
      </c>
      <c r="U16" s="1134">
        <v>2</v>
      </c>
      <c r="V16" s="1134">
        <v>5</v>
      </c>
      <c r="W16" s="1134"/>
      <c r="X16" s="1134"/>
      <c r="Y16" s="1221"/>
      <c r="Z16" s="1140">
        <f t="shared" si="2"/>
        <v>16</v>
      </c>
      <c r="AA16" s="1134">
        <f t="shared" si="0"/>
        <v>16</v>
      </c>
      <c r="AB16" s="1527" t="s">
        <v>31</v>
      </c>
      <c r="AC16" s="1134">
        <f t="shared" si="3"/>
        <v>55</v>
      </c>
    </row>
    <row r="17" spans="1:29" s="1116" customFormat="1" ht="24.75" customHeight="1" x14ac:dyDescent="0.3">
      <c r="A17" s="1126">
        <v>8</v>
      </c>
      <c r="B17" s="1132">
        <v>5191421008</v>
      </c>
      <c r="C17" s="1136">
        <v>2</v>
      </c>
      <c r="D17" s="1137"/>
      <c r="E17" s="1144">
        <v>1</v>
      </c>
      <c r="F17" s="1126">
        <v>4</v>
      </c>
      <c r="G17" s="1126"/>
      <c r="H17" s="1126"/>
      <c r="I17" s="1126"/>
      <c r="J17" s="1126">
        <v>3</v>
      </c>
      <c r="K17" s="1134">
        <v>6</v>
      </c>
      <c r="L17" s="1134"/>
      <c r="M17" s="1134"/>
      <c r="N17" s="1353">
        <f t="shared" si="1"/>
        <v>16</v>
      </c>
      <c r="O17" s="1136">
        <v>2</v>
      </c>
      <c r="P17" s="1137">
        <v>1</v>
      </c>
      <c r="Q17" s="1137"/>
      <c r="R17" s="1138"/>
      <c r="S17" s="1239"/>
      <c r="T17" s="1239">
        <v>2</v>
      </c>
      <c r="U17" s="1134">
        <v>2</v>
      </c>
      <c r="V17" s="1134"/>
      <c r="W17" s="1134"/>
      <c r="X17" s="1134">
        <v>4</v>
      </c>
      <c r="Y17" s="1221"/>
      <c r="Z17" s="1140">
        <f t="shared" si="2"/>
        <v>11</v>
      </c>
      <c r="AA17" s="1134">
        <f t="shared" si="0"/>
        <v>14</v>
      </c>
      <c r="AB17" s="1527" t="s">
        <v>31</v>
      </c>
      <c r="AC17" s="1134">
        <f t="shared" si="3"/>
        <v>55</v>
      </c>
    </row>
    <row r="18" spans="1:29" s="1116" customFormat="1" ht="24.75" customHeight="1" x14ac:dyDescent="0.3">
      <c r="A18" s="1126">
        <v>9</v>
      </c>
      <c r="B18" s="1132">
        <v>5191421009</v>
      </c>
      <c r="C18" s="1138">
        <v>2</v>
      </c>
      <c r="D18" s="1134">
        <v>1</v>
      </c>
      <c r="E18" s="1238">
        <v>1</v>
      </c>
      <c r="F18" s="1126"/>
      <c r="G18" s="1126"/>
      <c r="H18" s="1126">
        <v>6</v>
      </c>
      <c r="I18" s="1126"/>
      <c r="J18" s="1126"/>
      <c r="K18" s="1134"/>
      <c r="L18" s="1134">
        <v>1</v>
      </c>
      <c r="M18" s="1134">
        <v>5</v>
      </c>
      <c r="N18" s="1353">
        <f t="shared" si="1"/>
        <v>16</v>
      </c>
      <c r="O18" s="1136">
        <v>2</v>
      </c>
      <c r="P18" s="1137">
        <v>1</v>
      </c>
      <c r="Q18" s="1137">
        <v>1</v>
      </c>
      <c r="R18" s="1138">
        <v>4</v>
      </c>
      <c r="S18" s="1239">
        <v>3</v>
      </c>
      <c r="T18" s="1239"/>
      <c r="U18" s="1134"/>
      <c r="V18" s="1134">
        <v>4</v>
      </c>
      <c r="W18" s="1134">
        <v>1</v>
      </c>
      <c r="X18" s="1134"/>
      <c r="Y18" s="1221"/>
      <c r="Z18" s="1140">
        <f t="shared" si="2"/>
        <v>16</v>
      </c>
      <c r="AA18" s="1134">
        <f t="shared" si="0"/>
        <v>16</v>
      </c>
      <c r="AB18" s="1527" t="s">
        <v>31</v>
      </c>
      <c r="AC18" s="1134">
        <f t="shared" si="3"/>
        <v>55</v>
      </c>
    </row>
    <row r="19" spans="1:29" s="1116" customFormat="1" ht="24.75" customHeight="1" x14ac:dyDescent="0.3">
      <c r="A19" s="1126">
        <v>10</v>
      </c>
      <c r="B19" s="1132">
        <v>5191421010</v>
      </c>
      <c r="C19" s="1136">
        <v>2</v>
      </c>
      <c r="D19" s="1137">
        <v>1</v>
      </c>
      <c r="E19" s="1144"/>
      <c r="F19" s="1126">
        <v>6</v>
      </c>
      <c r="G19" s="1126">
        <v>3</v>
      </c>
      <c r="H19" s="1126"/>
      <c r="I19" s="1126"/>
      <c r="J19" s="1126">
        <v>6</v>
      </c>
      <c r="K19" s="1134">
        <v>5</v>
      </c>
      <c r="L19" s="1134"/>
      <c r="M19" s="1134"/>
      <c r="N19" s="1353">
        <f t="shared" si="1"/>
        <v>23</v>
      </c>
      <c r="O19" s="1136">
        <v>1</v>
      </c>
      <c r="P19" s="1137">
        <v>1</v>
      </c>
      <c r="Q19" s="1137"/>
      <c r="R19" s="1138">
        <v>3</v>
      </c>
      <c r="S19" s="1239">
        <v>4</v>
      </c>
      <c r="T19" s="1239"/>
      <c r="U19" s="1134"/>
      <c r="V19" s="1134">
        <v>3</v>
      </c>
      <c r="W19" s="1134"/>
      <c r="X19" s="1134"/>
      <c r="Y19" s="1221"/>
      <c r="Z19" s="1140">
        <f t="shared" si="2"/>
        <v>12</v>
      </c>
      <c r="AA19" s="1134">
        <f t="shared" si="0"/>
        <v>18</v>
      </c>
      <c r="AB19" s="1527" t="s">
        <v>33</v>
      </c>
      <c r="AC19" s="1134">
        <f t="shared" si="3"/>
        <v>60</v>
      </c>
    </row>
    <row r="20" spans="1:29" s="1116" customFormat="1" ht="24.75" customHeight="1" x14ac:dyDescent="0.3">
      <c r="A20" s="1126">
        <v>11</v>
      </c>
      <c r="B20" s="1132">
        <v>5191421011</v>
      </c>
      <c r="C20" s="1136">
        <v>2</v>
      </c>
      <c r="D20" s="1137">
        <v>1</v>
      </c>
      <c r="E20" s="1144">
        <v>1</v>
      </c>
      <c r="F20" s="1126">
        <v>6</v>
      </c>
      <c r="G20" s="1126">
        <v>6</v>
      </c>
      <c r="H20" s="1126"/>
      <c r="I20" s="1126"/>
      <c r="J20" s="1126">
        <v>6</v>
      </c>
      <c r="K20" s="1134">
        <v>5</v>
      </c>
      <c r="L20" s="1134"/>
      <c r="M20" s="1134"/>
      <c r="N20" s="1353">
        <f t="shared" si="1"/>
        <v>27</v>
      </c>
      <c r="O20" s="1136">
        <v>2</v>
      </c>
      <c r="P20" s="1137"/>
      <c r="Q20" s="1137">
        <v>1</v>
      </c>
      <c r="R20" s="1138">
        <v>2</v>
      </c>
      <c r="S20" s="1239">
        <v>4</v>
      </c>
      <c r="T20" s="1239"/>
      <c r="U20" s="1134"/>
      <c r="V20" s="1134">
        <v>5</v>
      </c>
      <c r="W20" s="1134"/>
      <c r="X20" s="1134"/>
      <c r="Y20" s="1221"/>
      <c r="Z20" s="1140">
        <f t="shared" si="2"/>
        <v>14</v>
      </c>
      <c r="AA20" s="1134">
        <f t="shared" si="0"/>
        <v>21</v>
      </c>
      <c r="AB20" s="1527" t="s">
        <v>33</v>
      </c>
      <c r="AC20" s="1134">
        <f t="shared" si="3"/>
        <v>60</v>
      </c>
    </row>
    <row r="21" spans="1:29" s="1116" customFormat="1" ht="24.75" customHeight="1" x14ac:dyDescent="0.3">
      <c r="A21" s="1126">
        <v>12</v>
      </c>
      <c r="B21" s="1132">
        <v>5191421012</v>
      </c>
      <c r="C21" s="1136">
        <v>2</v>
      </c>
      <c r="D21" s="1137">
        <v>1</v>
      </c>
      <c r="E21" s="1144">
        <v>1</v>
      </c>
      <c r="F21" s="1126">
        <v>2</v>
      </c>
      <c r="G21" s="1126"/>
      <c r="H21" s="1126"/>
      <c r="I21" s="1126"/>
      <c r="J21" s="1126">
        <v>5</v>
      </c>
      <c r="K21" s="1134">
        <v>4</v>
      </c>
      <c r="L21" s="1134"/>
      <c r="M21" s="1134"/>
      <c r="N21" s="1353">
        <f t="shared" si="1"/>
        <v>15</v>
      </c>
      <c r="O21" s="1136"/>
      <c r="P21" s="1137"/>
      <c r="Q21" s="1137"/>
      <c r="R21" s="1138">
        <v>3</v>
      </c>
      <c r="S21" s="1239"/>
      <c r="T21" s="1239"/>
      <c r="U21" s="1134"/>
      <c r="V21" s="1134"/>
      <c r="W21" s="1134"/>
      <c r="X21" s="1134"/>
      <c r="Y21" s="1221">
        <v>6</v>
      </c>
      <c r="Z21" s="1140">
        <f t="shared" si="2"/>
        <v>9</v>
      </c>
      <c r="AA21" s="1134">
        <f t="shared" si="0"/>
        <v>12</v>
      </c>
      <c r="AB21" s="1527" t="s">
        <v>31</v>
      </c>
      <c r="AC21" s="1134">
        <f t="shared" si="3"/>
        <v>55</v>
      </c>
    </row>
    <row r="22" spans="1:29" s="1116" customFormat="1" ht="24.75" customHeight="1" x14ac:dyDescent="0.3">
      <c r="A22" s="1126">
        <v>13</v>
      </c>
      <c r="B22" s="1132">
        <v>5191421013</v>
      </c>
      <c r="C22" s="1136">
        <v>2</v>
      </c>
      <c r="D22" s="1137">
        <v>2</v>
      </c>
      <c r="E22" s="1144">
        <v>1</v>
      </c>
      <c r="F22" s="1126">
        <v>4</v>
      </c>
      <c r="G22" s="1126">
        <v>6</v>
      </c>
      <c r="H22" s="1126"/>
      <c r="I22" s="1126"/>
      <c r="J22" s="1126">
        <v>6</v>
      </c>
      <c r="K22" s="1134">
        <v>4</v>
      </c>
      <c r="L22" s="1134"/>
      <c r="M22" s="1134"/>
      <c r="N22" s="1353">
        <f t="shared" si="1"/>
        <v>25</v>
      </c>
      <c r="O22" s="1136"/>
      <c r="P22" s="1137"/>
      <c r="Q22" s="1137">
        <v>1</v>
      </c>
      <c r="R22" s="1138">
        <v>5</v>
      </c>
      <c r="S22" s="1239">
        <v>5</v>
      </c>
      <c r="T22" s="1239"/>
      <c r="U22" s="1134"/>
      <c r="V22" s="1134"/>
      <c r="W22" s="1134"/>
      <c r="X22" s="1134">
        <v>5</v>
      </c>
      <c r="Y22" s="1221">
        <v>4</v>
      </c>
      <c r="Z22" s="1140">
        <f t="shared" si="2"/>
        <v>20</v>
      </c>
      <c r="AA22" s="1134">
        <f t="shared" si="0"/>
        <v>23</v>
      </c>
      <c r="AB22" s="1527" t="s">
        <v>32</v>
      </c>
      <c r="AC22" s="1134">
        <f t="shared" si="3"/>
        <v>70</v>
      </c>
    </row>
    <row r="23" spans="1:29" s="1116" customFormat="1" ht="24.75" customHeight="1" x14ac:dyDescent="0.3">
      <c r="A23" s="1126">
        <v>14</v>
      </c>
      <c r="B23" s="1132">
        <v>5191421014</v>
      </c>
      <c r="C23" s="1136">
        <v>1</v>
      </c>
      <c r="D23" s="1137"/>
      <c r="E23" s="1144">
        <v>1</v>
      </c>
      <c r="F23" s="1126"/>
      <c r="G23" s="1126"/>
      <c r="H23" s="1126">
        <v>2</v>
      </c>
      <c r="I23" s="1126"/>
      <c r="J23" s="1126">
        <v>6</v>
      </c>
      <c r="K23" s="1134">
        <v>4</v>
      </c>
      <c r="L23" s="1134"/>
      <c r="M23" s="1134"/>
      <c r="N23" s="1353">
        <f t="shared" si="1"/>
        <v>14</v>
      </c>
      <c r="O23" s="1136"/>
      <c r="P23" s="1137"/>
      <c r="Q23" s="1137"/>
      <c r="R23" s="1138"/>
      <c r="S23" s="1239"/>
      <c r="T23" s="1239"/>
      <c r="U23" s="1134">
        <v>4</v>
      </c>
      <c r="V23" s="1134"/>
      <c r="W23" s="1134"/>
      <c r="X23" s="1134"/>
      <c r="Y23" s="1221">
        <v>2</v>
      </c>
      <c r="Z23" s="1140">
        <f t="shared" si="2"/>
        <v>6</v>
      </c>
      <c r="AA23" s="1134">
        <f t="shared" si="0"/>
        <v>10</v>
      </c>
      <c r="AB23" s="1527" t="s">
        <v>33</v>
      </c>
      <c r="AC23" s="1134">
        <f t="shared" si="3"/>
        <v>60</v>
      </c>
    </row>
    <row r="24" spans="1:29" s="1116" customFormat="1" ht="24.75" customHeight="1" x14ac:dyDescent="0.3">
      <c r="A24" s="1126">
        <v>15</v>
      </c>
      <c r="B24" s="1132">
        <v>5191421015</v>
      </c>
      <c r="C24" s="1136">
        <v>2</v>
      </c>
      <c r="D24" s="1137">
        <v>1</v>
      </c>
      <c r="E24" s="1144">
        <v>1</v>
      </c>
      <c r="F24" s="1126"/>
      <c r="G24" s="1126">
        <v>4</v>
      </c>
      <c r="H24" s="1126"/>
      <c r="I24" s="1126"/>
      <c r="J24" s="1126">
        <v>6</v>
      </c>
      <c r="K24" s="1134">
        <v>4</v>
      </c>
      <c r="L24" s="1134"/>
      <c r="M24" s="1134"/>
      <c r="N24" s="1353">
        <f t="shared" si="1"/>
        <v>18</v>
      </c>
      <c r="O24" s="1136"/>
      <c r="P24" s="1137"/>
      <c r="Q24" s="1137"/>
      <c r="R24" s="1138"/>
      <c r="S24" s="1239"/>
      <c r="T24" s="1239">
        <v>2</v>
      </c>
      <c r="U24" s="1134">
        <v>2</v>
      </c>
      <c r="V24" s="1134">
        <v>4</v>
      </c>
      <c r="W24" s="1134"/>
      <c r="X24" s="1134"/>
      <c r="Y24" s="1221"/>
      <c r="Z24" s="1140">
        <f t="shared" si="2"/>
        <v>8</v>
      </c>
      <c r="AA24" s="1134">
        <f t="shared" si="0"/>
        <v>13</v>
      </c>
      <c r="AB24" s="1527" t="s">
        <v>31</v>
      </c>
      <c r="AC24" s="1134">
        <f t="shared" si="3"/>
        <v>55</v>
      </c>
    </row>
    <row r="25" spans="1:29" s="1116" customFormat="1" ht="24.75" customHeight="1" x14ac:dyDescent="0.3">
      <c r="A25" s="1126">
        <v>16</v>
      </c>
      <c r="B25" s="1132">
        <v>5191421016</v>
      </c>
      <c r="C25" s="1136"/>
      <c r="D25" s="1137"/>
      <c r="E25" s="1144"/>
      <c r="F25" s="1126"/>
      <c r="G25" s="1126"/>
      <c r="H25" s="1126"/>
      <c r="I25" s="1126"/>
      <c r="J25" s="1161"/>
      <c r="K25" s="1239"/>
      <c r="L25" s="1134"/>
      <c r="M25" s="1134"/>
      <c r="N25" s="1353">
        <f t="shared" si="1"/>
        <v>0</v>
      </c>
      <c r="O25" s="1136"/>
      <c r="P25" s="1137"/>
      <c r="Q25" s="1137"/>
      <c r="R25" s="1138"/>
      <c r="S25" s="1239">
        <v>1</v>
      </c>
      <c r="T25" s="1239">
        <v>2</v>
      </c>
      <c r="U25" s="1134">
        <v>2</v>
      </c>
      <c r="V25" s="1134"/>
      <c r="W25" s="1134"/>
      <c r="X25" s="1134"/>
      <c r="Y25" s="1221"/>
      <c r="Z25" s="1140">
        <f t="shared" si="2"/>
        <v>5</v>
      </c>
      <c r="AA25" s="1134">
        <f t="shared" si="0"/>
        <v>3</v>
      </c>
      <c r="AB25" s="1527" t="s">
        <v>28</v>
      </c>
      <c r="AC25" s="1134">
        <f t="shared" si="3"/>
        <v>50</v>
      </c>
    </row>
    <row r="26" spans="1:29" s="1116" customFormat="1" ht="24.75" customHeight="1" x14ac:dyDescent="0.3">
      <c r="A26" s="1126">
        <v>17</v>
      </c>
      <c r="B26" s="1132">
        <v>5191421017</v>
      </c>
      <c r="C26" s="1136">
        <v>2</v>
      </c>
      <c r="D26" s="1137">
        <v>1</v>
      </c>
      <c r="E26" s="1144">
        <v>1</v>
      </c>
      <c r="F26" s="1126"/>
      <c r="G26" s="1126"/>
      <c r="H26" s="1126">
        <v>3</v>
      </c>
      <c r="I26" s="1126">
        <v>3</v>
      </c>
      <c r="J26" s="1161">
        <v>6</v>
      </c>
      <c r="K26" s="1239">
        <v>6</v>
      </c>
      <c r="L26" s="1134"/>
      <c r="M26" s="1134"/>
      <c r="N26" s="1353">
        <f t="shared" si="1"/>
        <v>22</v>
      </c>
      <c r="O26" s="1136"/>
      <c r="P26" s="1137"/>
      <c r="Q26" s="1137"/>
      <c r="R26" s="1138"/>
      <c r="S26" s="1239"/>
      <c r="T26" s="1239">
        <v>5</v>
      </c>
      <c r="U26" s="1134"/>
      <c r="V26" s="1134"/>
      <c r="W26" s="1134"/>
      <c r="X26" s="1134"/>
      <c r="Y26" s="1221">
        <v>6</v>
      </c>
      <c r="Z26" s="1140">
        <f t="shared" si="2"/>
        <v>11</v>
      </c>
      <c r="AA26" s="1134">
        <f t="shared" si="0"/>
        <v>17</v>
      </c>
      <c r="AB26" s="1527" t="s">
        <v>32</v>
      </c>
      <c r="AC26" s="1134">
        <f t="shared" si="3"/>
        <v>70</v>
      </c>
    </row>
    <row r="27" spans="1:29" s="1116" customFormat="1" ht="24.75" customHeight="1" x14ac:dyDescent="0.3">
      <c r="A27" s="1126">
        <v>18</v>
      </c>
      <c r="B27" s="1132">
        <v>5191421018</v>
      </c>
      <c r="C27" s="1133">
        <v>1</v>
      </c>
      <c r="D27" s="1137"/>
      <c r="E27" s="1144"/>
      <c r="F27" s="1126">
        <v>3</v>
      </c>
      <c r="G27" s="1126"/>
      <c r="H27" s="1126"/>
      <c r="I27" s="1126"/>
      <c r="J27" s="1126">
        <v>1</v>
      </c>
      <c r="K27" s="1134"/>
      <c r="L27" s="1134"/>
      <c r="M27" s="1134"/>
      <c r="N27" s="1353">
        <f t="shared" si="1"/>
        <v>5</v>
      </c>
      <c r="O27" s="1136"/>
      <c r="P27" s="1137"/>
      <c r="Q27" s="1137"/>
      <c r="R27" s="1138"/>
      <c r="S27" s="1239"/>
      <c r="T27" s="1239"/>
      <c r="U27" s="1134"/>
      <c r="V27" s="1134"/>
      <c r="W27" s="1134"/>
      <c r="X27" s="1134"/>
      <c r="Y27" s="1221"/>
      <c r="Z27" s="1140">
        <f t="shared" si="2"/>
        <v>0</v>
      </c>
      <c r="AA27" s="1134">
        <f t="shared" si="0"/>
        <v>3</v>
      </c>
      <c r="AB27" s="1527" t="s">
        <v>29</v>
      </c>
      <c r="AC27" s="1134">
        <f t="shared" si="3"/>
        <v>39</v>
      </c>
    </row>
    <row r="28" spans="1:29" s="1116" customFormat="1" ht="24.75" customHeight="1" x14ac:dyDescent="0.3">
      <c r="A28" s="1126">
        <v>19</v>
      </c>
      <c r="B28" s="1132">
        <v>5191421019</v>
      </c>
      <c r="C28" s="1136">
        <v>2</v>
      </c>
      <c r="D28" s="1134">
        <v>2</v>
      </c>
      <c r="E28" s="1238">
        <v>2</v>
      </c>
      <c r="F28" s="1126">
        <v>6</v>
      </c>
      <c r="G28" s="1126">
        <v>6</v>
      </c>
      <c r="H28" s="1126"/>
      <c r="I28" s="1126"/>
      <c r="J28" s="1126">
        <v>6</v>
      </c>
      <c r="K28" s="1134">
        <v>5</v>
      </c>
      <c r="L28" s="1134"/>
      <c r="M28" s="1134"/>
      <c r="N28" s="1353">
        <f t="shared" si="1"/>
        <v>29</v>
      </c>
      <c r="O28" s="1136">
        <v>2</v>
      </c>
      <c r="P28" s="1134">
        <v>2</v>
      </c>
      <c r="Q28" s="1134">
        <v>2</v>
      </c>
      <c r="R28" s="1138">
        <v>3</v>
      </c>
      <c r="S28" s="1239">
        <v>6</v>
      </c>
      <c r="T28" s="1239"/>
      <c r="U28" s="1134"/>
      <c r="V28" s="1134"/>
      <c r="W28" s="1134"/>
      <c r="X28" s="1134">
        <v>6</v>
      </c>
      <c r="Y28" s="1221">
        <v>6</v>
      </c>
      <c r="Z28" s="1140">
        <f t="shared" si="2"/>
        <v>27</v>
      </c>
      <c r="AA28" s="1134">
        <f t="shared" si="0"/>
        <v>28</v>
      </c>
      <c r="AB28" s="1527" t="s">
        <v>27</v>
      </c>
      <c r="AC28" s="1134">
        <f t="shared" si="3"/>
        <v>80</v>
      </c>
    </row>
    <row r="29" spans="1:29" s="1116" customFormat="1" ht="24.75" customHeight="1" x14ac:dyDescent="0.3">
      <c r="A29" s="1126">
        <v>20</v>
      </c>
      <c r="B29" s="1132">
        <v>5191421020</v>
      </c>
      <c r="C29" s="1138">
        <v>1</v>
      </c>
      <c r="D29" s="1134">
        <v>2</v>
      </c>
      <c r="E29" s="1238">
        <v>1</v>
      </c>
      <c r="F29" s="1126">
        <v>4</v>
      </c>
      <c r="G29" s="1126">
        <v>5</v>
      </c>
      <c r="H29" s="1126"/>
      <c r="I29" s="1126"/>
      <c r="J29" s="1126">
        <v>6</v>
      </c>
      <c r="K29" s="1134">
        <v>5</v>
      </c>
      <c r="L29" s="1134"/>
      <c r="M29" s="1134"/>
      <c r="N29" s="1353">
        <f t="shared" si="1"/>
        <v>24</v>
      </c>
      <c r="O29" s="1138"/>
      <c r="P29" s="1134">
        <v>2</v>
      </c>
      <c r="Q29" s="1134">
        <v>2</v>
      </c>
      <c r="R29" s="1138">
        <v>3</v>
      </c>
      <c r="S29" s="1239">
        <v>6</v>
      </c>
      <c r="T29" s="1239"/>
      <c r="U29" s="1134"/>
      <c r="V29" s="1134">
        <v>4</v>
      </c>
      <c r="W29" s="1134">
        <v>6</v>
      </c>
      <c r="X29" s="1134"/>
      <c r="Y29" s="1221"/>
      <c r="Z29" s="1140">
        <f t="shared" si="2"/>
        <v>23</v>
      </c>
      <c r="AA29" s="1134">
        <f t="shared" si="0"/>
        <v>24</v>
      </c>
      <c r="AB29" s="1527" t="s">
        <v>32</v>
      </c>
      <c r="AC29" s="1134">
        <f t="shared" si="3"/>
        <v>70</v>
      </c>
    </row>
    <row r="30" spans="1:29" s="1116" customFormat="1" ht="24.75" customHeight="1" x14ac:dyDescent="0.3">
      <c r="A30" s="1126">
        <v>21</v>
      </c>
      <c r="B30" s="1132">
        <v>5191421021</v>
      </c>
      <c r="C30" s="1136"/>
      <c r="D30" s="1134"/>
      <c r="E30" s="1238">
        <v>1</v>
      </c>
      <c r="F30" s="1126">
        <v>6</v>
      </c>
      <c r="G30" s="1126">
        <v>6</v>
      </c>
      <c r="H30" s="1126"/>
      <c r="I30" s="1126"/>
      <c r="J30" s="1126">
        <v>6</v>
      </c>
      <c r="K30" s="1134">
        <v>4</v>
      </c>
      <c r="L30" s="1134"/>
      <c r="M30" s="1134"/>
      <c r="N30" s="1353">
        <f t="shared" si="1"/>
        <v>23</v>
      </c>
      <c r="O30" s="1136"/>
      <c r="P30" s="1134"/>
      <c r="Q30" s="1134"/>
      <c r="R30" s="1138">
        <v>4</v>
      </c>
      <c r="S30" s="1239">
        <v>5</v>
      </c>
      <c r="T30" s="1239"/>
      <c r="U30" s="1134"/>
      <c r="V30" s="1134"/>
      <c r="W30" s="1134"/>
      <c r="X30" s="1134">
        <v>2</v>
      </c>
      <c r="Y30" s="1221">
        <v>4</v>
      </c>
      <c r="Z30" s="1140">
        <f t="shared" si="2"/>
        <v>15</v>
      </c>
      <c r="AA30" s="1134">
        <f t="shared" si="0"/>
        <v>19</v>
      </c>
      <c r="AB30" s="1527" t="s">
        <v>33</v>
      </c>
      <c r="AC30" s="1134">
        <f t="shared" si="3"/>
        <v>60</v>
      </c>
    </row>
    <row r="31" spans="1:29" s="1116" customFormat="1" ht="24.75" customHeight="1" x14ac:dyDescent="0.3">
      <c r="A31" s="1126">
        <v>22</v>
      </c>
      <c r="B31" s="1132">
        <v>5191421022</v>
      </c>
      <c r="C31" s="1136">
        <v>2</v>
      </c>
      <c r="D31" s="1134">
        <v>2</v>
      </c>
      <c r="E31" s="1238"/>
      <c r="F31" s="1126">
        <v>2</v>
      </c>
      <c r="G31" s="1126">
        <v>4</v>
      </c>
      <c r="H31" s="1126"/>
      <c r="I31" s="1126"/>
      <c r="J31" s="1126"/>
      <c r="K31" s="1134"/>
      <c r="L31" s="1134"/>
      <c r="M31" s="1134"/>
      <c r="N31" s="1353">
        <f t="shared" si="1"/>
        <v>10</v>
      </c>
      <c r="O31" s="1136"/>
      <c r="P31" s="1134"/>
      <c r="Q31" s="1134">
        <v>1</v>
      </c>
      <c r="R31" s="1138"/>
      <c r="S31" s="1239">
        <v>2</v>
      </c>
      <c r="T31" s="1239"/>
      <c r="U31" s="1134"/>
      <c r="V31" s="1134"/>
      <c r="W31" s="1134"/>
      <c r="X31" s="1134"/>
      <c r="Y31" s="1221">
        <v>2</v>
      </c>
      <c r="Z31" s="1140">
        <f t="shared" si="2"/>
        <v>5</v>
      </c>
      <c r="AA31" s="1134">
        <f t="shared" si="0"/>
        <v>8</v>
      </c>
      <c r="AB31" s="1527" t="s">
        <v>28</v>
      </c>
      <c r="AC31" s="1134">
        <f t="shared" si="3"/>
        <v>50</v>
      </c>
    </row>
    <row r="32" spans="1:29" s="1116" customFormat="1" ht="24.75" customHeight="1" x14ac:dyDescent="0.3">
      <c r="A32" s="1126">
        <v>23</v>
      </c>
      <c r="B32" s="1132">
        <v>5191421023</v>
      </c>
      <c r="C32" s="1136"/>
      <c r="D32" s="1134"/>
      <c r="E32" s="1238"/>
      <c r="F32" s="1126">
        <v>5</v>
      </c>
      <c r="G32" s="1126"/>
      <c r="H32" s="1126"/>
      <c r="I32" s="1126"/>
      <c r="J32" s="1126">
        <v>4</v>
      </c>
      <c r="K32" s="1134">
        <v>2</v>
      </c>
      <c r="L32" s="1134"/>
      <c r="M32" s="1134"/>
      <c r="N32" s="1353">
        <f t="shared" si="1"/>
        <v>11</v>
      </c>
      <c r="O32" s="1136"/>
      <c r="P32" s="1134"/>
      <c r="Q32" s="1134"/>
      <c r="R32" s="1138">
        <v>2</v>
      </c>
      <c r="S32" s="1239">
        <v>4</v>
      </c>
      <c r="T32" s="1239"/>
      <c r="U32" s="1134"/>
      <c r="V32" s="1134"/>
      <c r="W32" s="1134"/>
      <c r="X32" s="1134">
        <v>2</v>
      </c>
      <c r="Y32" s="1221">
        <v>3</v>
      </c>
      <c r="Z32" s="1140">
        <f t="shared" si="2"/>
        <v>11</v>
      </c>
      <c r="AA32" s="1134">
        <f t="shared" si="0"/>
        <v>11</v>
      </c>
      <c r="AB32" s="1527" t="s">
        <v>31</v>
      </c>
      <c r="AC32" s="1134">
        <f t="shared" si="3"/>
        <v>55</v>
      </c>
    </row>
    <row r="33" spans="1:29" s="1116" customFormat="1" ht="24.75" customHeight="1" x14ac:dyDescent="0.3">
      <c r="A33" s="1126">
        <v>24</v>
      </c>
      <c r="B33" s="1132">
        <v>5191421024</v>
      </c>
      <c r="C33" s="1136">
        <v>1</v>
      </c>
      <c r="D33" s="1134"/>
      <c r="E33" s="1238"/>
      <c r="F33" s="1126"/>
      <c r="G33" s="1126"/>
      <c r="H33" s="1126">
        <v>4</v>
      </c>
      <c r="I33" s="1126">
        <v>3</v>
      </c>
      <c r="J33" s="1126">
        <v>4</v>
      </c>
      <c r="K33" s="1134"/>
      <c r="L33" s="1134"/>
      <c r="M33" s="1134"/>
      <c r="N33" s="1353">
        <f t="shared" si="1"/>
        <v>12</v>
      </c>
      <c r="O33" s="1136"/>
      <c r="P33" s="1134"/>
      <c r="Q33" s="1134"/>
      <c r="R33" s="1138"/>
      <c r="S33" s="1239"/>
      <c r="T33" s="1239">
        <v>2</v>
      </c>
      <c r="U33" s="1134">
        <v>2</v>
      </c>
      <c r="V33" s="1134">
        <v>1</v>
      </c>
      <c r="W33" s="1134"/>
      <c r="X33" s="1134"/>
      <c r="Y33" s="1221"/>
      <c r="Z33" s="1140">
        <f t="shared" si="2"/>
        <v>5</v>
      </c>
      <c r="AA33" s="1134">
        <f t="shared" si="0"/>
        <v>9</v>
      </c>
      <c r="AB33" s="1527" t="s">
        <v>29</v>
      </c>
      <c r="AC33" s="1134">
        <f t="shared" si="3"/>
        <v>39</v>
      </c>
    </row>
    <row r="34" spans="1:29" s="1116" customFormat="1" ht="24.75" customHeight="1" x14ac:dyDescent="0.3">
      <c r="A34" s="1126">
        <v>25</v>
      </c>
      <c r="B34" s="1132">
        <v>5191421025</v>
      </c>
      <c r="C34" s="1136">
        <v>1</v>
      </c>
      <c r="D34" s="1134">
        <v>1</v>
      </c>
      <c r="E34" s="1238">
        <v>2</v>
      </c>
      <c r="F34" s="1126">
        <v>6</v>
      </c>
      <c r="G34" s="1126">
        <v>6</v>
      </c>
      <c r="H34" s="1126"/>
      <c r="I34" s="1126"/>
      <c r="J34" s="1126">
        <v>6</v>
      </c>
      <c r="K34" s="1134">
        <v>6</v>
      </c>
      <c r="L34" s="1134"/>
      <c r="M34" s="1134"/>
      <c r="N34" s="1353">
        <f t="shared" si="1"/>
        <v>28</v>
      </c>
      <c r="O34" s="1136">
        <v>2</v>
      </c>
      <c r="P34" s="1134">
        <v>1</v>
      </c>
      <c r="Q34" s="1134"/>
      <c r="R34" s="1138">
        <v>5</v>
      </c>
      <c r="S34" s="1239">
        <v>5</v>
      </c>
      <c r="T34" s="1239"/>
      <c r="U34" s="1134"/>
      <c r="V34" s="1134">
        <v>6</v>
      </c>
      <c r="W34" s="1134">
        <v>3</v>
      </c>
      <c r="X34" s="1134"/>
      <c r="Y34" s="1221"/>
      <c r="Z34" s="1140">
        <f t="shared" si="2"/>
        <v>22</v>
      </c>
      <c r="AA34" s="1134">
        <f t="shared" si="0"/>
        <v>25</v>
      </c>
      <c r="AB34" s="1527" t="s">
        <v>27</v>
      </c>
      <c r="AC34" s="1134">
        <f t="shared" si="3"/>
        <v>80</v>
      </c>
    </row>
    <row r="35" spans="1:29" s="1116" customFormat="1" ht="24.75" customHeight="1" x14ac:dyDescent="0.3">
      <c r="A35" s="1126">
        <v>26</v>
      </c>
      <c r="B35" s="1132">
        <v>5191421026</v>
      </c>
      <c r="C35" s="1136">
        <v>2</v>
      </c>
      <c r="D35" s="1134">
        <v>1</v>
      </c>
      <c r="E35" s="1238">
        <v>1</v>
      </c>
      <c r="F35" s="1126">
        <v>4</v>
      </c>
      <c r="G35" s="1126"/>
      <c r="H35" s="1126"/>
      <c r="I35" s="1126"/>
      <c r="J35" s="1126">
        <v>6</v>
      </c>
      <c r="K35" s="1134">
        <v>4</v>
      </c>
      <c r="L35" s="1134"/>
      <c r="M35" s="1134"/>
      <c r="N35" s="1353">
        <f t="shared" si="1"/>
        <v>18</v>
      </c>
      <c r="O35" s="1136">
        <v>2</v>
      </c>
      <c r="P35" s="1134">
        <v>1</v>
      </c>
      <c r="Q35" s="1134"/>
      <c r="R35" s="1138">
        <v>2</v>
      </c>
      <c r="S35" s="1239">
        <v>1</v>
      </c>
      <c r="T35" s="1239"/>
      <c r="U35" s="1134"/>
      <c r="V35" s="1134"/>
      <c r="W35" s="1134"/>
      <c r="X35" s="1134"/>
      <c r="Y35" s="1221">
        <v>5</v>
      </c>
      <c r="Z35" s="1140">
        <f t="shared" si="2"/>
        <v>11</v>
      </c>
      <c r="AA35" s="1134">
        <f t="shared" si="0"/>
        <v>15</v>
      </c>
      <c r="AB35" s="1527" t="s">
        <v>33</v>
      </c>
      <c r="AC35" s="1134">
        <f t="shared" si="3"/>
        <v>60</v>
      </c>
    </row>
    <row r="36" spans="1:29" s="1116" customFormat="1" ht="24.75" customHeight="1" x14ac:dyDescent="0.3">
      <c r="A36" s="1126">
        <v>27</v>
      </c>
      <c r="B36" s="1132">
        <v>5191421027</v>
      </c>
      <c r="C36" s="1136">
        <v>2</v>
      </c>
      <c r="D36" s="1134">
        <v>2</v>
      </c>
      <c r="E36" s="1238">
        <v>1</v>
      </c>
      <c r="F36" s="1126">
        <v>6</v>
      </c>
      <c r="G36" s="1126">
        <v>6</v>
      </c>
      <c r="H36" s="1126"/>
      <c r="I36" s="1126"/>
      <c r="J36" s="1126">
        <v>6</v>
      </c>
      <c r="K36" s="1134">
        <v>4</v>
      </c>
      <c r="L36" s="1134"/>
      <c r="M36" s="1134"/>
      <c r="N36" s="1353">
        <f t="shared" si="1"/>
        <v>27</v>
      </c>
      <c r="O36" s="1136"/>
      <c r="P36" s="1134">
        <v>1</v>
      </c>
      <c r="Q36" s="1134"/>
      <c r="R36" s="1138"/>
      <c r="S36" s="1239"/>
      <c r="T36" s="1239">
        <v>2</v>
      </c>
      <c r="U36" s="1134">
        <v>3</v>
      </c>
      <c r="V36" s="1134"/>
      <c r="W36" s="1134"/>
      <c r="X36" s="1134">
        <v>2</v>
      </c>
      <c r="Y36" s="1221">
        <v>6</v>
      </c>
      <c r="Z36" s="1140">
        <f t="shared" si="2"/>
        <v>14</v>
      </c>
      <c r="AA36" s="1134">
        <f t="shared" si="0"/>
        <v>21</v>
      </c>
      <c r="AB36" s="1527" t="s">
        <v>32</v>
      </c>
      <c r="AC36" s="1134">
        <f t="shared" si="3"/>
        <v>70</v>
      </c>
    </row>
    <row r="37" spans="1:29" s="1116" customFormat="1" ht="24.75" customHeight="1" x14ac:dyDescent="0.3">
      <c r="A37" s="1126">
        <v>28</v>
      </c>
      <c r="B37" s="1132">
        <v>5191421028</v>
      </c>
      <c r="C37" s="1136">
        <v>1</v>
      </c>
      <c r="D37" s="1134">
        <v>1</v>
      </c>
      <c r="E37" s="1238"/>
      <c r="F37" s="1126">
        <v>6</v>
      </c>
      <c r="G37" s="1126">
        <v>4</v>
      </c>
      <c r="H37" s="1126"/>
      <c r="I37" s="1126"/>
      <c r="J37" s="1126">
        <v>5</v>
      </c>
      <c r="K37" s="1134">
        <v>6</v>
      </c>
      <c r="L37" s="1134"/>
      <c r="M37" s="1134"/>
      <c r="N37" s="1353">
        <f t="shared" si="1"/>
        <v>23</v>
      </c>
      <c r="O37" s="1136"/>
      <c r="P37" s="1134">
        <v>2</v>
      </c>
      <c r="Q37" s="1134"/>
      <c r="R37" s="1138"/>
      <c r="S37" s="1239"/>
      <c r="T37" s="1239">
        <v>6</v>
      </c>
      <c r="U37" s="1134">
        <v>6</v>
      </c>
      <c r="V37" s="1134"/>
      <c r="W37" s="1134"/>
      <c r="X37" s="1134">
        <v>2</v>
      </c>
      <c r="Y37" s="1221">
        <v>1</v>
      </c>
      <c r="Z37" s="1140">
        <f t="shared" si="2"/>
        <v>17</v>
      </c>
      <c r="AA37" s="1134">
        <f t="shared" si="0"/>
        <v>20</v>
      </c>
      <c r="AB37" s="1527" t="s">
        <v>32</v>
      </c>
      <c r="AC37" s="1134">
        <f t="shared" si="3"/>
        <v>70</v>
      </c>
    </row>
    <row r="38" spans="1:29" s="1116" customFormat="1" ht="24.75" customHeight="1" x14ac:dyDescent="0.3">
      <c r="A38" s="1126">
        <v>29</v>
      </c>
      <c r="B38" s="1132">
        <v>5191421029</v>
      </c>
      <c r="C38" s="1136">
        <v>2</v>
      </c>
      <c r="D38" s="1134"/>
      <c r="E38" s="1238"/>
      <c r="F38" s="1126"/>
      <c r="G38" s="1126"/>
      <c r="H38" s="1126">
        <v>6</v>
      </c>
      <c r="I38" s="1126">
        <v>5</v>
      </c>
      <c r="J38" s="1126">
        <v>6</v>
      </c>
      <c r="K38" s="1134">
        <v>4</v>
      </c>
      <c r="L38" s="1134"/>
      <c r="M38" s="1134"/>
      <c r="N38" s="1353">
        <f t="shared" si="1"/>
        <v>23</v>
      </c>
      <c r="O38" s="1136"/>
      <c r="P38" s="1134">
        <v>1</v>
      </c>
      <c r="Q38" s="1134"/>
      <c r="R38" s="1138"/>
      <c r="S38" s="1239">
        <v>4</v>
      </c>
      <c r="T38" s="1239"/>
      <c r="U38" s="1134"/>
      <c r="V38" s="1134"/>
      <c r="W38" s="1134"/>
      <c r="X38" s="1134">
        <v>3</v>
      </c>
      <c r="Y38" s="1221">
        <v>2</v>
      </c>
      <c r="Z38" s="1140">
        <f t="shared" si="2"/>
        <v>10</v>
      </c>
      <c r="AA38" s="1134">
        <f t="shared" si="0"/>
        <v>17</v>
      </c>
      <c r="AB38" s="1527" t="s">
        <v>32</v>
      </c>
      <c r="AC38" s="1134">
        <f t="shared" si="3"/>
        <v>70</v>
      </c>
    </row>
    <row r="39" spans="1:29" s="1116" customFormat="1" ht="24.75" customHeight="1" x14ac:dyDescent="0.3">
      <c r="A39" s="1126">
        <v>30</v>
      </c>
      <c r="B39" s="1132">
        <v>5191421030</v>
      </c>
      <c r="C39" s="1133">
        <v>1</v>
      </c>
      <c r="D39" s="1134"/>
      <c r="E39" s="1238">
        <v>1</v>
      </c>
      <c r="F39" s="1126">
        <v>2</v>
      </c>
      <c r="G39" s="1126"/>
      <c r="H39" s="1126"/>
      <c r="I39" s="1126"/>
      <c r="J39" s="1161">
        <v>3</v>
      </c>
      <c r="K39" s="1239">
        <v>2</v>
      </c>
      <c r="L39" s="1134"/>
      <c r="M39" s="1134"/>
      <c r="N39" s="1353">
        <f t="shared" si="1"/>
        <v>9</v>
      </c>
      <c r="O39" s="1136"/>
      <c r="P39" s="1134"/>
      <c r="Q39" s="1134"/>
      <c r="R39" s="1138"/>
      <c r="S39" s="1239"/>
      <c r="T39" s="1239">
        <v>1</v>
      </c>
      <c r="U39" s="1134">
        <v>1</v>
      </c>
      <c r="V39" s="1134"/>
      <c r="W39" s="1134"/>
      <c r="X39" s="1134"/>
      <c r="Y39" s="1221"/>
      <c r="Z39" s="1140">
        <f t="shared" si="2"/>
        <v>2</v>
      </c>
      <c r="AA39" s="1134">
        <f t="shared" si="0"/>
        <v>6</v>
      </c>
      <c r="AB39" s="1527" t="s">
        <v>29</v>
      </c>
      <c r="AC39" s="1134">
        <f t="shared" si="3"/>
        <v>39</v>
      </c>
    </row>
    <row r="40" spans="1:29" s="1116" customFormat="1" ht="24.75" customHeight="1" x14ac:dyDescent="0.3">
      <c r="A40" s="1126">
        <v>31</v>
      </c>
      <c r="B40" s="1132">
        <v>5191421031</v>
      </c>
      <c r="C40" s="1138">
        <v>2</v>
      </c>
      <c r="D40" s="1134">
        <v>1</v>
      </c>
      <c r="E40" s="1238"/>
      <c r="F40" s="1126"/>
      <c r="G40" s="1126"/>
      <c r="H40" s="1126">
        <v>5</v>
      </c>
      <c r="I40" s="1126">
        <v>5</v>
      </c>
      <c r="J40" s="1161">
        <v>6</v>
      </c>
      <c r="K40" s="1239"/>
      <c r="L40" s="1134"/>
      <c r="M40" s="1134"/>
      <c r="N40" s="1353">
        <f t="shared" si="1"/>
        <v>19</v>
      </c>
      <c r="O40" s="1136"/>
      <c r="P40" s="1134">
        <v>1</v>
      </c>
      <c r="Q40" s="1134">
        <v>1</v>
      </c>
      <c r="R40" s="1138"/>
      <c r="S40" s="1239"/>
      <c r="T40" s="1239">
        <v>4</v>
      </c>
      <c r="U40" s="1134">
        <v>2</v>
      </c>
      <c r="V40" s="1134"/>
      <c r="W40" s="1134"/>
      <c r="X40" s="1134">
        <v>3</v>
      </c>
      <c r="Y40" s="1221">
        <v>6</v>
      </c>
      <c r="Z40" s="1140">
        <f t="shared" si="2"/>
        <v>17</v>
      </c>
      <c r="AA40" s="1134">
        <f t="shared" si="0"/>
        <v>18</v>
      </c>
      <c r="AB40" s="1527" t="s">
        <v>32</v>
      </c>
      <c r="AC40" s="1134">
        <f t="shared" si="3"/>
        <v>70</v>
      </c>
    </row>
    <row r="41" spans="1:29" s="1116" customFormat="1" ht="24.75" customHeight="1" x14ac:dyDescent="0.3">
      <c r="A41" s="1126">
        <v>32</v>
      </c>
      <c r="B41" s="1132">
        <v>5191421032</v>
      </c>
      <c r="C41" s="1136">
        <v>1</v>
      </c>
      <c r="D41" s="1134">
        <v>1</v>
      </c>
      <c r="E41" s="1238">
        <v>1</v>
      </c>
      <c r="F41" s="1126">
        <v>2</v>
      </c>
      <c r="G41" s="1126">
        <v>2</v>
      </c>
      <c r="H41" s="1126"/>
      <c r="I41" s="1126"/>
      <c r="J41" s="1161">
        <v>3</v>
      </c>
      <c r="K41" s="1239">
        <v>1</v>
      </c>
      <c r="L41" s="1134"/>
      <c r="M41" s="1134"/>
      <c r="N41" s="1353">
        <f t="shared" si="1"/>
        <v>11</v>
      </c>
      <c r="O41" s="1138"/>
      <c r="P41" s="1134"/>
      <c r="Q41" s="1134"/>
      <c r="R41" s="1138"/>
      <c r="S41" s="1239"/>
      <c r="T41" s="1239">
        <v>2</v>
      </c>
      <c r="U41" s="1134">
        <v>2</v>
      </c>
      <c r="V41" s="1134">
        <v>1</v>
      </c>
      <c r="W41" s="1134"/>
      <c r="X41" s="1134"/>
      <c r="Y41" s="1221"/>
      <c r="Z41" s="1140">
        <f t="shared" si="2"/>
        <v>5</v>
      </c>
      <c r="AA41" s="1134">
        <f t="shared" si="0"/>
        <v>8</v>
      </c>
      <c r="AB41" s="1527" t="s">
        <v>28</v>
      </c>
      <c r="AC41" s="1134">
        <f t="shared" si="3"/>
        <v>50</v>
      </c>
    </row>
    <row r="42" spans="1:29" s="1116" customFormat="1" ht="24.75" customHeight="1" x14ac:dyDescent="0.3">
      <c r="A42" s="1126">
        <v>33</v>
      </c>
      <c r="B42" s="1132">
        <v>5191421033</v>
      </c>
      <c r="C42" s="1136">
        <v>2</v>
      </c>
      <c r="D42" s="1134">
        <v>1</v>
      </c>
      <c r="E42" s="1238">
        <v>1</v>
      </c>
      <c r="F42" s="1126"/>
      <c r="G42" s="1126"/>
      <c r="H42" s="1126">
        <v>4</v>
      </c>
      <c r="I42" s="1126">
        <v>4</v>
      </c>
      <c r="J42" s="1161"/>
      <c r="K42" s="1239"/>
      <c r="L42" s="1134">
        <v>4</v>
      </c>
      <c r="M42" s="1134">
        <v>3</v>
      </c>
      <c r="N42" s="1353">
        <f t="shared" si="1"/>
        <v>19</v>
      </c>
      <c r="O42" s="1136">
        <v>2</v>
      </c>
      <c r="P42" s="1134">
        <v>2</v>
      </c>
      <c r="Q42" s="1134">
        <v>1</v>
      </c>
      <c r="R42" s="1138">
        <v>5</v>
      </c>
      <c r="S42" s="1239">
        <v>5</v>
      </c>
      <c r="T42" s="1239"/>
      <c r="U42" s="1134"/>
      <c r="V42" s="1134">
        <v>6</v>
      </c>
      <c r="W42" s="1134"/>
      <c r="X42" s="1134"/>
      <c r="Y42" s="1221"/>
      <c r="Z42" s="1140">
        <f t="shared" si="2"/>
        <v>21</v>
      </c>
      <c r="AA42" s="1134">
        <f t="shared" si="0"/>
        <v>20</v>
      </c>
      <c r="AB42" s="1527" t="s">
        <v>27</v>
      </c>
      <c r="AC42" s="1134">
        <f t="shared" si="3"/>
        <v>80</v>
      </c>
    </row>
    <row r="43" spans="1:29" s="1116" customFormat="1" ht="24.75" customHeight="1" x14ac:dyDescent="0.3">
      <c r="A43" s="1126">
        <v>34</v>
      </c>
      <c r="B43" s="1132">
        <v>5191421034</v>
      </c>
      <c r="C43" s="1136">
        <v>2</v>
      </c>
      <c r="D43" s="1134">
        <v>1</v>
      </c>
      <c r="E43" s="1238"/>
      <c r="F43" s="1126"/>
      <c r="G43" s="1126"/>
      <c r="H43" s="1126">
        <v>4</v>
      </c>
      <c r="I43" s="1126">
        <v>4</v>
      </c>
      <c r="J43" s="1126"/>
      <c r="K43" s="1134"/>
      <c r="L43" s="1134">
        <v>5</v>
      </c>
      <c r="M43" s="1134">
        <v>3</v>
      </c>
      <c r="N43" s="1353">
        <f t="shared" si="1"/>
        <v>19</v>
      </c>
      <c r="O43" s="1138">
        <v>2</v>
      </c>
      <c r="P43" s="1134">
        <v>1</v>
      </c>
      <c r="Q43" s="1134"/>
      <c r="R43" s="1138">
        <v>4</v>
      </c>
      <c r="S43" s="1239">
        <v>2</v>
      </c>
      <c r="T43" s="1239"/>
      <c r="U43" s="1134"/>
      <c r="V43" s="1134"/>
      <c r="W43" s="1134"/>
      <c r="X43" s="1134">
        <v>4</v>
      </c>
      <c r="Y43" s="1221">
        <v>4</v>
      </c>
      <c r="Z43" s="1140">
        <f t="shared" si="2"/>
        <v>17</v>
      </c>
      <c r="AA43" s="1134">
        <f t="shared" si="0"/>
        <v>18</v>
      </c>
      <c r="AB43" s="1527" t="s">
        <v>32</v>
      </c>
      <c r="AC43" s="1134">
        <f t="shared" si="3"/>
        <v>70</v>
      </c>
    </row>
    <row r="44" spans="1:29" s="1116" customFormat="1" ht="24.75" customHeight="1" x14ac:dyDescent="0.3">
      <c r="A44" s="1126">
        <v>35</v>
      </c>
      <c r="B44" s="1132">
        <v>5191421035</v>
      </c>
      <c r="C44" s="1145">
        <v>2</v>
      </c>
      <c r="D44" s="1145">
        <v>1</v>
      </c>
      <c r="E44" s="1132">
        <v>1</v>
      </c>
      <c r="F44" s="1126"/>
      <c r="G44" s="1126"/>
      <c r="H44" s="1126">
        <v>2</v>
      </c>
      <c r="I44" s="1126"/>
      <c r="J44" s="1126"/>
      <c r="K44" s="1145">
        <v>2</v>
      </c>
      <c r="L44" s="1145"/>
      <c r="M44" s="1249"/>
      <c r="N44" s="1353">
        <f t="shared" si="1"/>
        <v>8</v>
      </c>
      <c r="O44" s="1140"/>
      <c r="P44" s="1134"/>
      <c r="Q44" s="1134"/>
      <c r="R44" s="1138">
        <v>2</v>
      </c>
      <c r="S44" s="1239">
        <v>2</v>
      </c>
      <c r="T44" s="1239"/>
      <c r="U44" s="1134"/>
      <c r="V44" s="1134"/>
      <c r="W44" s="1134"/>
      <c r="X44" s="1134">
        <v>1</v>
      </c>
      <c r="Y44" s="1221"/>
      <c r="Z44" s="1140">
        <f t="shared" si="2"/>
        <v>5</v>
      </c>
      <c r="AA44" s="1134">
        <f t="shared" si="0"/>
        <v>7</v>
      </c>
      <c r="AB44" s="1527" t="s">
        <v>29</v>
      </c>
      <c r="AC44" s="1134">
        <f t="shared" si="3"/>
        <v>39</v>
      </c>
    </row>
    <row r="45" spans="1:29" s="1116" customFormat="1" ht="24.75" customHeight="1" x14ac:dyDescent="0.3">
      <c r="A45" s="1126">
        <v>36</v>
      </c>
      <c r="B45" s="1132">
        <v>5191421036</v>
      </c>
      <c r="C45" s="1136">
        <v>2</v>
      </c>
      <c r="D45" s="1134">
        <v>1</v>
      </c>
      <c r="E45" s="1238">
        <v>1</v>
      </c>
      <c r="F45" s="1126"/>
      <c r="G45" s="1126">
        <v>2</v>
      </c>
      <c r="H45" s="1126"/>
      <c r="I45" s="1126"/>
      <c r="J45" s="1126">
        <v>4</v>
      </c>
      <c r="K45" s="1134">
        <v>3</v>
      </c>
      <c r="L45" s="1134"/>
      <c r="M45" s="1134"/>
      <c r="N45" s="1353">
        <f t="shared" si="1"/>
        <v>13</v>
      </c>
      <c r="O45" s="1136">
        <v>2</v>
      </c>
      <c r="P45" s="1134"/>
      <c r="Q45" s="1134"/>
      <c r="R45" s="1138"/>
      <c r="S45" s="1239"/>
      <c r="T45" s="1239">
        <v>2</v>
      </c>
      <c r="U45" s="1134">
        <v>2</v>
      </c>
      <c r="V45" s="1134">
        <v>4</v>
      </c>
      <c r="W45" s="1134">
        <v>1</v>
      </c>
      <c r="X45" s="1134"/>
      <c r="Y45" s="1221"/>
      <c r="Z45" s="1140">
        <f t="shared" si="2"/>
        <v>11</v>
      </c>
      <c r="AA45" s="1134">
        <f t="shared" si="0"/>
        <v>12</v>
      </c>
      <c r="AB45" s="1527" t="s">
        <v>31</v>
      </c>
      <c r="AC45" s="1134">
        <f t="shared" si="3"/>
        <v>55</v>
      </c>
    </row>
    <row r="46" spans="1:29" s="1116" customFormat="1" ht="24.75" customHeight="1" x14ac:dyDescent="0.3">
      <c r="A46" s="1126">
        <v>37</v>
      </c>
      <c r="B46" s="1132">
        <v>5191421037</v>
      </c>
      <c r="C46" s="1136">
        <v>1</v>
      </c>
      <c r="D46" s="1134">
        <v>1</v>
      </c>
      <c r="E46" s="1238">
        <v>1</v>
      </c>
      <c r="F46" s="1126"/>
      <c r="G46" s="1126"/>
      <c r="H46" s="1126">
        <v>3</v>
      </c>
      <c r="I46" s="1126"/>
      <c r="J46" s="1126">
        <v>3</v>
      </c>
      <c r="K46" s="1134">
        <v>3</v>
      </c>
      <c r="L46" s="1134"/>
      <c r="M46" s="1134"/>
      <c r="N46" s="1353">
        <f t="shared" si="1"/>
        <v>12</v>
      </c>
      <c r="O46" s="1136"/>
      <c r="P46" s="1134"/>
      <c r="Q46" s="1134"/>
      <c r="R46" s="1138"/>
      <c r="S46" s="1239"/>
      <c r="T46" s="1239">
        <v>1</v>
      </c>
      <c r="U46" s="1134">
        <v>2</v>
      </c>
      <c r="V46" s="1134"/>
      <c r="W46" s="1134"/>
      <c r="X46" s="1134">
        <v>1</v>
      </c>
      <c r="Y46" s="1221"/>
      <c r="Z46" s="1140">
        <f t="shared" si="2"/>
        <v>4</v>
      </c>
      <c r="AA46" s="1134">
        <f t="shared" si="0"/>
        <v>8</v>
      </c>
      <c r="AB46" s="1527" t="s">
        <v>29</v>
      </c>
      <c r="AC46" s="1134">
        <f t="shared" si="3"/>
        <v>39</v>
      </c>
    </row>
    <row r="47" spans="1:29" s="1116" customFormat="1" ht="24.75" customHeight="1" x14ac:dyDescent="0.3">
      <c r="A47" s="1126">
        <v>38</v>
      </c>
      <c r="B47" s="1132">
        <v>5191421038</v>
      </c>
      <c r="C47" s="1136">
        <v>2</v>
      </c>
      <c r="D47" s="1134"/>
      <c r="E47" s="1238">
        <v>1</v>
      </c>
      <c r="F47" s="1126">
        <v>2</v>
      </c>
      <c r="G47" s="1126"/>
      <c r="H47" s="1126"/>
      <c r="I47" s="1126"/>
      <c r="J47" s="1126">
        <v>4</v>
      </c>
      <c r="K47" s="1134">
        <v>3</v>
      </c>
      <c r="L47" s="1134"/>
      <c r="M47" s="1134"/>
      <c r="N47" s="1353">
        <f t="shared" si="1"/>
        <v>12</v>
      </c>
      <c r="O47" s="1136"/>
      <c r="P47" s="1134"/>
      <c r="Q47" s="1134">
        <v>1</v>
      </c>
      <c r="R47" s="1138"/>
      <c r="S47" s="1239"/>
      <c r="T47" s="1239">
        <v>1</v>
      </c>
      <c r="U47" s="1134">
        <v>4</v>
      </c>
      <c r="V47" s="1134"/>
      <c r="W47" s="1134"/>
      <c r="X47" s="1134">
        <v>3</v>
      </c>
      <c r="Y47" s="1221"/>
      <c r="Z47" s="1140">
        <f t="shared" si="2"/>
        <v>9</v>
      </c>
      <c r="AA47" s="1134">
        <f t="shared" si="0"/>
        <v>11</v>
      </c>
      <c r="AB47" s="1527" t="s">
        <v>28</v>
      </c>
      <c r="AC47" s="1134">
        <f t="shared" si="3"/>
        <v>50</v>
      </c>
    </row>
    <row r="48" spans="1:29" s="1116" customFormat="1" ht="24.75" customHeight="1" x14ac:dyDescent="0.3">
      <c r="A48" s="1126">
        <v>39</v>
      </c>
      <c r="B48" s="1132">
        <v>5191421039</v>
      </c>
      <c r="C48" s="1136">
        <v>2</v>
      </c>
      <c r="D48" s="1134">
        <v>1</v>
      </c>
      <c r="E48" s="1238">
        <v>1</v>
      </c>
      <c r="F48" s="1126">
        <v>5</v>
      </c>
      <c r="G48" s="1126">
        <v>6</v>
      </c>
      <c r="H48" s="1126"/>
      <c r="I48" s="1126"/>
      <c r="J48" s="1126">
        <v>5</v>
      </c>
      <c r="K48" s="1134">
        <v>4</v>
      </c>
      <c r="L48" s="1134"/>
      <c r="M48" s="1134"/>
      <c r="N48" s="1353">
        <f t="shared" si="1"/>
        <v>24</v>
      </c>
      <c r="O48" s="1136"/>
      <c r="P48" s="1134">
        <v>2</v>
      </c>
      <c r="Q48" s="1134"/>
      <c r="R48" s="1138">
        <v>4</v>
      </c>
      <c r="S48" s="1239">
        <v>3</v>
      </c>
      <c r="T48" s="1239"/>
      <c r="U48" s="1134"/>
      <c r="V48" s="1134"/>
      <c r="W48" s="1134"/>
      <c r="X48" s="1134">
        <v>2</v>
      </c>
      <c r="Y48" s="1221">
        <v>6</v>
      </c>
      <c r="Z48" s="1140">
        <f t="shared" si="2"/>
        <v>17</v>
      </c>
      <c r="AA48" s="1134">
        <f t="shared" si="0"/>
        <v>21</v>
      </c>
      <c r="AB48" s="1527" t="s">
        <v>33</v>
      </c>
      <c r="AC48" s="1134">
        <f t="shared" si="3"/>
        <v>60</v>
      </c>
    </row>
    <row r="49" spans="1:29" s="1116" customFormat="1" ht="24.75" customHeight="1" x14ac:dyDescent="0.3">
      <c r="A49" s="1126">
        <v>40</v>
      </c>
      <c r="B49" s="1132">
        <v>5191421040</v>
      </c>
      <c r="C49" s="1133">
        <v>2</v>
      </c>
      <c r="D49" s="1134">
        <v>1</v>
      </c>
      <c r="E49" s="1238">
        <v>1</v>
      </c>
      <c r="F49" s="1126"/>
      <c r="G49" s="1126"/>
      <c r="H49" s="1126">
        <v>6</v>
      </c>
      <c r="I49" s="1126">
        <v>4</v>
      </c>
      <c r="J49" s="1126">
        <v>5</v>
      </c>
      <c r="K49" s="1134">
        <v>3</v>
      </c>
      <c r="L49" s="1134"/>
      <c r="M49" s="1134"/>
      <c r="N49" s="1353">
        <f t="shared" si="1"/>
        <v>22</v>
      </c>
      <c r="O49" s="1136"/>
      <c r="P49" s="1134"/>
      <c r="Q49" s="1134"/>
      <c r="R49" s="1138"/>
      <c r="S49" s="1239"/>
      <c r="T49" s="1239"/>
      <c r="U49" s="1134"/>
      <c r="V49" s="1134"/>
      <c r="W49" s="1134"/>
      <c r="X49" s="1134"/>
      <c r="Y49" s="1221"/>
      <c r="Z49" s="1140">
        <f t="shared" si="2"/>
        <v>0</v>
      </c>
      <c r="AA49" s="1134">
        <f t="shared" si="0"/>
        <v>11</v>
      </c>
      <c r="AB49" s="1527" t="s">
        <v>31</v>
      </c>
      <c r="AC49" s="1134">
        <f t="shared" si="3"/>
        <v>55</v>
      </c>
    </row>
    <row r="50" spans="1:29" s="1116" customFormat="1" ht="24.75" customHeight="1" x14ac:dyDescent="0.3">
      <c r="A50" s="1126">
        <v>41</v>
      </c>
      <c r="B50" s="1132">
        <v>5191421041</v>
      </c>
      <c r="C50" s="1136">
        <v>1</v>
      </c>
      <c r="D50" s="1134">
        <v>1</v>
      </c>
      <c r="E50" s="1238">
        <v>1</v>
      </c>
      <c r="F50" s="1126"/>
      <c r="G50" s="1126"/>
      <c r="H50" s="1126">
        <v>3</v>
      </c>
      <c r="I50" s="1126"/>
      <c r="J50" s="1126"/>
      <c r="K50" s="1134"/>
      <c r="L50" s="1134">
        <v>2</v>
      </c>
      <c r="M50" s="1134">
        <v>2</v>
      </c>
      <c r="N50" s="1353">
        <f t="shared" si="1"/>
        <v>10</v>
      </c>
      <c r="O50" s="1136"/>
      <c r="P50" s="1134">
        <v>1</v>
      </c>
      <c r="Q50" s="1134"/>
      <c r="R50" s="1138">
        <v>3</v>
      </c>
      <c r="S50" s="1239">
        <v>2</v>
      </c>
      <c r="T50" s="1239"/>
      <c r="U50" s="1134"/>
      <c r="V50" s="1134">
        <v>1</v>
      </c>
      <c r="W50" s="1134"/>
      <c r="X50" s="1134"/>
      <c r="Y50" s="1221"/>
      <c r="Z50" s="1140">
        <f t="shared" si="2"/>
        <v>7</v>
      </c>
      <c r="AA50" s="1134">
        <f t="shared" si="0"/>
        <v>9</v>
      </c>
      <c r="AB50" s="1527" t="s">
        <v>31</v>
      </c>
      <c r="AC50" s="1134">
        <f t="shared" si="3"/>
        <v>55</v>
      </c>
    </row>
    <row r="51" spans="1:29" s="1116" customFormat="1" ht="24.75" customHeight="1" x14ac:dyDescent="0.3">
      <c r="A51" s="1126">
        <v>42</v>
      </c>
      <c r="B51" s="1132">
        <v>5191421042</v>
      </c>
      <c r="C51" s="1136">
        <v>2</v>
      </c>
      <c r="D51" s="1134">
        <v>1</v>
      </c>
      <c r="E51" s="1238"/>
      <c r="F51" s="1126"/>
      <c r="G51" s="1126"/>
      <c r="H51" s="1126">
        <v>2</v>
      </c>
      <c r="I51" s="1126">
        <v>1</v>
      </c>
      <c r="J51" s="1126">
        <v>5</v>
      </c>
      <c r="K51" s="1134"/>
      <c r="L51" s="1134"/>
      <c r="M51" s="1134"/>
      <c r="N51" s="1353">
        <f t="shared" si="1"/>
        <v>11</v>
      </c>
      <c r="O51" s="1136">
        <v>2</v>
      </c>
      <c r="P51" s="1134"/>
      <c r="Q51" s="1134"/>
      <c r="R51" s="1138">
        <v>2</v>
      </c>
      <c r="S51" s="1239">
        <v>3</v>
      </c>
      <c r="T51" s="1239"/>
      <c r="U51" s="1134"/>
      <c r="V51" s="1134"/>
      <c r="W51" s="1134"/>
      <c r="X51" s="1134">
        <v>2</v>
      </c>
      <c r="Y51" s="1221"/>
      <c r="Z51" s="1140">
        <f t="shared" si="2"/>
        <v>9</v>
      </c>
      <c r="AA51" s="1134">
        <f t="shared" si="0"/>
        <v>10</v>
      </c>
      <c r="AB51" s="1527" t="s">
        <v>28</v>
      </c>
      <c r="AC51" s="1134">
        <f t="shared" si="3"/>
        <v>50</v>
      </c>
    </row>
    <row r="52" spans="1:29" s="1116" customFormat="1" ht="24.75" customHeight="1" x14ac:dyDescent="0.3">
      <c r="A52" s="1126">
        <v>43</v>
      </c>
      <c r="B52" s="1132">
        <v>5191421043</v>
      </c>
      <c r="C52" s="1136">
        <v>2</v>
      </c>
      <c r="D52" s="1134">
        <v>1</v>
      </c>
      <c r="E52" s="1238">
        <v>1</v>
      </c>
      <c r="F52" s="1126"/>
      <c r="G52" s="1126"/>
      <c r="H52" s="1126">
        <v>6</v>
      </c>
      <c r="I52" s="1126">
        <v>6</v>
      </c>
      <c r="J52" s="1126">
        <v>2</v>
      </c>
      <c r="K52" s="1134">
        <v>6</v>
      </c>
      <c r="L52" s="1134"/>
      <c r="M52" s="1134"/>
      <c r="N52" s="1353">
        <f t="shared" si="1"/>
        <v>24</v>
      </c>
      <c r="O52" s="1136">
        <v>2</v>
      </c>
      <c r="P52" s="1134">
        <v>2</v>
      </c>
      <c r="Q52" s="1134">
        <v>1</v>
      </c>
      <c r="R52" s="1138">
        <v>2</v>
      </c>
      <c r="S52" s="1239">
        <v>3</v>
      </c>
      <c r="T52" s="1239"/>
      <c r="U52" s="1134"/>
      <c r="V52" s="1134">
        <v>5</v>
      </c>
      <c r="W52" s="1134"/>
      <c r="X52" s="1134"/>
      <c r="Y52" s="1221"/>
      <c r="Z52" s="1140">
        <f t="shared" si="2"/>
        <v>15</v>
      </c>
      <c r="AA52" s="1134">
        <f t="shared" si="0"/>
        <v>20</v>
      </c>
      <c r="AB52" s="1527" t="s">
        <v>32</v>
      </c>
      <c r="AC52" s="1134">
        <f t="shared" si="3"/>
        <v>70</v>
      </c>
    </row>
    <row r="53" spans="1:29" s="1116" customFormat="1" ht="24.75" customHeight="1" x14ac:dyDescent="0.3">
      <c r="A53" s="1126">
        <v>44</v>
      </c>
      <c r="B53" s="1132">
        <v>5191421044</v>
      </c>
      <c r="C53" s="1136">
        <v>2</v>
      </c>
      <c r="D53" s="1134">
        <v>2</v>
      </c>
      <c r="E53" s="1238">
        <v>2</v>
      </c>
      <c r="F53" s="1126"/>
      <c r="G53" s="1126"/>
      <c r="H53" s="1126">
        <v>3</v>
      </c>
      <c r="I53" s="1126">
        <v>3</v>
      </c>
      <c r="J53" s="1126">
        <v>5</v>
      </c>
      <c r="K53" s="1134">
        <v>6</v>
      </c>
      <c r="L53" s="1134"/>
      <c r="M53" s="1134"/>
      <c r="N53" s="1353">
        <f t="shared" si="1"/>
        <v>23</v>
      </c>
      <c r="O53" s="1136">
        <v>2</v>
      </c>
      <c r="P53" s="1134">
        <v>2</v>
      </c>
      <c r="Q53" s="1134">
        <v>1</v>
      </c>
      <c r="R53" s="1138">
        <v>4</v>
      </c>
      <c r="S53" s="1239">
        <v>4</v>
      </c>
      <c r="T53" s="1239"/>
      <c r="U53" s="1134"/>
      <c r="V53" s="1134">
        <v>5</v>
      </c>
      <c r="W53" s="1134">
        <v>1</v>
      </c>
      <c r="X53" s="1134"/>
      <c r="Y53" s="1221"/>
      <c r="Z53" s="1140">
        <f t="shared" si="2"/>
        <v>19</v>
      </c>
      <c r="AA53" s="1134">
        <f t="shared" si="0"/>
        <v>21</v>
      </c>
      <c r="AB53" s="1527" t="s">
        <v>32</v>
      </c>
      <c r="AC53" s="1134">
        <f t="shared" si="3"/>
        <v>70</v>
      </c>
    </row>
    <row r="54" spans="1:29" s="1116" customFormat="1" ht="24.75" customHeight="1" x14ac:dyDescent="0.3">
      <c r="A54" s="1126">
        <v>45</v>
      </c>
      <c r="B54" s="1132">
        <v>5191421045</v>
      </c>
      <c r="C54" s="1133">
        <v>1</v>
      </c>
      <c r="D54" s="1134">
        <v>2</v>
      </c>
      <c r="E54" s="1238">
        <v>1</v>
      </c>
      <c r="F54" s="1126"/>
      <c r="G54" s="1126"/>
      <c r="H54" s="1126">
        <v>3</v>
      </c>
      <c r="I54" s="1126">
        <v>1</v>
      </c>
      <c r="J54" s="1126">
        <v>5</v>
      </c>
      <c r="K54" s="1134">
        <v>2</v>
      </c>
      <c r="L54" s="1134"/>
      <c r="M54" s="1134"/>
      <c r="N54" s="1353">
        <f t="shared" si="1"/>
        <v>15</v>
      </c>
      <c r="O54" s="1136"/>
      <c r="P54" s="1134"/>
      <c r="Q54" s="1134"/>
      <c r="R54" s="1138"/>
      <c r="S54" s="1239"/>
      <c r="T54" s="1239">
        <v>4</v>
      </c>
      <c r="U54" s="1134">
        <v>3</v>
      </c>
      <c r="V54" s="1134">
        <v>1</v>
      </c>
      <c r="W54" s="1134"/>
      <c r="X54" s="1134"/>
      <c r="Y54" s="1221"/>
      <c r="Z54" s="1140">
        <f t="shared" si="2"/>
        <v>8</v>
      </c>
      <c r="AA54" s="1134">
        <f t="shared" si="0"/>
        <v>12</v>
      </c>
      <c r="AB54" s="1527" t="s">
        <v>28</v>
      </c>
      <c r="AC54" s="1134">
        <f t="shared" si="3"/>
        <v>50</v>
      </c>
    </row>
    <row r="55" spans="1:29" s="1116" customFormat="1" ht="24.75" customHeight="1" x14ac:dyDescent="0.3">
      <c r="A55" s="1126">
        <v>46</v>
      </c>
      <c r="B55" s="1132">
        <v>5191421046</v>
      </c>
      <c r="C55" s="1136">
        <v>1</v>
      </c>
      <c r="D55" s="1134">
        <v>2</v>
      </c>
      <c r="E55" s="1238">
        <v>1</v>
      </c>
      <c r="F55" s="1126">
        <v>2</v>
      </c>
      <c r="G55" s="1126">
        <v>6</v>
      </c>
      <c r="H55" s="1126"/>
      <c r="I55" s="1126"/>
      <c r="J55" s="1126">
        <v>6</v>
      </c>
      <c r="K55" s="1134">
        <v>3</v>
      </c>
      <c r="L55" s="1134"/>
      <c r="M55" s="1134"/>
      <c r="N55" s="1353">
        <f t="shared" si="1"/>
        <v>21</v>
      </c>
      <c r="O55" s="1136"/>
      <c r="P55" s="1134">
        <v>1</v>
      </c>
      <c r="Q55" s="1134">
        <v>1</v>
      </c>
      <c r="R55" s="1138">
        <v>2</v>
      </c>
      <c r="S55" s="1239">
        <v>4</v>
      </c>
      <c r="T55" s="1239"/>
      <c r="U55" s="1134"/>
      <c r="V55" s="1134"/>
      <c r="W55" s="1134"/>
      <c r="X55" s="1134">
        <v>3</v>
      </c>
      <c r="Y55" s="1221">
        <v>6</v>
      </c>
      <c r="Z55" s="1140">
        <f t="shared" si="2"/>
        <v>17</v>
      </c>
      <c r="AA55" s="1134">
        <f t="shared" si="0"/>
        <v>19</v>
      </c>
      <c r="AB55" s="1527" t="s">
        <v>32</v>
      </c>
      <c r="AC55" s="1134">
        <f t="shared" si="3"/>
        <v>70</v>
      </c>
    </row>
    <row r="56" spans="1:29" s="1116" customFormat="1" ht="24.75" customHeight="1" x14ac:dyDescent="0.3">
      <c r="A56" s="1126">
        <v>47</v>
      </c>
      <c r="B56" s="1132">
        <v>5191421047</v>
      </c>
      <c r="C56" s="1136">
        <v>1</v>
      </c>
      <c r="D56" s="1134">
        <v>0</v>
      </c>
      <c r="E56" s="1238"/>
      <c r="F56" s="1126"/>
      <c r="G56" s="1126"/>
      <c r="H56" s="1126"/>
      <c r="I56" s="1126"/>
      <c r="J56" s="1126">
        <v>2</v>
      </c>
      <c r="K56" s="1134">
        <v>2</v>
      </c>
      <c r="L56" s="1134"/>
      <c r="M56" s="1134"/>
      <c r="N56" s="1353">
        <f t="shared" si="1"/>
        <v>5</v>
      </c>
      <c r="O56" s="1136"/>
      <c r="P56" s="1134"/>
      <c r="Q56" s="1134"/>
      <c r="R56" s="1138">
        <v>2</v>
      </c>
      <c r="S56" s="1239">
        <v>1</v>
      </c>
      <c r="T56" s="1239"/>
      <c r="U56" s="1134"/>
      <c r="V56" s="1134"/>
      <c r="W56" s="1134"/>
      <c r="X56" s="1134"/>
      <c r="Y56" s="1221"/>
      <c r="Z56" s="1140">
        <f t="shared" si="2"/>
        <v>3</v>
      </c>
      <c r="AA56" s="1134">
        <f t="shared" si="0"/>
        <v>4</v>
      </c>
      <c r="AB56" s="1527" t="s">
        <v>29</v>
      </c>
      <c r="AC56" s="1134">
        <f t="shared" si="3"/>
        <v>39</v>
      </c>
    </row>
    <row r="57" spans="1:29" s="1116" customFormat="1" ht="24.75" customHeight="1" x14ac:dyDescent="0.3">
      <c r="A57" s="1126">
        <v>48</v>
      </c>
      <c r="B57" s="1132">
        <v>5191421048</v>
      </c>
      <c r="C57" s="1136">
        <v>2</v>
      </c>
      <c r="D57" s="1134">
        <v>1</v>
      </c>
      <c r="E57" s="1238">
        <v>1</v>
      </c>
      <c r="F57" s="1126"/>
      <c r="G57" s="1126"/>
      <c r="H57" s="1126">
        <v>4</v>
      </c>
      <c r="I57" s="1126">
        <v>4</v>
      </c>
      <c r="J57" s="1126"/>
      <c r="K57" s="1134"/>
      <c r="L57" s="1134"/>
      <c r="M57" s="1134"/>
      <c r="N57" s="1353">
        <f t="shared" si="1"/>
        <v>12</v>
      </c>
      <c r="O57" s="1136"/>
      <c r="P57" s="1134"/>
      <c r="Q57" s="1134"/>
      <c r="R57" s="1138"/>
      <c r="S57" s="1239"/>
      <c r="T57" s="1239"/>
      <c r="U57" s="1134"/>
      <c r="V57" s="1134"/>
      <c r="W57" s="1134"/>
      <c r="X57" s="1134"/>
      <c r="Y57" s="1221"/>
      <c r="Z57" s="1140">
        <f t="shared" si="2"/>
        <v>0</v>
      </c>
      <c r="AA57" s="1134">
        <f t="shared" si="0"/>
        <v>6</v>
      </c>
      <c r="AB57" s="1527" t="s">
        <v>28</v>
      </c>
      <c r="AC57" s="1134">
        <f t="shared" si="3"/>
        <v>50</v>
      </c>
    </row>
    <row r="58" spans="1:29" s="1116" customFormat="1" ht="24.75" customHeight="1" x14ac:dyDescent="0.3">
      <c r="A58" s="1126">
        <v>49</v>
      </c>
      <c r="B58" s="1132">
        <v>5191421049</v>
      </c>
      <c r="C58" s="1136"/>
      <c r="D58" s="1134"/>
      <c r="E58" s="1238"/>
      <c r="F58" s="1126"/>
      <c r="G58" s="1126"/>
      <c r="H58" s="1126"/>
      <c r="I58" s="1126"/>
      <c r="J58" s="1126"/>
      <c r="K58" s="1134"/>
      <c r="L58" s="1134"/>
      <c r="M58" s="1134"/>
      <c r="N58" s="1353">
        <f t="shared" si="1"/>
        <v>0</v>
      </c>
      <c r="O58" s="1136"/>
      <c r="P58" s="1134">
        <v>1</v>
      </c>
      <c r="Q58" s="1134"/>
      <c r="R58" s="1138"/>
      <c r="S58" s="1239"/>
      <c r="T58" s="1239">
        <v>3</v>
      </c>
      <c r="U58" s="1134">
        <v>2</v>
      </c>
      <c r="V58" s="1134"/>
      <c r="W58" s="1134"/>
      <c r="X58" s="1134">
        <v>4</v>
      </c>
      <c r="Y58" s="1221"/>
      <c r="Z58" s="1140">
        <f t="shared" si="2"/>
        <v>10</v>
      </c>
      <c r="AA58" s="1134">
        <f t="shared" si="0"/>
        <v>5</v>
      </c>
      <c r="AB58" s="1527" t="s">
        <v>28</v>
      </c>
      <c r="AC58" s="1134">
        <f t="shared" si="3"/>
        <v>50</v>
      </c>
    </row>
    <row r="59" spans="1:29" s="1116" customFormat="1" ht="24.75" customHeight="1" x14ac:dyDescent="0.3">
      <c r="A59" s="1126">
        <v>50</v>
      </c>
      <c r="B59" s="1132">
        <v>5191421050</v>
      </c>
      <c r="C59" s="1136">
        <v>1</v>
      </c>
      <c r="D59" s="1134">
        <v>1</v>
      </c>
      <c r="E59" s="1238">
        <v>1</v>
      </c>
      <c r="F59" s="1126">
        <v>2</v>
      </c>
      <c r="G59" s="1126">
        <v>1</v>
      </c>
      <c r="H59" s="1126"/>
      <c r="I59" s="1126"/>
      <c r="J59" s="1126">
        <v>2</v>
      </c>
      <c r="K59" s="1134">
        <v>4</v>
      </c>
      <c r="L59" s="1134"/>
      <c r="M59" s="1134"/>
      <c r="N59" s="1353">
        <f t="shared" si="1"/>
        <v>12</v>
      </c>
      <c r="O59" s="1136"/>
      <c r="P59" s="1134">
        <v>1</v>
      </c>
      <c r="Q59" s="1134">
        <v>1</v>
      </c>
      <c r="R59" s="1138"/>
      <c r="S59" s="1239"/>
      <c r="T59" s="1239">
        <v>2</v>
      </c>
      <c r="U59" s="1134">
        <v>5</v>
      </c>
      <c r="V59" s="1134"/>
      <c r="W59" s="1134"/>
      <c r="X59" s="1134"/>
      <c r="Y59" s="1221"/>
      <c r="Z59" s="1140">
        <f t="shared" si="2"/>
        <v>9</v>
      </c>
      <c r="AA59" s="1134">
        <f t="shared" si="0"/>
        <v>11</v>
      </c>
      <c r="AB59" s="1527" t="s">
        <v>28</v>
      </c>
      <c r="AC59" s="1134">
        <f t="shared" si="3"/>
        <v>50</v>
      </c>
    </row>
    <row r="60" spans="1:29" s="1116" customFormat="1" ht="24.75" customHeight="1" x14ac:dyDescent="0.3">
      <c r="A60" s="1126">
        <v>51</v>
      </c>
      <c r="B60" s="1132">
        <v>5191421051</v>
      </c>
      <c r="C60" s="1354">
        <v>2</v>
      </c>
      <c r="D60" s="1355">
        <v>1</v>
      </c>
      <c r="E60" s="1356">
        <v>2</v>
      </c>
      <c r="F60" s="1126"/>
      <c r="G60" s="1126"/>
      <c r="H60" s="1126">
        <v>6</v>
      </c>
      <c r="I60" s="1126">
        <v>2</v>
      </c>
      <c r="J60" s="1126">
        <v>6</v>
      </c>
      <c r="K60" s="1134">
        <v>3</v>
      </c>
      <c r="L60" s="1134"/>
      <c r="M60" s="1134"/>
      <c r="N60" s="1353">
        <f t="shared" si="1"/>
        <v>22</v>
      </c>
      <c r="O60" s="1354"/>
      <c r="P60" s="1355">
        <v>1</v>
      </c>
      <c r="Q60" s="1355">
        <v>1</v>
      </c>
      <c r="R60" s="1357">
        <v>3</v>
      </c>
      <c r="S60" s="1358">
        <v>4</v>
      </c>
      <c r="T60" s="1358"/>
      <c r="U60" s="1355"/>
      <c r="V60" s="1355"/>
      <c r="W60" s="1355"/>
      <c r="X60" s="1355">
        <v>2</v>
      </c>
      <c r="Y60" s="1359">
        <v>6</v>
      </c>
      <c r="Z60" s="1140">
        <f t="shared" si="2"/>
        <v>17</v>
      </c>
      <c r="AA60" s="1134">
        <f t="shared" si="0"/>
        <v>20</v>
      </c>
      <c r="AB60" s="1527" t="s">
        <v>32</v>
      </c>
      <c r="AC60" s="1134">
        <f t="shared" si="3"/>
        <v>70</v>
      </c>
    </row>
    <row r="61" spans="1:29" s="1116" customFormat="1" ht="24.75" customHeight="1" x14ac:dyDescent="0.3">
      <c r="A61" s="1126">
        <v>52</v>
      </c>
      <c r="B61" s="1132">
        <v>5191421052</v>
      </c>
      <c r="C61" s="1354">
        <v>1</v>
      </c>
      <c r="D61" s="1355">
        <v>1</v>
      </c>
      <c r="E61" s="1356">
        <v>2</v>
      </c>
      <c r="F61" s="1126">
        <v>5</v>
      </c>
      <c r="G61" s="1126">
        <v>6</v>
      </c>
      <c r="H61" s="1126"/>
      <c r="I61" s="1126"/>
      <c r="J61" s="1126"/>
      <c r="K61" s="1134">
        <v>3</v>
      </c>
      <c r="L61" s="1134"/>
      <c r="M61" s="1134"/>
      <c r="N61" s="1353">
        <f t="shared" si="1"/>
        <v>18</v>
      </c>
      <c r="O61" s="1354"/>
      <c r="P61" s="1355">
        <v>2</v>
      </c>
      <c r="Q61" s="1355">
        <v>2</v>
      </c>
      <c r="R61" s="1357"/>
      <c r="S61" s="1358"/>
      <c r="T61" s="1358">
        <v>3</v>
      </c>
      <c r="U61" s="1355">
        <v>6</v>
      </c>
      <c r="V61" s="1355"/>
      <c r="W61" s="1355"/>
      <c r="X61" s="1355">
        <v>2</v>
      </c>
      <c r="Y61" s="1359">
        <v>5</v>
      </c>
      <c r="Z61" s="1140">
        <f t="shared" si="2"/>
        <v>20</v>
      </c>
      <c r="AA61" s="1134">
        <f t="shared" si="0"/>
        <v>19</v>
      </c>
      <c r="AB61" s="1527" t="s">
        <v>32</v>
      </c>
      <c r="AC61" s="1134">
        <f t="shared" si="3"/>
        <v>70</v>
      </c>
    </row>
    <row r="62" spans="1:29" s="1116" customFormat="1" ht="24.75" customHeight="1" x14ac:dyDescent="0.3">
      <c r="A62" s="1126">
        <v>53</v>
      </c>
      <c r="B62" s="1132">
        <v>5191421053</v>
      </c>
      <c r="C62" s="1354">
        <v>2</v>
      </c>
      <c r="D62" s="1355">
        <v>1</v>
      </c>
      <c r="E62" s="1356">
        <v>1</v>
      </c>
      <c r="F62" s="1126"/>
      <c r="G62" s="1126"/>
      <c r="H62" s="1126">
        <v>2</v>
      </c>
      <c r="I62" s="1126">
        <v>2</v>
      </c>
      <c r="J62" s="1126">
        <v>2</v>
      </c>
      <c r="K62" s="1134">
        <v>6</v>
      </c>
      <c r="L62" s="1134"/>
      <c r="M62" s="1134"/>
      <c r="N62" s="1353">
        <f t="shared" si="1"/>
        <v>16</v>
      </c>
      <c r="O62" s="1354"/>
      <c r="P62" s="1355">
        <v>2</v>
      </c>
      <c r="Q62" s="1355">
        <v>2</v>
      </c>
      <c r="R62" s="1357"/>
      <c r="S62" s="1358"/>
      <c r="T62" s="1358">
        <v>2</v>
      </c>
      <c r="U62" s="1355">
        <v>6</v>
      </c>
      <c r="V62" s="1355"/>
      <c r="W62" s="1355"/>
      <c r="X62" s="1355">
        <v>2</v>
      </c>
      <c r="Y62" s="1359">
        <v>4</v>
      </c>
      <c r="Z62" s="1140">
        <f t="shared" si="2"/>
        <v>18</v>
      </c>
      <c r="AA62" s="1134">
        <f t="shared" si="0"/>
        <v>17</v>
      </c>
      <c r="AB62" s="1527" t="s">
        <v>31</v>
      </c>
      <c r="AC62" s="1134">
        <f t="shared" si="3"/>
        <v>55</v>
      </c>
    </row>
    <row r="63" spans="1:29" s="1116" customFormat="1" ht="24.75" customHeight="1" x14ac:dyDescent="0.3">
      <c r="A63" s="1126">
        <v>54</v>
      </c>
      <c r="B63" s="1132">
        <v>5191421054</v>
      </c>
      <c r="C63" s="1354">
        <v>2</v>
      </c>
      <c r="D63" s="1355">
        <v>1</v>
      </c>
      <c r="E63" s="1356"/>
      <c r="F63" s="1126"/>
      <c r="G63" s="1126"/>
      <c r="H63" s="1126">
        <v>3</v>
      </c>
      <c r="I63" s="1126">
        <v>2</v>
      </c>
      <c r="J63" s="1126"/>
      <c r="K63" s="1134">
        <v>3</v>
      </c>
      <c r="L63" s="1134"/>
      <c r="M63" s="1134"/>
      <c r="N63" s="1353">
        <f t="shared" si="1"/>
        <v>11</v>
      </c>
      <c r="O63" s="1354"/>
      <c r="P63" s="1355">
        <v>1</v>
      </c>
      <c r="Q63" s="1355"/>
      <c r="R63" s="1357">
        <v>2</v>
      </c>
      <c r="S63" s="1358">
        <v>2</v>
      </c>
      <c r="T63" s="1358"/>
      <c r="U63" s="1355"/>
      <c r="V63" s="1355"/>
      <c r="W63" s="1355"/>
      <c r="X63" s="1355">
        <v>2</v>
      </c>
      <c r="Y63" s="1359">
        <v>6</v>
      </c>
      <c r="Z63" s="1140">
        <f t="shared" si="2"/>
        <v>13</v>
      </c>
      <c r="AA63" s="1134">
        <f t="shared" si="0"/>
        <v>12</v>
      </c>
      <c r="AB63" s="1527" t="s">
        <v>33</v>
      </c>
      <c r="AC63" s="1134">
        <f t="shared" si="3"/>
        <v>60</v>
      </c>
    </row>
    <row r="64" spans="1:29" s="1116" customFormat="1" ht="24.75" customHeight="1" x14ac:dyDescent="0.3">
      <c r="A64" s="1126">
        <v>55</v>
      </c>
      <c r="B64" s="1132">
        <v>5191421055</v>
      </c>
      <c r="C64" s="1354">
        <v>1</v>
      </c>
      <c r="D64" s="1355">
        <v>1</v>
      </c>
      <c r="E64" s="1356">
        <v>2</v>
      </c>
      <c r="F64" s="1126"/>
      <c r="G64" s="1126"/>
      <c r="H64" s="1126">
        <v>2</v>
      </c>
      <c r="I64" s="1126">
        <v>6</v>
      </c>
      <c r="J64" s="1126">
        <v>2</v>
      </c>
      <c r="K64" s="1134"/>
      <c r="L64" s="1134"/>
      <c r="M64" s="1134"/>
      <c r="N64" s="1353">
        <f t="shared" si="1"/>
        <v>14</v>
      </c>
      <c r="O64" s="1354"/>
      <c r="P64" s="1355">
        <v>1</v>
      </c>
      <c r="Q64" s="1355">
        <v>1</v>
      </c>
      <c r="R64" s="1357"/>
      <c r="S64" s="1358"/>
      <c r="T64" s="1358">
        <v>4</v>
      </c>
      <c r="U64" s="1355">
        <v>3</v>
      </c>
      <c r="V64" s="1355">
        <v>3</v>
      </c>
      <c r="W64" s="1355"/>
      <c r="X64" s="1355"/>
      <c r="Y64" s="1359"/>
      <c r="Z64" s="1140">
        <f t="shared" si="2"/>
        <v>12</v>
      </c>
      <c r="AA64" s="1134">
        <f t="shared" si="0"/>
        <v>13</v>
      </c>
      <c r="AB64" s="1527" t="s">
        <v>33</v>
      </c>
      <c r="AC64" s="1134">
        <f t="shared" si="3"/>
        <v>60</v>
      </c>
    </row>
    <row r="65" spans="1:29" s="1116" customFormat="1" ht="24.75" customHeight="1" x14ac:dyDescent="0.3">
      <c r="A65" s="1126">
        <v>56</v>
      </c>
      <c r="B65" s="1132">
        <v>5191421056</v>
      </c>
      <c r="C65" s="1354">
        <v>1</v>
      </c>
      <c r="D65" s="1355">
        <v>1</v>
      </c>
      <c r="E65" s="1356">
        <v>1</v>
      </c>
      <c r="F65" s="1126">
        <v>3</v>
      </c>
      <c r="G65" s="1126">
        <v>1</v>
      </c>
      <c r="H65" s="1126"/>
      <c r="I65" s="1126"/>
      <c r="J65" s="1126">
        <v>3</v>
      </c>
      <c r="K65" s="1134">
        <v>4</v>
      </c>
      <c r="L65" s="1134"/>
      <c r="M65" s="1134"/>
      <c r="N65" s="1353">
        <f t="shared" si="1"/>
        <v>14</v>
      </c>
      <c r="O65" s="1354"/>
      <c r="P65" s="1355">
        <v>1</v>
      </c>
      <c r="Q65" s="1355"/>
      <c r="R65" s="1357"/>
      <c r="S65" s="1358">
        <v>4</v>
      </c>
      <c r="T65" s="1358">
        <v>5</v>
      </c>
      <c r="U65" s="1355"/>
      <c r="V65" s="1355"/>
      <c r="W65" s="1355"/>
      <c r="X65" s="1355">
        <v>2</v>
      </c>
      <c r="Y65" s="1359">
        <v>2</v>
      </c>
      <c r="Z65" s="1140">
        <f t="shared" si="2"/>
        <v>14</v>
      </c>
      <c r="AA65" s="1134">
        <f t="shared" si="0"/>
        <v>14</v>
      </c>
      <c r="AB65" s="1527" t="s">
        <v>33</v>
      </c>
      <c r="AC65" s="1134">
        <f t="shared" si="3"/>
        <v>60</v>
      </c>
    </row>
    <row r="66" spans="1:29" s="1116" customFormat="1" ht="24.75" customHeight="1" x14ac:dyDescent="0.3">
      <c r="A66" s="1126">
        <v>57</v>
      </c>
      <c r="B66" s="1132">
        <v>5191421057</v>
      </c>
      <c r="C66" s="1354">
        <v>1</v>
      </c>
      <c r="D66" s="1355"/>
      <c r="E66" s="1356"/>
      <c r="F66" s="1126"/>
      <c r="G66" s="1126"/>
      <c r="H66" s="1126">
        <v>5</v>
      </c>
      <c r="I66" s="1126">
        <v>6</v>
      </c>
      <c r="J66" s="1126">
        <v>6</v>
      </c>
      <c r="K66" s="1134">
        <v>3</v>
      </c>
      <c r="L66" s="1134"/>
      <c r="M66" s="1134"/>
      <c r="N66" s="1353">
        <f t="shared" si="1"/>
        <v>21</v>
      </c>
      <c r="O66" s="1354">
        <v>2</v>
      </c>
      <c r="P66" s="1355">
        <v>2</v>
      </c>
      <c r="Q66" s="1355">
        <v>2</v>
      </c>
      <c r="R66" s="1357">
        <v>5</v>
      </c>
      <c r="S66" s="1358">
        <v>5</v>
      </c>
      <c r="T66" s="1358"/>
      <c r="U66" s="1355"/>
      <c r="V66" s="1355">
        <v>5</v>
      </c>
      <c r="W66" s="1355"/>
      <c r="X66" s="1355"/>
      <c r="Y66" s="1359"/>
      <c r="Z66" s="1140">
        <f t="shared" si="2"/>
        <v>21</v>
      </c>
      <c r="AA66" s="1134">
        <f t="shared" si="0"/>
        <v>21</v>
      </c>
      <c r="AB66" s="1527" t="s">
        <v>32</v>
      </c>
      <c r="AC66" s="1134">
        <f t="shared" si="3"/>
        <v>70</v>
      </c>
    </row>
    <row r="67" spans="1:29" s="1116" customFormat="1" ht="24.75" customHeight="1" x14ac:dyDescent="0.3">
      <c r="A67" s="1126">
        <v>58</v>
      </c>
      <c r="B67" s="1132">
        <v>5191421058</v>
      </c>
      <c r="C67" s="1354"/>
      <c r="D67" s="1355"/>
      <c r="E67" s="1356"/>
      <c r="F67" s="1126"/>
      <c r="G67" s="1126"/>
      <c r="H67" s="1126">
        <v>3</v>
      </c>
      <c r="I67" s="1126"/>
      <c r="J67" s="1126">
        <v>2</v>
      </c>
      <c r="K67" s="1134"/>
      <c r="L67" s="1134"/>
      <c r="M67" s="1134"/>
      <c r="N67" s="1284">
        <f>SUM(C67:M67)</f>
        <v>5</v>
      </c>
      <c r="O67" s="1354"/>
      <c r="P67" s="1355"/>
      <c r="Q67" s="1355"/>
      <c r="R67" s="1357"/>
      <c r="S67" s="1358">
        <v>1</v>
      </c>
      <c r="T67" s="1358">
        <v>4</v>
      </c>
      <c r="U67" s="1355">
        <v>2</v>
      </c>
      <c r="V67" s="1355"/>
      <c r="W67" s="1355"/>
      <c r="X67" s="1355"/>
      <c r="Y67" s="1359"/>
      <c r="Z67" s="1140">
        <f t="shared" si="2"/>
        <v>7</v>
      </c>
      <c r="AA67" s="1134">
        <f t="shared" si="0"/>
        <v>6</v>
      </c>
      <c r="AB67" s="1527" t="s">
        <v>28</v>
      </c>
      <c r="AC67" s="1134">
        <f t="shared" si="3"/>
        <v>50</v>
      </c>
    </row>
    <row r="68" spans="1:29" s="1116" customFormat="1" ht="24.75" customHeight="1" x14ac:dyDescent="0.3">
      <c r="C68" s="1312">
        <f t="shared" ref="C68:M68" si="4">COUNT(C11:C67)</f>
        <v>52</v>
      </c>
      <c r="D68" s="1312">
        <f t="shared" si="4"/>
        <v>42</v>
      </c>
      <c r="E68" s="1312">
        <f t="shared" si="4"/>
        <v>40</v>
      </c>
      <c r="F68" s="1150">
        <f t="shared" si="4"/>
        <v>27</v>
      </c>
      <c r="G68" s="1150">
        <f t="shared" si="4"/>
        <v>21</v>
      </c>
      <c r="H68" s="1150">
        <f t="shared" si="4"/>
        <v>25</v>
      </c>
      <c r="I68" s="1150">
        <f t="shared" si="4"/>
        <v>18</v>
      </c>
      <c r="J68" s="1150">
        <f t="shared" si="4"/>
        <v>44</v>
      </c>
      <c r="K68" s="1150">
        <f t="shared" si="4"/>
        <v>43</v>
      </c>
      <c r="L68" s="1150">
        <f t="shared" si="4"/>
        <v>4</v>
      </c>
      <c r="M68" s="1150">
        <f t="shared" si="4"/>
        <v>4</v>
      </c>
      <c r="N68" s="1312"/>
      <c r="O68" s="1312">
        <f>COUNT(O10:O67)</f>
        <v>20</v>
      </c>
      <c r="P68" s="1312">
        <f>COUNT(P10:P67)</f>
        <v>32</v>
      </c>
      <c r="Q68" s="1312">
        <f>COUNT(Q10:Q67)</f>
        <v>25</v>
      </c>
      <c r="R68" s="1312">
        <f>COUNT(R10:R67)</f>
        <v>26</v>
      </c>
      <c r="S68" s="1312">
        <f t="shared" ref="S68:T68" si="5">COUNT(S10:S67)</f>
        <v>30</v>
      </c>
      <c r="T68" s="1312">
        <f t="shared" si="5"/>
        <v>26</v>
      </c>
      <c r="U68" s="1312">
        <f>COUNT(U10:U67)</f>
        <v>25</v>
      </c>
      <c r="V68" s="1312">
        <f t="shared" ref="V68:W68" si="6">COUNT(V10:V67)</f>
        <v>20</v>
      </c>
      <c r="W68" s="1312">
        <f t="shared" si="6"/>
        <v>7</v>
      </c>
      <c r="X68" s="1312">
        <f>COUNT(X10:X67)</f>
        <v>24</v>
      </c>
      <c r="Y68" s="1312">
        <f>COUNT(Y10:Y67)</f>
        <v>24</v>
      </c>
      <c r="Z68" s="1312">
        <f>COUNT(Z10:Z67)</f>
        <v>58</v>
      </c>
      <c r="AA68" s="1312"/>
      <c r="AB68" s="1312"/>
      <c r="AC68" s="1312">
        <f t="shared" ref="AC68" si="7">COUNT(AC10:AC67)</f>
        <v>58</v>
      </c>
    </row>
    <row r="69" spans="1:29" s="1116" customFormat="1" ht="24.75" customHeight="1" x14ac:dyDescent="0.3">
      <c r="A69" s="1149" t="s">
        <v>34</v>
      </c>
      <c r="B69" s="1013">
        <v>55</v>
      </c>
      <c r="C69" s="1528">
        <f>C9*(B69/100)</f>
        <v>1.1000000000000001</v>
      </c>
      <c r="D69" s="1528">
        <f>D9*(B69/100)</f>
        <v>1.1000000000000001</v>
      </c>
      <c r="E69" s="1528">
        <f>E9*(B69/100)</f>
        <v>1.1000000000000001</v>
      </c>
      <c r="F69" s="1150">
        <v>3</v>
      </c>
      <c r="G69" s="1150">
        <v>3</v>
      </c>
      <c r="H69" s="1150">
        <v>3</v>
      </c>
      <c r="I69" s="1150">
        <v>3</v>
      </c>
      <c r="J69" s="1150">
        <v>3</v>
      </c>
      <c r="K69" s="1150">
        <v>3</v>
      </c>
      <c r="L69" s="1150">
        <v>3</v>
      </c>
      <c r="M69" s="1150">
        <v>3</v>
      </c>
      <c r="N69" s="1312"/>
      <c r="O69" s="1528">
        <f>O9*(B69/100)</f>
        <v>1.1000000000000001</v>
      </c>
      <c r="P69" s="1528">
        <f>P9*(B69/100)</f>
        <v>1.1000000000000001</v>
      </c>
      <c r="Q69" s="1528">
        <f>Q9*(B69/100)</f>
        <v>1.1000000000000001</v>
      </c>
      <c r="R69" s="1528">
        <f>R9*(B69/100)</f>
        <v>2.75</v>
      </c>
      <c r="S69" s="1528">
        <v>3</v>
      </c>
      <c r="T69" s="1528">
        <v>3</v>
      </c>
      <c r="U69" s="1528">
        <f>U9*(B69/100)</f>
        <v>2.75</v>
      </c>
      <c r="V69" s="1528">
        <v>3</v>
      </c>
      <c r="W69" s="1528">
        <v>3</v>
      </c>
      <c r="X69" s="1528">
        <f>X9*(B69/100)</f>
        <v>2.75</v>
      </c>
      <c r="Y69" s="1528">
        <f>Y9*(B69/100)</f>
        <v>2.75</v>
      </c>
      <c r="Z69" s="1528"/>
      <c r="AA69" s="1528"/>
    </row>
    <row r="70" spans="1:29" s="1116" customFormat="1" ht="24.75" customHeight="1" x14ac:dyDescent="0.3">
      <c r="A70" s="2888" t="s">
        <v>35</v>
      </c>
      <c r="B70" s="2888"/>
      <c r="C70" s="1312">
        <f t="shared" ref="C70:M70" si="8">COUNTIF(C11:C67,"&gt;=" &amp;C69)</f>
        <v>29</v>
      </c>
      <c r="D70" s="1312">
        <f t="shared" si="8"/>
        <v>9</v>
      </c>
      <c r="E70" s="1312">
        <f t="shared" si="8"/>
        <v>9</v>
      </c>
      <c r="F70" s="1150">
        <f t="shared" si="8"/>
        <v>19</v>
      </c>
      <c r="G70" s="1150">
        <f t="shared" si="8"/>
        <v>16</v>
      </c>
      <c r="H70" s="1150">
        <f t="shared" si="8"/>
        <v>19</v>
      </c>
      <c r="I70" s="1150">
        <f t="shared" si="8"/>
        <v>12</v>
      </c>
      <c r="J70" s="1150">
        <f t="shared" si="8"/>
        <v>37</v>
      </c>
      <c r="K70" s="1150">
        <f t="shared" si="8"/>
        <v>37</v>
      </c>
      <c r="L70" s="1150">
        <f t="shared" si="8"/>
        <v>2</v>
      </c>
      <c r="M70" s="1150">
        <f t="shared" si="8"/>
        <v>3</v>
      </c>
      <c r="N70" s="1312"/>
      <c r="O70" s="1312">
        <f>COUNTIF(O10:O60,"&gt;=" &amp;O69)</f>
        <v>16</v>
      </c>
      <c r="P70" s="1312">
        <f>COUNTIF(P10:P60,"&gt;=" &amp;P69)</f>
        <v>8</v>
      </c>
      <c r="Q70" s="1312">
        <f>COUNTIF(Q10:Q60,"&gt;=" &amp;Q69)</f>
        <v>5</v>
      </c>
      <c r="R70" s="1312">
        <f>COUNTIF(R10:R60,"&gt;=" &amp;R69)</f>
        <v>16</v>
      </c>
      <c r="S70" s="1312">
        <f t="shared" ref="S70:T70" si="9">COUNTIF(S10:S60,"&gt;=" &amp;S69)</f>
        <v>19</v>
      </c>
      <c r="T70" s="1312">
        <f t="shared" si="9"/>
        <v>9</v>
      </c>
      <c r="U70" s="1312">
        <f>COUNTIF(U10:U60,"&gt;=" &amp;U69)</f>
        <v>8</v>
      </c>
      <c r="V70" s="1312">
        <f t="shared" ref="V70:W70" si="10">COUNTIF(V10:V60,"&gt;=" &amp;V69)</f>
        <v>13</v>
      </c>
      <c r="W70" s="1312">
        <f t="shared" si="10"/>
        <v>3</v>
      </c>
      <c r="X70" s="1312">
        <f>COUNTIF(X10:X60,"&gt;=" &amp;X69)</f>
        <v>10</v>
      </c>
      <c r="Y70" s="1312">
        <f>COUNTIF(Y10:Y60,"&gt;=" &amp;Y69)</f>
        <v>16</v>
      </c>
      <c r="Z70" s="1312"/>
      <c r="AA70" s="1312"/>
      <c r="AC70" s="1312">
        <f>COUNTIF(AC10:AC67,"&gt;="&amp;B69)</f>
        <v>42</v>
      </c>
    </row>
    <row r="71" spans="1:29" s="1116" customFormat="1" ht="24.75" customHeight="1" x14ac:dyDescent="0.3">
      <c r="A71" s="2877" t="s">
        <v>36</v>
      </c>
      <c r="B71" s="2877"/>
      <c r="C71" s="1312">
        <f t="shared" ref="C71:Y71" si="11">C70/C68</f>
        <v>0.55769230769230771</v>
      </c>
      <c r="D71" s="1312">
        <f t="shared" si="11"/>
        <v>0.21428571428571427</v>
      </c>
      <c r="E71" s="1312">
        <f t="shared" si="11"/>
        <v>0.22500000000000001</v>
      </c>
      <c r="F71" s="1151">
        <f t="shared" si="11"/>
        <v>0.70370370370370372</v>
      </c>
      <c r="G71" s="1151">
        <f t="shared" si="11"/>
        <v>0.76190476190476186</v>
      </c>
      <c r="H71" s="1151">
        <f t="shared" si="11"/>
        <v>0.76</v>
      </c>
      <c r="I71" s="1151">
        <f t="shared" si="11"/>
        <v>0.66666666666666663</v>
      </c>
      <c r="J71" s="1151">
        <f t="shared" si="11"/>
        <v>0.84090909090909094</v>
      </c>
      <c r="K71" s="1151">
        <f t="shared" si="11"/>
        <v>0.86046511627906974</v>
      </c>
      <c r="L71" s="1151">
        <f t="shared" si="11"/>
        <v>0.5</v>
      </c>
      <c r="M71" s="1151">
        <f t="shared" si="11"/>
        <v>0.75</v>
      </c>
      <c r="N71" s="1312"/>
      <c r="O71" s="1312">
        <f t="shared" si="11"/>
        <v>0.8</v>
      </c>
      <c r="P71" s="1312">
        <f t="shared" si="11"/>
        <v>0.25</v>
      </c>
      <c r="Q71" s="1312">
        <f t="shared" si="11"/>
        <v>0.2</v>
      </c>
      <c r="R71" s="1312">
        <f t="shared" si="11"/>
        <v>0.61538461538461542</v>
      </c>
      <c r="S71" s="1312">
        <f t="shared" si="11"/>
        <v>0.6333333333333333</v>
      </c>
      <c r="T71" s="1312">
        <f t="shared" si="11"/>
        <v>0.34615384615384615</v>
      </c>
      <c r="U71" s="1312">
        <f t="shared" si="11"/>
        <v>0.32</v>
      </c>
      <c r="V71" s="1312">
        <f t="shared" si="11"/>
        <v>0.65</v>
      </c>
      <c r="W71" s="1312">
        <f t="shared" si="11"/>
        <v>0.42857142857142855</v>
      </c>
      <c r="X71" s="1312">
        <f t="shared" si="11"/>
        <v>0.41666666666666669</v>
      </c>
      <c r="Y71" s="1261">
        <f t="shared" si="11"/>
        <v>0.66666666666666663</v>
      </c>
      <c r="Z71" s="1312"/>
      <c r="AA71" s="1312"/>
      <c r="AC71" s="1312">
        <f>(AC70/AC68)*100</f>
        <v>72.41379310344827</v>
      </c>
    </row>
    <row r="72" spans="1:29" s="1116" customFormat="1" ht="24.75" customHeight="1" x14ac:dyDescent="0.3">
      <c r="C72" s="1122" t="s">
        <v>20</v>
      </c>
      <c r="D72" s="1126" t="s">
        <v>20</v>
      </c>
      <c r="E72" s="1126" t="s">
        <v>21</v>
      </c>
      <c r="F72" s="3615" t="s">
        <v>22</v>
      </c>
      <c r="G72" s="3616"/>
      <c r="H72" s="3615" t="s">
        <v>22</v>
      </c>
      <c r="I72" s="3616"/>
      <c r="J72" s="3615" t="s">
        <v>40</v>
      </c>
      <c r="K72" s="3616"/>
      <c r="L72" s="3615" t="s">
        <v>40</v>
      </c>
      <c r="M72" s="3616"/>
      <c r="N72" s="1312"/>
      <c r="O72" s="1126" t="s">
        <v>41</v>
      </c>
      <c r="P72" s="1126" t="s">
        <v>42</v>
      </c>
      <c r="Q72" s="1126" t="s">
        <v>43</v>
      </c>
      <c r="R72" s="1126" t="s">
        <v>41</v>
      </c>
      <c r="S72" s="1126" t="s">
        <v>42</v>
      </c>
      <c r="T72" s="1126" t="s">
        <v>41</v>
      </c>
      <c r="U72" s="1126" t="s">
        <v>42</v>
      </c>
      <c r="V72" s="1126" t="s">
        <v>41</v>
      </c>
      <c r="W72" s="1126" t="s">
        <v>43</v>
      </c>
      <c r="X72" s="1126" t="s">
        <v>42</v>
      </c>
      <c r="Y72" s="1126" t="s">
        <v>43</v>
      </c>
      <c r="Z72" s="1312"/>
      <c r="AA72" s="1312"/>
    </row>
    <row r="73" spans="1:29" s="1116" customFormat="1" ht="24.75" customHeight="1" x14ac:dyDescent="0.3">
      <c r="M73" s="1181"/>
      <c r="Y73" s="1181"/>
    </row>
    <row r="74" spans="1:29" s="1116" customFormat="1" ht="24.75" customHeight="1" x14ac:dyDescent="0.3">
      <c r="C74" s="2804" t="s">
        <v>38</v>
      </c>
      <c r="D74" s="2804"/>
      <c r="E74" s="1368" t="s">
        <v>39</v>
      </c>
      <c r="F74" s="2804"/>
      <c r="G74" s="2804"/>
      <c r="H74" s="1013"/>
      <c r="M74" s="1181"/>
      <c r="Y74" s="1181"/>
    </row>
    <row r="75" spans="1:29" s="1116" customFormat="1" ht="24.75" customHeight="1" x14ac:dyDescent="0.3">
      <c r="B75" s="1013" t="s">
        <v>22</v>
      </c>
      <c r="C75" s="1312">
        <f>AVERAGE(C71,D71,F71,G71,H71,I71)*100</f>
        <v>61.070885904219239</v>
      </c>
      <c r="D75" s="1312">
        <f t="shared" ref="D75:D79" si="12">IF(C75&gt;=70,3,IF(AND(C75&gt;=60,C75&lt;70),2,IF(AND(C75&gt;=50,C75&lt;60),1)))</f>
        <v>2</v>
      </c>
      <c r="E75" s="1150">
        <f>IF(AC71&gt;=70,3,IF(AND(AC71&gt;=60,AC71&lt;70),2,IF(AND(AC71&gt;=50,AC71&lt;60),1)))</f>
        <v>3</v>
      </c>
      <c r="F75" s="1150">
        <f>((70/100)*E75)+((30/100)*D75)</f>
        <v>2.6999999999999997</v>
      </c>
      <c r="G75" s="1150"/>
      <c r="H75" s="1150"/>
      <c r="M75" s="1181"/>
      <c r="Y75" s="1181"/>
    </row>
    <row r="76" spans="1:29" s="1116" customFormat="1" ht="24.75" customHeight="1" x14ac:dyDescent="0.3">
      <c r="B76" s="1013" t="s">
        <v>40</v>
      </c>
      <c r="C76" s="1312">
        <f>AVERAGE(E71,J71,K71,L71,M71)*100</f>
        <v>63.527484143763211</v>
      </c>
      <c r="D76" s="1312">
        <f t="shared" si="12"/>
        <v>2</v>
      </c>
      <c r="E76" s="1150">
        <f>IF(AC71&gt;=70,3,IF(AND(AC71&gt;=60,AC71&lt;70),2,IF(AND(AC71&gt;=50,AC71&lt;60),1)))</f>
        <v>3</v>
      </c>
      <c r="F76" s="1150">
        <f t="shared" ref="F76:F79" si="13">((70/100)*E76)+((30/100)*D76)</f>
        <v>2.6999999999999997</v>
      </c>
      <c r="G76" s="1150"/>
      <c r="H76" s="1150"/>
      <c r="M76" s="1181"/>
      <c r="Y76" s="1181"/>
    </row>
    <row r="77" spans="1:29" s="1116" customFormat="1" ht="24.75" customHeight="1" x14ac:dyDescent="0.3">
      <c r="B77" s="1013" t="s">
        <v>41</v>
      </c>
      <c r="C77" s="1312">
        <f>AVERAGE(O71,R71,T71,V71)*100</f>
        <v>60.288461538461533</v>
      </c>
      <c r="D77" s="1312">
        <f t="shared" si="12"/>
        <v>2</v>
      </c>
      <c r="E77" s="1150">
        <f>IF(AC71&gt;=70,3,IF(AND(AC71&gt;=60,AC71&lt;70),2,IF(AND(AC71&gt;=50,AC71&lt;60),1)))</f>
        <v>3</v>
      </c>
      <c r="F77" s="1150">
        <f t="shared" si="13"/>
        <v>2.6999999999999997</v>
      </c>
      <c r="G77" s="1150"/>
      <c r="H77" s="1150"/>
      <c r="M77" s="1181"/>
      <c r="Y77" s="1181"/>
    </row>
    <row r="78" spans="1:29" s="1116" customFormat="1" ht="24.75" customHeight="1" x14ac:dyDescent="0.3">
      <c r="B78" s="1013" t="s">
        <v>42</v>
      </c>
      <c r="C78" s="1312">
        <f>AVERAGE(P71,S71,U71,X71)*100</f>
        <v>40.5</v>
      </c>
      <c r="D78" s="1312" t="b">
        <f t="shared" si="12"/>
        <v>0</v>
      </c>
      <c r="E78" s="1150">
        <f>IF(AC71&gt;=70,3,IF(AND(AC71&gt;=60,AC71&lt;70),2,IF(AND(AC71&gt;=50,AC71&lt;60),1)))</f>
        <v>3</v>
      </c>
      <c r="F78" s="1150">
        <f t="shared" si="13"/>
        <v>2.0999999999999996</v>
      </c>
      <c r="G78" s="1150"/>
      <c r="H78" s="1150"/>
      <c r="M78" s="1181"/>
      <c r="Y78" s="1181"/>
    </row>
    <row r="79" spans="1:29" s="1116" customFormat="1" ht="24.75" customHeight="1" x14ac:dyDescent="0.3">
      <c r="B79" s="1013" t="s">
        <v>43</v>
      </c>
      <c r="C79" s="1312">
        <f>AVERAGE(Q71,W71,Y71)*100</f>
        <v>43.17460317460317</v>
      </c>
      <c r="D79" s="1312" t="b">
        <f t="shared" si="12"/>
        <v>0</v>
      </c>
      <c r="E79" s="1150">
        <f>IF(AC71&gt;=70,3,IF(AND(AC71&gt;=60,AC71&lt;70),2,IF(AND(AC71&gt;=50,AC71&lt;60),1)))</f>
        <v>3</v>
      </c>
      <c r="F79" s="1150">
        <f t="shared" si="13"/>
        <v>2.0999999999999996</v>
      </c>
      <c r="G79" s="1150"/>
      <c r="H79" s="1150"/>
      <c r="M79" s="1181"/>
      <c r="Y79" s="1181"/>
    </row>
    <row r="80" spans="1:29" s="1116" customFormat="1" ht="24.75" customHeight="1" x14ac:dyDescent="0.3">
      <c r="B80" s="2715" t="s">
        <v>44</v>
      </c>
      <c r="C80" s="2715"/>
      <c r="D80" s="2715"/>
      <c r="E80" s="2715"/>
      <c r="M80" s="1181"/>
      <c r="Y80" s="1181"/>
    </row>
    <row r="81" spans="1:27" s="1116" customFormat="1" ht="24.75" customHeight="1" x14ac:dyDescent="0.3">
      <c r="M81" s="1181"/>
      <c r="Y81" s="1181"/>
    </row>
    <row r="82" spans="1:27" s="1116" customFormat="1" ht="24.75" customHeight="1" x14ac:dyDescent="0.3">
      <c r="A82" s="2715" t="s">
        <v>134</v>
      </c>
      <c r="B82" s="2715"/>
      <c r="M82" s="1181"/>
      <c r="Y82" s="1181"/>
    </row>
    <row r="83" spans="1:27" s="1116" customFormat="1" ht="24.75" customHeight="1" x14ac:dyDescent="0.3">
      <c r="M83" s="1181"/>
      <c r="Y83" s="1181"/>
    </row>
    <row r="84" spans="1:27" s="1116" customFormat="1" ht="24.75" customHeight="1" x14ac:dyDescent="0.3">
      <c r="B84" s="1145" t="s">
        <v>45</v>
      </c>
      <c r="C84" s="1364" t="s">
        <v>68</v>
      </c>
      <c r="D84" s="1364" t="s">
        <v>69</v>
      </c>
      <c r="E84" s="1364" t="s">
        <v>70</v>
      </c>
      <c r="F84" s="1364" t="s">
        <v>71</v>
      </c>
      <c r="G84" s="1364" t="s">
        <v>72</v>
      </c>
      <c r="H84" s="1364" t="s">
        <v>73</v>
      </c>
      <c r="I84" s="1364" t="s">
        <v>74</v>
      </c>
      <c r="J84" s="1365" t="s">
        <v>75</v>
      </c>
      <c r="K84" s="1364" t="s">
        <v>76</v>
      </c>
      <c r="L84" s="1364" t="s">
        <v>77</v>
      </c>
      <c r="M84" s="1364" t="s">
        <v>78</v>
      </c>
      <c r="N84" s="1364" t="s">
        <v>79</v>
      </c>
      <c r="O84" s="1181"/>
      <c r="AA84" s="1181"/>
    </row>
    <row r="85" spans="1:27" s="1116" customFormat="1" ht="24.75" customHeight="1" x14ac:dyDescent="0.3">
      <c r="B85" s="1132" t="s">
        <v>20</v>
      </c>
      <c r="C85" s="1153"/>
      <c r="D85" s="1153">
        <v>2</v>
      </c>
      <c r="E85" s="1153"/>
      <c r="F85" s="1153"/>
      <c r="G85" s="1153">
        <v>3</v>
      </c>
      <c r="H85" s="1153"/>
      <c r="I85" s="1153"/>
      <c r="J85" s="1153"/>
      <c r="K85" s="1153"/>
      <c r="L85" s="1153"/>
      <c r="M85" s="1153"/>
      <c r="N85" s="1153"/>
      <c r="O85" s="1181"/>
      <c r="AA85" s="1181"/>
    </row>
    <row r="86" spans="1:27" s="1116" customFormat="1" ht="24.75" customHeight="1" x14ac:dyDescent="0.3">
      <c r="B86" s="1132" t="s">
        <v>21</v>
      </c>
      <c r="C86" s="1153">
        <v>2</v>
      </c>
      <c r="D86" s="1153">
        <v>3</v>
      </c>
      <c r="E86" s="1153">
        <v>3</v>
      </c>
      <c r="F86" s="1153">
        <v>3</v>
      </c>
      <c r="G86" s="1153">
        <v>3</v>
      </c>
      <c r="H86" s="1153">
        <v>2</v>
      </c>
      <c r="I86" s="1153"/>
      <c r="J86" s="1153"/>
      <c r="K86" s="1153"/>
      <c r="L86" s="1153"/>
      <c r="M86" s="1153"/>
      <c r="N86" s="1153">
        <v>2</v>
      </c>
      <c r="O86" s="1181"/>
      <c r="AA86" s="1181"/>
    </row>
    <row r="87" spans="1:27" s="1116" customFormat="1" ht="24.75" customHeight="1" x14ac:dyDescent="0.3">
      <c r="B87" s="1132" t="s">
        <v>23</v>
      </c>
      <c r="C87" s="1153">
        <v>2</v>
      </c>
      <c r="D87" s="1153">
        <v>3</v>
      </c>
      <c r="E87" s="1153">
        <v>3</v>
      </c>
      <c r="F87" s="1153">
        <v>3</v>
      </c>
      <c r="G87" s="1153">
        <v>3</v>
      </c>
      <c r="H87" s="1153"/>
      <c r="I87" s="1153"/>
      <c r="J87" s="1153"/>
      <c r="K87" s="1153"/>
      <c r="L87" s="1153"/>
      <c r="M87" s="1153"/>
      <c r="N87" s="1153">
        <v>2</v>
      </c>
      <c r="O87" s="1181"/>
      <c r="AA87" s="1181"/>
    </row>
    <row r="88" spans="1:27" s="1116" customFormat="1" ht="24.75" customHeight="1" x14ac:dyDescent="0.3">
      <c r="B88" s="1132" t="s">
        <v>25</v>
      </c>
      <c r="C88" s="1153">
        <v>3</v>
      </c>
      <c r="D88" s="1153">
        <v>3</v>
      </c>
      <c r="E88" s="1153">
        <v>2</v>
      </c>
      <c r="F88" s="1153">
        <v>3</v>
      </c>
      <c r="G88" s="1153">
        <v>3</v>
      </c>
      <c r="H88" s="1153"/>
      <c r="I88" s="1153"/>
      <c r="J88" s="1153"/>
      <c r="K88" s="1153"/>
      <c r="L88" s="1153"/>
      <c r="M88" s="1153"/>
      <c r="N88" s="1153">
        <v>2</v>
      </c>
      <c r="O88" s="1181"/>
      <c r="AA88" s="1181"/>
    </row>
    <row r="89" spans="1:27" s="1116" customFormat="1" ht="24.75" customHeight="1" x14ac:dyDescent="0.3">
      <c r="B89" s="1132" t="s">
        <v>24</v>
      </c>
      <c r="C89" s="1153">
        <v>3</v>
      </c>
      <c r="D89" s="1153">
        <v>3</v>
      </c>
      <c r="E89" s="1153">
        <v>2</v>
      </c>
      <c r="F89" s="1153">
        <v>3</v>
      </c>
      <c r="G89" s="1153">
        <v>3</v>
      </c>
      <c r="H89" s="1153"/>
      <c r="I89" s="1153"/>
      <c r="J89" s="1153"/>
      <c r="K89" s="1153"/>
      <c r="L89" s="1153"/>
      <c r="M89" s="1153"/>
      <c r="N89" s="1153">
        <v>2</v>
      </c>
      <c r="O89" s="1181"/>
      <c r="AA89" s="1181"/>
    </row>
    <row r="90" spans="1:27" s="1116" customFormat="1" ht="24.75" customHeight="1" x14ac:dyDescent="0.3">
      <c r="B90" s="1247" t="s">
        <v>10</v>
      </c>
      <c r="C90" s="1156">
        <f>AVERAGE(C85:C89)</f>
        <v>2.5</v>
      </c>
      <c r="D90" s="1156">
        <f t="shared" ref="D90:N90" si="14">AVERAGE(D85:D89)</f>
        <v>2.8</v>
      </c>
      <c r="E90" s="1156">
        <f t="shared" si="14"/>
        <v>2.5</v>
      </c>
      <c r="F90" s="1156">
        <f t="shared" si="14"/>
        <v>3</v>
      </c>
      <c r="G90" s="1156">
        <f t="shared" si="14"/>
        <v>3</v>
      </c>
      <c r="H90" s="1156">
        <f t="shared" si="14"/>
        <v>2</v>
      </c>
      <c r="I90" s="1156"/>
      <c r="J90" s="1156"/>
      <c r="K90" s="1156"/>
      <c r="L90" s="1156"/>
      <c r="M90" s="1156"/>
      <c r="N90" s="1156">
        <f t="shared" si="14"/>
        <v>2</v>
      </c>
      <c r="O90" s="1181"/>
      <c r="AA90" s="1181"/>
    </row>
    <row r="91" spans="1:27" s="1116" customFormat="1" ht="24.75" customHeight="1" x14ac:dyDescent="0.3">
      <c r="B91" s="1247" t="s">
        <v>58</v>
      </c>
      <c r="C91" s="3617">
        <f>AVERAGE(C90:N90)</f>
        <v>2.5428571428571431</v>
      </c>
      <c r="D91" s="3618"/>
      <c r="E91" s="3618"/>
      <c r="F91" s="3618"/>
      <c r="G91" s="3618"/>
      <c r="H91" s="3618"/>
      <c r="I91" s="3618"/>
      <c r="J91" s="3618"/>
      <c r="K91" s="3618"/>
      <c r="L91" s="3618"/>
      <c r="M91" s="3618"/>
      <c r="N91" s="3618"/>
      <c r="O91" s="1322"/>
      <c r="P91" s="1322"/>
      <c r="Q91" s="1322"/>
      <c r="Y91" s="1181"/>
    </row>
    <row r="92" spans="1:27" s="1116" customFormat="1" ht="24.75" customHeight="1" x14ac:dyDescent="0.3">
      <c r="C92" s="1529"/>
      <c r="M92" s="1181"/>
      <c r="Y92" s="1181"/>
    </row>
    <row r="93" spans="1:27" s="1116" customFormat="1" ht="24.75" customHeight="1" x14ac:dyDescent="0.3">
      <c r="M93" s="1181"/>
      <c r="Y93" s="1181"/>
    </row>
    <row r="94" spans="1:27" s="1116" customFormat="1" ht="24.75" customHeight="1" x14ac:dyDescent="0.3">
      <c r="A94" s="2715" t="s">
        <v>148</v>
      </c>
      <c r="B94" s="2715"/>
      <c r="M94" s="1181"/>
      <c r="Y94" s="1181"/>
    </row>
    <row r="95" spans="1:27" s="1116" customFormat="1" ht="24.75" customHeight="1" x14ac:dyDescent="0.3">
      <c r="M95" s="1181"/>
      <c r="Y95" s="1181"/>
    </row>
    <row r="96" spans="1:27" s="1116" customFormat="1" ht="24.75" customHeight="1" x14ac:dyDescent="0.3">
      <c r="B96" s="1145" t="s">
        <v>45</v>
      </c>
      <c r="C96" s="1364" t="s">
        <v>68</v>
      </c>
      <c r="D96" s="1364" t="s">
        <v>69</v>
      </c>
      <c r="E96" s="1364" t="s">
        <v>70</v>
      </c>
      <c r="F96" s="1364" t="s">
        <v>71</v>
      </c>
      <c r="G96" s="1364" t="s">
        <v>72</v>
      </c>
      <c r="H96" s="1364" t="s">
        <v>73</v>
      </c>
      <c r="I96" s="1364" t="s">
        <v>74</v>
      </c>
      <c r="J96" s="1365" t="s">
        <v>75</v>
      </c>
      <c r="K96" s="1364" t="s">
        <v>76</v>
      </c>
      <c r="L96" s="1364" t="s">
        <v>77</v>
      </c>
      <c r="M96" s="1364" t="s">
        <v>78</v>
      </c>
      <c r="N96" s="1364" t="s">
        <v>79</v>
      </c>
      <c r="O96" s="1181"/>
      <c r="AA96" s="1181"/>
    </row>
    <row r="97" spans="1:27" s="1116" customFormat="1" ht="24.75" customHeight="1" x14ac:dyDescent="0.3">
      <c r="B97" s="1132" t="s">
        <v>20</v>
      </c>
      <c r="C97" s="1157"/>
      <c r="D97" s="1157">
        <f>F75*D85/3</f>
        <v>1.7999999999999998</v>
      </c>
      <c r="E97" s="1157"/>
      <c r="F97" s="1157"/>
      <c r="G97" s="1157">
        <f>F75*G85/3</f>
        <v>2.6999999999999997</v>
      </c>
      <c r="H97" s="1157"/>
      <c r="I97" s="1157"/>
      <c r="J97" s="1157"/>
      <c r="K97" s="1157"/>
      <c r="L97" s="1157"/>
      <c r="M97" s="1157"/>
      <c r="N97" s="1157"/>
      <c r="O97" s="1181"/>
      <c r="AA97" s="1181"/>
    </row>
    <row r="98" spans="1:27" s="1116" customFormat="1" ht="24.75" customHeight="1" x14ac:dyDescent="0.3">
      <c r="B98" s="1132" t="s">
        <v>21</v>
      </c>
      <c r="C98" s="1157">
        <f t="shared" ref="C98:C101" si="15">F76*C86/3</f>
        <v>1.7999999999999998</v>
      </c>
      <c r="D98" s="1157">
        <f t="shared" ref="D98:D101" si="16">F76*D86/3</f>
        <v>2.6999999999999997</v>
      </c>
      <c r="E98" s="1157">
        <f t="shared" ref="E98:E101" si="17">F76*E86/3</f>
        <v>2.6999999999999997</v>
      </c>
      <c r="F98" s="1157">
        <f>F76*F86/3</f>
        <v>2.6999999999999997</v>
      </c>
      <c r="G98" s="1157">
        <f>F76*G86/3</f>
        <v>2.6999999999999997</v>
      </c>
      <c r="H98" s="1157">
        <f>F76*H86/3</f>
        <v>1.7999999999999998</v>
      </c>
      <c r="I98" s="1157"/>
      <c r="J98" s="1157"/>
      <c r="K98" s="1157"/>
      <c r="L98" s="1157"/>
      <c r="M98" s="1157"/>
      <c r="N98" s="1157">
        <f>F76*N86/3</f>
        <v>1.7999999999999998</v>
      </c>
      <c r="O98" s="1181"/>
      <c r="AA98" s="1181"/>
    </row>
    <row r="99" spans="1:27" s="1116" customFormat="1" ht="24.75" customHeight="1" x14ac:dyDescent="0.3">
      <c r="B99" s="1132" t="s">
        <v>23</v>
      </c>
      <c r="C99" s="1157">
        <f t="shared" si="15"/>
        <v>1.7999999999999998</v>
      </c>
      <c r="D99" s="1157">
        <f t="shared" si="16"/>
        <v>2.6999999999999997</v>
      </c>
      <c r="E99" s="1157">
        <f t="shared" si="17"/>
        <v>2.6999999999999997</v>
      </c>
      <c r="F99" s="1157">
        <f t="shared" ref="F99:F101" si="18">F77*F87/3</f>
        <v>2.6999999999999997</v>
      </c>
      <c r="G99" s="1157">
        <f t="shared" ref="G99:G101" si="19">F77*G87/3</f>
        <v>2.6999999999999997</v>
      </c>
      <c r="H99" s="1157"/>
      <c r="I99" s="1157"/>
      <c r="J99" s="1157"/>
      <c r="K99" s="1157"/>
      <c r="L99" s="1157"/>
      <c r="M99" s="1157"/>
      <c r="N99" s="1157">
        <f>F77*N87/3</f>
        <v>1.7999999999999998</v>
      </c>
      <c r="O99" s="1181"/>
      <c r="AA99" s="1181"/>
    </row>
    <row r="100" spans="1:27" s="1116" customFormat="1" ht="24.75" customHeight="1" x14ac:dyDescent="0.3">
      <c r="B100" s="1132" t="s">
        <v>25</v>
      </c>
      <c r="C100" s="1157">
        <f t="shared" si="15"/>
        <v>2.0999999999999996</v>
      </c>
      <c r="D100" s="1157">
        <f t="shared" si="16"/>
        <v>2.0999999999999996</v>
      </c>
      <c r="E100" s="1157">
        <f t="shared" si="17"/>
        <v>1.3999999999999997</v>
      </c>
      <c r="F100" s="1157">
        <f t="shared" si="18"/>
        <v>2.0999999999999996</v>
      </c>
      <c r="G100" s="1157">
        <f t="shared" si="19"/>
        <v>2.0999999999999996</v>
      </c>
      <c r="H100" s="1157"/>
      <c r="I100" s="1157"/>
      <c r="J100" s="1157"/>
      <c r="K100" s="1157"/>
      <c r="L100" s="1157"/>
      <c r="M100" s="1157"/>
      <c r="N100" s="1157">
        <f>F78*N88/3</f>
        <v>1.3999999999999997</v>
      </c>
      <c r="O100" s="1181"/>
      <c r="AA100" s="1181"/>
    </row>
    <row r="101" spans="1:27" s="1116" customFormat="1" ht="24.75" customHeight="1" x14ac:dyDescent="0.3">
      <c r="B101" s="1132" t="s">
        <v>24</v>
      </c>
      <c r="C101" s="1157">
        <f t="shared" si="15"/>
        <v>2.0999999999999996</v>
      </c>
      <c r="D101" s="1157">
        <f t="shared" si="16"/>
        <v>2.0999999999999996</v>
      </c>
      <c r="E101" s="1157">
        <f t="shared" si="17"/>
        <v>1.3999999999999997</v>
      </c>
      <c r="F101" s="1157">
        <f t="shared" si="18"/>
        <v>2.0999999999999996</v>
      </c>
      <c r="G101" s="1157">
        <f t="shared" si="19"/>
        <v>2.0999999999999996</v>
      </c>
      <c r="H101" s="1157"/>
      <c r="I101" s="1157"/>
      <c r="J101" s="1157"/>
      <c r="K101" s="1157"/>
      <c r="L101" s="1157"/>
      <c r="M101" s="1157"/>
      <c r="N101" s="1157">
        <f>F79*N89/3</f>
        <v>1.3999999999999997</v>
      </c>
      <c r="O101" s="1181"/>
      <c r="AA101" s="1181"/>
    </row>
    <row r="102" spans="1:27" s="1116" customFormat="1" ht="24.75" customHeight="1" x14ac:dyDescent="0.3">
      <c r="B102" s="1247" t="s">
        <v>10</v>
      </c>
      <c r="C102" s="1158">
        <f>AVERAGE(C97:C101)</f>
        <v>1.9499999999999997</v>
      </c>
      <c r="D102" s="1158">
        <f>AVERAGE(D97:D101)</f>
        <v>2.2799999999999998</v>
      </c>
      <c r="E102" s="1158">
        <f>AVERAGE(E97:E101)</f>
        <v>2.0499999999999998</v>
      </c>
      <c r="F102" s="1158">
        <f t="shared" ref="F102:G102" si="20">AVERAGE(F97:F101)</f>
        <v>2.3999999999999995</v>
      </c>
      <c r="G102" s="1158">
        <f t="shared" si="20"/>
        <v>2.46</v>
      </c>
      <c r="H102" s="1158">
        <f>AVERAGE(H97:H101)</f>
        <v>1.7999999999999998</v>
      </c>
      <c r="I102" s="1158"/>
      <c r="J102" s="1158"/>
      <c r="K102" s="1158"/>
      <c r="L102" s="1158"/>
      <c r="M102" s="1158"/>
      <c r="N102" s="1158">
        <f>AVERAGE(N97:N101)</f>
        <v>1.5999999999999996</v>
      </c>
      <c r="O102" s="1181"/>
      <c r="AA102" s="1181"/>
    </row>
    <row r="103" spans="1:27" s="1116" customFormat="1" ht="24.75" customHeight="1" x14ac:dyDescent="0.3">
      <c r="B103" s="1247" t="s">
        <v>58</v>
      </c>
      <c r="C103" s="3619">
        <f>AVERAGE(C102:N102)</f>
        <v>2.0771428571428574</v>
      </c>
      <c r="D103" s="3620"/>
      <c r="E103" s="3620"/>
      <c r="F103" s="3620"/>
      <c r="G103" s="3620"/>
      <c r="H103" s="3620"/>
      <c r="I103" s="3620"/>
      <c r="J103" s="3620"/>
      <c r="K103" s="3620"/>
      <c r="L103" s="3620"/>
      <c r="M103" s="3620"/>
      <c r="N103" s="3620"/>
      <c r="O103" s="1186"/>
      <c r="P103" s="1186"/>
      <c r="Q103" s="1186"/>
      <c r="Y103" s="1181"/>
    </row>
    <row r="104" spans="1:27" s="1116" customFormat="1" ht="24.75" customHeight="1" x14ac:dyDescent="0.3">
      <c r="M104" s="1181"/>
      <c r="Y104" s="1181"/>
    </row>
    <row r="105" spans="1:27" s="1116" customFormat="1" ht="24.75" customHeight="1" x14ac:dyDescent="0.3">
      <c r="A105" s="2715" t="s">
        <v>137</v>
      </c>
      <c r="B105" s="2715"/>
      <c r="I105" s="2715" t="s">
        <v>149</v>
      </c>
      <c r="J105" s="2715"/>
      <c r="K105" s="2715"/>
      <c r="L105" s="2715"/>
      <c r="M105" s="2715"/>
      <c r="Y105" s="1181"/>
    </row>
    <row r="106" spans="1:27" s="1116" customFormat="1" ht="24.75" customHeight="1" x14ac:dyDescent="0.3">
      <c r="A106" s="1367"/>
      <c r="B106" s="1367"/>
      <c r="I106" s="1367"/>
      <c r="J106" s="1367"/>
      <c r="K106" s="1367"/>
      <c r="L106" s="1367"/>
      <c r="M106" s="1248"/>
      <c r="Y106" s="1181"/>
    </row>
    <row r="107" spans="1:27" s="1116" customFormat="1" ht="24.75" customHeight="1" x14ac:dyDescent="0.3">
      <c r="B107" s="1145" t="s">
        <v>59</v>
      </c>
      <c r="C107" s="1364" t="s">
        <v>60</v>
      </c>
      <c r="D107" s="1364" t="s">
        <v>61</v>
      </c>
      <c r="E107" s="1364" t="s">
        <v>62</v>
      </c>
      <c r="M107" s="1249" t="s">
        <v>59</v>
      </c>
      <c r="N107" s="1364" t="s">
        <v>60</v>
      </c>
      <c r="O107" s="1364" t="s">
        <v>61</v>
      </c>
      <c r="P107" s="1364" t="s">
        <v>62</v>
      </c>
      <c r="Y107" s="1181"/>
    </row>
    <row r="108" spans="1:27" s="1116" customFormat="1" ht="24.75" customHeight="1" x14ac:dyDescent="0.3">
      <c r="B108" s="1159" t="s">
        <v>20</v>
      </c>
      <c r="C108" s="1153">
        <v>3</v>
      </c>
      <c r="D108" s="1153">
        <v>1</v>
      </c>
      <c r="E108" s="1153">
        <v>2</v>
      </c>
      <c r="M108" s="1250" t="s">
        <v>20</v>
      </c>
      <c r="N108" s="1157">
        <f>F75*C108/3</f>
        <v>2.6999999999999997</v>
      </c>
      <c r="O108" s="1157">
        <f>F75*D108/3</f>
        <v>0.89999999999999991</v>
      </c>
      <c r="P108" s="1157">
        <f>F75*E108/3</f>
        <v>1.7999999999999998</v>
      </c>
      <c r="Y108" s="1181"/>
    </row>
    <row r="109" spans="1:27" s="1116" customFormat="1" ht="24.75" customHeight="1" x14ac:dyDescent="0.3">
      <c r="B109" s="1132" t="s">
        <v>21</v>
      </c>
      <c r="C109" s="1153">
        <v>3</v>
      </c>
      <c r="D109" s="1153">
        <v>1</v>
      </c>
      <c r="E109" s="1153">
        <v>3</v>
      </c>
      <c r="M109" s="1251" t="s">
        <v>21</v>
      </c>
      <c r="N109" s="1157">
        <f t="shared" ref="N109:N112" si="21">F76*C109/3</f>
        <v>2.6999999999999997</v>
      </c>
      <c r="O109" s="1157">
        <f t="shared" ref="O109:O112" si="22">F76*D109/3</f>
        <v>0.89999999999999991</v>
      </c>
      <c r="P109" s="1157">
        <f>F76*E109/3</f>
        <v>2.6999999999999997</v>
      </c>
      <c r="Y109" s="1181"/>
    </row>
    <row r="110" spans="1:27" s="1116" customFormat="1" ht="24.75" customHeight="1" x14ac:dyDescent="0.3">
      <c r="B110" s="1132" t="s">
        <v>23</v>
      </c>
      <c r="C110" s="1153">
        <v>3</v>
      </c>
      <c r="D110" s="1153">
        <v>3</v>
      </c>
      <c r="E110" s="1153">
        <v>2</v>
      </c>
      <c r="M110" s="1251" t="s">
        <v>23</v>
      </c>
      <c r="N110" s="1157">
        <f t="shared" si="21"/>
        <v>2.6999999999999997</v>
      </c>
      <c r="O110" s="1157">
        <f t="shared" si="22"/>
        <v>2.6999999999999997</v>
      </c>
      <c r="P110" s="1157">
        <f t="shared" ref="P110:P112" si="23">F77*E110/3</f>
        <v>1.7999999999999998</v>
      </c>
      <c r="Y110" s="1181"/>
    </row>
    <row r="111" spans="1:27" s="1116" customFormat="1" ht="24.75" customHeight="1" x14ac:dyDescent="0.3">
      <c r="B111" s="1132" t="s">
        <v>25</v>
      </c>
      <c r="C111" s="1153">
        <v>3</v>
      </c>
      <c r="D111" s="1153">
        <v>3</v>
      </c>
      <c r="E111" s="1153">
        <v>2</v>
      </c>
      <c r="M111" s="1251" t="s">
        <v>25</v>
      </c>
      <c r="N111" s="1157">
        <f t="shared" si="21"/>
        <v>2.0999999999999996</v>
      </c>
      <c r="O111" s="1157">
        <f t="shared" si="22"/>
        <v>2.0999999999999996</v>
      </c>
      <c r="P111" s="1157">
        <f t="shared" si="23"/>
        <v>1.3999999999999997</v>
      </c>
      <c r="Y111" s="1181"/>
    </row>
    <row r="112" spans="1:27" s="1116" customFormat="1" ht="24.75" customHeight="1" x14ac:dyDescent="0.3">
      <c r="B112" s="1132" t="s">
        <v>24</v>
      </c>
      <c r="C112" s="1153">
        <v>3</v>
      </c>
      <c r="D112" s="1153">
        <v>3</v>
      </c>
      <c r="E112" s="1153">
        <v>2</v>
      </c>
      <c r="M112" s="1251" t="s">
        <v>24</v>
      </c>
      <c r="N112" s="1157">
        <f t="shared" si="21"/>
        <v>2.0999999999999996</v>
      </c>
      <c r="O112" s="1157">
        <f t="shared" si="22"/>
        <v>2.0999999999999996</v>
      </c>
      <c r="P112" s="1157">
        <f t="shared" si="23"/>
        <v>1.3999999999999997</v>
      </c>
      <c r="Y112" s="1181"/>
    </row>
    <row r="113" spans="1:25" s="1116" customFormat="1" ht="24.75" customHeight="1" x14ac:dyDescent="0.3">
      <c r="B113" s="1246" t="s">
        <v>10</v>
      </c>
      <c r="C113" s="1160">
        <f>AVERAGE(C108:C112)</f>
        <v>3</v>
      </c>
      <c r="D113" s="1160">
        <f t="shared" ref="D113:E113" si="24">AVERAGE(D108:D112)</f>
        <v>2.2000000000000002</v>
      </c>
      <c r="E113" s="1160">
        <f t="shared" si="24"/>
        <v>2.2000000000000002</v>
      </c>
      <c r="M113" s="1497" t="s">
        <v>10</v>
      </c>
      <c r="N113" s="1157">
        <f>AVERAGE(N108:N112)</f>
        <v>2.46</v>
      </c>
      <c r="O113" s="1157">
        <f t="shared" ref="O113:P113" si="25">AVERAGE(O108:O112)</f>
        <v>1.7399999999999998</v>
      </c>
      <c r="P113" s="1157">
        <f t="shared" si="25"/>
        <v>1.8199999999999998</v>
      </c>
      <c r="Y113" s="1181"/>
    </row>
    <row r="114" spans="1:25" s="1116" customFormat="1" ht="24.75" customHeight="1" x14ac:dyDescent="0.3">
      <c r="A114" s="1312"/>
      <c r="B114" s="1254" t="s">
        <v>58</v>
      </c>
      <c r="C114" s="3621">
        <f>AVERAGE(C113:E113)</f>
        <v>2.4666666666666668</v>
      </c>
      <c r="D114" s="3621"/>
      <c r="E114" s="3621"/>
      <c r="F114" s="1312"/>
      <c r="G114" s="1312"/>
      <c r="H114" s="1312"/>
      <c r="I114" s="1312"/>
      <c r="J114" s="1312"/>
      <c r="K114" s="1312"/>
      <c r="L114" s="1312"/>
      <c r="M114" s="1254" t="s">
        <v>58</v>
      </c>
      <c r="N114" s="3621">
        <f>AVERAGE(N113:P113)</f>
        <v>2.0066666666666664</v>
      </c>
      <c r="O114" s="3621"/>
      <c r="P114" s="3621"/>
      <c r="Q114" s="1312"/>
      <c r="Y114" s="1181"/>
    </row>
    <row r="117" spans="1:25" x14ac:dyDescent="0.25">
      <c r="A117" s="3489"/>
      <c r="B117" s="3489"/>
      <c r="C117" s="3489"/>
      <c r="D117" s="3489"/>
      <c r="E117" s="3489"/>
      <c r="F117" s="3489"/>
      <c r="G117" s="3489"/>
      <c r="H117" s="3489"/>
      <c r="I117" s="3489"/>
      <c r="J117" s="3489"/>
      <c r="K117" s="3489"/>
      <c r="L117" s="3489"/>
      <c r="M117" s="3489"/>
      <c r="N117" s="3489"/>
      <c r="O117" s="3489"/>
      <c r="P117" s="3489"/>
      <c r="Q117" s="3489"/>
    </row>
    <row r="118" spans="1:25" x14ac:dyDescent="0.25">
      <c r="A118" s="766"/>
      <c r="B118" s="766"/>
      <c r="C118" s="766"/>
      <c r="D118" s="766"/>
      <c r="E118" s="766"/>
      <c r="F118" s="766"/>
      <c r="G118" s="766"/>
      <c r="H118" s="766"/>
      <c r="I118" s="766"/>
      <c r="J118" s="766"/>
      <c r="K118" s="766"/>
      <c r="L118" s="766"/>
      <c r="M118" s="766"/>
      <c r="N118" s="766"/>
      <c r="O118" s="766"/>
      <c r="P118" s="766"/>
      <c r="Q118" s="766"/>
    </row>
    <row r="119" spans="1:25" x14ac:dyDescent="0.25">
      <c r="A119" s="3490"/>
      <c r="B119" s="3490"/>
      <c r="C119" s="3490"/>
      <c r="D119" s="3490"/>
      <c r="E119" s="3490"/>
      <c r="F119" s="3490"/>
      <c r="G119" s="3490"/>
      <c r="H119" s="3490"/>
      <c r="I119" s="3490"/>
      <c r="J119" s="3490"/>
      <c r="K119" s="3490"/>
      <c r="L119" s="3490"/>
      <c r="M119" s="3490"/>
      <c r="N119" s="3490"/>
      <c r="O119" s="3490"/>
      <c r="P119" s="3490"/>
      <c r="Q119" s="3490"/>
    </row>
    <row r="120" spans="1:25" x14ac:dyDescent="0.25">
      <c r="A120" s="3490"/>
      <c r="B120" s="3490"/>
      <c r="C120" s="3490"/>
      <c r="D120" s="3490"/>
      <c r="E120" s="3490"/>
      <c r="F120" s="3490"/>
      <c r="G120" s="3490"/>
      <c r="H120" s="3490"/>
      <c r="I120" s="3490"/>
      <c r="J120" s="3490"/>
      <c r="K120" s="3490"/>
      <c r="L120" s="3490"/>
      <c r="M120" s="3490"/>
      <c r="N120" s="3490"/>
      <c r="O120" s="3490"/>
      <c r="P120" s="3490"/>
      <c r="Q120" s="3490"/>
    </row>
    <row r="121" spans="1:25" x14ac:dyDescent="0.25">
      <c r="A121" s="3490"/>
      <c r="B121" s="3490"/>
      <c r="C121" s="3490"/>
      <c r="D121" s="3490"/>
      <c r="E121" s="3490"/>
      <c r="F121" s="3490"/>
      <c r="G121" s="3490"/>
      <c r="H121" s="3490"/>
      <c r="I121" s="3490"/>
      <c r="J121" s="3490"/>
      <c r="K121" s="3490"/>
      <c r="L121" s="3490"/>
      <c r="M121" s="3490"/>
      <c r="N121" s="3490"/>
      <c r="O121" s="3490"/>
      <c r="P121" s="3490"/>
      <c r="Q121" s="3490"/>
    </row>
    <row r="122" spans="1:25" x14ac:dyDescent="0.25">
      <c r="A122" s="3490"/>
      <c r="B122" s="3490"/>
      <c r="C122" s="3490"/>
      <c r="D122" s="3490"/>
      <c r="E122" s="3490"/>
      <c r="F122" s="3490"/>
      <c r="G122" s="3490"/>
      <c r="H122" s="3490"/>
      <c r="I122" s="3490"/>
      <c r="J122" s="3490"/>
      <c r="K122" s="3490"/>
      <c r="L122" s="3490"/>
      <c r="M122" s="3490"/>
      <c r="N122" s="3490"/>
      <c r="O122" s="3490"/>
      <c r="P122" s="3490"/>
      <c r="Q122" s="3490"/>
    </row>
    <row r="123" spans="1:25" x14ac:dyDescent="0.25">
      <c r="A123" s="3490"/>
      <c r="B123" s="3490"/>
      <c r="C123" s="3490"/>
      <c r="D123" s="3490"/>
      <c r="E123" s="3490"/>
      <c r="F123" s="3490"/>
      <c r="G123" s="3490"/>
      <c r="H123" s="3490"/>
      <c r="I123" s="3490"/>
      <c r="J123" s="3490"/>
      <c r="K123" s="3490"/>
      <c r="L123" s="3490"/>
      <c r="M123" s="3490"/>
      <c r="N123" s="3490"/>
      <c r="O123" s="3490"/>
      <c r="P123" s="3490"/>
      <c r="Q123" s="3490"/>
    </row>
    <row r="124" spans="1:25" x14ac:dyDescent="0.25">
      <c r="A124" s="3490"/>
      <c r="B124" s="3490"/>
      <c r="C124" s="3490"/>
      <c r="D124" s="3490"/>
      <c r="E124" s="3490"/>
      <c r="F124" s="3490"/>
      <c r="G124" s="3490"/>
      <c r="H124" s="3490"/>
      <c r="I124" s="3490"/>
      <c r="J124" s="3490"/>
      <c r="K124" s="3490"/>
      <c r="L124" s="3490"/>
      <c r="M124" s="3490"/>
      <c r="N124" s="3490"/>
      <c r="O124" s="3490"/>
      <c r="P124" s="3490"/>
      <c r="Q124" s="3490"/>
    </row>
    <row r="125" spans="1:25" x14ac:dyDescent="0.25">
      <c r="A125" s="3489"/>
      <c r="B125" s="3489"/>
      <c r="C125" s="3489"/>
      <c r="D125" s="3489"/>
      <c r="E125" s="3489"/>
      <c r="F125" s="3489"/>
      <c r="G125" s="3489"/>
      <c r="H125" s="3489"/>
      <c r="I125" s="3489"/>
      <c r="J125" s="3489"/>
      <c r="K125" s="3489"/>
      <c r="L125" s="3489"/>
      <c r="M125" s="3489"/>
      <c r="N125" s="3489"/>
      <c r="O125" s="3489"/>
      <c r="P125" s="3489"/>
      <c r="Q125" s="3489"/>
    </row>
    <row r="126" spans="1:25" x14ac:dyDescent="0.25">
      <c r="A126" s="3491"/>
      <c r="B126" s="3491"/>
      <c r="C126" s="3491"/>
      <c r="D126" s="3491"/>
      <c r="E126" s="3491"/>
      <c r="F126" s="3491"/>
      <c r="G126" s="3491"/>
      <c r="H126" s="3491"/>
      <c r="I126" s="3491"/>
      <c r="J126" s="3491"/>
      <c r="K126" s="3491"/>
      <c r="L126" s="3491"/>
      <c r="M126" s="3491"/>
      <c r="N126" s="3491"/>
      <c r="O126" s="3491"/>
      <c r="P126" s="3491"/>
      <c r="Q126" s="3491"/>
    </row>
    <row r="127" spans="1:25" x14ac:dyDescent="0.25">
      <c r="A127" s="3482"/>
      <c r="B127" s="3482"/>
      <c r="C127" s="3482"/>
      <c r="D127" s="3482"/>
      <c r="E127" s="3482"/>
      <c r="F127" s="3482"/>
      <c r="G127" s="3482"/>
      <c r="H127" s="3482"/>
      <c r="I127" s="3482"/>
      <c r="J127" s="3482"/>
      <c r="K127" s="3482"/>
      <c r="L127" s="3482"/>
      <c r="M127" s="3482"/>
      <c r="N127" s="3482"/>
      <c r="O127" s="3482"/>
      <c r="P127" s="3482"/>
      <c r="Q127" s="3482"/>
    </row>
    <row r="128" spans="1:25" x14ac:dyDescent="0.25">
      <c r="A128" s="3511"/>
      <c r="B128" s="3512"/>
      <c r="C128" s="3512"/>
      <c r="D128" s="3512"/>
      <c r="E128" s="3512"/>
      <c r="F128" s="3512"/>
      <c r="G128" s="3512"/>
      <c r="H128" s="3512"/>
      <c r="I128" s="3512"/>
      <c r="J128" s="3512"/>
      <c r="K128" s="3512"/>
      <c r="L128" s="3512"/>
      <c r="M128" s="3512"/>
      <c r="N128" s="3512"/>
      <c r="O128" s="3512"/>
      <c r="P128" s="3512"/>
      <c r="Q128" s="3512"/>
    </row>
    <row r="129" spans="1:17" x14ac:dyDescent="0.25">
      <c r="A129" s="3512"/>
      <c r="B129" s="3512"/>
      <c r="C129" s="3512"/>
      <c r="D129" s="3512"/>
      <c r="E129" s="3512"/>
      <c r="F129" s="3512"/>
      <c r="G129" s="3512"/>
      <c r="H129" s="3512"/>
      <c r="I129" s="3512"/>
      <c r="J129" s="3512"/>
      <c r="K129" s="3512"/>
      <c r="L129" s="3512"/>
      <c r="M129" s="3512"/>
      <c r="N129" s="3512"/>
      <c r="O129" s="3512"/>
      <c r="P129" s="3512"/>
      <c r="Q129" s="3512"/>
    </row>
    <row r="130" spans="1:17" x14ac:dyDescent="0.25">
      <c r="A130" s="3512"/>
      <c r="B130" s="3512"/>
      <c r="C130" s="3512"/>
      <c r="D130" s="3512"/>
      <c r="E130" s="3512"/>
      <c r="F130" s="3512"/>
      <c r="G130" s="3512"/>
      <c r="H130" s="3512"/>
      <c r="I130" s="3512"/>
      <c r="J130" s="3512"/>
      <c r="K130" s="3512"/>
      <c r="L130" s="3512"/>
      <c r="M130" s="3512"/>
      <c r="N130" s="3512"/>
      <c r="O130" s="3512"/>
      <c r="P130" s="3512"/>
      <c r="Q130" s="3512"/>
    </row>
    <row r="131" spans="1:17" x14ac:dyDescent="0.25">
      <c r="A131" s="3482"/>
      <c r="B131" s="3482"/>
      <c r="C131" s="3482"/>
      <c r="D131" s="3482"/>
      <c r="E131" s="3482"/>
      <c r="F131" s="3482"/>
      <c r="G131" s="3482"/>
      <c r="H131" s="3482"/>
      <c r="I131" s="3482"/>
      <c r="J131" s="3482"/>
      <c r="K131" s="3482"/>
      <c r="L131" s="3482"/>
      <c r="M131" s="3482"/>
      <c r="N131" s="3482"/>
      <c r="O131" s="3482"/>
      <c r="P131" s="3482"/>
      <c r="Q131" s="3482"/>
    </row>
  </sheetData>
  <mergeCells count="59">
    <mergeCell ref="A131:Q131"/>
    <mergeCell ref="A125:Q125"/>
    <mergeCell ref="A126:Q126"/>
    <mergeCell ref="A127:Q127"/>
    <mergeCell ref="A128:Q128"/>
    <mergeCell ref="A129:Q129"/>
    <mergeCell ref="A130:Q130"/>
    <mergeCell ref="J72:K72"/>
    <mergeCell ref="L72:M72"/>
    <mergeCell ref="C91:N91"/>
    <mergeCell ref="C103:N103"/>
    <mergeCell ref="A124:Q124"/>
    <mergeCell ref="A105:B105"/>
    <mergeCell ref="I105:M105"/>
    <mergeCell ref="C114:E114"/>
    <mergeCell ref="N114:P114"/>
    <mergeCell ref="A117:Q117"/>
    <mergeCell ref="A119:Q119"/>
    <mergeCell ref="A120:Q120"/>
    <mergeCell ref="A121:Q121"/>
    <mergeCell ref="A122:Q122"/>
    <mergeCell ref="A123:Q123"/>
    <mergeCell ref="A94:B94"/>
    <mergeCell ref="A70:B70"/>
    <mergeCell ref="A71:B71"/>
    <mergeCell ref="F72:G72"/>
    <mergeCell ref="H72:I72"/>
    <mergeCell ref="C74:D74"/>
    <mergeCell ref="F74:G74"/>
    <mergeCell ref="B80:E80"/>
    <mergeCell ref="A82:B82"/>
    <mergeCell ref="AC6:AC8"/>
    <mergeCell ref="J6:K6"/>
    <mergeCell ref="L6:M6"/>
    <mergeCell ref="N6:N8"/>
    <mergeCell ref="O6:Q6"/>
    <mergeCell ref="R6:S6"/>
    <mergeCell ref="T6:U6"/>
    <mergeCell ref="V6:W6"/>
    <mergeCell ref="X6:Y6"/>
    <mergeCell ref="Z6:Z8"/>
    <mergeCell ref="AA6:AA8"/>
    <mergeCell ref="AB6:AB8"/>
    <mergeCell ref="A6:A8"/>
    <mergeCell ref="B6:B7"/>
    <mergeCell ref="O2:Y2"/>
    <mergeCell ref="A3:B3"/>
    <mergeCell ref="C3:M3"/>
    <mergeCell ref="O3:Y3"/>
    <mergeCell ref="C6:E6"/>
    <mergeCell ref="F6:G6"/>
    <mergeCell ref="H6:I6"/>
    <mergeCell ref="A2:B2"/>
    <mergeCell ref="C2:M2"/>
    <mergeCell ref="C4:M4"/>
    <mergeCell ref="O4:Y4"/>
    <mergeCell ref="A5:B5"/>
    <mergeCell ref="C5:N5"/>
    <mergeCell ref="O5:Z5"/>
  </mergeCells>
  <conditionalFormatting sqref="AB10:AB67">
    <cfRule type="containsText" dxfId="74" priority="1" operator="containsText" text="F">
      <formula>NOT(ISERROR(SEARCH("F",AB10)))</formula>
    </cfRule>
  </conditionalFormatting>
  <pageMargins left="0.7" right="0.7" top="0.75" bottom="0.75" header="0.3" footer="0.3"/>
  <pageSetup paperSize="8" scale="36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B1:AS128"/>
  <sheetViews>
    <sheetView topLeftCell="A100" zoomScale="82" zoomScaleNormal="82" workbookViewId="0">
      <selection activeCell="F105" sqref="F105"/>
    </sheetView>
  </sheetViews>
  <sheetFormatPr defaultRowHeight="15.75" x14ac:dyDescent="0.25"/>
  <cols>
    <col min="1" max="1" width="9.140625" style="316"/>
    <col min="2" max="2" width="9.140625" style="2224"/>
    <col min="3" max="3" width="20.140625" style="2224" bestFit="1" customWidth="1"/>
    <col min="4" max="33" width="12.5703125" style="2224" customWidth="1"/>
    <col min="34" max="16384" width="9.140625" style="316"/>
  </cols>
  <sheetData>
    <row r="1" spans="2:45" x14ac:dyDescent="0.25">
      <c r="B1" s="3371" t="s">
        <v>0</v>
      </c>
      <c r="C1" s="3372"/>
      <c r="D1" s="3373" t="s">
        <v>276</v>
      </c>
      <c r="E1" s="3374"/>
      <c r="F1" s="3374"/>
      <c r="G1" s="3374"/>
      <c r="H1" s="3374"/>
      <c r="I1" s="3374"/>
      <c r="J1" s="3374"/>
      <c r="K1" s="3374"/>
      <c r="L1" s="3374"/>
      <c r="M1" s="3583"/>
      <c r="N1" s="2062"/>
      <c r="O1" s="2062"/>
      <c r="P1" s="2050" t="s">
        <v>63</v>
      </c>
      <c r="Q1" s="3375" t="s">
        <v>271</v>
      </c>
      <c r="R1" s="3375"/>
      <c r="S1" s="3375"/>
      <c r="T1" s="3375"/>
      <c r="U1" s="3375"/>
      <c r="V1" s="3375"/>
      <c r="W1" s="3375"/>
      <c r="X1" s="3375"/>
      <c r="Y1" s="3375"/>
      <c r="Z1" s="3375"/>
      <c r="AA1" s="735"/>
      <c r="AB1" s="2169"/>
      <c r="AC1" s="2169"/>
      <c r="AD1" s="2169"/>
      <c r="AE1" s="2164"/>
      <c r="AF1" s="2164"/>
      <c r="AG1" s="2164"/>
      <c r="AH1" s="722"/>
      <c r="AI1" s="722"/>
      <c r="AJ1" s="722"/>
      <c r="AK1" s="722"/>
      <c r="AL1" s="722"/>
      <c r="AM1" s="722"/>
      <c r="AN1" s="722"/>
      <c r="AO1" s="722"/>
      <c r="AP1" s="722"/>
      <c r="AQ1" s="722"/>
      <c r="AR1" s="722"/>
      <c r="AS1" s="722"/>
    </row>
    <row r="2" spans="2:45" x14ac:dyDescent="0.25">
      <c r="B2" s="3371" t="s">
        <v>1</v>
      </c>
      <c r="C2" s="3372"/>
      <c r="D2" s="3373" t="s">
        <v>257</v>
      </c>
      <c r="E2" s="3374"/>
      <c r="F2" s="3374"/>
      <c r="G2" s="3374"/>
      <c r="H2" s="3374"/>
      <c r="I2" s="3374"/>
      <c r="J2" s="3374"/>
      <c r="K2" s="3374"/>
      <c r="L2" s="3374"/>
      <c r="M2" s="3583"/>
      <c r="N2" s="2062"/>
      <c r="O2" s="2062"/>
      <c r="P2" s="803" t="s">
        <v>64</v>
      </c>
      <c r="Q2" s="3375" t="s">
        <v>232</v>
      </c>
      <c r="R2" s="3375"/>
      <c r="S2" s="3375"/>
      <c r="T2" s="3375"/>
      <c r="U2" s="3375"/>
      <c r="V2" s="3375"/>
      <c r="W2" s="3375"/>
      <c r="X2" s="3375"/>
      <c r="Y2" s="3375"/>
      <c r="Z2" s="3375"/>
      <c r="AA2" s="735"/>
      <c r="AB2" s="2169"/>
      <c r="AC2" s="2169"/>
      <c r="AD2" s="2169"/>
      <c r="AE2" s="2164"/>
      <c r="AF2" s="2164"/>
      <c r="AG2" s="2164"/>
      <c r="AH2" s="722"/>
      <c r="AI2" s="722"/>
      <c r="AJ2" s="722"/>
      <c r="AK2" s="722"/>
      <c r="AL2" s="722"/>
      <c r="AM2" s="722"/>
      <c r="AN2" s="722"/>
      <c r="AO2" s="722"/>
      <c r="AP2" s="722"/>
      <c r="AQ2" s="722"/>
      <c r="AR2" s="722"/>
      <c r="AS2" s="722"/>
    </row>
    <row r="3" spans="2:45" ht="16.5" thickBot="1" x14ac:dyDescent="0.3">
      <c r="B3" s="516"/>
      <c r="C3" s="517" t="s">
        <v>2</v>
      </c>
      <c r="D3" s="3376" t="s">
        <v>272</v>
      </c>
      <c r="E3" s="3377"/>
      <c r="F3" s="3377"/>
      <c r="G3" s="3377"/>
      <c r="H3" s="3377"/>
      <c r="I3" s="3377"/>
      <c r="J3" s="3377"/>
      <c r="K3" s="3377"/>
      <c r="L3" s="3377"/>
      <c r="M3" s="3631"/>
      <c r="N3" s="534"/>
      <c r="O3" s="534"/>
      <c r="P3" s="517" t="s">
        <v>65</v>
      </c>
      <c r="Q3" s="3378" t="s">
        <v>66</v>
      </c>
      <c r="R3" s="3378"/>
      <c r="S3" s="3378"/>
      <c r="T3" s="3378"/>
      <c r="U3" s="3378"/>
      <c r="V3" s="3378"/>
      <c r="W3" s="3378"/>
      <c r="X3" s="3378"/>
      <c r="Y3" s="3378"/>
      <c r="Z3" s="3378"/>
      <c r="AA3" s="735"/>
      <c r="AB3" s="2168"/>
      <c r="AC3" s="2168"/>
      <c r="AD3" s="2168"/>
      <c r="AE3" s="2164"/>
      <c r="AF3" s="2164"/>
      <c r="AG3" s="2164"/>
      <c r="AH3" s="722"/>
      <c r="AI3" s="722"/>
      <c r="AJ3" s="722"/>
      <c r="AK3" s="722"/>
      <c r="AL3" s="722"/>
      <c r="AM3" s="722"/>
      <c r="AN3" s="722"/>
      <c r="AO3" s="722"/>
      <c r="AP3" s="722"/>
      <c r="AQ3" s="722"/>
      <c r="AR3" s="722"/>
      <c r="AS3" s="722"/>
    </row>
    <row r="4" spans="2:45" ht="16.5" thickBot="1" x14ac:dyDescent="0.3">
      <c r="B4" s="2259"/>
      <c r="C4" s="2260"/>
      <c r="D4" s="3632" t="s">
        <v>3</v>
      </c>
      <c r="E4" s="3633"/>
      <c r="F4" s="3633"/>
      <c r="G4" s="3633"/>
      <c r="H4" s="3633"/>
      <c r="I4" s="3633"/>
      <c r="J4" s="3633"/>
      <c r="K4" s="3633"/>
      <c r="L4" s="3633"/>
      <c r="M4" s="3633"/>
      <c r="N4" s="2217"/>
      <c r="O4" s="2217"/>
      <c r="P4" s="3634" t="s">
        <v>4</v>
      </c>
      <c r="Q4" s="3634"/>
      <c r="R4" s="3634"/>
      <c r="S4" s="3634"/>
      <c r="T4" s="3634"/>
      <c r="U4" s="3634"/>
      <c r="V4" s="3634"/>
      <c r="W4" s="3634"/>
      <c r="X4" s="3634"/>
      <c r="Y4" s="3634"/>
      <c r="Z4" s="3634"/>
      <c r="AA4" s="2178"/>
      <c r="AB4" s="2178"/>
      <c r="AC4" s="2178"/>
      <c r="AD4" s="2178"/>
      <c r="AE4" s="2164"/>
      <c r="AF4" s="2164"/>
      <c r="AG4" s="2164"/>
      <c r="AH4" s="722"/>
      <c r="AI4" s="722"/>
      <c r="AJ4" s="722"/>
      <c r="AK4" s="722"/>
      <c r="AL4" s="722"/>
      <c r="AM4" s="722"/>
      <c r="AN4" s="722"/>
      <c r="AO4" s="722"/>
      <c r="AP4" s="722"/>
      <c r="AQ4" s="722"/>
      <c r="AR4" s="722"/>
      <c r="AS4" s="722"/>
    </row>
    <row r="5" spans="2:45" x14ac:dyDescent="0.25">
      <c r="B5" s="2111"/>
      <c r="C5" s="3048" t="s">
        <v>5</v>
      </c>
      <c r="D5" s="3625" t="s">
        <v>6</v>
      </c>
      <c r="E5" s="3585"/>
      <c r="F5" s="3626"/>
      <c r="G5" s="3099" t="s">
        <v>7</v>
      </c>
      <c r="H5" s="3099" t="s">
        <v>8</v>
      </c>
      <c r="I5" s="3049"/>
      <c r="J5" s="3049" t="s">
        <v>9</v>
      </c>
      <c r="K5" s="3121"/>
      <c r="L5" s="3099" t="s">
        <v>236</v>
      </c>
      <c r="M5" s="3121"/>
      <c r="N5" s="3601" t="s">
        <v>237</v>
      </c>
      <c r="O5" s="3118" t="s">
        <v>5</v>
      </c>
      <c r="P5" s="3625" t="s">
        <v>6</v>
      </c>
      <c r="Q5" s="3585"/>
      <c r="R5" s="3585"/>
      <c r="S5" s="3099" t="s">
        <v>258</v>
      </c>
      <c r="T5" s="3121"/>
      <c r="U5" s="3099" t="s">
        <v>8</v>
      </c>
      <c r="V5" s="3121"/>
      <c r="W5" s="3099" t="s">
        <v>9</v>
      </c>
      <c r="X5" s="3121"/>
      <c r="Y5" s="3099" t="s">
        <v>236</v>
      </c>
      <c r="Z5" s="3121"/>
      <c r="AA5" s="3601" t="s">
        <v>237</v>
      </c>
      <c r="AB5" s="2679" t="s">
        <v>237</v>
      </c>
      <c r="AC5" s="2679"/>
      <c r="AD5" s="2679"/>
      <c r="AE5" s="2164"/>
      <c r="AF5" s="2679" t="s">
        <v>11</v>
      </c>
      <c r="AG5" s="2679" t="s">
        <v>12</v>
      </c>
      <c r="AH5" s="722"/>
      <c r="AI5" s="722"/>
      <c r="AJ5" s="722"/>
      <c r="AK5" s="722"/>
      <c r="AL5" s="722"/>
      <c r="AM5" s="722"/>
      <c r="AN5" s="722"/>
      <c r="AO5" s="722"/>
      <c r="AP5" s="722"/>
      <c r="AQ5" s="722"/>
      <c r="AR5" s="722"/>
      <c r="AS5" s="722"/>
    </row>
    <row r="6" spans="2:45" x14ac:dyDescent="0.25">
      <c r="B6" s="2161"/>
      <c r="C6" s="2679"/>
      <c r="D6" s="2160" t="s">
        <v>13</v>
      </c>
      <c r="E6" s="2160" t="s">
        <v>14</v>
      </c>
      <c r="F6" s="2160" t="s">
        <v>15</v>
      </c>
      <c r="G6" s="3100"/>
      <c r="H6" s="3100"/>
      <c r="I6" s="3051"/>
      <c r="J6" s="3051"/>
      <c r="K6" s="3123"/>
      <c r="L6" s="3100"/>
      <c r="M6" s="3123"/>
      <c r="N6" s="3304"/>
      <c r="O6" s="3107"/>
      <c r="P6" s="2160" t="s">
        <v>13</v>
      </c>
      <c r="Q6" s="2160" t="s">
        <v>14</v>
      </c>
      <c r="R6" s="2160" t="s">
        <v>15</v>
      </c>
      <c r="S6" s="3100"/>
      <c r="T6" s="3123"/>
      <c r="U6" s="3100"/>
      <c r="V6" s="3123"/>
      <c r="W6" s="3100"/>
      <c r="X6" s="3123"/>
      <c r="Y6" s="3100"/>
      <c r="Z6" s="3123"/>
      <c r="AA6" s="3304"/>
      <c r="AB6" s="2679"/>
      <c r="AC6" s="2679"/>
      <c r="AD6" s="2679"/>
      <c r="AE6" s="2164"/>
      <c r="AF6" s="2679"/>
      <c r="AG6" s="2679"/>
      <c r="AH6" s="722"/>
      <c r="AI6" s="722"/>
      <c r="AJ6" s="722"/>
      <c r="AK6" s="722"/>
      <c r="AL6" s="722"/>
      <c r="AM6" s="722"/>
      <c r="AN6" s="722"/>
      <c r="AO6" s="722"/>
      <c r="AP6" s="722"/>
      <c r="AQ6" s="722"/>
      <c r="AR6" s="722"/>
      <c r="AS6" s="722"/>
    </row>
    <row r="7" spans="2:45" x14ac:dyDescent="0.25">
      <c r="B7" s="2160"/>
      <c r="C7" s="2160" t="s">
        <v>19</v>
      </c>
      <c r="D7" s="2218" t="s">
        <v>20</v>
      </c>
      <c r="E7" s="2218" t="s">
        <v>21</v>
      </c>
      <c r="F7" s="2218" t="s">
        <v>23</v>
      </c>
      <c r="G7" s="2218" t="s">
        <v>20</v>
      </c>
      <c r="H7" s="2218" t="s">
        <v>20</v>
      </c>
      <c r="I7" s="2218" t="s">
        <v>20</v>
      </c>
      <c r="J7" s="2218" t="s">
        <v>21</v>
      </c>
      <c r="K7" s="2218" t="s">
        <v>23</v>
      </c>
      <c r="L7" s="2218" t="s">
        <v>21</v>
      </c>
      <c r="M7" s="2218" t="s">
        <v>23</v>
      </c>
      <c r="N7" s="3304"/>
      <c r="O7" s="2160" t="s">
        <v>19</v>
      </c>
      <c r="P7" s="2218" t="s">
        <v>25</v>
      </c>
      <c r="Q7" s="2218" t="s">
        <v>24</v>
      </c>
      <c r="R7" s="2218" t="s">
        <v>24</v>
      </c>
      <c r="S7" s="2218" t="s">
        <v>23</v>
      </c>
      <c r="T7" s="2218" t="s">
        <v>25</v>
      </c>
      <c r="U7" s="2218" t="s">
        <v>23</v>
      </c>
      <c r="V7" s="2218" t="s">
        <v>25</v>
      </c>
      <c r="W7" s="2218" t="s">
        <v>24</v>
      </c>
      <c r="X7" s="2218" t="s">
        <v>24</v>
      </c>
      <c r="Y7" s="2218" t="s">
        <v>24</v>
      </c>
      <c r="Z7" s="2218" t="s">
        <v>24</v>
      </c>
      <c r="AA7" s="3304"/>
      <c r="AB7" s="3107" t="s">
        <v>259</v>
      </c>
      <c r="AC7" s="3107" t="s">
        <v>260</v>
      </c>
      <c r="AD7" s="3107" t="s">
        <v>80</v>
      </c>
      <c r="AE7" s="2164"/>
      <c r="AF7" s="2679"/>
      <c r="AG7" s="2679"/>
      <c r="AH7" s="722"/>
      <c r="AI7" s="722"/>
      <c r="AJ7" s="722"/>
      <c r="AK7" s="722"/>
      <c r="AL7" s="722"/>
      <c r="AM7" s="722"/>
      <c r="AN7" s="722"/>
      <c r="AO7" s="722"/>
      <c r="AP7" s="722"/>
      <c r="AQ7" s="722"/>
      <c r="AR7" s="722"/>
      <c r="AS7" s="722"/>
    </row>
    <row r="8" spans="2:45" x14ac:dyDescent="0.25">
      <c r="B8" s="2160" t="s">
        <v>18</v>
      </c>
      <c r="C8" s="2167" t="s">
        <v>26</v>
      </c>
      <c r="D8" s="2218">
        <v>2</v>
      </c>
      <c r="E8" s="2218">
        <v>2</v>
      </c>
      <c r="F8" s="2218">
        <v>2</v>
      </c>
      <c r="G8" s="2218">
        <v>12</v>
      </c>
      <c r="H8" s="2218">
        <v>5</v>
      </c>
      <c r="I8" s="2218">
        <v>7</v>
      </c>
      <c r="J8" s="2218">
        <v>6</v>
      </c>
      <c r="K8" s="2218">
        <v>6</v>
      </c>
      <c r="L8" s="2218">
        <v>5</v>
      </c>
      <c r="M8" s="2218">
        <v>7</v>
      </c>
      <c r="N8" s="3048"/>
      <c r="O8" s="2160" t="s">
        <v>26</v>
      </c>
      <c r="P8" s="2218">
        <v>2</v>
      </c>
      <c r="Q8" s="2218">
        <v>2</v>
      </c>
      <c r="R8" s="2218">
        <v>2</v>
      </c>
      <c r="S8" s="2218">
        <v>6</v>
      </c>
      <c r="T8" s="2218">
        <v>6</v>
      </c>
      <c r="U8" s="2218">
        <v>5</v>
      </c>
      <c r="V8" s="2218">
        <v>7</v>
      </c>
      <c r="W8" s="2218">
        <v>8</v>
      </c>
      <c r="X8" s="2218">
        <v>4</v>
      </c>
      <c r="Y8" s="2218">
        <v>8</v>
      </c>
      <c r="Z8" s="2218">
        <v>4</v>
      </c>
      <c r="AA8" s="3048"/>
      <c r="AB8" s="3107"/>
      <c r="AC8" s="3107"/>
      <c r="AD8" s="3107"/>
      <c r="AE8" s="2164"/>
      <c r="AF8" s="2679"/>
      <c r="AG8" s="2679"/>
      <c r="AH8" s="722"/>
      <c r="AI8" s="722"/>
      <c r="AJ8" s="722"/>
      <c r="AK8" s="722"/>
      <c r="AL8" s="722"/>
      <c r="AM8" s="722"/>
      <c r="AN8" s="722"/>
      <c r="AO8" s="722"/>
      <c r="AP8" s="722"/>
      <c r="AQ8" s="722"/>
      <c r="AR8" s="722"/>
      <c r="AS8" s="722"/>
    </row>
    <row r="9" spans="2:45" x14ac:dyDescent="0.25">
      <c r="B9" s="2161">
        <v>1</v>
      </c>
      <c r="C9" s="540">
        <v>5191421001</v>
      </c>
      <c r="D9" s="2219">
        <v>1</v>
      </c>
      <c r="E9" s="2219">
        <v>1</v>
      </c>
      <c r="F9" s="2219">
        <v>0</v>
      </c>
      <c r="G9" s="2219"/>
      <c r="H9" s="2219">
        <v>0</v>
      </c>
      <c r="I9" s="2219"/>
      <c r="J9" s="2219"/>
      <c r="K9" s="2219"/>
      <c r="L9" s="2219">
        <v>3</v>
      </c>
      <c r="M9" s="2218">
        <v>4</v>
      </c>
      <c r="N9" s="2220">
        <v>9</v>
      </c>
      <c r="O9" s="540">
        <v>5191421001</v>
      </c>
      <c r="P9" s="2220">
        <v>0</v>
      </c>
      <c r="Q9" s="2220">
        <v>1</v>
      </c>
      <c r="R9" s="2220">
        <v>1</v>
      </c>
      <c r="S9" s="2218"/>
      <c r="T9" s="2221"/>
      <c r="U9" s="2221"/>
      <c r="V9" s="2221">
        <v>4</v>
      </c>
      <c r="W9" s="2218"/>
      <c r="X9" s="2218"/>
      <c r="Y9" s="2218">
        <v>5</v>
      </c>
      <c r="Z9" s="2218">
        <v>1</v>
      </c>
      <c r="AA9" s="2220">
        <v>12</v>
      </c>
      <c r="AB9" s="2162">
        <v>9</v>
      </c>
      <c r="AC9" s="2162">
        <v>12</v>
      </c>
      <c r="AD9" s="2162">
        <v>10.5</v>
      </c>
      <c r="AE9" s="2164"/>
      <c r="AF9" s="2222" t="s">
        <v>33</v>
      </c>
      <c r="AG9" s="2161">
        <v>60</v>
      </c>
      <c r="AH9" s="722"/>
      <c r="AI9" s="722"/>
      <c r="AJ9" s="722"/>
      <c r="AK9" s="722"/>
      <c r="AL9" s="722"/>
      <c r="AM9" s="722"/>
      <c r="AN9" s="722"/>
      <c r="AO9" s="722"/>
      <c r="AP9" s="722"/>
      <c r="AQ9" s="722"/>
      <c r="AR9" s="722"/>
      <c r="AS9" s="722"/>
    </row>
    <row r="10" spans="2:45" x14ac:dyDescent="0.25">
      <c r="B10" s="2161">
        <v>2</v>
      </c>
      <c r="C10" s="540">
        <v>5191421002</v>
      </c>
      <c r="D10" s="2219">
        <v>2</v>
      </c>
      <c r="E10" s="2219">
        <v>1</v>
      </c>
      <c r="F10" s="2219"/>
      <c r="G10" s="2219">
        <v>11</v>
      </c>
      <c r="H10" s="2219"/>
      <c r="I10" s="2219"/>
      <c r="J10" s="2219"/>
      <c r="K10" s="2219"/>
      <c r="L10" s="2219"/>
      <c r="M10" s="2218">
        <v>5</v>
      </c>
      <c r="N10" s="2220">
        <v>19</v>
      </c>
      <c r="O10" s="540">
        <v>5191421002</v>
      </c>
      <c r="P10" s="2220">
        <v>1</v>
      </c>
      <c r="Q10" s="2220">
        <v>1</v>
      </c>
      <c r="R10" s="2220">
        <v>2</v>
      </c>
      <c r="S10" s="2218"/>
      <c r="T10" s="2221"/>
      <c r="U10" s="2221"/>
      <c r="V10" s="2221"/>
      <c r="W10" s="2218">
        <v>5</v>
      </c>
      <c r="X10" s="2218">
        <v>0</v>
      </c>
      <c r="Y10" s="2218"/>
      <c r="Z10" s="2218"/>
      <c r="AA10" s="2220">
        <v>9</v>
      </c>
      <c r="AB10" s="2162">
        <v>19</v>
      </c>
      <c r="AC10" s="2162">
        <v>9</v>
      </c>
      <c r="AD10" s="2162">
        <v>14</v>
      </c>
      <c r="AE10" s="2164"/>
      <c r="AF10" s="2223" t="s">
        <v>28</v>
      </c>
      <c r="AG10" s="2161">
        <v>50</v>
      </c>
      <c r="AH10" s="722"/>
      <c r="AI10" s="722"/>
      <c r="AJ10" s="722"/>
      <c r="AK10" s="722"/>
      <c r="AL10" s="722"/>
      <c r="AM10" s="722"/>
      <c r="AN10" s="722"/>
      <c r="AO10" s="722"/>
      <c r="AP10" s="722"/>
      <c r="AQ10" s="722"/>
      <c r="AR10" s="722"/>
      <c r="AS10" s="722"/>
    </row>
    <row r="11" spans="2:45" x14ac:dyDescent="0.25">
      <c r="B11" s="2161">
        <v>3</v>
      </c>
      <c r="C11" s="540">
        <v>5191421003</v>
      </c>
      <c r="D11" s="2219">
        <v>1</v>
      </c>
      <c r="E11" s="2219">
        <v>1</v>
      </c>
      <c r="F11" s="2219">
        <v>0</v>
      </c>
      <c r="G11" s="2219">
        <v>9</v>
      </c>
      <c r="H11" s="2219"/>
      <c r="I11" s="2219"/>
      <c r="J11" s="2219"/>
      <c r="K11" s="2219"/>
      <c r="L11" s="2219">
        <v>3</v>
      </c>
      <c r="M11" s="2218">
        <v>5</v>
      </c>
      <c r="N11" s="2220">
        <v>19</v>
      </c>
      <c r="O11" s="540">
        <v>5191421003</v>
      </c>
      <c r="P11" s="2220">
        <v>1</v>
      </c>
      <c r="Q11" s="2220">
        <v>1</v>
      </c>
      <c r="R11" s="2220">
        <v>2</v>
      </c>
      <c r="S11" s="2218"/>
      <c r="T11" s="2221"/>
      <c r="U11" s="2221"/>
      <c r="V11" s="2218">
        <v>6</v>
      </c>
      <c r="W11" s="2218">
        <v>1</v>
      </c>
      <c r="X11" s="2218">
        <v>4</v>
      </c>
      <c r="Z11" s="2218"/>
      <c r="AA11" s="2220">
        <v>15</v>
      </c>
      <c r="AB11" s="2162">
        <v>19</v>
      </c>
      <c r="AC11" s="2162">
        <v>15</v>
      </c>
      <c r="AD11" s="2162">
        <v>17</v>
      </c>
      <c r="AE11" s="2164"/>
      <c r="AF11" s="2222" t="s">
        <v>32</v>
      </c>
      <c r="AG11" s="2161">
        <v>70</v>
      </c>
      <c r="AH11" s="722"/>
      <c r="AI11" s="722"/>
      <c r="AJ11" s="722"/>
      <c r="AK11" s="722"/>
      <c r="AL11" s="722"/>
      <c r="AM11" s="722"/>
      <c r="AN11" s="722"/>
      <c r="AO11" s="722"/>
      <c r="AP11" s="722"/>
      <c r="AQ11" s="722"/>
      <c r="AR11" s="722"/>
      <c r="AS11" s="722"/>
    </row>
    <row r="12" spans="2:45" x14ac:dyDescent="0.25">
      <c r="B12" s="2161">
        <v>4</v>
      </c>
      <c r="C12" s="540">
        <v>5191421004</v>
      </c>
      <c r="D12" s="2219">
        <v>1</v>
      </c>
      <c r="E12" s="2219">
        <v>0</v>
      </c>
      <c r="F12" s="2219">
        <v>0</v>
      </c>
      <c r="G12" s="2219"/>
      <c r="H12" s="2219">
        <v>0</v>
      </c>
      <c r="I12" s="2219"/>
      <c r="J12" s="2219"/>
      <c r="K12" s="2219"/>
      <c r="L12" s="2219">
        <v>2</v>
      </c>
      <c r="M12" s="2218">
        <v>0</v>
      </c>
      <c r="N12" s="2220">
        <v>3</v>
      </c>
      <c r="O12" s="540">
        <v>5191421004</v>
      </c>
      <c r="P12" s="2220"/>
      <c r="Q12" s="2220">
        <v>0</v>
      </c>
      <c r="R12" s="2220">
        <v>2</v>
      </c>
      <c r="S12" s="2218"/>
      <c r="T12" s="2221"/>
      <c r="U12" s="2221"/>
      <c r="V12" s="2221">
        <v>4</v>
      </c>
      <c r="W12" s="2218"/>
      <c r="X12" s="2218"/>
      <c r="Y12" s="2218">
        <v>1</v>
      </c>
      <c r="Z12" s="2218">
        <v>0</v>
      </c>
      <c r="AA12" s="2220">
        <v>7</v>
      </c>
      <c r="AB12" s="2162">
        <v>3</v>
      </c>
      <c r="AC12" s="2162">
        <v>7</v>
      </c>
      <c r="AD12" s="2162">
        <v>5</v>
      </c>
      <c r="AE12" s="2164"/>
      <c r="AF12" s="2222" t="s">
        <v>28</v>
      </c>
      <c r="AG12" s="2161">
        <v>50</v>
      </c>
      <c r="AH12" s="722"/>
      <c r="AI12" s="722"/>
      <c r="AJ12" s="722"/>
      <c r="AK12" s="722"/>
      <c r="AL12" s="722"/>
      <c r="AM12" s="722"/>
      <c r="AN12" s="722"/>
      <c r="AO12" s="722"/>
      <c r="AP12" s="722"/>
      <c r="AQ12" s="722"/>
      <c r="AR12" s="722"/>
      <c r="AS12" s="722"/>
    </row>
    <row r="13" spans="2:45" x14ac:dyDescent="0.25">
      <c r="B13" s="2161">
        <v>5</v>
      </c>
      <c r="C13" s="540">
        <v>5191421005</v>
      </c>
      <c r="D13" s="2219">
        <v>1</v>
      </c>
      <c r="E13" s="2219">
        <v>0</v>
      </c>
      <c r="F13" s="2219">
        <v>0</v>
      </c>
      <c r="G13" s="2219"/>
      <c r="H13" s="2219">
        <v>0</v>
      </c>
      <c r="I13" s="2219">
        <v>2</v>
      </c>
      <c r="J13" s="2219"/>
      <c r="K13" s="2219"/>
      <c r="L13" s="2219">
        <v>2</v>
      </c>
      <c r="M13" s="2218">
        <v>2</v>
      </c>
      <c r="N13" s="2220">
        <v>7</v>
      </c>
      <c r="O13" s="540">
        <v>5191421005</v>
      </c>
      <c r="P13" s="2220">
        <v>1</v>
      </c>
      <c r="Q13" s="2220">
        <v>0</v>
      </c>
      <c r="R13" s="2220">
        <v>2</v>
      </c>
      <c r="S13" s="2218"/>
      <c r="T13" s="2221"/>
      <c r="U13" s="2221">
        <v>0</v>
      </c>
      <c r="V13" s="2221">
        <v>4</v>
      </c>
      <c r="W13" s="2218"/>
      <c r="X13" s="2218"/>
      <c r="Y13" s="2218">
        <v>2</v>
      </c>
      <c r="Z13" s="2218">
        <v>1</v>
      </c>
      <c r="AA13" s="2220">
        <v>10</v>
      </c>
      <c r="AB13" s="2162">
        <v>7</v>
      </c>
      <c r="AC13" s="2162">
        <v>10</v>
      </c>
      <c r="AD13" s="2162">
        <v>8.5</v>
      </c>
      <c r="AE13" s="2164"/>
      <c r="AF13" s="2222" t="s">
        <v>28</v>
      </c>
      <c r="AG13" s="2161">
        <v>50</v>
      </c>
      <c r="AH13" s="722"/>
      <c r="AI13" s="722"/>
      <c r="AJ13" s="722"/>
      <c r="AK13" s="722"/>
      <c r="AL13" s="722"/>
      <c r="AM13" s="722"/>
      <c r="AN13" s="722"/>
      <c r="AO13" s="722"/>
      <c r="AP13" s="722"/>
      <c r="AQ13" s="722"/>
      <c r="AR13" s="722"/>
      <c r="AS13" s="722"/>
    </row>
    <row r="14" spans="2:45" x14ac:dyDescent="0.25">
      <c r="B14" s="2161">
        <v>6</v>
      </c>
      <c r="C14" s="540">
        <v>5191421006</v>
      </c>
      <c r="D14" s="2219">
        <v>0</v>
      </c>
      <c r="E14" s="2219">
        <v>0</v>
      </c>
      <c r="F14" s="2219"/>
      <c r="G14" s="2219">
        <v>5</v>
      </c>
      <c r="H14" s="2219"/>
      <c r="I14" s="2219"/>
      <c r="J14" s="2219"/>
      <c r="K14" s="2219"/>
      <c r="L14" s="2219">
        <v>3</v>
      </c>
      <c r="M14" s="2218">
        <v>4</v>
      </c>
      <c r="N14" s="2220">
        <v>12</v>
      </c>
      <c r="O14" s="540">
        <v>5191421006</v>
      </c>
      <c r="P14" s="2220">
        <v>2</v>
      </c>
      <c r="Q14" s="2218">
        <v>2</v>
      </c>
      <c r="R14" s="2218">
        <v>2</v>
      </c>
      <c r="S14" s="2218"/>
      <c r="T14" s="2221"/>
      <c r="U14" s="2221">
        <v>0</v>
      </c>
      <c r="V14" s="2221">
        <v>4</v>
      </c>
      <c r="W14" s="2218">
        <v>4</v>
      </c>
      <c r="X14" s="2218">
        <v>4</v>
      </c>
      <c r="Y14" s="2218"/>
      <c r="Z14" s="2218"/>
      <c r="AA14" s="2220">
        <v>18</v>
      </c>
      <c r="AB14" s="2162">
        <v>12</v>
      </c>
      <c r="AC14" s="2162">
        <v>18</v>
      </c>
      <c r="AD14" s="2162">
        <v>15</v>
      </c>
      <c r="AE14" s="2164"/>
      <c r="AF14" s="2222" t="s">
        <v>28</v>
      </c>
      <c r="AG14" s="2161">
        <v>50</v>
      </c>
      <c r="AH14" s="722"/>
      <c r="AI14" s="722"/>
      <c r="AJ14" s="722"/>
      <c r="AK14" s="722"/>
      <c r="AL14" s="722"/>
      <c r="AM14" s="722"/>
      <c r="AN14" s="722"/>
      <c r="AO14" s="722"/>
      <c r="AP14" s="722"/>
      <c r="AQ14" s="722"/>
      <c r="AR14" s="722"/>
      <c r="AS14" s="722"/>
    </row>
    <row r="15" spans="2:45" x14ac:dyDescent="0.25">
      <c r="B15" s="2161">
        <v>7</v>
      </c>
      <c r="C15" s="540">
        <v>5191421007</v>
      </c>
      <c r="D15" s="2219">
        <v>0</v>
      </c>
      <c r="E15" s="2219">
        <v>0</v>
      </c>
      <c r="F15" s="2219"/>
      <c r="G15" s="2219">
        <v>3</v>
      </c>
      <c r="H15" s="2219"/>
      <c r="I15" s="2219"/>
      <c r="J15" s="2219"/>
      <c r="K15" s="2219"/>
      <c r="L15" s="2219"/>
      <c r="M15" s="2218">
        <v>5</v>
      </c>
      <c r="N15" s="2220">
        <v>8</v>
      </c>
      <c r="O15" s="2225">
        <v>5191421007</v>
      </c>
      <c r="P15" s="2226">
        <v>0</v>
      </c>
      <c r="Q15" s="2226">
        <v>0</v>
      </c>
      <c r="R15" s="2226">
        <v>0</v>
      </c>
      <c r="S15" s="2227">
        <v>0</v>
      </c>
      <c r="T15" s="2228"/>
      <c r="U15" s="2228"/>
      <c r="V15" s="2228"/>
      <c r="W15" s="2227"/>
      <c r="X15" s="2227"/>
      <c r="Y15" s="2227">
        <v>2</v>
      </c>
      <c r="Z15" s="2227"/>
      <c r="AA15" s="2220">
        <v>2</v>
      </c>
      <c r="AB15" s="2162">
        <v>8</v>
      </c>
      <c r="AC15" s="2162">
        <v>2</v>
      </c>
      <c r="AD15" s="2162">
        <v>5</v>
      </c>
      <c r="AE15" s="2164"/>
      <c r="AF15" s="2222" t="s">
        <v>28</v>
      </c>
      <c r="AG15" s="2161">
        <v>50</v>
      </c>
      <c r="AH15" s="722"/>
      <c r="AI15" s="722"/>
      <c r="AJ15" s="722"/>
      <c r="AK15" s="722"/>
      <c r="AL15" s="722"/>
      <c r="AM15" s="722"/>
      <c r="AN15" s="722"/>
      <c r="AO15" s="722"/>
      <c r="AP15" s="722"/>
      <c r="AQ15" s="722"/>
      <c r="AR15" s="722"/>
      <c r="AS15" s="722"/>
    </row>
    <row r="16" spans="2:45" x14ac:dyDescent="0.25">
      <c r="B16" s="2161">
        <v>8</v>
      </c>
      <c r="C16" s="540">
        <v>5191421008</v>
      </c>
      <c r="D16" s="2219">
        <v>0</v>
      </c>
      <c r="E16" s="2219">
        <v>0</v>
      </c>
      <c r="F16" s="2219">
        <v>0</v>
      </c>
      <c r="G16" s="2219"/>
      <c r="H16" s="2219"/>
      <c r="I16" s="2219"/>
      <c r="J16" s="2219"/>
      <c r="K16" s="2219"/>
      <c r="L16" s="2219">
        <v>3</v>
      </c>
      <c r="M16" s="2218">
        <v>5</v>
      </c>
      <c r="N16" s="2220">
        <v>8</v>
      </c>
      <c r="O16" s="540">
        <v>5191421008</v>
      </c>
      <c r="P16" s="2220"/>
      <c r="Q16" s="2220"/>
      <c r="R16" s="2220">
        <v>2</v>
      </c>
      <c r="S16" s="2218">
        <v>0</v>
      </c>
      <c r="T16" s="2229">
        <v>3</v>
      </c>
      <c r="U16" s="2221"/>
      <c r="V16" s="2221"/>
      <c r="W16" s="2218"/>
      <c r="X16" s="2218"/>
      <c r="Y16" s="2218">
        <v>3</v>
      </c>
      <c r="Z16" s="2218">
        <v>1</v>
      </c>
      <c r="AA16" s="2220">
        <v>9</v>
      </c>
      <c r="AB16" s="2162">
        <v>8</v>
      </c>
      <c r="AC16" s="2162">
        <v>9</v>
      </c>
      <c r="AD16" s="2162">
        <v>8.5</v>
      </c>
      <c r="AE16" s="2164"/>
      <c r="AF16" s="2222" t="s">
        <v>28</v>
      </c>
      <c r="AG16" s="2161">
        <v>50</v>
      </c>
      <c r="AH16" s="722"/>
      <c r="AI16" s="722"/>
      <c r="AJ16" s="722"/>
      <c r="AK16" s="722"/>
      <c r="AL16" s="722"/>
      <c r="AM16" s="722"/>
      <c r="AN16" s="722"/>
      <c r="AO16" s="722"/>
      <c r="AP16" s="722"/>
      <c r="AQ16" s="722"/>
      <c r="AR16" s="722"/>
      <c r="AS16" s="722"/>
    </row>
    <row r="17" spans="2:45" x14ac:dyDescent="0.25">
      <c r="B17" s="2161">
        <v>9</v>
      </c>
      <c r="C17" s="540">
        <v>5191421009</v>
      </c>
      <c r="D17" s="2219">
        <v>0</v>
      </c>
      <c r="E17" s="2219">
        <v>2</v>
      </c>
      <c r="F17" s="2219">
        <v>0</v>
      </c>
      <c r="G17" s="2219">
        <v>4</v>
      </c>
      <c r="H17" s="2219"/>
      <c r="I17" s="2219"/>
      <c r="J17" s="2219"/>
      <c r="K17" s="2219"/>
      <c r="L17" s="2219">
        <v>2</v>
      </c>
      <c r="M17" s="2218">
        <v>5</v>
      </c>
      <c r="N17" s="2220">
        <v>13</v>
      </c>
      <c r="O17" s="540">
        <v>5191421009</v>
      </c>
      <c r="P17" s="2220">
        <v>0</v>
      </c>
      <c r="Q17" s="2220">
        <v>1</v>
      </c>
      <c r="R17" s="2220">
        <v>2</v>
      </c>
      <c r="S17" s="2218">
        <v>0</v>
      </c>
      <c r="T17" s="2221">
        <v>1</v>
      </c>
      <c r="U17" s="2221"/>
      <c r="V17" s="2221"/>
      <c r="W17" s="2218">
        <v>0</v>
      </c>
      <c r="X17" s="2218">
        <v>3</v>
      </c>
      <c r="Y17" s="2218"/>
      <c r="Z17" s="2218"/>
      <c r="AA17" s="2220">
        <v>7</v>
      </c>
      <c r="AB17" s="2162">
        <v>13</v>
      </c>
      <c r="AC17" s="2162">
        <v>7</v>
      </c>
      <c r="AD17" s="2162">
        <v>10</v>
      </c>
      <c r="AE17" s="2164"/>
      <c r="AF17" s="2222" t="s">
        <v>28</v>
      </c>
      <c r="AG17" s="2161">
        <v>50</v>
      </c>
      <c r="AH17" s="722"/>
      <c r="AI17" s="722"/>
      <c r="AJ17" s="722"/>
      <c r="AK17" s="722"/>
      <c r="AL17" s="722"/>
      <c r="AM17" s="722"/>
      <c r="AN17" s="722"/>
      <c r="AO17" s="722"/>
      <c r="AP17" s="722"/>
      <c r="AQ17" s="722"/>
      <c r="AR17" s="722"/>
      <c r="AS17" s="722"/>
    </row>
    <row r="18" spans="2:45" x14ac:dyDescent="0.25">
      <c r="B18" s="2161">
        <v>10</v>
      </c>
      <c r="C18" s="540">
        <v>5191421010</v>
      </c>
      <c r="D18" s="2219">
        <v>1</v>
      </c>
      <c r="E18" s="2219">
        <v>1</v>
      </c>
      <c r="F18" s="2219">
        <v>0</v>
      </c>
      <c r="G18" s="2219">
        <v>5</v>
      </c>
      <c r="H18" s="2219"/>
      <c r="I18" s="2219"/>
      <c r="J18" s="2219"/>
      <c r="K18" s="2219"/>
      <c r="L18" s="2219">
        <v>2</v>
      </c>
      <c r="M18" s="2218">
        <v>6</v>
      </c>
      <c r="N18" s="2220">
        <v>15</v>
      </c>
      <c r="O18" s="540">
        <v>5191421010</v>
      </c>
      <c r="P18" s="2220">
        <v>0</v>
      </c>
      <c r="Q18" s="2220">
        <v>0</v>
      </c>
      <c r="R18" s="2220">
        <v>2</v>
      </c>
      <c r="S18" s="2218"/>
      <c r="T18" s="2221">
        <v>4</v>
      </c>
      <c r="U18" s="2221"/>
      <c r="V18" s="2221"/>
      <c r="W18" s="2218">
        <v>2</v>
      </c>
      <c r="X18" s="2218">
        <v>1</v>
      </c>
      <c r="Y18" s="2218"/>
      <c r="Z18" s="2218"/>
      <c r="AA18" s="2220">
        <v>9</v>
      </c>
      <c r="AB18" s="2162">
        <v>15</v>
      </c>
      <c r="AC18" s="2162">
        <v>9</v>
      </c>
      <c r="AD18" s="2162">
        <v>12</v>
      </c>
      <c r="AE18" s="2164"/>
      <c r="AF18" s="2222" t="s">
        <v>28</v>
      </c>
      <c r="AG18" s="2161">
        <v>50</v>
      </c>
      <c r="AH18" s="722"/>
      <c r="AI18" s="722"/>
      <c r="AJ18" s="722"/>
      <c r="AK18" s="722"/>
      <c r="AL18" s="722"/>
      <c r="AM18" s="722"/>
      <c r="AN18" s="722"/>
      <c r="AO18" s="722"/>
      <c r="AP18" s="722"/>
      <c r="AQ18" s="722"/>
      <c r="AR18" s="722"/>
      <c r="AS18" s="722"/>
    </row>
    <row r="19" spans="2:45" x14ac:dyDescent="0.25">
      <c r="B19" s="2161">
        <v>11</v>
      </c>
      <c r="C19" s="540">
        <v>5191421011</v>
      </c>
      <c r="D19" s="2230">
        <v>1</v>
      </c>
      <c r="E19" s="2230">
        <v>1</v>
      </c>
      <c r="F19" s="2230"/>
      <c r="G19" s="2230">
        <v>9</v>
      </c>
      <c r="H19" s="2230"/>
      <c r="I19" s="2230"/>
      <c r="J19" s="2230"/>
      <c r="K19" s="2230"/>
      <c r="L19" s="2230">
        <v>4</v>
      </c>
      <c r="M19" s="2231">
        <v>6</v>
      </c>
      <c r="N19" s="2220">
        <v>21</v>
      </c>
      <c r="O19" s="540">
        <v>5191421011</v>
      </c>
      <c r="P19" s="2232">
        <v>0</v>
      </c>
      <c r="Q19" s="2232">
        <v>2</v>
      </c>
      <c r="R19" s="2232">
        <v>2</v>
      </c>
      <c r="S19" s="2231"/>
      <c r="T19" s="2233"/>
      <c r="U19" s="2233"/>
      <c r="V19" s="2233">
        <v>7</v>
      </c>
      <c r="W19" s="2231">
        <v>7</v>
      </c>
      <c r="X19" s="2231">
        <v>3</v>
      </c>
      <c r="Y19" s="2231"/>
      <c r="Z19" s="2231"/>
      <c r="AA19" s="2220">
        <v>21</v>
      </c>
      <c r="AB19" s="2162">
        <v>21</v>
      </c>
      <c r="AC19" s="2162">
        <v>21</v>
      </c>
      <c r="AD19" s="2162">
        <v>21</v>
      </c>
      <c r="AE19" s="2164"/>
      <c r="AF19" s="2222" t="s">
        <v>32</v>
      </c>
      <c r="AG19" s="2161">
        <v>70</v>
      </c>
      <c r="AH19" s="722"/>
      <c r="AI19" s="722"/>
      <c r="AJ19" s="722"/>
      <c r="AK19" s="722"/>
      <c r="AL19" s="722"/>
      <c r="AM19" s="722"/>
      <c r="AN19" s="722"/>
      <c r="AO19" s="722"/>
      <c r="AP19" s="722"/>
      <c r="AQ19" s="722"/>
      <c r="AR19" s="722"/>
      <c r="AS19" s="722"/>
    </row>
    <row r="20" spans="2:45" x14ac:dyDescent="0.25">
      <c r="B20" s="2161">
        <v>12</v>
      </c>
      <c r="C20" s="540">
        <v>5191421012</v>
      </c>
      <c r="D20" s="2219">
        <v>1</v>
      </c>
      <c r="E20" s="2219">
        <v>1</v>
      </c>
      <c r="F20" s="2219"/>
      <c r="G20" s="2219">
        <v>3</v>
      </c>
      <c r="H20" s="2219"/>
      <c r="I20" s="2219"/>
      <c r="J20" s="2219"/>
      <c r="K20" s="2219"/>
      <c r="L20" s="2219">
        <v>2</v>
      </c>
      <c r="M20" s="2218">
        <v>2</v>
      </c>
      <c r="N20" s="2220">
        <v>9</v>
      </c>
      <c r="O20" s="540">
        <v>5191421012</v>
      </c>
      <c r="P20" s="2220"/>
      <c r="Q20" s="2220"/>
      <c r="R20" s="2220"/>
      <c r="S20" s="2218"/>
      <c r="T20" s="2221"/>
      <c r="U20" s="2221"/>
      <c r="V20" s="2221">
        <v>4</v>
      </c>
      <c r="W20" s="2218">
        <v>6</v>
      </c>
      <c r="X20" s="2218">
        <v>2</v>
      </c>
      <c r="Y20" s="2218"/>
      <c r="Z20" s="2218"/>
      <c r="AA20" s="2220">
        <v>12</v>
      </c>
      <c r="AB20" s="2162">
        <v>9</v>
      </c>
      <c r="AC20" s="2162">
        <v>12</v>
      </c>
      <c r="AD20" s="2162">
        <v>10.5</v>
      </c>
      <c r="AE20" s="2164"/>
      <c r="AF20" s="2222" t="s">
        <v>28</v>
      </c>
      <c r="AG20" s="2161">
        <v>50</v>
      </c>
      <c r="AH20" s="722"/>
      <c r="AI20" s="722"/>
      <c r="AJ20" s="722"/>
      <c r="AK20" s="722"/>
      <c r="AL20" s="722"/>
      <c r="AM20" s="722"/>
      <c r="AN20" s="722"/>
      <c r="AO20" s="722"/>
      <c r="AP20" s="722"/>
      <c r="AQ20" s="722"/>
      <c r="AR20" s="722"/>
      <c r="AS20" s="722"/>
    </row>
    <row r="21" spans="2:45" x14ac:dyDescent="0.25">
      <c r="B21" s="2161">
        <v>13</v>
      </c>
      <c r="C21" s="540">
        <v>5191421013</v>
      </c>
      <c r="D21" s="2219"/>
      <c r="E21" s="2219"/>
      <c r="F21" s="2219"/>
      <c r="G21" s="2219">
        <v>8</v>
      </c>
      <c r="H21" s="2219"/>
      <c r="I21" s="2219"/>
      <c r="J21" s="2219"/>
      <c r="K21" s="2219"/>
      <c r="L21" s="2219">
        <v>4</v>
      </c>
      <c r="M21" s="2218">
        <v>5</v>
      </c>
      <c r="N21" s="2220">
        <v>17</v>
      </c>
      <c r="O21" s="540">
        <v>5191421013</v>
      </c>
      <c r="P21" s="2220">
        <v>2</v>
      </c>
      <c r="Q21" s="2220">
        <v>2</v>
      </c>
      <c r="R21" s="2220">
        <v>2</v>
      </c>
      <c r="S21" s="2234"/>
      <c r="T21" s="2221"/>
      <c r="U21" s="2221">
        <v>4</v>
      </c>
      <c r="V21" s="2221">
        <v>4</v>
      </c>
      <c r="W21" s="2218">
        <v>7</v>
      </c>
      <c r="X21" s="2218">
        <v>4</v>
      </c>
      <c r="Y21" s="2218"/>
      <c r="Z21" s="2218"/>
      <c r="AA21" s="2220">
        <v>25</v>
      </c>
      <c r="AB21" s="2162">
        <v>17</v>
      </c>
      <c r="AC21" s="2162">
        <v>25</v>
      </c>
      <c r="AD21" s="2162">
        <v>21</v>
      </c>
      <c r="AE21" s="2164"/>
      <c r="AF21" s="2222" t="s">
        <v>33</v>
      </c>
      <c r="AG21" s="2161">
        <v>60</v>
      </c>
      <c r="AH21" s="722"/>
      <c r="AI21" s="722"/>
      <c r="AJ21" s="722"/>
      <c r="AK21" s="722"/>
      <c r="AL21" s="722"/>
      <c r="AM21" s="722"/>
      <c r="AN21" s="722"/>
      <c r="AO21" s="722"/>
      <c r="AP21" s="722"/>
      <c r="AQ21" s="722"/>
      <c r="AR21" s="722"/>
      <c r="AS21" s="722"/>
    </row>
    <row r="22" spans="2:45" x14ac:dyDescent="0.25">
      <c r="B22" s="2161">
        <v>14</v>
      </c>
      <c r="C22" s="540">
        <v>5191421014</v>
      </c>
      <c r="D22" s="2219">
        <v>0</v>
      </c>
      <c r="E22" s="2219"/>
      <c r="F22" s="2219">
        <v>0</v>
      </c>
      <c r="G22" s="2219"/>
      <c r="H22" s="2219"/>
      <c r="I22" s="2219"/>
      <c r="J22" s="2219"/>
      <c r="K22" s="2219"/>
      <c r="L22" s="2219">
        <v>3</v>
      </c>
      <c r="M22" s="2218">
        <v>6</v>
      </c>
      <c r="N22" s="2220">
        <v>9</v>
      </c>
      <c r="O22" s="540">
        <v>5191421014</v>
      </c>
      <c r="P22" s="2220">
        <v>0</v>
      </c>
      <c r="Q22" s="2220">
        <v>1</v>
      </c>
      <c r="R22" s="2220">
        <v>1</v>
      </c>
      <c r="S22" s="2218"/>
      <c r="T22" s="2218">
        <v>3</v>
      </c>
      <c r="U22" s="2218"/>
      <c r="V22" s="2218"/>
      <c r="W22" s="2218">
        <v>0</v>
      </c>
      <c r="X22" s="2218">
        <v>0</v>
      </c>
      <c r="Y22" s="2218"/>
      <c r="Z22" s="2218"/>
      <c r="AA22" s="2220">
        <v>5</v>
      </c>
      <c r="AB22" s="2162">
        <v>9</v>
      </c>
      <c r="AC22" s="2162">
        <v>5</v>
      </c>
      <c r="AD22" s="2162">
        <v>7</v>
      </c>
      <c r="AE22" s="2164"/>
      <c r="AF22" s="2222" t="s">
        <v>28</v>
      </c>
      <c r="AG22" s="2161">
        <v>50</v>
      </c>
      <c r="AH22" s="722"/>
      <c r="AI22" s="722"/>
      <c r="AJ22" s="722"/>
      <c r="AK22" s="722"/>
      <c r="AL22" s="722"/>
      <c r="AM22" s="722"/>
      <c r="AN22" s="722"/>
      <c r="AO22" s="722"/>
      <c r="AP22" s="722"/>
      <c r="AQ22" s="722"/>
      <c r="AR22" s="722"/>
      <c r="AS22" s="722"/>
    </row>
    <row r="23" spans="2:45" x14ac:dyDescent="0.25">
      <c r="B23" s="2161">
        <v>15</v>
      </c>
      <c r="C23" s="540">
        <v>5191421015</v>
      </c>
      <c r="D23" s="2219">
        <v>0</v>
      </c>
      <c r="E23" s="2219">
        <v>0</v>
      </c>
      <c r="F23" s="2219">
        <v>0</v>
      </c>
      <c r="G23" s="2219"/>
      <c r="H23" s="2219"/>
      <c r="I23" s="2219"/>
      <c r="J23" s="2219"/>
      <c r="K23" s="2219"/>
      <c r="L23" s="2219">
        <v>2</v>
      </c>
      <c r="M23" s="2218">
        <v>4</v>
      </c>
      <c r="N23" s="2220">
        <v>6</v>
      </c>
      <c r="O23" s="540">
        <v>5191421015</v>
      </c>
      <c r="P23" s="2220">
        <v>1</v>
      </c>
      <c r="Q23" s="2220">
        <v>0</v>
      </c>
      <c r="R23" s="2220">
        <v>2</v>
      </c>
      <c r="S23" s="2218"/>
      <c r="T23" s="2221"/>
      <c r="U23" s="2221"/>
      <c r="V23" s="2221">
        <v>2</v>
      </c>
      <c r="W23" s="2218">
        <v>3</v>
      </c>
      <c r="X23" s="2218">
        <v>2</v>
      </c>
      <c r="Y23" s="2218"/>
      <c r="Z23" s="2218"/>
      <c r="AA23" s="2220">
        <v>10</v>
      </c>
      <c r="AB23" s="2162">
        <v>6</v>
      </c>
      <c r="AC23" s="2162">
        <v>10</v>
      </c>
      <c r="AD23" s="2162">
        <v>8</v>
      </c>
      <c r="AE23" s="2164"/>
      <c r="AF23" s="2222" t="s">
        <v>29</v>
      </c>
      <c r="AG23" s="2161">
        <v>39</v>
      </c>
      <c r="AH23" s="722"/>
      <c r="AI23" s="722"/>
      <c r="AJ23" s="722"/>
      <c r="AK23" s="722"/>
      <c r="AL23" s="722"/>
      <c r="AM23" s="722"/>
      <c r="AN23" s="722"/>
      <c r="AO23" s="722"/>
      <c r="AP23" s="722"/>
      <c r="AQ23" s="722"/>
      <c r="AR23" s="722"/>
      <c r="AS23" s="722"/>
    </row>
    <row r="24" spans="2:45" x14ac:dyDescent="0.25">
      <c r="B24" s="2161">
        <v>16</v>
      </c>
      <c r="C24" s="556">
        <v>5191421016</v>
      </c>
      <c r="D24" s="2235"/>
      <c r="E24" s="2235"/>
      <c r="F24" s="2235"/>
      <c r="G24" s="2235"/>
      <c r="H24" s="2235"/>
      <c r="I24" s="2235"/>
      <c r="J24" s="2235"/>
      <c r="K24" s="2235"/>
      <c r="L24" s="2235"/>
      <c r="M24" s="2236"/>
      <c r="N24" s="2237">
        <v>0</v>
      </c>
      <c r="O24" s="540">
        <v>5191421016</v>
      </c>
      <c r="P24" s="2220"/>
      <c r="Q24" s="2220">
        <v>0</v>
      </c>
      <c r="R24" s="2220">
        <v>0</v>
      </c>
      <c r="S24" s="2218"/>
      <c r="T24" s="2221">
        <v>0</v>
      </c>
      <c r="U24" s="2221"/>
      <c r="V24" s="2221"/>
      <c r="W24" s="2218"/>
      <c r="X24" s="2218"/>
      <c r="Y24" s="2218">
        <v>3</v>
      </c>
      <c r="Z24" s="2218"/>
      <c r="AA24" s="2220">
        <v>3</v>
      </c>
      <c r="AB24" s="2162">
        <v>0</v>
      </c>
      <c r="AC24" s="2162">
        <v>3</v>
      </c>
      <c r="AD24" s="2162">
        <v>1.5</v>
      </c>
      <c r="AE24" s="2164"/>
      <c r="AF24" s="2222" t="s">
        <v>29</v>
      </c>
      <c r="AG24" s="2161">
        <v>39</v>
      </c>
      <c r="AH24" s="722"/>
      <c r="AI24" s="722"/>
      <c r="AJ24" s="722"/>
      <c r="AK24" s="722"/>
      <c r="AL24" s="722"/>
      <c r="AM24" s="722"/>
      <c r="AN24" s="722"/>
      <c r="AO24" s="722"/>
      <c r="AP24" s="722"/>
      <c r="AQ24" s="722"/>
      <c r="AR24" s="722"/>
      <c r="AS24" s="722"/>
    </row>
    <row r="25" spans="2:45" x14ac:dyDescent="0.25">
      <c r="B25" s="2161">
        <v>17</v>
      </c>
      <c r="C25" s="540">
        <v>5191421017</v>
      </c>
      <c r="D25" s="2219">
        <v>0</v>
      </c>
      <c r="E25" s="2219">
        <v>1</v>
      </c>
      <c r="F25" s="2219"/>
      <c r="G25" s="2219"/>
      <c r="H25" s="2219">
        <v>0</v>
      </c>
      <c r="I25" s="2219"/>
      <c r="J25" s="2219"/>
      <c r="K25" s="2219"/>
      <c r="L25" s="2219"/>
      <c r="M25" s="2218">
        <v>4</v>
      </c>
      <c r="N25" s="2220">
        <v>5</v>
      </c>
      <c r="O25" s="540">
        <v>5191421017</v>
      </c>
      <c r="P25" s="2220"/>
      <c r="Q25" s="2220"/>
      <c r="R25" s="2220">
        <v>1</v>
      </c>
      <c r="S25" s="2218"/>
      <c r="T25" s="2221">
        <v>5</v>
      </c>
      <c r="U25" s="2221"/>
      <c r="V25" s="2221">
        <v>4</v>
      </c>
      <c r="W25" s="2218"/>
      <c r="X25" s="2218"/>
      <c r="Y25" s="2218"/>
      <c r="Z25" s="2218"/>
      <c r="AA25" s="2220">
        <v>10</v>
      </c>
      <c r="AB25" s="2162">
        <v>5</v>
      </c>
      <c r="AC25" s="2162">
        <v>10</v>
      </c>
      <c r="AD25" s="2162">
        <v>7.5</v>
      </c>
      <c r="AE25" s="2164"/>
      <c r="AF25" s="2222" t="s">
        <v>28</v>
      </c>
      <c r="AG25" s="2161">
        <v>50</v>
      </c>
      <c r="AH25" s="722"/>
      <c r="AI25" s="722"/>
      <c r="AJ25" s="722"/>
      <c r="AK25" s="722"/>
      <c r="AL25" s="722"/>
      <c r="AM25" s="722"/>
      <c r="AN25" s="722"/>
      <c r="AO25" s="722"/>
      <c r="AP25" s="722"/>
      <c r="AQ25" s="722"/>
      <c r="AR25" s="722"/>
      <c r="AS25" s="722"/>
    </row>
    <row r="26" spans="2:45" x14ac:dyDescent="0.25">
      <c r="B26" s="2161">
        <v>18</v>
      </c>
      <c r="C26" s="540">
        <v>5191421018</v>
      </c>
      <c r="D26" s="2219">
        <v>0</v>
      </c>
      <c r="E26" s="2219">
        <v>0</v>
      </c>
      <c r="F26" s="2219">
        <v>0</v>
      </c>
      <c r="G26" s="2219"/>
      <c r="H26" s="2219">
        <v>0</v>
      </c>
      <c r="I26" s="2219">
        <v>0</v>
      </c>
      <c r="J26" s="2219"/>
      <c r="K26" s="2219"/>
      <c r="L26" s="2219"/>
      <c r="M26" s="2218">
        <v>3</v>
      </c>
      <c r="N26" s="2220">
        <v>3</v>
      </c>
      <c r="O26" s="540">
        <v>5191421018</v>
      </c>
      <c r="P26" s="2220"/>
      <c r="Q26" s="2220">
        <v>0</v>
      </c>
      <c r="R26" s="2220"/>
      <c r="S26" s="2218"/>
      <c r="T26" s="2221"/>
      <c r="U26" s="2221"/>
      <c r="V26" s="2221"/>
      <c r="W26" s="2218"/>
      <c r="X26" s="2218"/>
      <c r="Y26" s="2218">
        <v>0</v>
      </c>
      <c r="Z26" s="2218"/>
      <c r="AA26" s="2220">
        <v>0</v>
      </c>
      <c r="AB26" s="2162">
        <v>3</v>
      </c>
      <c r="AC26" s="2162">
        <v>0</v>
      </c>
      <c r="AD26" s="2162">
        <v>1.5</v>
      </c>
      <c r="AE26" s="2164"/>
      <c r="AF26" s="2222" t="s">
        <v>29</v>
      </c>
      <c r="AG26" s="2161">
        <v>39</v>
      </c>
      <c r="AH26" s="722"/>
      <c r="AI26" s="722"/>
      <c r="AJ26" s="722"/>
      <c r="AK26" s="722"/>
      <c r="AL26" s="722"/>
      <c r="AM26" s="722"/>
      <c r="AN26" s="722"/>
      <c r="AO26" s="722"/>
      <c r="AP26" s="722"/>
      <c r="AQ26" s="722"/>
      <c r="AR26" s="722"/>
      <c r="AS26" s="722"/>
    </row>
    <row r="27" spans="2:45" x14ac:dyDescent="0.25">
      <c r="B27" s="2161">
        <v>19</v>
      </c>
      <c r="C27" s="540">
        <v>5191421019</v>
      </c>
      <c r="D27" s="2219">
        <v>1</v>
      </c>
      <c r="E27" s="2219">
        <v>0</v>
      </c>
      <c r="F27" s="2219"/>
      <c r="G27" s="2219"/>
      <c r="H27" s="2219">
        <v>4</v>
      </c>
      <c r="I27" s="2219">
        <v>0</v>
      </c>
      <c r="J27" s="2219"/>
      <c r="K27" s="2219"/>
      <c r="L27" s="2219">
        <v>4</v>
      </c>
      <c r="M27" s="2218">
        <v>6</v>
      </c>
      <c r="N27" s="2220">
        <v>15</v>
      </c>
      <c r="O27" s="540">
        <v>5191421019</v>
      </c>
      <c r="P27" s="2220">
        <v>2</v>
      </c>
      <c r="Q27" s="2218">
        <v>1</v>
      </c>
      <c r="R27" s="2218">
        <v>2</v>
      </c>
      <c r="S27" s="2218">
        <v>0</v>
      </c>
      <c r="T27" s="2221">
        <v>5</v>
      </c>
      <c r="U27" s="2221"/>
      <c r="V27" s="2221"/>
      <c r="W27" s="2218"/>
      <c r="X27" s="2218"/>
      <c r="Y27" s="2218">
        <v>5</v>
      </c>
      <c r="Z27" s="2218">
        <v>2</v>
      </c>
      <c r="AA27" s="2220">
        <v>17</v>
      </c>
      <c r="AB27" s="2162">
        <v>15</v>
      </c>
      <c r="AC27" s="2162">
        <v>17</v>
      </c>
      <c r="AD27" s="2162">
        <v>16</v>
      </c>
      <c r="AE27" s="2164"/>
      <c r="AF27" s="2222" t="s">
        <v>27</v>
      </c>
      <c r="AG27" s="2161">
        <v>80</v>
      </c>
      <c r="AH27" s="722"/>
      <c r="AI27" s="722"/>
      <c r="AJ27" s="722"/>
      <c r="AK27" s="722"/>
      <c r="AL27" s="722"/>
      <c r="AM27" s="722"/>
      <c r="AN27" s="722"/>
      <c r="AO27" s="722"/>
      <c r="AP27" s="722"/>
      <c r="AQ27" s="722"/>
      <c r="AR27" s="722"/>
      <c r="AS27" s="722"/>
    </row>
    <row r="28" spans="2:45" x14ac:dyDescent="0.25">
      <c r="B28" s="2161">
        <v>20</v>
      </c>
      <c r="C28" s="540">
        <v>5191421020</v>
      </c>
      <c r="D28" s="2219">
        <v>2</v>
      </c>
      <c r="E28" s="2219">
        <v>1</v>
      </c>
      <c r="F28" s="2219"/>
      <c r="G28" s="2219">
        <v>9</v>
      </c>
      <c r="H28" s="2219"/>
      <c r="I28" s="2219"/>
      <c r="J28" s="2219"/>
      <c r="K28" s="2219"/>
      <c r="L28" s="2219">
        <v>4</v>
      </c>
      <c r="M28" s="2218">
        <v>6</v>
      </c>
      <c r="N28" s="2220">
        <v>22</v>
      </c>
      <c r="O28" s="540">
        <v>5191421020</v>
      </c>
      <c r="P28" s="2220">
        <v>1</v>
      </c>
      <c r="Q28" s="2218">
        <v>1</v>
      </c>
      <c r="R28" s="2218">
        <v>2</v>
      </c>
      <c r="S28" s="2218"/>
      <c r="T28" s="2221"/>
      <c r="U28" s="2221"/>
      <c r="V28" s="2221">
        <v>5</v>
      </c>
      <c r="W28" s="2218">
        <v>5</v>
      </c>
      <c r="X28" s="2218">
        <v>3</v>
      </c>
      <c r="Y28" s="2218"/>
      <c r="Z28" s="2218"/>
      <c r="AA28" s="2220">
        <v>17</v>
      </c>
      <c r="AB28" s="2162">
        <v>22</v>
      </c>
      <c r="AC28" s="2162">
        <v>17</v>
      </c>
      <c r="AD28" s="2162">
        <v>19.5</v>
      </c>
      <c r="AE28" s="2164"/>
      <c r="AF28" s="2222" t="s">
        <v>27</v>
      </c>
      <c r="AG28" s="2161">
        <v>80</v>
      </c>
      <c r="AH28" s="722"/>
      <c r="AI28" s="722"/>
      <c r="AJ28" s="722"/>
      <c r="AK28" s="722"/>
      <c r="AL28" s="722"/>
      <c r="AM28" s="722"/>
      <c r="AN28" s="722"/>
      <c r="AO28" s="722"/>
      <c r="AP28" s="722"/>
      <c r="AQ28" s="722"/>
      <c r="AR28" s="722"/>
      <c r="AS28" s="722"/>
    </row>
    <row r="29" spans="2:45" x14ac:dyDescent="0.25">
      <c r="B29" s="2161">
        <v>21</v>
      </c>
      <c r="C29" s="540">
        <v>5191421021</v>
      </c>
      <c r="D29" s="2219">
        <v>1</v>
      </c>
      <c r="E29" s="2219">
        <v>0.5</v>
      </c>
      <c r="F29" s="2238"/>
      <c r="G29" s="2219">
        <v>8</v>
      </c>
      <c r="H29" s="2219"/>
      <c r="I29" s="2219"/>
      <c r="J29" s="2219"/>
      <c r="K29" s="2219"/>
      <c r="L29" s="2219">
        <v>3</v>
      </c>
      <c r="M29" s="2218">
        <v>5</v>
      </c>
      <c r="N29" s="2220">
        <v>17.5</v>
      </c>
      <c r="O29" s="540">
        <v>5191421021</v>
      </c>
      <c r="P29" s="2220">
        <v>1</v>
      </c>
      <c r="Q29" s="2218">
        <v>2</v>
      </c>
      <c r="R29" s="2218">
        <v>1</v>
      </c>
      <c r="S29" s="2218"/>
      <c r="T29" s="2221">
        <v>0</v>
      </c>
      <c r="U29" s="2221">
        <v>3</v>
      </c>
      <c r="V29" s="2221">
        <v>2</v>
      </c>
      <c r="W29" s="2218">
        <v>3</v>
      </c>
      <c r="X29" s="2218"/>
      <c r="Y29" s="2218"/>
      <c r="Z29" s="2218"/>
      <c r="AA29" s="2220">
        <v>12</v>
      </c>
      <c r="AB29" s="2162">
        <v>17.5</v>
      </c>
      <c r="AC29" s="2162">
        <v>12</v>
      </c>
      <c r="AD29" s="2162">
        <v>14.75</v>
      </c>
      <c r="AE29" s="2164"/>
      <c r="AF29" s="2239" t="s">
        <v>33</v>
      </c>
      <c r="AG29" s="2161">
        <v>60</v>
      </c>
      <c r="AH29" s="722"/>
      <c r="AI29" s="722"/>
      <c r="AJ29" s="722"/>
      <c r="AK29" s="722"/>
      <c r="AL29" s="722"/>
      <c r="AM29" s="722"/>
      <c r="AN29" s="722"/>
      <c r="AO29" s="722"/>
      <c r="AP29" s="722"/>
      <c r="AQ29" s="722"/>
      <c r="AR29" s="722"/>
      <c r="AS29" s="722"/>
    </row>
    <row r="30" spans="2:45" x14ac:dyDescent="0.25">
      <c r="B30" s="2161">
        <v>22</v>
      </c>
      <c r="C30" s="540">
        <v>5191421022</v>
      </c>
      <c r="D30" s="2219">
        <v>1</v>
      </c>
      <c r="E30" s="2219">
        <v>1</v>
      </c>
      <c r="F30" s="2240">
        <v>0</v>
      </c>
      <c r="G30" s="2219">
        <v>6</v>
      </c>
      <c r="H30" s="2219"/>
      <c r="I30" s="2219"/>
      <c r="J30" s="2219"/>
      <c r="K30" s="2219"/>
      <c r="L30" s="2219">
        <v>2</v>
      </c>
      <c r="M30" s="2218">
        <v>2</v>
      </c>
      <c r="N30" s="2220">
        <v>12</v>
      </c>
      <c r="O30" s="540">
        <v>5191421022</v>
      </c>
      <c r="P30" s="2220">
        <v>0</v>
      </c>
      <c r="Q30" s="2218">
        <v>0</v>
      </c>
      <c r="R30" s="2218">
        <v>1</v>
      </c>
      <c r="S30" s="2218"/>
      <c r="T30" s="2221">
        <v>4</v>
      </c>
      <c r="U30" s="2221"/>
      <c r="V30" s="2221"/>
      <c r="W30" s="2218">
        <v>0</v>
      </c>
      <c r="X30" s="2218">
        <v>1</v>
      </c>
      <c r="Y30" s="2218"/>
      <c r="Z30" s="2218"/>
      <c r="AA30" s="2220">
        <v>6</v>
      </c>
      <c r="AB30" s="2162">
        <v>12</v>
      </c>
      <c r="AC30" s="2162">
        <v>6</v>
      </c>
      <c r="AD30" s="2162">
        <v>9</v>
      </c>
      <c r="AE30" s="2164"/>
      <c r="AF30" s="2222" t="s">
        <v>28</v>
      </c>
      <c r="AG30" s="2161">
        <v>50</v>
      </c>
      <c r="AH30" s="722"/>
      <c r="AI30" s="722"/>
      <c r="AJ30" s="722"/>
      <c r="AK30" s="722"/>
      <c r="AL30" s="722"/>
      <c r="AM30" s="722"/>
      <c r="AN30" s="722"/>
      <c r="AO30" s="722"/>
      <c r="AP30" s="722"/>
      <c r="AQ30" s="722"/>
      <c r="AR30" s="722"/>
      <c r="AS30" s="722"/>
    </row>
    <row r="31" spans="2:45" x14ac:dyDescent="0.25">
      <c r="B31" s="2161">
        <v>23</v>
      </c>
      <c r="C31" s="540">
        <v>5191421023</v>
      </c>
      <c r="D31" s="2219"/>
      <c r="E31" s="2219"/>
      <c r="F31" s="2219">
        <v>0</v>
      </c>
      <c r="G31" s="2219"/>
      <c r="H31" s="2219"/>
      <c r="I31" s="2219"/>
      <c r="J31" s="2219"/>
      <c r="K31" s="2241"/>
      <c r="L31" s="2219">
        <v>3</v>
      </c>
      <c r="M31" s="2227">
        <v>4</v>
      </c>
      <c r="N31" s="2220">
        <v>7</v>
      </c>
      <c r="O31" s="540">
        <v>5191421023</v>
      </c>
      <c r="P31" s="2220"/>
      <c r="Q31" s="2218">
        <v>0</v>
      </c>
      <c r="R31" s="2218">
        <v>0</v>
      </c>
      <c r="S31" s="2218"/>
      <c r="T31" s="2221">
        <v>5</v>
      </c>
      <c r="U31" s="2221"/>
      <c r="V31" s="2221">
        <v>4</v>
      </c>
      <c r="W31" s="2218">
        <v>0</v>
      </c>
      <c r="X31" s="2218"/>
      <c r="Y31" s="2218"/>
      <c r="Z31" s="2218"/>
      <c r="AA31" s="2220">
        <v>9</v>
      </c>
      <c r="AB31" s="2162">
        <v>7</v>
      </c>
      <c r="AC31" s="2162">
        <v>9</v>
      </c>
      <c r="AD31" s="2162">
        <v>8</v>
      </c>
      <c r="AE31" s="2164"/>
      <c r="AF31" s="2222" t="s">
        <v>31</v>
      </c>
      <c r="AG31" s="2161">
        <v>55</v>
      </c>
      <c r="AH31" s="722"/>
      <c r="AI31" s="722"/>
      <c r="AJ31" s="722"/>
      <c r="AK31" s="722"/>
      <c r="AL31" s="722"/>
      <c r="AM31" s="722"/>
      <c r="AN31" s="722"/>
      <c r="AO31" s="722"/>
      <c r="AP31" s="722"/>
      <c r="AQ31" s="722"/>
      <c r="AR31" s="722"/>
      <c r="AS31" s="722"/>
    </row>
    <row r="32" spans="2:45" x14ac:dyDescent="0.25">
      <c r="B32" s="2161">
        <v>24</v>
      </c>
      <c r="C32" s="540">
        <v>5191421024</v>
      </c>
      <c r="D32" s="2219">
        <v>0</v>
      </c>
      <c r="E32" s="2219"/>
      <c r="F32" s="2219"/>
      <c r="G32" s="2219"/>
      <c r="H32" s="2219"/>
      <c r="I32" s="2219">
        <v>0</v>
      </c>
      <c r="J32" s="2219"/>
      <c r="K32" s="2219"/>
      <c r="L32" s="2219">
        <v>3</v>
      </c>
      <c r="M32" s="2218">
        <v>4</v>
      </c>
      <c r="N32" s="2220">
        <v>7</v>
      </c>
      <c r="O32" s="540">
        <v>5191421024</v>
      </c>
      <c r="P32" s="2220">
        <v>0</v>
      </c>
      <c r="Q32" s="2218">
        <v>1</v>
      </c>
      <c r="R32" s="2218">
        <v>0</v>
      </c>
      <c r="S32" s="2218"/>
      <c r="T32" s="2221"/>
      <c r="U32" s="2221">
        <v>0</v>
      </c>
      <c r="V32" s="2221">
        <v>3</v>
      </c>
      <c r="W32" s="2218"/>
      <c r="X32" s="2218"/>
      <c r="Y32" s="2218"/>
      <c r="Z32" s="2218"/>
      <c r="AA32" s="2220">
        <v>4</v>
      </c>
      <c r="AB32" s="2162">
        <v>7</v>
      </c>
      <c r="AC32" s="2162">
        <v>4</v>
      </c>
      <c r="AD32" s="2162">
        <v>5.5</v>
      </c>
      <c r="AE32" s="2164"/>
      <c r="AF32" s="2222" t="s">
        <v>29</v>
      </c>
      <c r="AG32" s="2161">
        <v>39</v>
      </c>
      <c r="AH32" s="722"/>
      <c r="AI32" s="722"/>
      <c r="AJ32" s="722"/>
      <c r="AK32" s="722"/>
      <c r="AL32" s="722"/>
      <c r="AM32" s="722"/>
      <c r="AN32" s="722"/>
      <c r="AO32" s="722"/>
      <c r="AP32" s="722"/>
      <c r="AQ32" s="722"/>
      <c r="AR32" s="722"/>
      <c r="AS32" s="722"/>
    </row>
    <row r="33" spans="2:45" x14ac:dyDescent="0.25">
      <c r="B33" s="2161">
        <v>25</v>
      </c>
      <c r="C33" s="540">
        <v>5191421025</v>
      </c>
      <c r="D33" s="2219">
        <v>1</v>
      </c>
      <c r="E33" s="2219">
        <v>1</v>
      </c>
      <c r="F33" s="2219">
        <v>0</v>
      </c>
      <c r="G33" s="2219">
        <v>8</v>
      </c>
      <c r="H33" s="2219"/>
      <c r="I33" s="2219"/>
      <c r="J33" s="2219"/>
      <c r="K33" s="2219"/>
      <c r="L33" s="2219">
        <v>2</v>
      </c>
      <c r="M33" s="2218">
        <v>4</v>
      </c>
      <c r="N33" s="2220">
        <v>16</v>
      </c>
      <c r="O33" s="540">
        <v>5191421025</v>
      </c>
      <c r="P33" s="2220">
        <v>1</v>
      </c>
      <c r="Q33" s="2218">
        <v>2</v>
      </c>
      <c r="R33" s="2218">
        <v>2</v>
      </c>
      <c r="S33" s="2218"/>
      <c r="T33" s="2221"/>
      <c r="U33" s="2221"/>
      <c r="V33" s="2221">
        <v>6</v>
      </c>
      <c r="W33" s="2218">
        <v>4</v>
      </c>
      <c r="X33" s="2218">
        <v>3</v>
      </c>
      <c r="Y33" s="2218"/>
      <c r="Z33" s="2218"/>
      <c r="AA33" s="2220">
        <v>18</v>
      </c>
      <c r="AB33" s="2162">
        <v>16</v>
      </c>
      <c r="AC33" s="2162">
        <v>18</v>
      </c>
      <c r="AD33" s="2162">
        <v>17</v>
      </c>
      <c r="AE33" s="2164"/>
      <c r="AF33" s="2222" t="s">
        <v>27</v>
      </c>
      <c r="AG33" s="2161">
        <v>80</v>
      </c>
      <c r="AH33" s="722"/>
      <c r="AI33" s="722"/>
      <c r="AJ33" s="722"/>
      <c r="AK33" s="722"/>
      <c r="AL33" s="722"/>
      <c r="AM33" s="722"/>
      <c r="AN33" s="722"/>
      <c r="AO33" s="722"/>
      <c r="AP33" s="722"/>
      <c r="AQ33" s="722"/>
      <c r="AR33" s="722"/>
      <c r="AS33" s="722"/>
    </row>
    <row r="34" spans="2:45" x14ac:dyDescent="0.25">
      <c r="B34" s="2161">
        <v>26</v>
      </c>
      <c r="C34" s="540">
        <v>5191421026</v>
      </c>
      <c r="D34" s="2219">
        <v>0</v>
      </c>
      <c r="E34" s="2219">
        <v>0</v>
      </c>
      <c r="F34" s="2219">
        <v>0</v>
      </c>
      <c r="G34" s="2219"/>
      <c r="H34" s="2219">
        <v>2</v>
      </c>
      <c r="I34" s="2219"/>
      <c r="J34" s="2219"/>
      <c r="K34" s="2219"/>
      <c r="L34" s="2219">
        <v>4</v>
      </c>
      <c r="M34" s="2218">
        <v>6</v>
      </c>
      <c r="N34" s="2220">
        <v>12</v>
      </c>
      <c r="O34" s="540">
        <v>5191421026</v>
      </c>
      <c r="P34" s="2220">
        <v>2</v>
      </c>
      <c r="Q34" s="2218">
        <v>1</v>
      </c>
      <c r="R34" s="2218"/>
      <c r="S34" s="2218">
        <v>5</v>
      </c>
      <c r="T34" s="2221"/>
      <c r="U34" s="2221"/>
      <c r="V34" s="2221"/>
      <c r="W34" s="2218"/>
      <c r="X34" s="2218"/>
      <c r="Y34" s="2218"/>
      <c r="Z34" s="2218"/>
      <c r="AA34" s="2220">
        <v>8</v>
      </c>
      <c r="AB34" s="2162">
        <v>12</v>
      </c>
      <c r="AC34" s="2162">
        <v>8</v>
      </c>
      <c r="AD34" s="2162">
        <v>10</v>
      </c>
      <c r="AE34" s="2164"/>
      <c r="AF34" s="2222" t="s">
        <v>28</v>
      </c>
      <c r="AG34" s="2161">
        <v>50</v>
      </c>
      <c r="AH34" s="722"/>
      <c r="AI34" s="722"/>
      <c r="AJ34" s="722"/>
      <c r="AK34" s="722"/>
      <c r="AL34" s="722"/>
      <c r="AM34" s="722"/>
      <c r="AN34" s="722"/>
      <c r="AO34" s="722"/>
      <c r="AP34" s="722"/>
      <c r="AQ34" s="722"/>
      <c r="AR34" s="722"/>
      <c r="AS34" s="722"/>
    </row>
    <row r="35" spans="2:45" x14ac:dyDescent="0.25">
      <c r="B35" s="2161">
        <v>27</v>
      </c>
      <c r="C35" s="540">
        <v>5191421027</v>
      </c>
      <c r="D35" s="2219">
        <v>1</v>
      </c>
      <c r="E35" s="2219">
        <v>0</v>
      </c>
      <c r="F35" s="2219"/>
      <c r="G35" s="2219">
        <v>8</v>
      </c>
      <c r="H35" s="2219"/>
      <c r="I35" s="2219"/>
      <c r="J35" s="2219"/>
      <c r="K35" s="2219"/>
      <c r="L35" s="2219">
        <v>4</v>
      </c>
      <c r="M35" s="2218">
        <v>5</v>
      </c>
      <c r="N35" s="2220">
        <v>18</v>
      </c>
      <c r="O35" s="540">
        <v>5191421027</v>
      </c>
      <c r="P35" s="2220">
        <v>0</v>
      </c>
      <c r="Q35" s="2218">
        <v>2</v>
      </c>
      <c r="R35" s="2218">
        <v>2</v>
      </c>
      <c r="S35" s="2218"/>
      <c r="T35" s="2221"/>
      <c r="U35" s="2221"/>
      <c r="V35" s="2221">
        <v>4</v>
      </c>
      <c r="W35" s="2218">
        <v>1</v>
      </c>
      <c r="X35" s="2218">
        <v>4</v>
      </c>
      <c r="Y35" s="2218"/>
      <c r="Z35" s="2218"/>
      <c r="AA35" s="2220">
        <v>13</v>
      </c>
      <c r="AB35" s="2162">
        <v>18</v>
      </c>
      <c r="AC35" s="2162">
        <v>13</v>
      </c>
      <c r="AD35" s="2162">
        <v>15.5</v>
      </c>
      <c r="AE35" s="2164"/>
      <c r="AF35" s="2222" t="s">
        <v>32</v>
      </c>
      <c r="AG35" s="2161">
        <v>70</v>
      </c>
      <c r="AH35" s="722"/>
      <c r="AI35" s="722"/>
      <c r="AJ35" s="722"/>
      <c r="AK35" s="722"/>
      <c r="AL35" s="722"/>
      <c r="AM35" s="722"/>
      <c r="AN35" s="722"/>
      <c r="AO35" s="722"/>
      <c r="AP35" s="722"/>
      <c r="AQ35" s="722"/>
      <c r="AR35" s="722"/>
      <c r="AS35" s="722"/>
    </row>
    <row r="36" spans="2:45" x14ac:dyDescent="0.25">
      <c r="B36" s="2161">
        <v>28</v>
      </c>
      <c r="C36" s="540">
        <v>5191421028</v>
      </c>
      <c r="D36" s="2219">
        <v>2</v>
      </c>
      <c r="E36" s="2219">
        <v>1</v>
      </c>
      <c r="F36" s="2219">
        <v>0</v>
      </c>
      <c r="G36" s="2219">
        <v>8</v>
      </c>
      <c r="H36" s="2219"/>
      <c r="I36" s="2219"/>
      <c r="J36" s="2219"/>
      <c r="K36" s="2219"/>
      <c r="L36" s="2219">
        <v>2</v>
      </c>
      <c r="M36" s="2218">
        <v>5</v>
      </c>
      <c r="N36" s="2220">
        <v>18</v>
      </c>
      <c r="O36" s="540">
        <v>5191421028</v>
      </c>
      <c r="P36" s="2220">
        <v>1</v>
      </c>
      <c r="Q36" s="2218">
        <v>2</v>
      </c>
      <c r="R36" s="2218">
        <v>2</v>
      </c>
      <c r="S36" s="2218">
        <v>0</v>
      </c>
      <c r="T36" s="2221">
        <v>5</v>
      </c>
      <c r="U36" s="2221"/>
      <c r="V36" s="2221"/>
      <c r="W36" s="2218">
        <v>5</v>
      </c>
      <c r="X36" s="2218">
        <v>4</v>
      </c>
      <c r="Y36" s="2218"/>
      <c r="Z36" s="2218"/>
      <c r="AA36" s="2220">
        <v>19</v>
      </c>
      <c r="AB36" s="2162">
        <v>18</v>
      </c>
      <c r="AC36" s="2162">
        <v>19</v>
      </c>
      <c r="AD36" s="2162">
        <v>18.5</v>
      </c>
      <c r="AE36" s="2164"/>
      <c r="AF36" s="2242" t="s">
        <v>32</v>
      </c>
      <c r="AG36" s="2161">
        <v>70</v>
      </c>
      <c r="AH36" s="722"/>
      <c r="AI36" s="722"/>
      <c r="AJ36" s="722"/>
      <c r="AK36" s="722"/>
      <c r="AL36" s="722"/>
      <c r="AM36" s="722"/>
      <c r="AN36" s="722"/>
      <c r="AO36" s="722"/>
      <c r="AP36" s="722"/>
      <c r="AQ36" s="722"/>
      <c r="AR36" s="722"/>
      <c r="AS36" s="722"/>
    </row>
    <row r="37" spans="2:45" x14ac:dyDescent="0.25">
      <c r="B37" s="2161">
        <v>29</v>
      </c>
      <c r="C37" s="540">
        <v>5191421029</v>
      </c>
      <c r="D37" s="2219">
        <v>0</v>
      </c>
      <c r="E37" s="2219"/>
      <c r="F37" s="2219">
        <v>0</v>
      </c>
      <c r="G37" s="2219"/>
      <c r="H37" s="2219"/>
      <c r="I37" s="2219">
        <v>1</v>
      </c>
      <c r="J37" s="2219"/>
      <c r="K37" s="2219"/>
      <c r="L37" s="2219">
        <v>5</v>
      </c>
      <c r="M37" s="2218">
        <v>6</v>
      </c>
      <c r="N37" s="2220">
        <v>12</v>
      </c>
      <c r="O37" s="540">
        <v>5191421029</v>
      </c>
      <c r="P37" s="2220">
        <v>1</v>
      </c>
      <c r="Q37" s="2218">
        <v>0</v>
      </c>
      <c r="R37" s="2218">
        <v>2</v>
      </c>
      <c r="S37" s="2218"/>
      <c r="T37" s="2221"/>
      <c r="U37" s="2221">
        <v>2</v>
      </c>
      <c r="V37" s="2221">
        <v>5</v>
      </c>
      <c r="W37" s="2218">
        <v>2</v>
      </c>
      <c r="X37" s="2218">
        <v>3</v>
      </c>
      <c r="Y37" s="2218"/>
      <c r="Z37" s="2218"/>
      <c r="AA37" s="2220">
        <v>15</v>
      </c>
      <c r="AB37" s="2162">
        <v>12</v>
      </c>
      <c r="AC37" s="2162">
        <v>15</v>
      </c>
      <c r="AD37" s="2162">
        <v>13.5</v>
      </c>
      <c r="AE37" s="2164"/>
      <c r="AF37" s="2222" t="s">
        <v>32</v>
      </c>
      <c r="AG37" s="2161">
        <v>70</v>
      </c>
      <c r="AH37" s="722"/>
      <c r="AI37" s="722"/>
      <c r="AJ37" s="722"/>
      <c r="AK37" s="722"/>
      <c r="AL37" s="722"/>
      <c r="AM37" s="722"/>
      <c r="AN37" s="722"/>
      <c r="AO37" s="722"/>
      <c r="AP37" s="722"/>
      <c r="AQ37" s="722"/>
      <c r="AR37" s="722"/>
      <c r="AS37" s="722"/>
    </row>
    <row r="38" spans="2:45" x14ac:dyDescent="0.25">
      <c r="B38" s="2161">
        <v>30</v>
      </c>
      <c r="C38" s="540">
        <v>5191421030</v>
      </c>
      <c r="D38" s="2219"/>
      <c r="E38" s="2219"/>
      <c r="F38" s="2219"/>
      <c r="G38" s="2219">
        <v>0</v>
      </c>
      <c r="H38" s="2219"/>
      <c r="I38" s="2219"/>
      <c r="J38" s="2219"/>
      <c r="K38" s="2219"/>
      <c r="L38" s="2219">
        <v>1</v>
      </c>
      <c r="M38" s="2218">
        <v>4</v>
      </c>
      <c r="N38" s="2220">
        <v>5</v>
      </c>
      <c r="O38" s="540">
        <v>5191421030</v>
      </c>
      <c r="P38" s="2220">
        <v>0</v>
      </c>
      <c r="Q38" s="2218">
        <v>0</v>
      </c>
      <c r="R38" s="2218">
        <v>0</v>
      </c>
      <c r="S38" s="2218"/>
      <c r="T38" s="2221"/>
      <c r="U38" s="2221"/>
      <c r="V38" s="2221"/>
      <c r="W38" s="2218">
        <v>1</v>
      </c>
      <c r="X38" s="2218"/>
      <c r="Y38" s="2218"/>
      <c r="Z38" s="2218"/>
      <c r="AA38" s="2220">
        <v>1</v>
      </c>
      <c r="AB38" s="2162">
        <v>5</v>
      </c>
      <c r="AC38" s="2162">
        <v>1</v>
      </c>
      <c r="AD38" s="2162">
        <v>3</v>
      </c>
      <c r="AE38" s="2164"/>
      <c r="AF38" s="2222" t="s">
        <v>29</v>
      </c>
      <c r="AG38" s="2161">
        <v>39</v>
      </c>
      <c r="AH38" s="722"/>
      <c r="AI38" s="722"/>
      <c r="AJ38" s="722"/>
      <c r="AK38" s="722"/>
      <c r="AL38" s="722"/>
      <c r="AM38" s="722"/>
      <c r="AN38" s="722"/>
      <c r="AO38" s="722"/>
      <c r="AP38" s="722"/>
      <c r="AQ38" s="722"/>
      <c r="AR38" s="722"/>
      <c r="AS38" s="722"/>
    </row>
    <row r="39" spans="2:45" x14ac:dyDescent="0.25">
      <c r="B39" s="2161">
        <v>31</v>
      </c>
      <c r="C39" s="540">
        <v>5191421031</v>
      </c>
      <c r="D39" s="2219"/>
      <c r="E39" s="2219"/>
      <c r="F39" s="2219"/>
      <c r="G39" s="2219"/>
      <c r="H39" s="2219"/>
      <c r="I39" s="2219"/>
      <c r="J39" s="2219"/>
      <c r="K39" s="2219"/>
      <c r="L39" s="2219">
        <v>4</v>
      </c>
      <c r="M39" s="2218">
        <v>6</v>
      </c>
      <c r="N39" s="2220">
        <v>10</v>
      </c>
      <c r="O39" s="540">
        <v>5191421031</v>
      </c>
      <c r="P39" s="2220">
        <v>1</v>
      </c>
      <c r="Q39" s="2218">
        <v>1</v>
      </c>
      <c r="R39" s="2218">
        <v>2</v>
      </c>
      <c r="S39" s="2218"/>
      <c r="T39" s="2221"/>
      <c r="U39" s="2221">
        <v>0</v>
      </c>
      <c r="V39" s="2221">
        <v>2</v>
      </c>
      <c r="W39" s="2218">
        <v>3</v>
      </c>
      <c r="X39" s="2218">
        <v>3</v>
      </c>
      <c r="Y39" s="2218"/>
      <c r="Z39" s="2218"/>
      <c r="AA39" s="2220">
        <v>12</v>
      </c>
      <c r="AB39" s="2162">
        <v>10</v>
      </c>
      <c r="AC39" s="2162">
        <v>12</v>
      </c>
      <c r="AD39" s="2162">
        <v>11</v>
      </c>
      <c r="AE39" s="2164"/>
      <c r="AF39" s="2222" t="s">
        <v>28</v>
      </c>
      <c r="AG39" s="2161">
        <v>50</v>
      </c>
      <c r="AH39" s="722"/>
      <c r="AI39" s="722"/>
      <c r="AJ39" s="722"/>
      <c r="AK39" s="722"/>
      <c r="AL39" s="722"/>
      <c r="AM39" s="722"/>
      <c r="AN39" s="722"/>
      <c r="AO39" s="722"/>
      <c r="AP39" s="722"/>
      <c r="AQ39" s="722"/>
      <c r="AR39" s="722"/>
      <c r="AS39" s="722"/>
    </row>
    <row r="40" spans="2:45" x14ac:dyDescent="0.25">
      <c r="B40" s="2161">
        <v>32</v>
      </c>
      <c r="C40" s="540">
        <v>5191421032</v>
      </c>
      <c r="D40" s="2219">
        <v>0</v>
      </c>
      <c r="E40" s="2219">
        <v>0</v>
      </c>
      <c r="F40" s="2219">
        <v>0</v>
      </c>
      <c r="G40" s="2219">
        <v>0</v>
      </c>
      <c r="H40" s="2219"/>
      <c r="I40" s="2219"/>
      <c r="J40" s="2219"/>
      <c r="K40" s="2219"/>
      <c r="L40" s="2219">
        <v>1</v>
      </c>
      <c r="M40" s="2218">
        <v>5</v>
      </c>
      <c r="N40" s="2220">
        <v>6</v>
      </c>
      <c r="O40" s="540">
        <v>5191421032</v>
      </c>
      <c r="P40" s="2220">
        <v>0</v>
      </c>
      <c r="Q40" s="2218">
        <v>0</v>
      </c>
      <c r="R40" s="2218">
        <v>1</v>
      </c>
      <c r="S40" s="2218">
        <v>0</v>
      </c>
      <c r="T40" s="2221">
        <v>1</v>
      </c>
      <c r="U40" s="2221"/>
      <c r="V40" s="2221"/>
      <c r="W40" s="2218">
        <v>0</v>
      </c>
      <c r="X40" s="2218">
        <v>0</v>
      </c>
      <c r="Y40" s="2218"/>
      <c r="Z40" s="2218"/>
      <c r="AA40" s="2220">
        <v>2</v>
      </c>
      <c r="AB40" s="2162">
        <v>6</v>
      </c>
      <c r="AC40" s="2162">
        <v>2</v>
      </c>
      <c r="AD40" s="2162">
        <v>4</v>
      </c>
      <c r="AE40" s="2164"/>
      <c r="AF40" s="2222" t="s">
        <v>29</v>
      </c>
      <c r="AG40" s="2161">
        <v>39</v>
      </c>
      <c r="AH40" s="722"/>
      <c r="AI40" s="722"/>
      <c r="AJ40" s="722"/>
      <c r="AK40" s="722"/>
      <c r="AL40" s="722"/>
      <c r="AM40" s="722"/>
      <c r="AN40" s="722"/>
      <c r="AO40" s="722"/>
      <c r="AP40" s="722"/>
      <c r="AQ40" s="722"/>
      <c r="AR40" s="722"/>
      <c r="AS40" s="722"/>
    </row>
    <row r="41" spans="2:45" x14ac:dyDescent="0.25">
      <c r="B41" s="2161">
        <v>33</v>
      </c>
      <c r="C41" s="540">
        <v>5191421033</v>
      </c>
      <c r="D41" s="2219">
        <v>1</v>
      </c>
      <c r="E41" s="2219">
        <v>2</v>
      </c>
      <c r="F41" s="2219"/>
      <c r="G41" s="2219">
        <v>10</v>
      </c>
      <c r="H41" s="2219"/>
      <c r="I41" s="2219"/>
      <c r="J41" s="2219"/>
      <c r="K41" s="2219"/>
      <c r="L41" s="2219">
        <v>4</v>
      </c>
      <c r="M41" s="2218">
        <v>7</v>
      </c>
      <c r="N41" s="2220">
        <v>24</v>
      </c>
      <c r="O41" s="540">
        <v>5191421033</v>
      </c>
      <c r="P41" s="2220">
        <v>1</v>
      </c>
      <c r="Q41" s="2218">
        <v>1</v>
      </c>
      <c r="R41" s="2218">
        <v>1</v>
      </c>
      <c r="S41" s="2218"/>
      <c r="T41" s="2221">
        <v>5</v>
      </c>
      <c r="U41" s="2221"/>
      <c r="V41" s="2221"/>
      <c r="W41" s="2218"/>
      <c r="X41" s="2218"/>
      <c r="Y41" s="2218">
        <v>8</v>
      </c>
      <c r="Z41" s="2218">
        <v>4</v>
      </c>
      <c r="AA41" s="2220">
        <v>20</v>
      </c>
      <c r="AB41" s="2162">
        <v>24</v>
      </c>
      <c r="AC41" s="2162">
        <v>20</v>
      </c>
      <c r="AD41" s="2162">
        <v>22</v>
      </c>
      <c r="AE41" s="2164"/>
      <c r="AF41" s="2222" t="s">
        <v>33</v>
      </c>
      <c r="AG41" s="2161">
        <v>60</v>
      </c>
      <c r="AH41" s="722"/>
      <c r="AI41" s="722"/>
      <c r="AJ41" s="722"/>
      <c r="AK41" s="722"/>
      <c r="AL41" s="722"/>
      <c r="AM41" s="722"/>
      <c r="AN41" s="722"/>
      <c r="AO41" s="722"/>
      <c r="AP41" s="722"/>
      <c r="AQ41" s="722"/>
      <c r="AR41" s="722"/>
      <c r="AS41" s="722"/>
    </row>
    <row r="42" spans="2:45" x14ac:dyDescent="0.25">
      <c r="B42" s="2161">
        <v>34</v>
      </c>
      <c r="C42" s="540">
        <v>5191421034</v>
      </c>
      <c r="D42" s="2219">
        <v>1</v>
      </c>
      <c r="E42" s="2219">
        <v>1</v>
      </c>
      <c r="F42" s="2219">
        <v>0</v>
      </c>
      <c r="G42" s="2219">
        <v>9</v>
      </c>
      <c r="H42" s="2219"/>
      <c r="I42" s="2219"/>
      <c r="J42" s="2219"/>
      <c r="K42" s="2219"/>
      <c r="L42" s="2219">
        <v>3</v>
      </c>
      <c r="M42" s="2218">
        <v>5</v>
      </c>
      <c r="N42" s="2220">
        <v>19</v>
      </c>
      <c r="O42" s="540">
        <v>5191421034</v>
      </c>
      <c r="P42" s="2220">
        <v>2</v>
      </c>
      <c r="Q42" s="2218">
        <v>2</v>
      </c>
      <c r="R42" s="2218">
        <v>2</v>
      </c>
      <c r="S42" s="2218"/>
      <c r="T42" s="2221"/>
      <c r="U42" s="2221">
        <v>4</v>
      </c>
      <c r="V42" s="2221">
        <v>5</v>
      </c>
      <c r="W42" s="2218">
        <v>7</v>
      </c>
      <c r="X42" s="2218">
        <v>4</v>
      </c>
      <c r="Y42" s="2218"/>
      <c r="Z42" s="2218"/>
      <c r="AA42" s="2220">
        <v>26</v>
      </c>
      <c r="AB42" s="2162">
        <v>19</v>
      </c>
      <c r="AC42" s="2162">
        <v>26</v>
      </c>
      <c r="AD42" s="2162">
        <v>22.5</v>
      </c>
      <c r="AE42" s="2164"/>
      <c r="AF42" s="2222" t="s">
        <v>32</v>
      </c>
      <c r="AG42" s="2161">
        <v>70</v>
      </c>
      <c r="AH42" s="722"/>
      <c r="AI42" s="722"/>
      <c r="AJ42" s="722"/>
      <c r="AK42" s="722"/>
      <c r="AL42" s="722"/>
      <c r="AM42" s="722"/>
      <c r="AN42" s="722"/>
      <c r="AO42" s="722"/>
      <c r="AP42" s="722"/>
      <c r="AQ42" s="722"/>
      <c r="AR42" s="722"/>
      <c r="AS42" s="722"/>
    </row>
    <row r="43" spans="2:45" x14ac:dyDescent="0.25">
      <c r="B43" s="2161">
        <v>35</v>
      </c>
      <c r="C43" s="540">
        <v>5191421035</v>
      </c>
      <c r="D43" s="2219">
        <v>1</v>
      </c>
      <c r="E43" s="2219">
        <v>1</v>
      </c>
      <c r="F43" s="2219">
        <v>0</v>
      </c>
      <c r="G43" s="2219"/>
      <c r="H43" s="2219"/>
      <c r="I43" s="2219">
        <v>1</v>
      </c>
      <c r="J43" s="2219"/>
      <c r="K43" s="2219"/>
      <c r="L43" s="2219">
        <v>1</v>
      </c>
      <c r="M43" s="2218">
        <v>2</v>
      </c>
      <c r="N43" s="2220">
        <v>6</v>
      </c>
      <c r="O43" s="540">
        <v>5191421035</v>
      </c>
      <c r="P43" s="2220">
        <v>0</v>
      </c>
      <c r="Q43" s="2218">
        <v>0</v>
      </c>
      <c r="R43" s="2218">
        <v>1</v>
      </c>
      <c r="S43" s="2218"/>
      <c r="T43" s="2221"/>
      <c r="U43" s="2221"/>
      <c r="V43" s="2221"/>
      <c r="W43" s="2218"/>
      <c r="X43" s="2218">
        <v>2</v>
      </c>
      <c r="Y43" s="2218"/>
      <c r="Z43" s="2218"/>
      <c r="AA43" s="2220">
        <v>3</v>
      </c>
      <c r="AB43" s="2162">
        <v>6</v>
      </c>
      <c r="AC43" s="2162">
        <v>3</v>
      </c>
      <c r="AD43" s="2162">
        <v>4.5</v>
      </c>
      <c r="AE43" s="2164"/>
      <c r="AF43" s="2222" t="s">
        <v>28</v>
      </c>
      <c r="AG43" s="2161">
        <v>50</v>
      </c>
      <c r="AH43" s="722"/>
      <c r="AI43" s="722"/>
      <c r="AJ43" s="722"/>
      <c r="AK43" s="722"/>
      <c r="AL43" s="722"/>
      <c r="AM43" s="722"/>
      <c r="AN43" s="722"/>
      <c r="AO43" s="722"/>
      <c r="AP43" s="722"/>
      <c r="AQ43" s="722"/>
      <c r="AR43" s="722"/>
      <c r="AS43" s="722"/>
    </row>
    <row r="44" spans="2:45" x14ac:dyDescent="0.25">
      <c r="B44" s="2161">
        <v>36</v>
      </c>
      <c r="C44" s="540">
        <v>5191421036</v>
      </c>
      <c r="D44" s="2219">
        <v>0</v>
      </c>
      <c r="E44" s="2219"/>
      <c r="F44" s="2219"/>
      <c r="G44" s="2219">
        <v>7</v>
      </c>
      <c r="H44" s="2219"/>
      <c r="I44" s="2219"/>
      <c r="J44" s="2219"/>
      <c r="K44" s="2219"/>
      <c r="L44" s="2219">
        <v>4</v>
      </c>
      <c r="M44" s="2218">
        <v>6</v>
      </c>
      <c r="N44" s="2220">
        <v>17</v>
      </c>
      <c r="O44" s="540">
        <v>5191421036</v>
      </c>
      <c r="P44" s="2220">
        <v>1</v>
      </c>
      <c r="Q44" s="2218">
        <v>0</v>
      </c>
      <c r="R44" s="2218">
        <v>2</v>
      </c>
      <c r="S44" s="2218"/>
      <c r="T44" s="2221">
        <v>3</v>
      </c>
      <c r="U44" s="2221"/>
      <c r="V44" s="2221"/>
      <c r="W44" s="2218"/>
      <c r="X44" s="2218"/>
      <c r="Y44" s="2218"/>
      <c r="Z44" s="2218">
        <v>0</v>
      </c>
      <c r="AA44" s="2220">
        <v>6</v>
      </c>
      <c r="AB44" s="2162">
        <v>17</v>
      </c>
      <c r="AC44" s="2162">
        <v>6</v>
      </c>
      <c r="AD44" s="2162">
        <v>11.5</v>
      </c>
      <c r="AE44" s="2164"/>
      <c r="AF44" s="2243" t="s">
        <v>28</v>
      </c>
      <c r="AG44" s="2161">
        <v>50</v>
      </c>
      <c r="AH44" s="722"/>
      <c r="AI44" s="722"/>
      <c r="AJ44" s="722"/>
      <c r="AK44" s="722"/>
      <c r="AL44" s="722"/>
      <c r="AM44" s="722"/>
      <c r="AN44" s="722"/>
      <c r="AO44" s="722"/>
      <c r="AP44" s="722"/>
      <c r="AQ44" s="722"/>
      <c r="AR44" s="722"/>
      <c r="AS44" s="722"/>
    </row>
    <row r="45" spans="2:45" x14ac:dyDescent="0.25">
      <c r="B45" s="2161">
        <v>37</v>
      </c>
      <c r="C45" s="540">
        <v>5191421037</v>
      </c>
      <c r="D45" s="2219">
        <v>1</v>
      </c>
      <c r="E45" s="2219">
        <v>0</v>
      </c>
      <c r="F45" s="2219">
        <v>0</v>
      </c>
      <c r="G45" s="2219">
        <v>0</v>
      </c>
      <c r="H45" s="2219"/>
      <c r="I45" s="2219"/>
      <c r="J45" s="2219"/>
      <c r="K45" s="2219"/>
      <c r="L45" s="2219">
        <v>3</v>
      </c>
      <c r="M45" s="2218">
        <v>4</v>
      </c>
      <c r="N45" s="2220">
        <v>8</v>
      </c>
      <c r="O45" s="540">
        <v>5191421037</v>
      </c>
      <c r="P45" s="2220"/>
      <c r="Q45" s="2218">
        <v>0</v>
      </c>
      <c r="R45" s="2218">
        <v>2</v>
      </c>
      <c r="S45" s="2218"/>
      <c r="T45" s="2221">
        <v>3</v>
      </c>
      <c r="U45" s="2221"/>
      <c r="V45" s="2221"/>
      <c r="W45" s="2218"/>
      <c r="X45" s="2218">
        <v>2</v>
      </c>
      <c r="Y45" s="2218"/>
      <c r="Z45" s="2218"/>
      <c r="AA45" s="2220">
        <v>7</v>
      </c>
      <c r="AB45" s="2162">
        <v>8</v>
      </c>
      <c r="AC45" s="2162">
        <v>7</v>
      </c>
      <c r="AD45" s="2162">
        <v>7.5</v>
      </c>
      <c r="AE45" s="2164"/>
      <c r="AF45" s="580" t="s">
        <v>154</v>
      </c>
      <c r="AG45" s="2161" t="b">
        <v>0</v>
      </c>
      <c r="AH45" s="722"/>
      <c r="AI45" s="722"/>
      <c r="AJ45" s="722"/>
      <c r="AK45" s="722"/>
      <c r="AL45" s="722"/>
      <c r="AM45" s="722"/>
      <c r="AN45" s="722"/>
      <c r="AO45" s="722"/>
      <c r="AP45" s="722"/>
      <c r="AQ45" s="722"/>
      <c r="AR45" s="722"/>
      <c r="AS45" s="722"/>
    </row>
    <row r="46" spans="2:45" x14ac:dyDescent="0.25">
      <c r="B46" s="2161">
        <v>38</v>
      </c>
      <c r="C46" s="540">
        <v>5191421038</v>
      </c>
      <c r="D46" s="2219">
        <v>0</v>
      </c>
      <c r="E46" s="2219">
        <v>0</v>
      </c>
      <c r="F46" s="2219"/>
      <c r="G46" s="2219"/>
      <c r="H46" s="2219"/>
      <c r="I46" s="2219"/>
      <c r="J46" s="2219"/>
      <c r="K46" s="2219"/>
      <c r="L46" s="2219">
        <v>2</v>
      </c>
      <c r="M46" s="2218">
        <v>3</v>
      </c>
      <c r="N46" s="2220">
        <v>5</v>
      </c>
      <c r="O46" s="2225">
        <v>5191421038</v>
      </c>
      <c r="P46" s="2226"/>
      <c r="Q46" s="2226">
        <v>0</v>
      </c>
      <c r="R46" s="2226">
        <v>1</v>
      </c>
      <c r="S46" s="2226"/>
      <c r="T46" s="2226">
        <v>1</v>
      </c>
      <c r="U46" s="2226"/>
      <c r="V46" s="2226"/>
      <c r="W46" s="2226">
        <v>0</v>
      </c>
      <c r="X46" s="2226">
        <v>2</v>
      </c>
      <c r="Y46" s="2226"/>
      <c r="Z46" s="2226"/>
      <c r="AA46" s="2220">
        <v>4</v>
      </c>
      <c r="AB46" s="2162">
        <v>5</v>
      </c>
      <c r="AC46" s="2162">
        <v>4</v>
      </c>
      <c r="AD46" s="2162">
        <v>4.5</v>
      </c>
      <c r="AE46" s="2164"/>
      <c r="AF46" s="2244" t="s">
        <v>28</v>
      </c>
      <c r="AG46" s="2161">
        <v>50</v>
      </c>
      <c r="AH46" s="722"/>
      <c r="AI46" s="722"/>
      <c r="AJ46" s="722"/>
      <c r="AK46" s="722"/>
      <c r="AL46" s="722"/>
      <c r="AM46" s="722"/>
      <c r="AN46" s="722"/>
      <c r="AO46" s="722"/>
      <c r="AP46" s="722"/>
      <c r="AQ46" s="722"/>
      <c r="AR46" s="722"/>
      <c r="AS46" s="722"/>
    </row>
    <row r="47" spans="2:45" x14ac:dyDescent="0.25">
      <c r="B47" s="2161">
        <v>39</v>
      </c>
      <c r="C47" s="540">
        <v>5191421039</v>
      </c>
      <c r="D47" s="2219">
        <v>2</v>
      </c>
      <c r="E47" s="2219">
        <v>1</v>
      </c>
      <c r="F47" s="2219">
        <v>0</v>
      </c>
      <c r="G47" s="2219">
        <v>7</v>
      </c>
      <c r="H47" s="2219"/>
      <c r="I47" s="2219"/>
      <c r="J47" s="2219"/>
      <c r="K47" s="2219"/>
      <c r="L47" s="2219">
        <v>5</v>
      </c>
      <c r="M47" s="2218">
        <v>6</v>
      </c>
      <c r="N47" s="2220">
        <v>21</v>
      </c>
      <c r="O47" s="540">
        <v>5191421039</v>
      </c>
      <c r="P47" s="2220">
        <v>1</v>
      </c>
      <c r="Q47" s="2218">
        <v>2</v>
      </c>
      <c r="R47" s="2218">
        <v>2</v>
      </c>
      <c r="S47" s="2218"/>
      <c r="T47" s="2221"/>
      <c r="U47" s="2221"/>
      <c r="V47" s="2221">
        <v>6</v>
      </c>
      <c r="W47" s="2218">
        <v>1</v>
      </c>
      <c r="X47" s="2218">
        <v>4</v>
      </c>
      <c r="Y47" s="2218"/>
      <c r="Z47" s="2218"/>
      <c r="AA47" s="2220">
        <v>16</v>
      </c>
      <c r="AB47" s="2162">
        <v>21</v>
      </c>
      <c r="AC47" s="2162">
        <v>16</v>
      </c>
      <c r="AD47" s="2162">
        <v>18.5</v>
      </c>
      <c r="AE47" s="2164"/>
      <c r="AF47" s="2222" t="s">
        <v>27</v>
      </c>
      <c r="AG47" s="2161">
        <v>80</v>
      </c>
      <c r="AH47" s="722"/>
      <c r="AI47" s="722"/>
      <c r="AJ47" s="722"/>
      <c r="AK47" s="722"/>
      <c r="AL47" s="722"/>
      <c r="AM47" s="722"/>
      <c r="AN47" s="722"/>
      <c r="AO47" s="722"/>
      <c r="AP47" s="722"/>
      <c r="AQ47" s="722"/>
      <c r="AR47" s="722"/>
      <c r="AS47" s="722"/>
    </row>
    <row r="48" spans="2:45" x14ac:dyDescent="0.25">
      <c r="B48" s="2161">
        <v>40</v>
      </c>
      <c r="C48" s="2225">
        <v>5191421040</v>
      </c>
      <c r="D48" s="2225">
        <v>0</v>
      </c>
      <c r="E48" s="2241">
        <v>0</v>
      </c>
      <c r="F48" s="2241">
        <v>0</v>
      </c>
      <c r="G48" s="2241">
        <v>1</v>
      </c>
      <c r="H48" s="2241"/>
      <c r="I48" s="2241"/>
      <c r="J48" s="2241"/>
      <c r="K48" s="2241"/>
      <c r="L48" s="2241">
        <v>5</v>
      </c>
      <c r="M48" s="2241">
        <v>6</v>
      </c>
      <c r="N48" s="2226">
        <v>12</v>
      </c>
      <c r="O48" s="556">
        <v>5191421040</v>
      </c>
      <c r="P48" s="2237"/>
      <c r="Q48" s="2236"/>
      <c r="R48" s="2236"/>
      <c r="S48" s="2236"/>
      <c r="T48" s="2245"/>
      <c r="U48" s="2245"/>
      <c r="V48" s="2245"/>
      <c r="W48" s="2236"/>
      <c r="X48" s="2236"/>
      <c r="Y48" s="2236"/>
      <c r="Z48" s="2236"/>
      <c r="AA48" s="2220">
        <v>0</v>
      </c>
      <c r="AB48" s="2162">
        <v>12</v>
      </c>
      <c r="AC48" s="2162">
        <v>0</v>
      </c>
      <c r="AD48" s="2162">
        <v>6</v>
      </c>
      <c r="AE48" s="2164"/>
      <c r="AF48" s="2222" t="s">
        <v>31</v>
      </c>
      <c r="AG48" s="2161">
        <v>55</v>
      </c>
      <c r="AH48" s="722"/>
      <c r="AI48" s="722"/>
      <c r="AJ48" s="722"/>
      <c r="AK48" s="722"/>
      <c r="AL48" s="722"/>
      <c r="AM48" s="722"/>
      <c r="AN48" s="722"/>
      <c r="AO48" s="722"/>
      <c r="AP48" s="722"/>
      <c r="AQ48" s="722"/>
      <c r="AR48" s="722"/>
      <c r="AS48" s="722"/>
    </row>
    <row r="49" spans="2:45" x14ac:dyDescent="0.25">
      <c r="B49" s="2161">
        <v>41</v>
      </c>
      <c r="C49" s="540">
        <v>5191421041</v>
      </c>
      <c r="D49" s="2219">
        <v>1</v>
      </c>
      <c r="E49" s="2219">
        <v>1</v>
      </c>
      <c r="F49" s="2219">
        <v>0</v>
      </c>
      <c r="G49" s="2219"/>
      <c r="H49" s="2219">
        <v>2</v>
      </c>
      <c r="I49" s="2219">
        <v>3</v>
      </c>
      <c r="J49" s="2219"/>
      <c r="K49" s="2219"/>
      <c r="L49" s="2219"/>
      <c r="M49" s="2218"/>
      <c r="N49" s="2220">
        <v>7</v>
      </c>
      <c r="O49" s="540">
        <v>5191421041</v>
      </c>
      <c r="P49" s="2220">
        <v>0</v>
      </c>
      <c r="Q49" s="2218">
        <v>1</v>
      </c>
      <c r="R49" s="2218">
        <v>1</v>
      </c>
      <c r="S49" s="2218">
        <v>0</v>
      </c>
      <c r="T49" s="2221"/>
      <c r="U49" s="2221"/>
      <c r="V49" s="2221"/>
      <c r="W49" s="2218"/>
      <c r="X49" s="2218"/>
      <c r="Y49" s="2218"/>
      <c r="Z49" s="2218"/>
      <c r="AA49" s="2220">
        <v>2</v>
      </c>
      <c r="AB49" s="2162">
        <v>7</v>
      </c>
      <c r="AC49" s="2162">
        <v>2</v>
      </c>
      <c r="AD49" s="2162">
        <v>4.5</v>
      </c>
      <c r="AE49" s="2164"/>
      <c r="AF49" s="2222" t="s">
        <v>28</v>
      </c>
      <c r="AG49" s="2161">
        <v>50</v>
      </c>
      <c r="AH49" s="722"/>
      <c r="AI49" s="722"/>
      <c r="AJ49" s="722"/>
      <c r="AK49" s="722"/>
      <c r="AL49" s="722"/>
      <c r="AM49" s="722"/>
      <c r="AN49" s="722"/>
      <c r="AO49" s="722"/>
      <c r="AP49" s="722"/>
      <c r="AQ49" s="722"/>
      <c r="AR49" s="722"/>
      <c r="AS49" s="722"/>
    </row>
    <row r="50" spans="2:45" x14ac:dyDescent="0.25">
      <c r="B50" s="2161">
        <v>42</v>
      </c>
      <c r="C50" s="540">
        <v>5191421042</v>
      </c>
      <c r="D50" s="2219"/>
      <c r="E50" s="2219"/>
      <c r="F50" s="2219"/>
      <c r="G50" s="2219"/>
      <c r="H50" s="2219"/>
      <c r="I50" s="2219"/>
      <c r="J50" s="2219"/>
      <c r="K50" s="2219"/>
      <c r="L50" s="2219">
        <v>3</v>
      </c>
      <c r="M50" s="2218">
        <v>5</v>
      </c>
      <c r="N50" s="2220">
        <v>8</v>
      </c>
      <c r="O50" s="540">
        <v>5191421042</v>
      </c>
      <c r="P50" s="2220">
        <v>0</v>
      </c>
      <c r="Q50" s="2218">
        <v>0</v>
      </c>
      <c r="R50" s="2234">
        <v>1</v>
      </c>
      <c r="S50" s="2218"/>
      <c r="T50" s="2221"/>
      <c r="U50" s="2221"/>
      <c r="V50" s="2221">
        <v>4</v>
      </c>
      <c r="W50" s="2218"/>
      <c r="X50" s="2218"/>
      <c r="Y50" s="2218"/>
      <c r="Z50" s="2218"/>
      <c r="AA50" s="2220">
        <v>5</v>
      </c>
      <c r="AB50" s="2162">
        <v>8</v>
      </c>
      <c r="AC50" s="2162">
        <v>5</v>
      </c>
      <c r="AD50" s="2162">
        <v>6.5</v>
      </c>
      <c r="AE50" s="2164"/>
      <c r="AF50" s="2222" t="s">
        <v>28</v>
      </c>
      <c r="AG50" s="2161">
        <v>50</v>
      </c>
      <c r="AH50" s="722"/>
      <c r="AI50" s="722"/>
      <c r="AJ50" s="722"/>
      <c r="AK50" s="722"/>
      <c r="AL50" s="722"/>
      <c r="AM50" s="722"/>
      <c r="AN50" s="722"/>
      <c r="AO50" s="722"/>
      <c r="AP50" s="722"/>
      <c r="AQ50" s="722"/>
      <c r="AR50" s="722"/>
      <c r="AS50" s="722"/>
    </row>
    <row r="51" spans="2:45" x14ac:dyDescent="0.25">
      <c r="B51" s="2161">
        <v>43</v>
      </c>
      <c r="C51" s="540">
        <v>5191421043</v>
      </c>
      <c r="D51" s="2219">
        <v>1</v>
      </c>
      <c r="E51" s="2219">
        <v>0</v>
      </c>
      <c r="F51" s="2219"/>
      <c r="G51" s="2219">
        <v>2</v>
      </c>
      <c r="H51" s="2219"/>
      <c r="I51" s="2219"/>
      <c r="J51" s="2219"/>
      <c r="K51" s="2219"/>
      <c r="L51" s="2219">
        <v>0</v>
      </c>
      <c r="M51" s="2218">
        <v>4</v>
      </c>
      <c r="N51" s="2220">
        <v>7</v>
      </c>
      <c r="O51" s="540">
        <v>5191421043</v>
      </c>
      <c r="P51" s="2220">
        <v>2</v>
      </c>
      <c r="Q51" s="2218">
        <v>2</v>
      </c>
      <c r="R51" s="2218">
        <v>2</v>
      </c>
      <c r="S51" s="2218">
        <v>0</v>
      </c>
      <c r="T51" s="2221">
        <v>3</v>
      </c>
      <c r="U51" s="2221"/>
      <c r="V51" s="2221"/>
      <c r="W51" s="2218">
        <v>2</v>
      </c>
      <c r="X51" s="2218">
        <v>3</v>
      </c>
      <c r="Y51" s="2218"/>
      <c r="Z51" s="2218"/>
      <c r="AA51" s="2220">
        <v>14</v>
      </c>
      <c r="AB51" s="2162">
        <v>7</v>
      </c>
      <c r="AC51" s="2162">
        <v>14</v>
      </c>
      <c r="AD51" s="2162">
        <v>10.5</v>
      </c>
      <c r="AE51" s="2164"/>
      <c r="AF51" s="2222" t="s">
        <v>33</v>
      </c>
      <c r="AG51" s="2161">
        <v>60</v>
      </c>
      <c r="AH51" s="722"/>
      <c r="AI51" s="722"/>
      <c r="AJ51" s="722"/>
      <c r="AK51" s="722"/>
      <c r="AL51" s="722"/>
      <c r="AM51" s="722"/>
      <c r="AN51" s="722"/>
      <c r="AO51" s="722"/>
      <c r="AP51" s="722"/>
      <c r="AQ51" s="722"/>
      <c r="AR51" s="722"/>
      <c r="AS51" s="722"/>
    </row>
    <row r="52" spans="2:45" x14ac:dyDescent="0.25">
      <c r="B52" s="2161">
        <v>44</v>
      </c>
      <c r="C52" s="540">
        <v>5191421044</v>
      </c>
      <c r="D52" s="2219">
        <v>1</v>
      </c>
      <c r="E52" s="2219">
        <v>1</v>
      </c>
      <c r="F52" s="2219">
        <v>0</v>
      </c>
      <c r="G52" s="2219">
        <v>10</v>
      </c>
      <c r="H52" s="2219"/>
      <c r="I52" s="2219"/>
      <c r="J52" s="2219"/>
      <c r="K52" s="2219"/>
      <c r="L52" s="2219">
        <v>4</v>
      </c>
      <c r="M52" s="2218">
        <v>5</v>
      </c>
      <c r="N52" s="2220">
        <v>21</v>
      </c>
      <c r="O52" s="540">
        <v>5191421044</v>
      </c>
      <c r="P52" s="2220">
        <v>1</v>
      </c>
      <c r="Q52" s="2218">
        <v>1</v>
      </c>
      <c r="R52" s="2218">
        <v>2</v>
      </c>
      <c r="S52" s="2218">
        <v>1</v>
      </c>
      <c r="T52" s="2221">
        <v>5</v>
      </c>
      <c r="U52" s="2221"/>
      <c r="V52" s="2221"/>
      <c r="W52" s="2218">
        <v>2</v>
      </c>
      <c r="X52" s="2218">
        <v>3</v>
      </c>
      <c r="Y52" s="2218"/>
      <c r="Z52" s="2218"/>
      <c r="AA52" s="2220">
        <v>15</v>
      </c>
      <c r="AB52" s="2162">
        <v>21</v>
      </c>
      <c r="AC52" s="2162">
        <v>15</v>
      </c>
      <c r="AD52" s="2162">
        <v>18</v>
      </c>
      <c r="AE52" s="2164"/>
      <c r="AF52" s="2222" t="s">
        <v>32</v>
      </c>
      <c r="AG52" s="2161">
        <v>70</v>
      </c>
      <c r="AH52" s="722"/>
      <c r="AI52" s="722"/>
      <c r="AJ52" s="722"/>
      <c r="AK52" s="722"/>
      <c r="AL52" s="722"/>
      <c r="AM52" s="722"/>
      <c r="AN52" s="722"/>
      <c r="AO52" s="722"/>
      <c r="AP52" s="722"/>
      <c r="AQ52" s="722"/>
      <c r="AR52" s="722"/>
      <c r="AS52" s="722"/>
    </row>
    <row r="53" spans="2:45" x14ac:dyDescent="0.25">
      <c r="B53" s="2161">
        <v>45</v>
      </c>
      <c r="C53" s="540">
        <v>5191421045</v>
      </c>
      <c r="D53" s="2219">
        <v>2</v>
      </c>
      <c r="E53" s="2219">
        <v>1</v>
      </c>
      <c r="F53" s="2219">
        <v>0</v>
      </c>
      <c r="G53" s="2219"/>
      <c r="H53" s="2219"/>
      <c r="I53" s="2219"/>
      <c r="J53" s="2219"/>
      <c r="K53" s="2219"/>
      <c r="L53" s="2219">
        <v>4</v>
      </c>
      <c r="M53" s="2218">
        <v>6</v>
      </c>
      <c r="N53" s="2220">
        <v>13</v>
      </c>
      <c r="O53" s="540">
        <v>5191421045</v>
      </c>
      <c r="P53" s="2220"/>
      <c r="Q53" s="2218">
        <v>1</v>
      </c>
      <c r="R53" s="2218">
        <v>2</v>
      </c>
      <c r="S53" s="2218"/>
      <c r="T53" s="2221">
        <v>5</v>
      </c>
      <c r="U53" s="2246"/>
      <c r="V53" s="2246"/>
      <c r="W53" s="2221"/>
      <c r="X53" s="2221"/>
      <c r="Y53" s="2221"/>
      <c r="Z53" s="2218">
        <v>1</v>
      </c>
      <c r="AA53" s="2220">
        <v>9</v>
      </c>
      <c r="AB53" s="2162">
        <v>13</v>
      </c>
      <c r="AC53" s="2162">
        <v>9</v>
      </c>
      <c r="AD53" s="2162">
        <v>11</v>
      </c>
      <c r="AE53" s="2164"/>
      <c r="AF53" s="2222" t="s">
        <v>28</v>
      </c>
      <c r="AG53" s="2161">
        <v>50</v>
      </c>
      <c r="AH53" s="722"/>
      <c r="AI53" s="722"/>
      <c r="AJ53" s="722"/>
      <c r="AK53" s="722"/>
      <c r="AL53" s="722"/>
      <c r="AM53" s="722"/>
      <c r="AN53" s="722"/>
      <c r="AO53" s="722"/>
      <c r="AP53" s="722"/>
      <c r="AQ53" s="722"/>
      <c r="AR53" s="722"/>
      <c r="AS53" s="722"/>
    </row>
    <row r="54" spans="2:45" x14ac:dyDescent="0.25">
      <c r="B54" s="2161">
        <v>46</v>
      </c>
      <c r="C54" s="540">
        <v>5191421046</v>
      </c>
      <c r="D54" s="2219">
        <v>1</v>
      </c>
      <c r="E54" s="2219">
        <v>1</v>
      </c>
      <c r="F54" s="2219">
        <v>0</v>
      </c>
      <c r="G54" s="2219"/>
      <c r="H54" s="2219"/>
      <c r="I54" s="2219"/>
      <c r="J54" s="2219"/>
      <c r="K54" s="2219"/>
      <c r="L54" s="2219">
        <v>3</v>
      </c>
      <c r="M54" s="2218">
        <v>5</v>
      </c>
      <c r="N54" s="2220">
        <v>10</v>
      </c>
      <c r="O54" s="540">
        <v>5191421046</v>
      </c>
      <c r="P54" s="2220"/>
      <c r="Q54" s="2218">
        <v>0</v>
      </c>
      <c r="R54" s="2218">
        <v>2</v>
      </c>
      <c r="S54" s="2218"/>
      <c r="T54" s="2221">
        <v>5</v>
      </c>
      <c r="U54" s="2221"/>
      <c r="V54" s="2221"/>
      <c r="W54" s="2218"/>
      <c r="X54" s="2218"/>
      <c r="Y54" s="2218">
        <v>1</v>
      </c>
      <c r="Z54" s="2218">
        <v>2</v>
      </c>
      <c r="AA54" s="2220">
        <v>10</v>
      </c>
      <c r="AB54" s="2162">
        <v>10</v>
      </c>
      <c r="AC54" s="2162">
        <v>10</v>
      </c>
      <c r="AD54" s="2162">
        <v>10</v>
      </c>
      <c r="AE54" s="2164"/>
      <c r="AF54" s="2222" t="s">
        <v>31</v>
      </c>
      <c r="AG54" s="2161">
        <v>55</v>
      </c>
      <c r="AH54" s="722"/>
      <c r="AI54" s="722"/>
      <c r="AJ54" s="722"/>
      <c r="AK54" s="722"/>
      <c r="AL54" s="722"/>
      <c r="AM54" s="722"/>
      <c r="AN54" s="722"/>
      <c r="AO54" s="722"/>
      <c r="AP54" s="722"/>
      <c r="AQ54" s="722"/>
      <c r="AR54" s="722"/>
      <c r="AS54" s="722"/>
    </row>
    <row r="55" spans="2:45" x14ac:dyDescent="0.25">
      <c r="B55" s="2161">
        <v>47</v>
      </c>
      <c r="C55" s="540">
        <v>5191421047</v>
      </c>
      <c r="D55" s="2219">
        <v>0</v>
      </c>
      <c r="E55" s="2219">
        <v>0</v>
      </c>
      <c r="F55" s="2219">
        <v>0</v>
      </c>
      <c r="G55" s="2219"/>
      <c r="H55" s="2219"/>
      <c r="I55" s="2219"/>
      <c r="J55" s="2219"/>
      <c r="K55" s="2219"/>
      <c r="L55" s="2219">
        <v>3</v>
      </c>
      <c r="M55" s="2218">
        <v>3</v>
      </c>
      <c r="N55" s="2220">
        <v>6</v>
      </c>
      <c r="O55" s="540">
        <v>5191421047</v>
      </c>
      <c r="P55" s="2220"/>
      <c r="Q55" s="2218">
        <v>0</v>
      </c>
      <c r="R55" s="2218">
        <v>2</v>
      </c>
      <c r="S55" s="2218"/>
      <c r="T55" s="2221">
        <v>1</v>
      </c>
      <c r="U55" s="2221"/>
      <c r="V55" s="2221"/>
      <c r="W55" s="2218"/>
      <c r="X55" s="2218">
        <v>1</v>
      </c>
      <c r="Y55" s="2218"/>
      <c r="Z55" s="2218"/>
      <c r="AA55" s="2220">
        <v>4</v>
      </c>
      <c r="AB55" s="2162">
        <v>6</v>
      </c>
      <c r="AC55" s="2162">
        <v>4</v>
      </c>
      <c r="AD55" s="2162">
        <v>5</v>
      </c>
      <c r="AE55" s="2164"/>
      <c r="AF55" s="2222" t="s">
        <v>29</v>
      </c>
      <c r="AG55" s="2161">
        <v>39</v>
      </c>
      <c r="AH55" s="722"/>
      <c r="AI55" s="722"/>
      <c r="AJ55" s="722"/>
      <c r="AK55" s="722"/>
      <c r="AL55" s="722"/>
      <c r="AM55" s="722"/>
      <c r="AN55" s="722"/>
      <c r="AO55" s="722"/>
      <c r="AP55" s="722"/>
      <c r="AQ55" s="722"/>
      <c r="AR55" s="722"/>
      <c r="AS55" s="722"/>
    </row>
    <row r="56" spans="2:45" x14ac:dyDescent="0.25">
      <c r="B56" s="2161">
        <v>48</v>
      </c>
      <c r="C56" s="540">
        <v>5191421048</v>
      </c>
      <c r="D56" s="2219"/>
      <c r="E56" s="2219"/>
      <c r="F56" s="2219"/>
      <c r="G56" s="2219"/>
      <c r="H56" s="2219"/>
      <c r="I56" s="2219"/>
      <c r="J56" s="2219"/>
      <c r="K56" s="2219"/>
      <c r="L56" s="2219">
        <v>4</v>
      </c>
      <c r="M56" s="2218">
        <v>4</v>
      </c>
      <c r="N56" s="2220">
        <v>8</v>
      </c>
      <c r="O56" s="540">
        <v>5191421048</v>
      </c>
      <c r="P56" s="2220">
        <v>2</v>
      </c>
      <c r="Q56" s="2218">
        <v>1</v>
      </c>
      <c r="R56" s="2218">
        <v>0</v>
      </c>
      <c r="S56" s="2218"/>
      <c r="T56" s="2221"/>
      <c r="U56" s="2221"/>
      <c r="V56" s="2221"/>
      <c r="W56" s="2218"/>
      <c r="X56" s="2218">
        <v>1</v>
      </c>
      <c r="Y56" s="2218"/>
      <c r="Z56" s="2218"/>
      <c r="AA56" s="2220">
        <v>4</v>
      </c>
      <c r="AB56" s="2162">
        <v>8</v>
      </c>
      <c r="AC56" s="2162">
        <v>4</v>
      </c>
      <c r="AD56" s="2162">
        <v>6</v>
      </c>
      <c r="AE56" s="2164"/>
      <c r="AF56" s="2222" t="s">
        <v>28</v>
      </c>
      <c r="AG56" s="2161">
        <v>50</v>
      </c>
      <c r="AH56" s="722"/>
      <c r="AI56" s="722"/>
      <c r="AJ56" s="722"/>
      <c r="AK56" s="722"/>
      <c r="AL56" s="722"/>
      <c r="AM56" s="722"/>
      <c r="AN56" s="722"/>
      <c r="AO56" s="722"/>
      <c r="AP56" s="722"/>
      <c r="AQ56" s="722"/>
      <c r="AR56" s="722"/>
      <c r="AS56" s="722"/>
    </row>
    <row r="57" spans="2:45" x14ac:dyDescent="0.25">
      <c r="B57" s="2161">
        <v>49</v>
      </c>
      <c r="C57" s="556">
        <v>5191421049</v>
      </c>
      <c r="D57" s="556"/>
      <c r="E57" s="2235"/>
      <c r="F57" s="2235"/>
      <c r="G57" s="2235"/>
      <c r="H57" s="2235"/>
      <c r="I57" s="2235"/>
      <c r="J57" s="2235"/>
      <c r="K57" s="2235"/>
      <c r="L57" s="2235"/>
      <c r="M57" s="2235"/>
      <c r="N57" s="2237">
        <v>0</v>
      </c>
      <c r="O57" s="540">
        <v>5191421049</v>
      </c>
      <c r="P57" s="2220">
        <v>0</v>
      </c>
      <c r="Q57" s="2218">
        <v>0</v>
      </c>
      <c r="R57" s="2218">
        <v>2</v>
      </c>
      <c r="S57" s="2218"/>
      <c r="T57" s="2221">
        <v>5</v>
      </c>
      <c r="U57" s="2221"/>
      <c r="V57" s="2221"/>
      <c r="W57" s="2218"/>
      <c r="X57" s="2218"/>
      <c r="Y57" s="2218">
        <v>0</v>
      </c>
      <c r="Z57" s="2218"/>
      <c r="AA57" s="2220">
        <v>7</v>
      </c>
      <c r="AB57" s="2162">
        <v>0</v>
      </c>
      <c r="AC57" s="2162">
        <v>7</v>
      </c>
      <c r="AD57" s="2162">
        <v>3.5</v>
      </c>
      <c r="AE57" s="2164"/>
      <c r="AF57" s="2222" t="s">
        <v>28</v>
      </c>
      <c r="AG57" s="2161">
        <v>50</v>
      </c>
      <c r="AH57" s="722"/>
      <c r="AI57" s="722"/>
      <c r="AJ57" s="722"/>
      <c r="AK57" s="722"/>
      <c r="AL57" s="722"/>
      <c r="AM57" s="722"/>
      <c r="AN57" s="722"/>
      <c r="AO57" s="722"/>
      <c r="AP57" s="722"/>
      <c r="AQ57" s="722"/>
      <c r="AR57" s="722"/>
      <c r="AS57" s="722"/>
    </row>
    <row r="58" spans="2:45" x14ac:dyDescent="0.25">
      <c r="B58" s="2161">
        <v>50</v>
      </c>
      <c r="C58" s="540">
        <v>5191421050</v>
      </c>
      <c r="D58" s="2219">
        <v>0</v>
      </c>
      <c r="E58" s="2219">
        <v>1</v>
      </c>
      <c r="F58" s="2219">
        <v>0</v>
      </c>
      <c r="G58" s="2219"/>
      <c r="H58" s="2219"/>
      <c r="I58" s="2219">
        <v>2</v>
      </c>
      <c r="J58" s="2219"/>
      <c r="K58" s="2219"/>
      <c r="L58" s="2219">
        <v>3</v>
      </c>
      <c r="M58" s="2218">
        <v>4</v>
      </c>
      <c r="N58" s="2220">
        <v>10</v>
      </c>
      <c r="O58" s="540">
        <v>5191421050</v>
      </c>
      <c r="P58" s="2220"/>
      <c r="Q58" s="2218">
        <v>1</v>
      </c>
      <c r="R58" s="2218">
        <v>2</v>
      </c>
      <c r="S58" s="2218"/>
      <c r="T58" s="2221">
        <v>3</v>
      </c>
      <c r="U58" s="2221"/>
      <c r="V58" s="2221"/>
      <c r="W58" s="2218"/>
      <c r="X58" s="2218"/>
      <c r="Y58" s="2218">
        <v>2</v>
      </c>
      <c r="Z58" s="2218">
        <v>1</v>
      </c>
      <c r="AA58" s="2220">
        <v>9</v>
      </c>
      <c r="AB58" s="2162">
        <v>10</v>
      </c>
      <c r="AC58" s="2162">
        <v>9</v>
      </c>
      <c r="AD58" s="2162">
        <v>9.5</v>
      </c>
      <c r="AE58" s="2164"/>
      <c r="AF58" s="2222" t="s">
        <v>28</v>
      </c>
      <c r="AG58" s="2161">
        <v>50</v>
      </c>
      <c r="AH58" s="722"/>
      <c r="AI58" s="722"/>
      <c r="AJ58" s="722"/>
      <c r="AK58" s="722"/>
      <c r="AL58" s="722"/>
      <c r="AM58" s="722"/>
      <c r="AN58" s="722"/>
      <c r="AO58" s="722"/>
      <c r="AP58" s="722"/>
      <c r="AQ58" s="722"/>
      <c r="AR58" s="722"/>
      <c r="AS58" s="722"/>
    </row>
    <row r="59" spans="2:45" x14ac:dyDescent="0.25">
      <c r="B59" s="2161">
        <v>51</v>
      </c>
      <c r="C59" s="540">
        <v>5191421051</v>
      </c>
      <c r="D59" s="2219">
        <v>2</v>
      </c>
      <c r="E59" s="2219">
        <v>2</v>
      </c>
      <c r="F59" s="2219"/>
      <c r="G59" s="2219">
        <v>6</v>
      </c>
      <c r="H59" s="2219"/>
      <c r="I59" s="2219"/>
      <c r="J59" s="2247"/>
      <c r="K59" s="2219"/>
      <c r="L59" s="2219">
        <v>4</v>
      </c>
      <c r="M59" s="2218">
        <v>5</v>
      </c>
      <c r="N59" s="2220">
        <v>19</v>
      </c>
      <c r="O59" s="540">
        <v>5191421051</v>
      </c>
      <c r="P59" s="2218">
        <v>1</v>
      </c>
      <c r="Q59" s="2218">
        <v>2</v>
      </c>
      <c r="R59" s="2218">
        <v>2</v>
      </c>
      <c r="S59" s="2218"/>
      <c r="T59" s="2218"/>
      <c r="U59" s="2218"/>
      <c r="V59" s="2218">
        <v>6</v>
      </c>
      <c r="W59" s="2218">
        <v>3</v>
      </c>
      <c r="X59" s="2218">
        <v>4</v>
      </c>
      <c r="Y59" s="2218"/>
      <c r="Z59" s="2218"/>
      <c r="AA59" s="2220">
        <v>18</v>
      </c>
      <c r="AB59" s="2162">
        <v>19</v>
      </c>
      <c r="AC59" s="2162">
        <v>18</v>
      </c>
      <c r="AD59" s="2162">
        <v>18.5</v>
      </c>
      <c r="AE59" s="2164"/>
      <c r="AF59" s="2222" t="s">
        <v>32</v>
      </c>
      <c r="AG59" s="2161">
        <v>70</v>
      </c>
      <c r="AH59" s="722"/>
      <c r="AI59" s="722"/>
      <c r="AJ59" s="722"/>
      <c r="AK59" s="722"/>
      <c r="AL59" s="722"/>
      <c r="AM59" s="722"/>
      <c r="AN59" s="722"/>
      <c r="AO59" s="722"/>
      <c r="AP59" s="722"/>
      <c r="AQ59" s="722"/>
      <c r="AR59" s="722"/>
      <c r="AS59" s="722"/>
    </row>
    <row r="60" spans="2:45" x14ac:dyDescent="0.25">
      <c r="B60" s="2161">
        <v>52</v>
      </c>
      <c r="C60" s="540">
        <v>5191421052</v>
      </c>
      <c r="D60" s="2219">
        <v>1</v>
      </c>
      <c r="E60" s="2219">
        <v>2</v>
      </c>
      <c r="F60" s="2219">
        <v>0</v>
      </c>
      <c r="G60" s="2219">
        <v>2</v>
      </c>
      <c r="H60" s="2219"/>
      <c r="I60" s="2219"/>
      <c r="J60" s="2219"/>
      <c r="K60" s="2219"/>
      <c r="L60" s="2219">
        <v>4</v>
      </c>
      <c r="M60" s="2218">
        <v>5</v>
      </c>
      <c r="N60" s="2220">
        <v>14</v>
      </c>
      <c r="O60" s="540">
        <v>5191421052</v>
      </c>
      <c r="P60" s="2220">
        <v>1</v>
      </c>
      <c r="Q60" s="2218">
        <v>2</v>
      </c>
      <c r="R60" s="2218">
        <v>2</v>
      </c>
      <c r="S60" s="2218">
        <v>1</v>
      </c>
      <c r="T60" s="2221">
        <v>5</v>
      </c>
      <c r="U60" s="2221"/>
      <c r="V60" s="2221"/>
      <c r="W60" s="2218"/>
      <c r="X60" s="2218"/>
      <c r="Y60" s="2218">
        <v>6</v>
      </c>
      <c r="Z60" s="2218">
        <v>4</v>
      </c>
      <c r="AA60" s="2220">
        <v>21</v>
      </c>
      <c r="AB60" s="2162">
        <v>14</v>
      </c>
      <c r="AC60" s="2162">
        <v>21</v>
      </c>
      <c r="AD60" s="2162">
        <v>17.5</v>
      </c>
      <c r="AE60" s="2164"/>
      <c r="AF60" s="2222" t="s">
        <v>30</v>
      </c>
      <c r="AG60" s="2161">
        <v>90</v>
      </c>
      <c r="AH60" s="722"/>
      <c r="AI60" s="722"/>
      <c r="AJ60" s="722"/>
      <c r="AK60" s="722"/>
      <c r="AL60" s="722"/>
      <c r="AM60" s="722"/>
      <c r="AN60" s="722"/>
      <c r="AO60" s="722"/>
      <c r="AP60" s="722"/>
      <c r="AQ60" s="722"/>
      <c r="AR60" s="722"/>
      <c r="AS60" s="722"/>
    </row>
    <row r="61" spans="2:45" x14ac:dyDescent="0.25">
      <c r="B61" s="2161">
        <v>53</v>
      </c>
      <c r="C61" s="540">
        <v>5191421053</v>
      </c>
      <c r="D61" s="2219">
        <v>2</v>
      </c>
      <c r="E61" s="2219">
        <v>2</v>
      </c>
      <c r="F61" s="2219">
        <v>1</v>
      </c>
      <c r="G61" s="2219">
        <v>1</v>
      </c>
      <c r="H61" s="2219"/>
      <c r="I61" s="2219"/>
      <c r="J61" s="2219"/>
      <c r="K61" s="2219"/>
      <c r="L61" s="2219">
        <v>4</v>
      </c>
      <c r="M61" s="2218">
        <v>5</v>
      </c>
      <c r="N61" s="2220">
        <v>15</v>
      </c>
      <c r="O61" s="540">
        <v>5191421053</v>
      </c>
      <c r="P61" s="2220">
        <v>0</v>
      </c>
      <c r="Q61" s="2218">
        <v>2</v>
      </c>
      <c r="R61" s="2218">
        <v>2</v>
      </c>
      <c r="S61" s="2218">
        <v>0</v>
      </c>
      <c r="T61" s="2221">
        <v>5</v>
      </c>
      <c r="U61" s="2221"/>
      <c r="V61" s="2221"/>
      <c r="W61" s="2218">
        <v>6</v>
      </c>
      <c r="X61" s="2218">
        <v>2</v>
      </c>
      <c r="Y61" s="2218"/>
      <c r="Z61" s="2218"/>
      <c r="AA61" s="2220">
        <v>17</v>
      </c>
      <c r="AB61" s="2162">
        <v>15</v>
      </c>
      <c r="AC61" s="2162">
        <v>17</v>
      </c>
      <c r="AD61" s="2162">
        <v>16</v>
      </c>
      <c r="AE61" s="2164"/>
      <c r="AF61" s="2222" t="s">
        <v>32</v>
      </c>
      <c r="AG61" s="2161">
        <v>70</v>
      </c>
      <c r="AH61" s="722"/>
      <c r="AI61" s="722"/>
      <c r="AJ61" s="722"/>
      <c r="AK61" s="722"/>
      <c r="AL61" s="722"/>
      <c r="AM61" s="722"/>
      <c r="AN61" s="722"/>
      <c r="AO61" s="722"/>
      <c r="AP61" s="722"/>
      <c r="AQ61" s="722"/>
      <c r="AR61" s="722"/>
      <c r="AS61" s="722"/>
    </row>
    <row r="62" spans="2:45" x14ac:dyDescent="0.25">
      <c r="B62" s="2161">
        <v>54</v>
      </c>
      <c r="C62" s="540">
        <v>5191421054</v>
      </c>
      <c r="D62" s="2219"/>
      <c r="E62" s="2219">
        <v>1</v>
      </c>
      <c r="F62" s="2219"/>
      <c r="G62" s="2219"/>
      <c r="H62" s="2219">
        <v>1</v>
      </c>
      <c r="I62" s="2219">
        <v>2</v>
      </c>
      <c r="J62" s="2219"/>
      <c r="K62" s="2219"/>
      <c r="L62" s="2219">
        <v>2</v>
      </c>
      <c r="M62" s="2218">
        <v>6</v>
      </c>
      <c r="N62" s="2220">
        <v>12</v>
      </c>
      <c r="O62" s="540">
        <v>5191421054</v>
      </c>
      <c r="P62" s="2220">
        <v>0</v>
      </c>
      <c r="Q62" s="2218">
        <v>1</v>
      </c>
      <c r="R62" s="2218">
        <v>1</v>
      </c>
      <c r="S62" s="2218"/>
      <c r="T62" s="2221"/>
      <c r="U62" s="2221"/>
      <c r="V62" s="2221"/>
      <c r="W62" s="2218">
        <v>2</v>
      </c>
      <c r="X62" s="2218">
        <v>2</v>
      </c>
      <c r="Y62" s="2218"/>
      <c r="Z62" s="2218"/>
      <c r="AA62" s="2220">
        <v>6</v>
      </c>
      <c r="AB62" s="2162">
        <v>12</v>
      </c>
      <c r="AC62" s="2162">
        <v>6</v>
      </c>
      <c r="AD62" s="2162">
        <v>9</v>
      </c>
      <c r="AE62" s="2164"/>
      <c r="AF62" s="2222" t="s">
        <v>32</v>
      </c>
      <c r="AG62" s="2161">
        <v>70</v>
      </c>
      <c r="AH62" s="722"/>
      <c r="AI62" s="722"/>
      <c r="AJ62" s="722"/>
      <c r="AK62" s="722"/>
      <c r="AL62" s="722"/>
      <c r="AM62" s="722"/>
      <c r="AN62" s="722"/>
      <c r="AO62" s="722"/>
      <c r="AP62" s="722"/>
      <c r="AQ62" s="722"/>
      <c r="AR62" s="722"/>
      <c r="AS62" s="722"/>
    </row>
    <row r="63" spans="2:45" x14ac:dyDescent="0.25">
      <c r="B63" s="2161">
        <v>55</v>
      </c>
      <c r="C63" s="556">
        <v>5191421055</v>
      </c>
      <c r="D63" s="556"/>
      <c r="E63" s="2235"/>
      <c r="F63" s="2235"/>
      <c r="G63" s="2235"/>
      <c r="H63" s="2235"/>
      <c r="I63" s="2235"/>
      <c r="J63" s="2235"/>
      <c r="K63" s="2235"/>
      <c r="L63" s="2235"/>
      <c r="M63" s="2235"/>
      <c r="N63" s="2237">
        <v>0</v>
      </c>
      <c r="O63" s="540">
        <v>5191421055</v>
      </c>
      <c r="P63" s="2220"/>
      <c r="Q63" s="2218">
        <v>2</v>
      </c>
      <c r="R63" s="2218">
        <v>2</v>
      </c>
      <c r="S63" s="2218"/>
      <c r="T63" s="2221"/>
      <c r="U63" s="2221"/>
      <c r="V63" s="2221"/>
      <c r="W63" s="2218">
        <v>2</v>
      </c>
      <c r="X63" s="2218">
        <v>2</v>
      </c>
      <c r="Y63" s="2218"/>
      <c r="Z63" s="2218"/>
      <c r="AA63" s="2220">
        <v>8</v>
      </c>
      <c r="AB63" s="2162">
        <v>0</v>
      </c>
      <c r="AC63" s="2162">
        <v>8</v>
      </c>
      <c r="AD63" s="2162">
        <v>4</v>
      </c>
      <c r="AE63" s="2164"/>
      <c r="AF63" s="2222" t="s">
        <v>28</v>
      </c>
      <c r="AG63" s="2161">
        <v>50</v>
      </c>
      <c r="AH63" s="722"/>
      <c r="AI63" s="722"/>
      <c r="AJ63" s="722"/>
      <c r="AK63" s="722"/>
      <c r="AL63" s="722"/>
      <c r="AM63" s="722"/>
      <c r="AN63" s="722"/>
      <c r="AO63" s="722"/>
      <c r="AP63" s="722"/>
      <c r="AQ63" s="722"/>
      <c r="AR63" s="722"/>
      <c r="AS63" s="722"/>
    </row>
    <row r="64" spans="2:45" x14ac:dyDescent="0.25">
      <c r="B64" s="2161">
        <v>56</v>
      </c>
      <c r="C64" s="540">
        <v>5191421056</v>
      </c>
      <c r="D64" s="2219">
        <v>0</v>
      </c>
      <c r="E64" s="2219">
        <v>0</v>
      </c>
      <c r="F64" s="2219">
        <v>0</v>
      </c>
      <c r="G64" s="2219">
        <v>3</v>
      </c>
      <c r="H64" s="2219"/>
      <c r="I64" s="2219"/>
      <c r="J64" s="2219"/>
      <c r="K64" s="2219"/>
      <c r="L64" s="2219">
        <v>3</v>
      </c>
      <c r="M64" s="2218">
        <v>6</v>
      </c>
      <c r="N64" s="2220">
        <v>12</v>
      </c>
      <c r="O64" s="540">
        <v>5191421056</v>
      </c>
      <c r="P64" s="2220">
        <v>0</v>
      </c>
      <c r="Q64" s="2218">
        <v>0</v>
      </c>
      <c r="R64" s="2218">
        <v>0</v>
      </c>
      <c r="S64" s="2218"/>
      <c r="T64" s="2221"/>
      <c r="U64" s="2221">
        <v>0</v>
      </c>
      <c r="V64" s="2221">
        <v>2</v>
      </c>
      <c r="W64" s="2218">
        <v>1</v>
      </c>
      <c r="X64" s="2218"/>
      <c r="Y64" s="2218"/>
      <c r="Z64" s="2218"/>
      <c r="AA64" s="2220">
        <v>3</v>
      </c>
      <c r="AB64" s="2162">
        <v>12</v>
      </c>
      <c r="AC64" s="2162">
        <v>3</v>
      </c>
      <c r="AD64" s="2162">
        <v>7.5</v>
      </c>
      <c r="AE64" s="2164"/>
      <c r="AF64" s="2222" t="s">
        <v>31</v>
      </c>
      <c r="AG64" s="2161">
        <v>55</v>
      </c>
      <c r="AH64" s="722"/>
      <c r="AI64" s="722"/>
      <c r="AJ64" s="722"/>
      <c r="AK64" s="722"/>
      <c r="AL64" s="722"/>
      <c r="AM64" s="722"/>
      <c r="AN64" s="722"/>
      <c r="AO64" s="722"/>
      <c r="AP64" s="722"/>
      <c r="AQ64" s="722"/>
      <c r="AR64" s="722"/>
      <c r="AS64" s="722"/>
    </row>
    <row r="65" spans="2:45" x14ac:dyDescent="0.25">
      <c r="B65" s="2161">
        <v>57</v>
      </c>
      <c r="C65" s="540">
        <v>5191421057</v>
      </c>
      <c r="D65" s="2219">
        <v>1</v>
      </c>
      <c r="E65" s="2219">
        <v>0</v>
      </c>
      <c r="F65" s="2219"/>
      <c r="G65" s="2219">
        <v>4</v>
      </c>
      <c r="H65" s="2219"/>
      <c r="I65" s="2219"/>
      <c r="J65" s="2219"/>
      <c r="K65" s="2219"/>
      <c r="L65" s="2219">
        <v>5</v>
      </c>
      <c r="M65" s="2218">
        <v>6</v>
      </c>
      <c r="N65" s="2220">
        <v>16</v>
      </c>
      <c r="O65" s="540">
        <v>5191421057</v>
      </c>
      <c r="P65" s="2220">
        <v>2</v>
      </c>
      <c r="Q65" s="2218">
        <v>2</v>
      </c>
      <c r="R65" s="2218">
        <v>2</v>
      </c>
      <c r="S65" s="2218"/>
      <c r="T65" s="2221"/>
      <c r="U65" s="2221"/>
      <c r="V65" s="2221">
        <v>4</v>
      </c>
      <c r="W65" s="2218">
        <v>7</v>
      </c>
      <c r="X65" s="2218">
        <v>4</v>
      </c>
      <c r="Y65" s="2218"/>
      <c r="Z65" s="2218"/>
      <c r="AA65" s="2220">
        <v>21</v>
      </c>
      <c r="AB65" s="2162">
        <v>16</v>
      </c>
      <c r="AC65" s="2162">
        <v>21</v>
      </c>
      <c r="AD65" s="2162">
        <v>18.5</v>
      </c>
      <c r="AE65" s="2164"/>
      <c r="AF65" s="2243" t="s">
        <v>32</v>
      </c>
      <c r="AG65" s="2161">
        <v>70</v>
      </c>
      <c r="AH65" s="722"/>
      <c r="AI65" s="722"/>
      <c r="AJ65" s="722"/>
      <c r="AK65" s="722"/>
      <c r="AL65" s="722"/>
      <c r="AM65" s="722"/>
      <c r="AN65" s="722"/>
      <c r="AO65" s="722"/>
      <c r="AP65" s="722"/>
      <c r="AQ65" s="722"/>
      <c r="AR65" s="722"/>
      <c r="AS65" s="722"/>
    </row>
    <row r="66" spans="2:45" x14ac:dyDescent="0.25">
      <c r="B66" s="2161">
        <v>58</v>
      </c>
      <c r="C66" s="540">
        <v>5191421058</v>
      </c>
      <c r="D66" s="2219">
        <v>0</v>
      </c>
      <c r="E66" s="2219">
        <v>0</v>
      </c>
      <c r="F66" s="2219"/>
      <c r="G66" s="2219"/>
      <c r="H66" s="2219"/>
      <c r="I66" s="2219"/>
      <c r="J66" s="2219"/>
      <c r="K66" s="2219"/>
      <c r="L66" s="2219">
        <v>2</v>
      </c>
      <c r="M66" s="2218">
        <v>5</v>
      </c>
      <c r="N66" s="2220">
        <v>7</v>
      </c>
      <c r="O66" s="540">
        <v>5191421058</v>
      </c>
      <c r="P66" s="2220"/>
      <c r="Q66" s="2218"/>
      <c r="R66" s="2218"/>
      <c r="S66" s="2218"/>
      <c r="T66" s="2221"/>
      <c r="U66" s="2221"/>
      <c r="V66" s="2221">
        <v>4</v>
      </c>
      <c r="W66" s="2218"/>
      <c r="X66" s="2218"/>
      <c r="Y66" s="2218"/>
      <c r="Z66" s="2218"/>
      <c r="AA66" s="2220">
        <v>4</v>
      </c>
      <c r="AB66" s="2162">
        <v>7</v>
      </c>
      <c r="AC66" s="2162">
        <v>4</v>
      </c>
      <c r="AD66" s="2162">
        <v>5.5</v>
      </c>
      <c r="AE66" s="2164"/>
      <c r="AF66" s="580" t="s">
        <v>29</v>
      </c>
      <c r="AG66" s="2161">
        <v>39</v>
      </c>
      <c r="AH66" s="722"/>
      <c r="AI66" s="722"/>
      <c r="AJ66" s="722"/>
      <c r="AK66" s="722"/>
      <c r="AL66" s="722"/>
      <c r="AM66" s="722"/>
      <c r="AN66" s="722"/>
      <c r="AO66" s="722"/>
      <c r="AP66" s="722"/>
      <c r="AQ66" s="722"/>
      <c r="AR66" s="722"/>
      <c r="AS66" s="722"/>
    </row>
    <row r="67" spans="2:45" ht="22.5" customHeight="1" x14ac:dyDescent="0.25">
      <c r="B67" s="3622" t="s">
        <v>34</v>
      </c>
      <c r="C67" s="3623">
        <v>55</v>
      </c>
      <c r="D67" s="2165">
        <v>48</v>
      </c>
      <c r="E67" s="2165">
        <v>45</v>
      </c>
      <c r="F67" s="2165">
        <v>31</v>
      </c>
      <c r="G67" s="2165">
        <v>30</v>
      </c>
      <c r="H67" s="2165">
        <v>9</v>
      </c>
      <c r="I67" s="2165">
        <v>9</v>
      </c>
      <c r="J67" s="2165">
        <v>0</v>
      </c>
      <c r="K67" s="2165">
        <v>0</v>
      </c>
      <c r="L67" s="2165">
        <v>50</v>
      </c>
      <c r="M67" s="2165">
        <v>54</v>
      </c>
      <c r="N67" s="2165"/>
      <c r="O67" s="2165"/>
      <c r="P67" s="2165">
        <v>42</v>
      </c>
      <c r="Q67" s="2165">
        <v>53</v>
      </c>
      <c r="R67" s="2165">
        <v>53</v>
      </c>
      <c r="S67" s="2165">
        <v>12</v>
      </c>
      <c r="T67" s="2165">
        <v>25</v>
      </c>
      <c r="U67" s="2165">
        <v>9</v>
      </c>
      <c r="V67" s="2165">
        <v>25</v>
      </c>
      <c r="W67" s="2165">
        <v>32</v>
      </c>
      <c r="X67" s="2165">
        <v>32</v>
      </c>
      <c r="Y67" s="2165">
        <v>13</v>
      </c>
      <c r="Z67" s="2165">
        <v>11</v>
      </c>
      <c r="AA67" s="2165"/>
      <c r="AB67" s="2248"/>
      <c r="AC67" s="2248"/>
      <c r="AD67" s="2248"/>
      <c r="AE67" s="2164"/>
      <c r="AF67" s="2164"/>
      <c r="AG67" s="2164"/>
      <c r="AH67" s="722"/>
      <c r="AI67" s="722"/>
      <c r="AJ67" s="722"/>
      <c r="AK67" s="722"/>
      <c r="AL67" s="722"/>
      <c r="AM67" s="722"/>
      <c r="AN67" s="722"/>
      <c r="AO67" s="722"/>
      <c r="AP67" s="722"/>
      <c r="AQ67" s="722"/>
      <c r="AR67" s="722"/>
      <c r="AS67" s="722"/>
    </row>
    <row r="68" spans="2:45" ht="22.5" customHeight="1" x14ac:dyDescent="0.25">
      <c r="B68" s="3306"/>
      <c r="C68" s="3306"/>
      <c r="D68" s="2061">
        <v>1</v>
      </c>
      <c r="E68" s="2061">
        <v>1</v>
      </c>
      <c r="F68" s="2061">
        <v>1</v>
      </c>
      <c r="G68" s="2061">
        <v>6</v>
      </c>
      <c r="H68" s="2061">
        <v>2.5</v>
      </c>
      <c r="I68" s="2061">
        <v>3.5</v>
      </c>
      <c r="J68" s="2061">
        <v>3</v>
      </c>
      <c r="K68" s="2061">
        <v>3</v>
      </c>
      <c r="L68" s="2061">
        <v>2.5</v>
      </c>
      <c r="M68" s="2061">
        <v>3.5</v>
      </c>
      <c r="N68" s="2061"/>
      <c r="O68" s="2061"/>
      <c r="P68" s="2061">
        <v>1</v>
      </c>
      <c r="Q68" s="2061">
        <v>1</v>
      </c>
      <c r="R68" s="2061">
        <v>1</v>
      </c>
      <c r="S68" s="2061">
        <v>3</v>
      </c>
      <c r="T68" s="2061">
        <v>3</v>
      </c>
      <c r="U68" s="2061">
        <v>2.5</v>
      </c>
      <c r="V68" s="2061">
        <v>3.5</v>
      </c>
      <c r="W68" s="2061">
        <v>4</v>
      </c>
      <c r="X68" s="2061">
        <v>2</v>
      </c>
      <c r="Y68" s="2061">
        <v>4</v>
      </c>
      <c r="Z68" s="2061">
        <v>2</v>
      </c>
      <c r="AA68" s="2061"/>
      <c r="AB68" s="2248"/>
      <c r="AC68" s="2248"/>
      <c r="AD68" s="2248"/>
      <c r="AE68" s="2164"/>
      <c r="AF68" s="2164"/>
      <c r="AG68" s="2165">
        <v>49</v>
      </c>
      <c r="AH68" s="722"/>
      <c r="AI68" s="722"/>
      <c r="AJ68" s="722"/>
      <c r="AK68" s="722"/>
      <c r="AL68" s="722"/>
      <c r="AM68" s="722"/>
      <c r="AN68" s="722"/>
      <c r="AO68" s="722"/>
      <c r="AP68" s="722"/>
      <c r="AQ68" s="722"/>
      <c r="AR68" s="722"/>
      <c r="AS68" s="722"/>
    </row>
    <row r="69" spans="2:45" ht="22.5" customHeight="1" x14ac:dyDescent="0.25">
      <c r="B69" s="3305" t="s">
        <v>35</v>
      </c>
      <c r="C69" s="3305"/>
      <c r="D69" s="2165">
        <v>29</v>
      </c>
      <c r="E69" s="2165">
        <v>25</v>
      </c>
      <c r="F69" s="2165">
        <v>1</v>
      </c>
      <c r="G69" s="2165">
        <v>16</v>
      </c>
      <c r="H69" s="2165">
        <v>1</v>
      </c>
      <c r="I69" s="2165">
        <v>0</v>
      </c>
      <c r="J69" s="2165">
        <v>0</v>
      </c>
      <c r="K69" s="2165">
        <v>0</v>
      </c>
      <c r="L69" s="2165">
        <v>34</v>
      </c>
      <c r="M69" s="2165">
        <v>46</v>
      </c>
      <c r="N69" s="2165"/>
      <c r="O69" s="2165"/>
      <c r="P69" s="2165">
        <v>24</v>
      </c>
      <c r="Q69" s="2165">
        <v>32</v>
      </c>
      <c r="R69" s="2165">
        <v>46</v>
      </c>
      <c r="S69" s="2165">
        <v>1</v>
      </c>
      <c r="T69" s="2165">
        <v>19</v>
      </c>
      <c r="U69" s="2165">
        <v>3</v>
      </c>
      <c r="V69" s="2165">
        <v>20</v>
      </c>
      <c r="W69" s="2165">
        <v>11</v>
      </c>
      <c r="X69" s="2165">
        <v>25</v>
      </c>
      <c r="Y69" s="2165">
        <v>4</v>
      </c>
      <c r="Z69" s="2165">
        <v>4</v>
      </c>
      <c r="AA69" s="2165"/>
      <c r="AB69" s="2248"/>
      <c r="AC69" s="2248"/>
      <c r="AD69" s="2248"/>
      <c r="AE69" s="2164"/>
      <c r="AF69" s="2164"/>
      <c r="AG69" s="2165">
        <v>84.482758620689651</v>
      </c>
      <c r="AH69" s="722"/>
      <c r="AI69" s="722"/>
      <c r="AJ69" s="722"/>
      <c r="AK69" s="722"/>
      <c r="AL69" s="722"/>
      <c r="AM69" s="722"/>
      <c r="AN69" s="722"/>
      <c r="AO69" s="722"/>
      <c r="AP69" s="722"/>
      <c r="AQ69" s="722"/>
      <c r="AR69" s="722"/>
      <c r="AS69" s="722"/>
    </row>
    <row r="70" spans="2:45" ht="22.5" customHeight="1" x14ac:dyDescent="0.25">
      <c r="B70" s="3306" t="s">
        <v>36</v>
      </c>
      <c r="C70" s="3306"/>
      <c r="D70" s="2165">
        <v>0.60416666666666663</v>
      </c>
      <c r="E70" s="2165">
        <v>0.55555555555555558</v>
      </c>
      <c r="F70" s="2165">
        <v>3.2258064516129031E-2</v>
      </c>
      <c r="G70" s="2165">
        <v>0.53333333333333333</v>
      </c>
      <c r="H70" s="2165">
        <v>0.1111111111111111</v>
      </c>
      <c r="I70" s="2165">
        <v>0</v>
      </c>
      <c r="J70" s="2165">
        <v>0</v>
      </c>
      <c r="K70" s="2165">
        <v>0</v>
      </c>
      <c r="L70" s="2165">
        <v>0.68</v>
      </c>
      <c r="M70" s="2165">
        <v>0.85185185185185186</v>
      </c>
      <c r="N70" s="2165"/>
      <c r="O70" s="2165"/>
      <c r="P70" s="2165">
        <v>0.5714285714285714</v>
      </c>
      <c r="Q70" s="2165">
        <v>0.60377358490566035</v>
      </c>
      <c r="R70" s="2165">
        <v>0.86792452830188682</v>
      </c>
      <c r="S70" s="2165">
        <v>8.3333333333333329E-2</v>
      </c>
      <c r="T70" s="2165">
        <v>0.76</v>
      </c>
      <c r="U70" s="2165">
        <v>0.33333333333333331</v>
      </c>
      <c r="V70" s="2165">
        <v>0.8</v>
      </c>
      <c r="W70" s="2165">
        <v>0.34375</v>
      </c>
      <c r="X70" s="2165">
        <v>0.78125</v>
      </c>
      <c r="Y70" s="2165">
        <v>0.30769230769230771</v>
      </c>
      <c r="Z70" s="2165">
        <v>0.36363636363636365</v>
      </c>
      <c r="AA70" s="2165"/>
      <c r="AB70" s="2248"/>
      <c r="AC70" s="2248"/>
      <c r="AD70" s="2248"/>
      <c r="AE70" s="2164"/>
      <c r="AF70" s="2164"/>
      <c r="AG70" s="2165"/>
      <c r="AH70" s="722"/>
      <c r="AI70" s="722"/>
      <c r="AJ70" s="722"/>
      <c r="AK70" s="722"/>
      <c r="AL70" s="722"/>
      <c r="AM70" s="722"/>
      <c r="AN70" s="722"/>
      <c r="AO70" s="722"/>
      <c r="AP70" s="722"/>
      <c r="AQ70" s="722"/>
      <c r="AR70" s="722"/>
      <c r="AS70" s="722"/>
    </row>
    <row r="71" spans="2:45" x14ac:dyDescent="0.25">
      <c r="B71" s="2164"/>
      <c r="C71" s="2164"/>
      <c r="D71" s="2249"/>
      <c r="E71" s="2249"/>
      <c r="F71" s="2249"/>
      <c r="G71" s="2249"/>
      <c r="H71" s="2249"/>
      <c r="I71" s="2249"/>
      <c r="J71" s="2249"/>
      <c r="K71" s="2249"/>
      <c r="L71" s="2249"/>
      <c r="M71" s="2249"/>
      <c r="N71" s="2249"/>
      <c r="O71" s="2249"/>
      <c r="P71" s="2249"/>
      <c r="Q71" s="2249"/>
      <c r="R71" s="2249"/>
      <c r="S71" s="2249"/>
      <c r="T71" s="2249"/>
      <c r="U71" s="2249"/>
      <c r="V71" s="2249"/>
      <c r="W71" s="2249"/>
      <c r="X71" s="2249"/>
      <c r="Y71" s="2249"/>
      <c r="Z71" s="2249"/>
      <c r="AA71" s="2249"/>
      <c r="AB71" s="2164"/>
      <c r="AC71" s="2164"/>
      <c r="AD71" s="2164"/>
      <c r="AE71" s="2164"/>
      <c r="AF71" s="2164"/>
      <c r="AG71" s="2164"/>
      <c r="AH71" s="722"/>
      <c r="AI71" s="722"/>
      <c r="AJ71" s="722"/>
      <c r="AK71" s="722"/>
      <c r="AL71" s="722"/>
      <c r="AM71" s="722"/>
      <c r="AN71" s="722"/>
      <c r="AO71" s="722"/>
      <c r="AP71" s="722"/>
      <c r="AQ71" s="722"/>
      <c r="AR71" s="722"/>
      <c r="AS71" s="722"/>
    </row>
    <row r="72" spans="2:45" x14ac:dyDescent="0.25">
      <c r="B72" s="2164"/>
      <c r="C72" s="2164"/>
      <c r="D72" s="2218" t="s">
        <v>20</v>
      </c>
      <c r="E72" s="2218" t="s">
        <v>21</v>
      </c>
      <c r="F72" s="2218" t="s">
        <v>23</v>
      </c>
      <c r="G72" s="2218" t="s">
        <v>20</v>
      </c>
      <c r="H72" s="2218" t="s">
        <v>20</v>
      </c>
      <c r="I72" s="2218" t="s">
        <v>20</v>
      </c>
      <c r="J72" s="2218" t="s">
        <v>21</v>
      </c>
      <c r="K72" s="2218" t="s">
        <v>23</v>
      </c>
      <c r="L72" s="2218" t="s">
        <v>21</v>
      </c>
      <c r="M72" s="2218" t="s">
        <v>23</v>
      </c>
      <c r="N72" s="2164"/>
      <c r="O72" s="2164"/>
      <c r="P72" s="2218" t="s">
        <v>25</v>
      </c>
      <c r="Q72" s="2218" t="s">
        <v>24</v>
      </c>
      <c r="R72" s="2218" t="s">
        <v>24</v>
      </c>
      <c r="S72" s="2218" t="s">
        <v>23</v>
      </c>
      <c r="T72" s="2218" t="s">
        <v>25</v>
      </c>
      <c r="U72" s="2218" t="s">
        <v>23</v>
      </c>
      <c r="V72" s="2218" t="s">
        <v>25</v>
      </c>
      <c r="W72" s="2218" t="s">
        <v>24</v>
      </c>
      <c r="X72" s="2218" t="s">
        <v>24</v>
      </c>
      <c r="Y72" s="2218" t="s">
        <v>24</v>
      </c>
      <c r="Z72" s="2218" t="s">
        <v>24</v>
      </c>
      <c r="AA72" s="2164"/>
      <c r="AB72" s="2164"/>
      <c r="AC72" s="2164"/>
      <c r="AD72" s="2164"/>
      <c r="AE72" s="2164"/>
      <c r="AF72" s="2164"/>
      <c r="AG72" s="2164"/>
      <c r="AH72" s="722"/>
      <c r="AI72" s="722"/>
      <c r="AJ72" s="722"/>
      <c r="AK72" s="722"/>
      <c r="AL72" s="722"/>
      <c r="AM72" s="722"/>
      <c r="AN72" s="722"/>
      <c r="AO72" s="722"/>
      <c r="AP72" s="722"/>
      <c r="AQ72" s="722"/>
      <c r="AR72" s="722"/>
      <c r="AS72" s="722"/>
    </row>
    <row r="73" spans="2:45" x14ac:dyDescent="0.25">
      <c r="B73" s="2164"/>
      <c r="C73" s="2164"/>
      <c r="D73" s="2164"/>
      <c r="E73" s="2164"/>
      <c r="F73" s="2164"/>
      <c r="G73" s="2164"/>
      <c r="H73" s="2164"/>
      <c r="I73" s="2164"/>
      <c r="J73" s="2164"/>
      <c r="K73" s="2164"/>
      <c r="L73" s="2164"/>
      <c r="M73" s="2164"/>
      <c r="N73" s="2164"/>
      <c r="O73" s="2164"/>
      <c r="P73" s="2164"/>
      <c r="Q73" s="2164"/>
      <c r="R73" s="2164"/>
      <c r="S73" s="2164"/>
      <c r="T73" s="2164"/>
      <c r="U73" s="2164"/>
      <c r="V73" s="2164"/>
      <c r="W73" s="2164"/>
      <c r="X73" s="2164"/>
      <c r="Y73" s="2164"/>
      <c r="Z73" s="2164"/>
      <c r="AA73" s="2164"/>
      <c r="AB73" s="2164"/>
      <c r="AC73" s="2164"/>
      <c r="AD73" s="2164"/>
      <c r="AE73" s="2164"/>
      <c r="AF73" s="2164"/>
      <c r="AG73" s="2164"/>
      <c r="AH73" s="722"/>
      <c r="AI73" s="722"/>
      <c r="AJ73" s="722"/>
      <c r="AK73" s="722"/>
      <c r="AL73" s="722"/>
      <c r="AM73" s="722"/>
      <c r="AN73" s="722"/>
      <c r="AO73" s="722"/>
      <c r="AP73" s="722"/>
      <c r="AQ73" s="722"/>
      <c r="AR73" s="722"/>
      <c r="AS73" s="722"/>
    </row>
    <row r="74" spans="2:45" x14ac:dyDescent="0.25">
      <c r="B74" s="2164"/>
      <c r="C74" s="2164"/>
      <c r="D74" s="2164" t="s">
        <v>38</v>
      </c>
      <c r="E74" s="2164"/>
      <c r="F74" s="2164" t="s">
        <v>39</v>
      </c>
      <c r="G74" s="3604" t="s">
        <v>37</v>
      </c>
      <c r="H74" s="3604"/>
      <c r="I74" s="2165"/>
      <c r="J74" s="2165"/>
      <c r="K74" s="2164"/>
      <c r="L74" s="2164"/>
      <c r="M74" s="2164"/>
      <c r="N74" s="2164"/>
      <c r="O74" s="2164"/>
      <c r="P74" s="2164"/>
      <c r="Q74" s="2164"/>
      <c r="R74" s="2164"/>
      <c r="S74" s="2164"/>
      <c r="T74" s="2164"/>
      <c r="U74" s="2164"/>
      <c r="V74" s="2164"/>
      <c r="W74" s="2164"/>
      <c r="X74" s="2164"/>
      <c r="Y74" s="2164"/>
      <c r="Z74" s="2164"/>
      <c r="AA74" s="2164"/>
      <c r="AB74" s="2164"/>
      <c r="AC74" s="2164"/>
      <c r="AD74" s="2164"/>
      <c r="AE74" s="2164"/>
      <c r="AF74" s="2164"/>
      <c r="AG74" s="2164"/>
      <c r="AH74" s="722"/>
      <c r="AI74" s="722"/>
      <c r="AJ74" s="722"/>
      <c r="AK74" s="722"/>
      <c r="AL74" s="722"/>
      <c r="AM74" s="722"/>
      <c r="AN74" s="722"/>
      <c r="AO74" s="722"/>
      <c r="AP74" s="722"/>
      <c r="AQ74" s="722"/>
      <c r="AR74" s="722"/>
      <c r="AS74" s="722"/>
    </row>
    <row r="75" spans="2:45" x14ac:dyDescent="0.25">
      <c r="B75" s="2164"/>
      <c r="C75" s="2177" t="s">
        <v>22</v>
      </c>
      <c r="D75" s="2250">
        <v>31.215277777777779</v>
      </c>
      <c r="E75" s="2165" t="b">
        <v>0</v>
      </c>
      <c r="F75" s="2165">
        <v>3</v>
      </c>
      <c r="G75" s="3604">
        <v>2.0999999999999996</v>
      </c>
      <c r="H75" s="3604"/>
      <c r="I75" s="2165"/>
      <c r="J75" s="2165"/>
      <c r="K75" s="2164"/>
      <c r="L75" s="2164"/>
      <c r="M75" s="2164"/>
      <c r="N75" s="2164"/>
      <c r="O75" s="2164"/>
      <c r="P75" s="2164"/>
      <c r="Q75" s="2164"/>
      <c r="R75" s="2164"/>
      <c r="S75" s="2164"/>
      <c r="T75" s="2164"/>
      <c r="U75" s="2164"/>
      <c r="V75" s="2164"/>
      <c r="W75" s="2164"/>
      <c r="X75" s="2164"/>
      <c r="Y75" s="2164"/>
      <c r="Z75" s="2164"/>
      <c r="AA75" s="2164"/>
      <c r="AB75" s="2164"/>
      <c r="AC75" s="2164"/>
      <c r="AD75" s="2164"/>
      <c r="AE75" s="2164"/>
      <c r="AF75" s="2164"/>
      <c r="AG75" s="2164"/>
      <c r="AH75" s="722"/>
      <c r="AI75" s="722"/>
      <c r="AJ75" s="722"/>
      <c r="AK75" s="722"/>
      <c r="AL75" s="722"/>
      <c r="AM75" s="722"/>
      <c r="AN75" s="722"/>
      <c r="AO75" s="722"/>
      <c r="AP75" s="722"/>
      <c r="AQ75" s="722"/>
      <c r="AR75" s="722"/>
      <c r="AS75" s="722"/>
    </row>
    <row r="76" spans="2:45" x14ac:dyDescent="0.25">
      <c r="B76" s="2164"/>
      <c r="C76" s="2177" t="s">
        <v>40</v>
      </c>
      <c r="D76" s="2250">
        <v>41.185185185185183</v>
      </c>
      <c r="E76" s="2165" t="b">
        <v>0</v>
      </c>
      <c r="F76" s="2165">
        <v>3</v>
      </c>
      <c r="G76" s="3604">
        <v>2.0999999999999996</v>
      </c>
      <c r="H76" s="3604"/>
      <c r="I76" s="2165"/>
      <c r="J76" s="2165"/>
      <c r="K76" s="2164"/>
      <c r="L76" s="2164"/>
      <c r="M76" s="2164"/>
      <c r="N76" s="2164"/>
      <c r="O76" s="2164"/>
      <c r="P76" s="2164"/>
      <c r="Q76" s="2164"/>
      <c r="R76" s="2164"/>
      <c r="S76" s="2164"/>
      <c r="T76" s="2164"/>
      <c r="U76" s="2164"/>
      <c r="V76" s="2164"/>
      <c r="W76" s="2164"/>
      <c r="X76" s="2164"/>
      <c r="Y76" s="2164"/>
      <c r="Z76" s="2164"/>
      <c r="AA76" s="2164"/>
      <c r="AB76" s="2164"/>
      <c r="AC76" s="2164"/>
      <c r="AD76" s="2164"/>
      <c r="AE76" s="2164"/>
      <c r="AF76" s="2164"/>
      <c r="AG76" s="2164"/>
      <c r="AH76" s="722"/>
      <c r="AI76" s="722"/>
      <c r="AJ76" s="722"/>
      <c r="AK76" s="722"/>
      <c r="AL76" s="722"/>
      <c r="AM76" s="722"/>
      <c r="AN76" s="722"/>
      <c r="AO76" s="722"/>
      <c r="AP76" s="722"/>
      <c r="AQ76" s="722"/>
      <c r="AR76" s="722"/>
      <c r="AS76" s="722"/>
    </row>
    <row r="77" spans="2:45" x14ac:dyDescent="0.25">
      <c r="B77" s="2164"/>
      <c r="C77" s="2177" t="s">
        <v>41</v>
      </c>
      <c r="D77" s="2250">
        <v>26.015531660692954</v>
      </c>
      <c r="E77" s="2165" t="b">
        <v>0</v>
      </c>
      <c r="F77" s="2165">
        <v>3</v>
      </c>
      <c r="G77" s="3604">
        <v>2.0999999999999996</v>
      </c>
      <c r="H77" s="3604"/>
      <c r="I77" s="2165"/>
      <c r="J77" s="2165"/>
      <c r="K77" s="2164"/>
      <c r="L77" s="2164"/>
      <c r="M77" s="2164"/>
      <c r="N77" s="2164"/>
      <c r="O77" s="2164"/>
      <c r="P77" s="2164"/>
      <c r="Q77" s="2164"/>
      <c r="R77" s="2164"/>
      <c r="S77" s="2164"/>
      <c r="T77" s="2164"/>
      <c r="U77" s="2164"/>
      <c r="V77" s="2164"/>
      <c r="W77" s="2164"/>
      <c r="X77" s="2164"/>
      <c r="Y77" s="2164"/>
      <c r="Z77" s="2164"/>
      <c r="AA77" s="2164"/>
      <c r="AB77" s="2164"/>
      <c r="AC77" s="2164"/>
      <c r="AD77" s="2164"/>
      <c r="AE77" s="2164"/>
      <c r="AF77" s="2164"/>
      <c r="AG77" s="2164"/>
      <c r="AH77" s="722"/>
      <c r="AI77" s="722"/>
      <c r="AJ77" s="722"/>
      <c r="AK77" s="722"/>
      <c r="AL77" s="722"/>
      <c r="AM77" s="722"/>
      <c r="AN77" s="722"/>
      <c r="AO77" s="722"/>
      <c r="AP77" s="722"/>
      <c r="AQ77" s="722"/>
      <c r="AR77" s="722"/>
      <c r="AS77" s="722"/>
    </row>
    <row r="78" spans="2:45" x14ac:dyDescent="0.25">
      <c r="B78" s="2164"/>
      <c r="C78" s="2177" t="s">
        <v>42</v>
      </c>
      <c r="D78" s="2250">
        <v>71.047619047619065</v>
      </c>
      <c r="E78" s="2165">
        <v>3</v>
      </c>
      <c r="F78" s="2165">
        <v>3</v>
      </c>
      <c r="G78" s="3604">
        <v>2.9999999999999996</v>
      </c>
      <c r="H78" s="3604"/>
      <c r="I78" s="2165"/>
      <c r="J78" s="2165"/>
      <c r="K78" s="2164"/>
      <c r="L78" s="2164"/>
      <c r="M78" s="2164"/>
      <c r="N78" s="2164"/>
      <c r="O78" s="2164"/>
      <c r="P78" s="2164"/>
      <c r="Q78" s="2164"/>
      <c r="R78" s="2164"/>
      <c r="S78" s="2164"/>
      <c r="T78" s="2164"/>
      <c r="U78" s="2164"/>
      <c r="V78" s="2164"/>
      <c r="W78" s="2164"/>
      <c r="X78" s="2164"/>
      <c r="Y78" s="2164"/>
      <c r="Z78" s="2164"/>
      <c r="AA78" s="2164"/>
      <c r="AB78" s="2164"/>
      <c r="AC78" s="2164"/>
      <c r="AD78" s="2164"/>
      <c r="AE78" s="2164"/>
      <c r="AF78" s="2164"/>
      <c r="AG78" s="2164"/>
      <c r="AH78" s="722"/>
      <c r="AI78" s="722"/>
      <c r="AJ78" s="722"/>
      <c r="AK78" s="722"/>
      <c r="AL78" s="722"/>
      <c r="AM78" s="722"/>
      <c r="AN78" s="722"/>
      <c r="AO78" s="722"/>
      <c r="AP78" s="722"/>
      <c r="AQ78" s="722"/>
      <c r="AR78" s="722"/>
      <c r="AS78" s="722"/>
    </row>
    <row r="79" spans="2:45" x14ac:dyDescent="0.25">
      <c r="B79" s="2164"/>
      <c r="C79" s="2177" t="s">
        <v>43</v>
      </c>
      <c r="D79" s="2250">
        <v>54.467113075603649</v>
      </c>
      <c r="E79" s="2165">
        <v>1</v>
      </c>
      <c r="F79" s="2165">
        <v>3</v>
      </c>
      <c r="G79" s="3604">
        <v>2.3999999999999995</v>
      </c>
      <c r="H79" s="3604"/>
      <c r="I79" s="2165"/>
      <c r="J79" s="2165"/>
      <c r="K79" s="2164"/>
      <c r="L79" s="2164"/>
      <c r="M79" s="2164"/>
      <c r="N79" s="2164"/>
      <c r="O79" s="2164"/>
      <c r="P79" s="2164"/>
      <c r="Q79" s="2164"/>
      <c r="R79" s="2164"/>
      <c r="S79" s="2164"/>
      <c r="T79" s="2164"/>
      <c r="U79" s="2164"/>
      <c r="V79" s="2164"/>
      <c r="W79" s="2164"/>
      <c r="X79" s="2164"/>
      <c r="Y79" s="2164"/>
      <c r="Z79" s="2164"/>
      <c r="AA79" s="2164"/>
      <c r="AB79" s="2164"/>
      <c r="AC79" s="2164"/>
      <c r="AD79" s="2164"/>
      <c r="AE79" s="2164"/>
      <c r="AF79" s="2164"/>
      <c r="AG79" s="2164"/>
      <c r="AH79" s="722"/>
      <c r="AI79" s="722"/>
      <c r="AJ79" s="722"/>
      <c r="AK79" s="722"/>
      <c r="AL79" s="722"/>
      <c r="AM79" s="722"/>
      <c r="AN79" s="722"/>
      <c r="AO79" s="722"/>
      <c r="AP79" s="722"/>
      <c r="AQ79" s="722"/>
      <c r="AR79" s="722"/>
      <c r="AS79" s="722"/>
    </row>
    <row r="80" spans="2:45" x14ac:dyDescent="0.25">
      <c r="B80" s="2164"/>
      <c r="C80" s="2177"/>
      <c r="D80" s="2164"/>
      <c r="E80" s="2165"/>
      <c r="F80" s="2165"/>
      <c r="G80" s="3604"/>
      <c r="H80" s="3604"/>
      <c r="I80" s="2165"/>
      <c r="J80" s="2165"/>
      <c r="K80" s="2164"/>
      <c r="L80" s="2164"/>
      <c r="M80" s="2164"/>
      <c r="N80" s="2164"/>
      <c r="O80" s="2164"/>
      <c r="P80" s="2164"/>
      <c r="Q80" s="2164"/>
      <c r="R80" s="2164"/>
      <c r="S80" s="2164"/>
      <c r="T80" s="2164"/>
      <c r="U80" s="2164"/>
      <c r="V80" s="2164"/>
      <c r="W80" s="2164"/>
      <c r="X80" s="2164"/>
      <c r="Y80" s="2164"/>
      <c r="Z80" s="2164"/>
      <c r="AA80" s="2164"/>
      <c r="AB80" s="2164"/>
      <c r="AC80" s="2164"/>
      <c r="AD80" s="2164"/>
      <c r="AE80" s="2164"/>
      <c r="AF80" s="2164"/>
      <c r="AG80" s="2164"/>
      <c r="AH80" s="722"/>
      <c r="AI80" s="722"/>
      <c r="AJ80" s="722"/>
      <c r="AK80" s="722"/>
      <c r="AL80" s="722"/>
      <c r="AM80" s="722"/>
      <c r="AN80" s="722"/>
      <c r="AO80" s="722"/>
      <c r="AP80" s="722"/>
      <c r="AQ80" s="722"/>
      <c r="AR80" s="722"/>
      <c r="AS80" s="722"/>
    </row>
    <row r="81" spans="2:45" x14ac:dyDescent="0.25">
      <c r="B81" s="3041" t="s">
        <v>44</v>
      </c>
      <c r="C81" s="3041"/>
      <c r="D81" s="3041"/>
      <c r="E81" s="3041"/>
      <c r="F81" s="3041"/>
      <c r="G81" s="3604">
        <v>2.34</v>
      </c>
      <c r="H81" s="3604"/>
      <c r="I81" s="2165"/>
      <c r="J81" s="2165"/>
      <c r="K81" s="2251"/>
      <c r="L81" s="2164"/>
      <c r="M81" s="2164"/>
      <c r="N81" s="2164"/>
      <c r="O81" s="2164"/>
      <c r="P81" s="2164"/>
      <c r="Q81" s="2164"/>
      <c r="R81" s="2164"/>
      <c r="S81" s="2164"/>
      <c r="T81" s="2164"/>
      <c r="U81" s="2164"/>
      <c r="V81" s="2164"/>
      <c r="W81" s="2164"/>
      <c r="X81" s="2164"/>
      <c r="Y81" s="2164"/>
      <c r="Z81" s="2164"/>
      <c r="AA81" s="2164"/>
      <c r="AB81" s="2164"/>
      <c r="AC81" s="2164"/>
      <c r="AD81" s="2164"/>
      <c r="AE81" s="2164"/>
      <c r="AF81" s="2164"/>
      <c r="AG81" s="2164"/>
      <c r="AH81" s="722"/>
      <c r="AI81" s="722"/>
      <c r="AJ81" s="722"/>
      <c r="AK81" s="722"/>
      <c r="AL81" s="722"/>
      <c r="AM81" s="722"/>
      <c r="AN81" s="722"/>
      <c r="AO81" s="722"/>
      <c r="AP81" s="722"/>
      <c r="AQ81" s="722"/>
      <c r="AR81" s="722"/>
      <c r="AS81" s="722"/>
    </row>
    <row r="82" spans="2:45" x14ac:dyDescent="0.25">
      <c r="B82" s="2164"/>
      <c r="C82" s="2164"/>
      <c r="D82" s="2164"/>
      <c r="E82" s="2164"/>
      <c r="F82" s="2164"/>
      <c r="G82" s="2164"/>
      <c r="H82" s="2164"/>
      <c r="I82" s="2164"/>
      <c r="J82" s="2164"/>
      <c r="K82" s="2164"/>
      <c r="L82" s="2164"/>
      <c r="M82" s="2164"/>
      <c r="N82" s="2164"/>
      <c r="O82" s="2164"/>
      <c r="P82" s="2164"/>
      <c r="Q82" s="2164"/>
      <c r="R82" s="2164"/>
      <c r="S82" s="2164"/>
      <c r="T82" s="2164"/>
      <c r="U82" s="2164"/>
      <c r="V82" s="2164"/>
      <c r="W82" s="2164"/>
      <c r="X82" s="2164"/>
      <c r="Y82" s="2164"/>
      <c r="Z82" s="2164"/>
      <c r="AA82" s="2164"/>
      <c r="AB82" s="2164"/>
      <c r="AC82" s="2164"/>
      <c r="AD82" s="2164"/>
      <c r="AE82" s="2164"/>
      <c r="AF82" s="2164"/>
      <c r="AG82" s="2164"/>
      <c r="AH82" s="722"/>
      <c r="AI82" s="722"/>
      <c r="AJ82" s="722"/>
      <c r="AK82" s="722"/>
      <c r="AL82" s="722"/>
      <c r="AM82" s="722"/>
      <c r="AN82" s="722"/>
      <c r="AO82" s="722"/>
      <c r="AP82" s="722"/>
      <c r="AQ82" s="722"/>
      <c r="AR82" s="722"/>
      <c r="AS82" s="722"/>
    </row>
    <row r="83" spans="2:45" x14ac:dyDescent="0.25">
      <c r="B83" s="2164"/>
      <c r="C83" s="2164"/>
      <c r="D83" s="2164"/>
      <c r="E83" s="2164"/>
      <c r="F83" s="2164"/>
      <c r="G83" s="2164"/>
      <c r="H83" s="2164"/>
      <c r="I83" s="2164"/>
      <c r="J83" s="2164"/>
      <c r="K83" s="2164"/>
      <c r="L83" s="2164"/>
      <c r="M83" s="2164"/>
      <c r="N83" s="2164"/>
      <c r="O83" s="2164"/>
      <c r="P83" s="2164"/>
      <c r="Q83" s="2164"/>
      <c r="R83" s="2164"/>
      <c r="S83" s="2164"/>
      <c r="T83" s="2164"/>
      <c r="U83" s="2164"/>
      <c r="V83" s="2164"/>
      <c r="W83" s="2164"/>
      <c r="X83" s="2164"/>
      <c r="Y83" s="2164"/>
      <c r="Z83" s="2164"/>
      <c r="AA83" s="2164"/>
      <c r="AB83" s="2164"/>
      <c r="AC83" s="2164"/>
      <c r="AD83" s="2164"/>
      <c r="AE83" s="2164"/>
      <c r="AF83" s="2164"/>
      <c r="AG83" s="2164"/>
      <c r="AH83" s="722"/>
      <c r="AI83" s="722"/>
      <c r="AJ83" s="722"/>
      <c r="AK83" s="722"/>
      <c r="AL83" s="722"/>
      <c r="AM83" s="722"/>
      <c r="AN83" s="722"/>
      <c r="AO83" s="722"/>
      <c r="AP83" s="722"/>
      <c r="AQ83" s="722"/>
      <c r="AR83" s="722"/>
      <c r="AS83" s="722"/>
    </row>
    <row r="84" spans="2:45" x14ac:dyDescent="0.25">
      <c r="B84" s="2164"/>
      <c r="C84" s="2164"/>
      <c r="D84" s="2164"/>
      <c r="E84" s="2164"/>
      <c r="F84" s="2164"/>
      <c r="G84" s="2164"/>
      <c r="H84" s="2164"/>
      <c r="I84" s="2164"/>
      <c r="J84" s="2164"/>
      <c r="K84" s="2164"/>
      <c r="L84" s="2164"/>
      <c r="M84" s="2164"/>
      <c r="N84" s="2164"/>
      <c r="O84" s="2164"/>
      <c r="P84" s="2164"/>
      <c r="Q84" s="2164"/>
      <c r="R84" s="2164"/>
      <c r="S84" s="2164"/>
      <c r="T84" s="2164"/>
      <c r="U84" s="2164"/>
      <c r="V84" s="2164"/>
      <c r="W84" s="2164"/>
      <c r="X84" s="2164"/>
      <c r="Y84" s="2164"/>
      <c r="Z84" s="2164"/>
      <c r="AA84" s="2164"/>
      <c r="AB84" s="2164"/>
      <c r="AC84" s="2164"/>
      <c r="AD84" s="2164"/>
      <c r="AE84" s="2164"/>
      <c r="AF84" s="2164"/>
      <c r="AG84" s="2164"/>
      <c r="AH84" s="722"/>
      <c r="AI84" s="722"/>
      <c r="AJ84" s="722"/>
      <c r="AK84" s="722"/>
      <c r="AL84" s="722"/>
      <c r="AM84" s="722"/>
      <c r="AN84" s="722"/>
      <c r="AO84" s="722"/>
      <c r="AP84" s="722"/>
      <c r="AQ84" s="722"/>
      <c r="AR84" s="722"/>
      <c r="AS84" s="722"/>
    </row>
    <row r="85" spans="2:45" x14ac:dyDescent="0.25">
      <c r="B85" s="2164"/>
      <c r="C85" s="2166"/>
      <c r="D85" s="2164"/>
      <c r="E85" s="2164"/>
      <c r="F85" s="2164"/>
      <c r="G85" s="2164"/>
      <c r="H85" s="2164"/>
      <c r="I85" s="2164"/>
      <c r="J85" s="2164"/>
      <c r="K85" s="2164"/>
      <c r="L85" s="2164"/>
      <c r="M85" s="2164"/>
      <c r="N85" s="2164"/>
      <c r="O85" s="2164"/>
      <c r="P85" s="2164"/>
      <c r="Q85" s="2164"/>
      <c r="R85" s="2164"/>
      <c r="S85" s="2164"/>
      <c r="T85" s="2164"/>
      <c r="U85" s="2164"/>
      <c r="V85" s="2164"/>
      <c r="W85" s="2164"/>
      <c r="X85" s="2164"/>
      <c r="Y85" s="2164"/>
      <c r="Z85" s="2164"/>
      <c r="AA85" s="2164"/>
      <c r="AB85" s="2164"/>
      <c r="AC85" s="2164"/>
      <c r="AD85" s="2164"/>
      <c r="AE85" s="2164"/>
      <c r="AF85" s="2164"/>
      <c r="AG85" s="2164"/>
      <c r="AH85" s="722"/>
      <c r="AI85" s="722"/>
      <c r="AJ85" s="722"/>
      <c r="AK85" s="722"/>
      <c r="AL85" s="722"/>
      <c r="AM85" s="722"/>
      <c r="AN85" s="722"/>
      <c r="AO85" s="722"/>
      <c r="AP85" s="722"/>
      <c r="AQ85" s="722"/>
      <c r="AR85" s="722"/>
      <c r="AS85" s="722"/>
    </row>
    <row r="86" spans="2:45" x14ac:dyDescent="0.25">
      <c r="B86" s="2872" t="s">
        <v>261</v>
      </c>
      <c r="C86" s="2872"/>
      <c r="D86" s="2164"/>
      <c r="E86" s="2164"/>
      <c r="F86" s="2164"/>
      <c r="G86" s="2164"/>
      <c r="H86" s="2164"/>
      <c r="I86" s="2164"/>
      <c r="J86" s="2164"/>
      <c r="K86" s="2164"/>
      <c r="L86" s="2164"/>
      <c r="M86" s="2164"/>
      <c r="N86" s="2164"/>
      <c r="O86" s="2164"/>
      <c r="P86" s="2164"/>
      <c r="Q86" s="2164"/>
      <c r="R86" s="2164"/>
      <c r="S86" s="2164"/>
      <c r="T86" s="2164"/>
      <c r="U86" s="2164"/>
      <c r="V86" s="2164"/>
      <c r="W86" s="2164"/>
      <c r="X86" s="2164"/>
      <c r="Y86" s="2164"/>
      <c r="Z86" s="2164"/>
      <c r="AA86" s="2164"/>
      <c r="AB86" s="2164"/>
      <c r="AC86" s="2164"/>
      <c r="AD86" s="2164"/>
      <c r="AE86" s="2164"/>
      <c r="AF86" s="2164"/>
      <c r="AG86" s="2164"/>
      <c r="AH86" s="722"/>
      <c r="AI86" s="722"/>
      <c r="AJ86" s="722"/>
      <c r="AK86" s="722"/>
      <c r="AL86" s="722"/>
      <c r="AM86" s="722"/>
      <c r="AN86" s="722"/>
      <c r="AO86" s="722"/>
      <c r="AP86" s="722"/>
      <c r="AQ86" s="722"/>
      <c r="AR86" s="722"/>
      <c r="AS86" s="722"/>
    </row>
    <row r="87" spans="2:45" x14ac:dyDescent="0.25">
      <c r="B87" s="2164"/>
      <c r="C87" s="2126" t="s">
        <v>45</v>
      </c>
      <c r="D87" s="2252" t="s">
        <v>68</v>
      </c>
      <c r="E87" s="2252" t="s">
        <v>69</v>
      </c>
      <c r="F87" s="2252" t="s">
        <v>70</v>
      </c>
      <c r="G87" s="2252" t="s">
        <v>71</v>
      </c>
      <c r="H87" s="2252" t="s">
        <v>72</v>
      </c>
      <c r="I87" s="2252" t="s">
        <v>73</v>
      </c>
      <c r="J87" s="2252" t="s">
        <v>74</v>
      </c>
      <c r="K87" s="2252" t="s">
        <v>75</v>
      </c>
      <c r="L87" s="2252" t="s">
        <v>76</v>
      </c>
      <c r="M87" s="2252" t="s">
        <v>77</v>
      </c>
      <c r="N87" s="2252" t="s">
        <v>78</v>
      </c>
      <c r="O87" s="2126" t="s">
        <v>79</v>
      </c>
      <c r="P87" s="54"/>
      <c r="Q87" s="54"/>
      <c r="R87" s="54"/>
      <c r="S87" s="2164"/>
      <c r="T87" s="2164"/>
      <c r="U87" s="2164"/>
      <c r="V87" s="2164"/>
      <c r="W87" s="2164"/>
      <c r="X87" s="2164"/>
      <c r="Y87" s="2164"/>
      <c r="Z87" s="2164"/>
      <c r="AA87" s="2164"/>
      <c r="AB87" s="2164"/>
      <c r="AC87" s="2164"/>
      <c r="AD87" s="2164"/>
      <c r="AE87" s="2164"/>
      <c r="AF87" s="2164"/>
      <c r="AG87" s="2164"/>
      <c r="AH87" s="722"/>
      <c r="AI87" s="722"/>
      <c r="AJ87" s="722"/>
      <c r="AK87" s="722"/>
      <c r="AL87" s="722"/>
      <c r="AM87" s="722"/>
      <c r="AN87" s="722"/>
      <c r="AO87" s="722"/>
      <c r="AP87" s="722"/>
      <c r="AQ87" s="722"/>
      <c r="AR87" s="722"/>
      <c r="AS87" s="722"/>
    </row>
    <row r="88" spans="2:45" x14ac:dyDescent="0.25">
      <c r="B88" s="2164"/>
      <c r="C88" s="2261" t="s">
        <v>20</v>
      </c>
      <c r="D88" s="2163">
        <v>3</v>
      </c>
      <c r="E88" s="574">
        <v>3</v>
      </c>
      <c r="F88" s="2105">
        <v>2</v>
      </c>
      <c r="G88" s="2105"/>
      <c r="H88" s="2253">
        <v>3</v>
      </c>
      <c r="I88" s="2105">
        <v>2</v>
      </c>
      <c r="J88" s="2105">
        <v>2</v>
      </c>
      <c r="K88" s="2105">
        <v>2</v>
      </c>
      <c r="L88" s="2254">
        <v>3</v>
      </c>
      <c r="M88" s="2163">
        <v>2</v>
      </c>
      <c r="N88" s="2253"/>
      <c r="O88" s="2105">
        <v>3</v>
      </c>
      <c r="P88" s="2255"/>
      <c r="Q88" s="2255"/>
      <c r="R88" s="2255"/>
      <c r="S88" s="2164"/>
      <c r="T88" s="2164"/>
      <c r="U88" s="2164"/>
      <c r="V88" s="2164"/>
      <c r="W88" s="2164"/>
      <c r="X88" s="2164"/>
      <c r="Y88" s="2164"/>
      <c r="Z88" s="2164"/>
      <c r="AA88" s="2164"/>
      <c r="AB88" s="2164"/>
      <c r="AC88" s="2164"/>
      <c r="AD88" s="2164"/>
      <c r="AE88" s="2164"/>
      <c r="AF88" s="2164"/>
      <c r="AG88" s="2164"/>
      <c r="AH88" s="722"/>
      <c r="AI88" s="722"/>
      <c r="AJ88" s="722"/>
      <c r="AK88" s="722"/>
      <c r="AL88" s="722"/>
      <c r="AM88" s="722"/>
      <c r="AN88" s="722"/>
      <c r="AO88" s="722"/>
      <c r="AP88" s="722"/>
      <c r="AQ88" s="722"/>
      <c r="AR88" s="722"/>
      <c r="AS88" s="722"/>
    </row>
    <row r="89" spans="2:45" x14ac:dyDescent="0.25">
      <c r="B89" s="2164"/>
      <c r="C89" s="2261" t="s">
        <v>21</v>
      </c>
      <c r="D89" s="2163">
        <v>3</v>
      </c>
      <c r="E89" s="574">
        <v>3</v>
      </c>
      <c r="F89" s="2105">
        <v>2</v>
      </c>
      <c r="G89" s="2105"/>
      <c r="H89" s="2253">
        <v>3</v>
      </c>
      <c r="I89" s="2105">
        <v>2</v>
      </c>
      <c r="J89" s="2105">
        <v>2</v>
      </c>
      <c r="K89" s="2105">
        <v>2</v>
      </c>
      <c r="L89" s="2254">
        <v>3</v>
      </c>
      <c r="M89" s="2163">
        <v>2</v>
      </c>
      <c r="N89" s="2253"/>
      <c r="O89" s="2105">
        <v>3</v>
      </c>
      <c r="P89" s="2255"/>
      <c r="Q89" s="2255"/>
      <c r="R89" s="2255"/>
      <c r="S89" s="2164"/>
      <c r="T89" s="2164"/>
      <c r="U89" s="2164"/>
      <c r="V89" s="2164"/>
      <c r="W89" s="2164"/>
      <c r="X89" s="2164"/>
      <c r="Y89" s="2164"/>
      <c r="Z89" s="2164"/>
      <c r="AA89" s="2164"/>
      <c r="AB89" s="2164"/>
      <c r="AC89" s="2164"/>
      <c r="AD89" s="2164"/>
      <c r="AE89" s="2164"/>
      <c r="AF89" s="2164"/>
      <c r="AG89" s="2164"/>
      <c r="AH89" s="722"/>
      <c r="AI89" s="722"/>
      <c r="AJ89" s="722"/>
      <c r="AK89" s="722"/>
      <c r="AL89" s="722"/>
      <c r="AM89" s="722"/>
      <c r="AN89" s="722"/>
      <c r="AO89" s="722"/>
      <c r="AP89" s="722"/>
      <c r="AQ89" s="722"/>
      <c r="AR89" s="722"/>
      <c r="AS89" s="722"/>
    </row>
    <row r="90" spans="2:45" x14ac:dyDescent="0.25">
      <c r="B90" s="2164"/>
      <c r="C90" s="2261" t="s">
        <v>23</v>
      </c>
      <c r="D90" s="2163">
        <v>3</v>
      </c>
      <c r="E90" s="574">
        <v>3</v>
      </c>
      <c r="F90" s="2105">
        <v>2</v>
      </c>
      <c r="G90" s="2105"/>
      <c r="H90" s="2253">
        <v>3</v>
      </c>
      <c r="I90" s="2105">
        <v>2</v>
      </c>
      <c r="J90" s="2105">
        <v>2</v>
      </c>
      <c r="K90" s="2105">
        <v>2</v>
      </c>
      <c r="L90" s="2254">
        <v>3</v>
      </c>
      <c r="M90" s="2163">
        <v>2</v>
      </c>
      <c r="N90" s="2253"/>
      <c r="O90" s="2105">
        <v>3</v>
      </c>
      <c r="P90" s="2255"/>
      <c r="Q90" s="2255"/>
      <c r="R90" s="2255"/>
      <c r="S90" s="2164"/>
      <c r="T90" s="2164"/>
      <c r="U90" s="2164"/>
      <c r="V90" s="2164"/>
      <c r="W90" s="2164"/>
      <c r="X90" s="2164"/>
      <c r="Y90" s="2164"/>
      <c r="Z90" s="2164"/>
      <c r="AA90" s="2164"/>
      <c r="AB90" s="2164"/>
      <c r="AC90" s="2164"/>
      <c r="AD90" s="2164"/>
      <c r="AE90" s="2164"/>
      <c r="AF90" s="2164"/>
      <c r="AG90" s="2164"/>
      <c r="AH90" s="722"/>
      <c r="AI90" s="722"/>
      <c r="AJ90" s="722"/>
      <c r="AK90" s="722"/>
      <c r="AL90" s="722"/>
      <c r="AM90" s="722"/>
      <c r="AN90" s="722"/>
      <c r="AO90" s="722"/>
      <c r="AP90" s="722"/>
      <c r="AQ90" s="722"/>
      <c r="AR90" s="722"/>
      <c r="AS90" s="722"/>
    </row>
    <row r="91" spans="2:45" x14ac:dyDescent="0.25">
      <c r="B91" s="2164"/>
      <c r="C91" s="2261" t="s">
        <v>25</v>
      </c>
      <c r="D91" s="2163">
        <v>3</v>
      </c>
      <c r="E91" s="574">
        <v>3</v>
      </c>
      <c r="F91" s="2105">
        <v>2</v>
      </c>
      <c r="G91" s="2105"/>
      <c r="H91" s="2253">
        <v>3</v>
      </c>
      <c r="I91" s="2105">
        <v>2</v>
      </c>
      <c r="J91" s="2105">
        <v>2</v>
      </c>
      <c r="K91" s="2105">
        <v>2</v>
      </c>
      <c r="L91" s="2254">
        <v>3</v>
      </c>
      <c r="M91" s="2163">
        <v>2</v>
      </c>
      <c r="N91" s="2253"/>
      <c r="O91" s="2105">
        <v>3</v>
      </c>
      <c r="P91" s="2255"/>
      <c r="Q91" s="2255"/>
      <c r="R91" s="2255"/>
      <c r="S91" s="2164"/>
      <c r="T91" s="2164"/>
      <c r="U91" s="2164"/>
      <c r="V91" s="2164"/>
      <c r="W91" s="2164"/>
      <c r="X91" s="2164"/>
      <c r="Y91" s="2164"/>
      <c r="Z91" s="2164"/>
      <c r="AA91" s="2164"/>
      <c r="AB91" s="2164"/>
      <c r="AC91" s="2164"/>
      <c r="AD91" s="2164"/>
      <c r="AE91" s="2164"/>
      <c r="AF91" s="2164"/>
      <c r="AG91" s="2164"/>
      <c r="AH91" s="722"/>
      <c r="AI91" s="722"/>
      <c r="AJ91" s="722"/>
      <c r="AK91" s="722"/>
      <c r="AL91" s="722"/>
      <c r="AM91" s="722"/>
      <c r="AN91" s="722"/>
      <c r="AO91" s="722"/>
      <c r="AP91" s="722"/>
      <c r="AQ91" s="722"/>
      <c r="AR91" s="722"/>
      <c r="AS91" s="722"/>
    </row>
    <row r="92" spans="2:45" x14ac:dyDescent="0.25">
      <c r="B92" s="2164"/>
      <c r="C92" s="2261" t="s">
        <v>24</v>
      </c>
      <c r="D92" s="2163">
        <v>3</v>
      </c>
      <c r="E92" s="574">
        <v>3</v>
      </c>
      <c r="F92" s="2105">
        <v>2</v>
      </c>
      <c r="G92" s="2105"/>
      <c r="H92" s="2253">
        <v>3</v>
      </c>
      <c r="I92" s="2105">
        <v>2</v>
      </c>
      <c r="J92" s="2105">
        <v>2</v>
      </c>
      <c r="K92" s="2105">
        <v>2</v>
      </c>
      <c r="L92" s="2254">
        <v>3</v>
      </c>
      <c r="M92" s="2163">
        <v>2</v>
      </c>
      <c r="N92" s="2253"/>
      <c r="O92" s="2105">
        <v>3</v>
      </c>
      <c r="P92" s="2255"/>
      <c r="Q92" s="2255"/>
      <c r="R92" s="2255"/>
      <c r="S92" s="2164"/>
      <c r="T92" s="2164"/>
      <c r="U92" s="2164"/>
      <c r="V92" s="2164"/>
      <c r="W92" s="2164"/>
      <c r="X92" s="2164"/>
      <c r="Y92" s="2164"/>
      <c r="Z92" s="2164"/>
      <c r="AA92" s="2164"/>
      <c r="AB92" s="2164"/>
      <c r="AC92" s="2164"/>
      <c r="AD92" s="2164"/>
      <c r="AE92" s="2164"/>
      <c r="AF92" s="2164"/>
      <c r="AG92" s="2164"/>
      <c r="AH92" s="722"/>
      <c r="AI92" s="722"/>
      <c r="AJ92" s="722"/>
      <c r="AK92" s="722"/>
      <c r="AL92" s="722"/>
      <c r="AM92" s="722"/>
      <c r="AN92" s="722"/>
      <c r="AO92" s="722"/>
      <c r="AP92" s="722"/>
      <c r="AQ92" s="722"/>
      <c r="AR92" s="722"/>
      <c r="AS92" s="722"/>
    </row>
    <row r="93" spans="2:45" x14ac:dyDescent="0.25">
      <c r="B93" s="2164"/>
      <c r="C93" s="2126" t="s">
        <v>10</v>
      </c>
      <c r="D93" s="2256">
        <v>3</v>
      </c>
      <c r="E93" s="2257">
        <v>3</v>
      </c>
      <c r="F93" s="2257">
        <v>2</v>
      </c>
      <c r="G93" s="2257"/>
      <c r="H93" s="2257">
        <v>3</v>
      </c>
      <c r="I93" s="2257">
        <v>2</v>
      </c>
      <c r="J93" s="2257">
        <v>2</v>
      </c>
      <c r="K93" s="2257">
        <v>2</v>
      </c>
      <c r="L93" s="2257">
        <v>3</v>
      </c>
      <c r="M93" s="2257">
        <v>2</v>
      </c>
      <c r="N93" s="2257"/>
      <c r="O93" s="837">
        <v>3</v>
      </c>
      <c r="P93" s="54"/>
      <c r="Q93" s="54"/>
      <c r="R93" s="54"/>
      <c r="S93" s="2164"/>
      <c r="T93" s="2164"/>
      <c r="U93" s="2164"/>
      <c r="V93" s="2164"/>
      <c r="W93" s="2164"/>
      <c r="X93" s="2164"/>
      <c r="Y93" s="2164"/>
      <c r="Z93" s="2164"/>
      <c r="AA93" s="2164"/>
      <c r="AB93" s="2164"/>
      <c r="AC93" s="2164"/>
      <c r="AD93" s="2164"/>
      <c r="AE93" s="2164"/>
      <c r="AF93" s="2164"/>
      <c r="AG93" s="2164"/>
      <c r="AH93" s="722"/>
      <c r="AI93" s="722"/>
      <c r="AJ93" s="722"/>
      <c r="AK93" s="722"/>
      <c r="AL93" s="722"/>
      <c r="AM93" s="722"/>
      <c r="AN93" s="722"/>
      <c r="AO93" s="722"/>
      <c r="AP93" s="722"/>
      <c r="AQ93" s="722"/>
      <c r="AR93" s="722"/>
      <c r="AS93" s="722"/>
    </row>
    <row r="94" spans="2:45" x14ac:dyDescent="0.25">
      <c r="B94" s="2164"/>
      <c r="C94" s="519" t="s">
        <v>58</v>
      </c>
      <c r="D94" s="3627">
        <v>2.5</v>
      </c>
      <c r="E94" s="3628"/>
      <c r="F94" s="3628"/>
      <c r="G94" s="3628"/>
      <c r="H94" s="3628"/>
      <c r="I94" s="3628"/>
      <c r="J94" s="3628"/>
      <c r="K94" s="3628"/>
      <c r="L94" s="3628"/>
      <c r="M94" s="3628"/>
      <c r="N94" s="3628"/>
      <c r="O94" s="3629"/>
      <c r="P94" s="122"/>
      <c r="Q94" s="122"/>
      <c r="R94" s="122"/>
      <c r="S94" s="2164"/>
      <c r="T94" s="2164"/>
      <c r="U94" s="2164"/>
      <c r="V94" s="2164"/>
      <c r="W94" s="2164"/>
      <c r="X94" s="2164"/>
      <c r="Y94" s="2164"/>
      <c r="Z94" s="2164"/>
      <c r="AA94" s="2164"/>
      <c r="AB94" s="2164"/>
      <c r="AC94" s="2164"/>
      <c r="AD94" s="2164"/>
      <c r="AE94" s="2164"/>
      <c r="AF94" s="2164"/>
      <c r="AG94" s="2164"/>
      <c r="AH94" s="722"/>
      <c r="AI94" s="722"/>
      <c r="AJ94" s="722"/>
      <c r="AK94" s="722"/>
      <c r="AL94" s="722"/>
      <c r="AM94" s="722"/>
      <c r="AN94" s="722"/>
      <c r="AO94" s="722"/>
      <c r="AP94" s="722"/>
      <c r="AQ94" s="722"/>
      <c r="AR94" s="722"/>
      <c r="AS94" s="722"/>
    </row>
    <row r="95" spans="2:45" x14ac:dyDescent="0.25">
      <c r="B95" s="2164"/>
      <c r="C95" s="2164"/>
      <c r="D95" s="2164"/>
      <c r="E95" s="2164"/>
      <c r="F95" s="2164"/>
      <c r="G95" s="2164"/>
      <c r="H95" s="2164"/>
      <c r="I95" s="2164"/>
      <c r="J95" s="2164"/>
      <c r="K95" s="2164"/>
      <c r="L95" s="2164"/>
      <c r="M95" s="2164"/>
      <c r="N95" s="2164"/>
      <c r="O95" s="2164"/>
      <c r="P95" s="2164"/>
      <c r="Q95" s="2164"/>
      <c r="R95" s="2164"/>
      <c r="S95" s="2164"/>
      <c r="T95" s="2164"/>
      <c r="U95" s="2164"/>
      <c r="V95" s="2164"/>
      <c r="W95" s="2164"/>
      <c r="X95" s="2164"/>
      <c r="Y95" s="2164"/>
      <c r="Z95" s="2164"/>
      <c r="AA95" s="2164"/>
      <c r="AB95" s="2164"/>
      <c r="AC95" s="2164"/>
      <c r="AD95" s="2164"/>
      <c r="AE95" s="2164"/>
      <c r="AF95" s="2164"/>
      <c r="AG95" s="2164"/>
      <c r="AH95" s="722"/>
      <c r="AI95" s="722"/>
      <c r="AJ95" s="722"/>
      <c r="AK95" s="722"/>
      <c r="AL95" s="722"/>
      <c r="AM95" s="722"/>
      <c r="AN95" s="722"/>
      <c r="AO95" s="722"/>
      <c r="AP95" s="722"/>
      <c r="AQ95" s="722"/>
      <c r="AR95" s="722"/>
      <c r="AS95" s="722"/>
    </row>
    <row r="96" spans="2:45" x14ac:dyDescent="0.25">
      <c r="B96" s="2164"/>
      <c r="C96" s="2164"/>
      <c r="D96" s="2164"/>
      <c r="E96" s="2164"/>
      <c r="F96" s="2164"/>
      <c r="G96" s="2164"/>
      <c r="H96" s="2164"/>
      <c r="I96" s="2164"/>
      <c r="J96" s="2164"/>
      <c r="K96" s="2164"/>
      <c r="L96" s="2164"/>
      <c r="M96" s="2164"/>
      <c r="N96" s="2164"/>
      <c r="O96" s="2164"/>
      <c r="P96" s="2164"/>
      <c r="Q96" s="2164"/>
      <c r="R96" s="2164"/>
      <c r="S96" s="2164"/>
      <c r="T96" s="2164"/>
      <c r="U96" s="2164"/>
      <c r="V96" s="2164"/>
      <c r="W96" s="2164"/>
      <c r="X96" s="2164"/>
      <c r="Y96" s="2164"/>
      <c r="Z96" s="2164"/>
      <c r="AA96" s="2164"/>
      <c r="AB96" s="2164"/>
      <c r="AC96" s="2164"/>
      <c r="AD96" s="2164"/>
      <c r="AE96" s="2164"/>
      <c r="AF96" s="2164"/>
      <c r="AG96" s="2164"/>
      <c r="AH96" s="722"/>
      <c r="AI96" s="722"/>
      <c r="AJ96" s="722"/>
      <c r="AK96" s="722"/>
      <c r="AL96" s="722"/>
      <c r="AM96" s="722"/>
      <c r="AN96" s="722"/>
      <c r="AO96" s="722"/>
      <c r="AP96" s="722"/>
      <c r="AQ96" s="722"/>
      <c r="AR96" s="722"/>
      <c r="AS96" s="722"/>
    </row>
    <row r="97" spans="2:45" x14ac:dyDescent="0.25">
      <c r="B97" s="2164"/>
      <c r="C97" s="2166"/>
      <c r="D97" s="2164"/>
      <c r="E97" s="2164"/>
      <c r="F97" s="2164"/>
      <c r="G97" s="2164"/>
      <c r="H97" s="2164"/>
      <c r="I97" s="2164"/>
      <c r="J97" s="2164"/>
      <c r="K97" s="2164"/>
      <c r="L97" s="2164"/>
      <c r="M97" s="2164"/>
      <c r="N97" s="2164"/>
      <c r="O97" s="2164"/>
      <c r="P97" s="2164"/>
      <c r="Q97" s="2164"/>
      <c r="R97" s="2164"/>
      <c r="S97" s="2164"/>
      <c r="T97" s="2164"/>
      <c r="U97" s="2164"/>
      <c r="V97" s="2164"/>
      <c r="W97" s="2164"/>
      <c r="X97" s="2164"/>
      <c r="Y97" s="2164"/>
      <c r="Z97" s="2164"/>
      <c r="AA97" s="2164"/>
      <c r="AB97" s="2164"/>
      <c r="AC97" s="2164"/>
      <c r="AD97" s="2164"/>
      <c r="AE97" s="2164"/>
      <c r="AF97" s="2164"/>
      <c r="AG97" s="2164"/>
      <c r="AH97" s="722"/>
      <c r="AI97" s="722"/>
      <c r="AJ97" s="722"/>
      <c r="AK97" s="722"/>
      <c r="AL97" s="722"/>
      <c r="AM97" s="722"/>
      <c r="AN97" s="722"/>
      <c r="AO97" s="722"/>
      <c r="AP97" s="722"/>
      <c r="AQ97" s="722"/>
      <c r="AR97" s="722"/>
      <c r="AS97" s="722"/>
    </row>
    <row r="98" spans="2:45" x14ac:dyDescent="0.25">
      <c r="B98" s="2872" t="s">
        <v>262</v>
      </c>
      <c r="C98" s="2872"/>
      <c r="D98" s="2164"/>
      <c r="E98" s="2164"/>
      <c r="F98" s="2164"/>
      <c r="G98" s="2164"/>
      <c r="H98" s="2164"/>
      <c r="I98" s="2164"/>
      <c r="J98" s="2164"/>
      <c r="K98" s="2164"/>
      <c r="L98" s="2164"/>
      <c r="M98" s="2164"/>
      <c r="N98" s="2164"/>
      <c r="O98" s="2164"/>
      <c r="P98" s="2164"/>
      <c r="Q98" s="2164"/>
      <c r="R98" s="2164"/>
      <c r="S98" s="2164"/>
      <c r="T98" s="2164"/>
      <c r="U98" s="2164"/>
      <c r="V98" s="2164"/>
      <c r="W98" s="2164"/>
      <c r="X98" s="2164"/>
      <c r="Y98" s="2164"/>
      <c r="Z98" s="2164"/>
      <c r="AA98" s="2164"/>
      <c r="AB98" s="2164"/>
      <c r="AC98" s="2164"/>
      <c r="AD98" s="2164"/>
      <c r="AE98" s="2164"/>
      <c r="AF98" s="2164"/>
      <c r="AG98" s="2164"/>
      <c r="AH98" s="722"/>
      <c r="AI98" s="722"/>
      <c r="AJ98" s="722"/>
      <c r="AK98" s="722"/>
      <c r="AL98" s="722"/>
      <c r="AM98" s="722"/>
      <c r="AN98" s="722"/>
      <c r="AO98" s="722"/>
      <c r="AP98" s="722"/>
      <c r="AQ98" s="722"/>
      <c r="AR98" s="722"/>
      <c r="AS98" s="722"/>
    </row>
    <row r="99" spans="2:45" x14ac:dyDescent="0.25">
      <c r="B99" s="2164"/>
      <c r="C99" s="837" t="s">
        <v>45</v>
      </c>
      <c r="D99" s="2252" t="s">
        <v>68</v>
      </c>
      <c r="E99" s="2252" t="s">
        <v>69</v>
      </c>
      <c r="F99" s="2252" t="s">
        <v>70</v>
      </c>
      <c r="G99" s="2252" t="s">
        <v>71</v>
      </c>
      <c r="H99" s="2252" t="s">
        <v>72</v>
      </c>
      <c r="I99" s="2252" t="s">
        <v>73</v>
      </c>
      <c r="J99" s="2252" t="s">
        <v>74</v>
      </c>
      <c r="K99" s="2252" t="s">
        <v>75</v>
      </c>
      <c r="L99" s="2252" t="s">
        <v>76</v>
      </c>
      <c r="M99" s="2252" t="s">
        <v>77</v>
      </c>
      <c r="N99" s="2252" t="s">
        <v>78</v>
      </c>
      <c r="O99" s="2126" t="s">
        <v>79</v>
      </c>
      <c r="P99" s="54"/>
      <c r="Q99" s="54"/>
      <c r="R99" s="54"/>
      <c r="S99" s="2164"/>
      <c r="T99" s="2164"/>
      <c r="U99" s="2164"/>
      <c r="V99" s="2164"/>
      <c r="W99" s="2164"/>
      <c r="X99" s="2164"/>
      <c r="Y99" s="2164"/>
      <c r="Z99" s="2164"/>
      <c r="AA99" s="2164"/>
      <c r="AB99" s="2164"/>
      <c r="AC99" s="2164"/>
      <c r="AD99" s="2164"/>
      <c r="AE99" s="2164"/>
      <c r="AF99" s="2164"/>
      <c r="AG99" s="2164"/>
      <c r="AH99" s="722"/>
      <c r="AI99" s="722"/>
      <c r="AJ99" s="722"/>
      <c r="AK99" s="722"/>
      <c r="AL99" s="722"/>
      <c r="AM99" s="722"/>
      <c r="AN99" s="722"/>
      <c r="AO99" s="722"/>
      <c r="AP99" s="722"/>
      <c r="AQ99" s="722"/>
      <c r="AR99" s="722"/>
      <c r="AS99" s="722"/>
    </row>
    <row r="100" spans="2:45" x14ac:dyDescent="0.25">
      <c r="B100" s="2164"/>
      <c r="C100" s="2261" t="s">
        <v>20</v>
      </c>
      <c r="D100" s="2163">
        <v>2.0999999999999996</v>
      </c>
      <c r="E100" s="2163">
        <v>2.0999999999999996</v>
      </c>
      <c r="F100" s="2163">
        <v>1.3999999999999997</v>
      </c>
      <c r="G100" s="2163"/>
      <c r="H100" s="2163">
        <v>2.0999999999999996</v>
      </c>
      <c r="I100" s="2163">
        <v>1.3999999999999997</v>
      </c>
      <c r="J100" s="2163">
        <v>1.3999999999999997</v>
      </c>
      <c r="K100" s="2163">
        <v>1.3999999999999997</v>
      </c>
      <c r="L100" s="2163">
        <v>2.0999999999999996</v>
      </c>
      <c r="M100" s="2163">
        <v>1.3999999999999997</v>
      </c>
      <c r="N100" s="2163"/>
      <c r="O100" s="2163">
        <v>2.0999999999999996</v>
      </c>
      <c r="P100" s="2258"/>
      <c r="Q100" s="2258"/>
      <c r="R100" s="2258"/>
      <c r="S100" s="2164"/>
      <c r="T100" s="2164"/>
      <c r="U100" s="2164"/>
      <c r="V100" s="2164"/>
      <c r="W100" s="2164"/>
      <c r="X100" s="2164"/>
      <c r="Y100" s="2164"/>
      <c r="Z100" s="2164"/>
      <c r="AA100" s="2164"/>
      <c r="AB100" s="2164"/>
      <c r="AC100" s="2164"/>
      <c r="AD100" s="2164"/>
      <c r="AE100" s="2164"/>
      <c r="AF100" s="2164"/>
      <c r="AG100" s="2164"/>
      <c r="AH100" s="722"/>
      <c r="AI100" s="722"/>
      <c r="AJ100" s="722"/>
      <c r="AK100" s="722"/>
      <c r="AL100" s="722"/>
      <c r="AM100" s="722"/>
      <c r="AN100" s="722"/>
      <c r="AO100" s="722"/>
      <c r="AP100" s="722"/>
      <c r="AQ100" s="722"/>
      <c r="AR100" s="722"/>
      <c r="AS100" s="722"/>
    </row>
    <row r="101" spans="2:45" x14ac:dyDescent="0.25">
      <c r="B101" s="2164"/>
      <c r="C101" s="2261" t="s">
        <v>21</v>
      </c>
      <c r="D101" s="2163">
        <v>2.0999999999999996</v>
      </c>
      <c r="E101" s="2163">
        <v>2.0999999999999996</v>
      </c>
      <c r="F101" s="2163">
        <v>1.3999999999999997</v>
      </c>
      <c r="G101" s="2163"/>
      <c r="H101" s="2163">
        <v>2.0999999999999996</v>
      </c>
      <c r="I101" s="2163">
        <v>1.3999999999999997</v>
      </c>
      <c r="J101" s="2163">
        <v>1.3999999999999997</v>
      </c>
      <c r="K101" s="2163">
        <v>1.3999999999999997</v>
      </c>
      <c r="L101" s="2163">
        <v>2.0999999999999996</v>
      </c>
      <c r="M101" s="2163">
        <v>1.3999999999999997</v>
      </c>
      <c r="N101" s="2163"/>
      <c r="O101" s="2163">
        <v>2.0999999999999996</v>
      </c>
      <c r="P101" s="2258"/>
      <c r="Q101" s="2258"/>
      <c r="R101" s="2258"/>
      <c r="S101" s="2164"/>
      <c r="T101" s="2164"/>
      <c r="U101" s="2164"/>
      <c r="V101" s="2164"/>
      <c r="W101" s="2164"/>
      <c r="X101" s="2164"/>
      <c r="Y101" s="2164"/>
      <c r="Z101" s="2164"/>
      <c r="AA101" s="2164"/>
      <c r="AB101" s="2164"/>
      <c r="AC101" s="2164"/>
      <c r="AD101" s="2164"/>
      <c r="AE101" s="2164"/>
      <c r="AF101" s="2164"/>
      <c r="AG101" s="2164"/>
      <c r="AH101" s="722"/>
      <c r="AI101" s="722"/>
      <c r="AJ101" s="722"/>
      <c r="AK101" s="722"/>
      <c r="AL101" s="722"/>
      <c r="AM101" s="722"/>
      <c r="AN101" s="722"/>
      <c r="AO101" s="722"/>
      <c r="AP101" s="722"/>
      <c r="AQ101" s="722"/>
      <c r="AR101" s="722"/>
      <c r="AS101" s="722"/>
    </row>
    <row r="102" spans="2:45" x14ac:dyDescent="0.25">
      <c r="B102" s="2164"/>
      <c r="C102" s="2261" t="s">
        <v>23</v>
      </c>
      <c r="D102" s="2163">
        <v>2.0999999999999996</v>
      </c>
      <c r="E102" s="2163">
        <v>2.0999999999999996</v>
      </c>
      <c r="F102" s="2163">
        <v>1.3999999999999997</v>
      </c>
      <c r="G102" s="2163"/>
      <c r="H102" s="2163">
        <v>2.0999999999999996</v>
      </c>
      <c r="I102" s="2163">
        <v>1.3999999999999997</v>
      </c>
      <c r="J102" s="2163">
        <v>1.3999999999999997</v>
      </c>
      <c r="K102" s="2163">
        <v>1.3999999999999997</v>
      </c>
      <c r="L102" s="2163">
        <v>2.0999999999999996</v>
      </c>
      <c r="M102" s="2163">
        <v>1.3999999999999997</v>
      </c>
      <c r="N102" s="2163"/>
      <c r="O102" s="2163">
        <v>2.0999999999999996</v>
      </c>
      <c r="P102" s="2258"/>
      <c r="Q102" s="2258"/>
      <c r="R102" s="2258"/>
      <c r="S102" s="2164"/>
      <c r="T102" s="2164"/>
      <c r="U102" s="2164"/>
      <c r="V102" s="2164"/>
      <c r="W102" s="2164"/>
      <c r="X102" s="2164"/>
      <c r="Y102" s="2164"/>
      <c r="Z102" s="2164"/>
      <c r="AA102" s="2164"/>
      <c r="AB102" s="2164"/>
      <c r="AC102" s="2164"/>
      <c r="AD102" s="2164"/>
      <c r="AE102" s="2164"/>
      <c r="AF102" s="2164"/>
      <c r="AG102" s="2164"/>
      <c r="AH102" s="722"/>
      <c r="AI102" s="722"/>
      <c r="AJ102" s="722"/>
      <c r="AK102" s="722"/>
      <c r="AL102" s="722"/>
      <c r="AM102" s="722"/>
      <c r="AN102" s="722"/>
      <c r="AO102" s="722"/>
      <c r="AP102" s="722"/>
      <c r="AQ102" s="722"/>
      <c r="AR102" s="722"/>
      <c r="AS102" s="722"/>
    </row>
    <row r="103" spans="2:45" x14ac:dyDescent="0.25">
      <c r="B103" s="2164"/>
      <c r="C103" s="2261" t="s">
        <v>25</v>
      </c>
      <c r="D103" s="2163">
        <v>2.9999999999999996</v>
      </c>
      <c r="E103" s="2163">
        <v>2.9999999999999996</v>
      </c>
      <c r="F103" s="2163">
        <v>1.9999999999999998</v>
      </c>
      <c r="G103" s="2163"/>
      <c r="H103" s="2163">
        <v>2.9999999999999996</v>
      </c>
      <c r="I103" s="2163">
        <v>1.9999999999999998</v>
      </c>
      <c r="J103" s="2163">
        <v>1.9999999999999998</v>
      </c>
      <c r="K103" s="2163">
        <v>1.9999999999999998</v>
      </c>
      <c r="L103" s="2163">
        <v>2.9999999999999996</v>
      </c>
      <c r="M103" s="2163">
        <v>1.9999999999999998</v>
      </c>
      <c r="N103" s="2163"/>
      <c r="O103" s="2163">
        <v>2.9999999999999996</v>
      </c>
      <c r="P103" s="2258"/>
      <c r="Q103" s="2258"/>
      <c r="R103" s="2258"/>
      <c r="S103" s="2164"/>
      <c r="T103" s="2164"/>
      <c r="U103" s="2164"/>
      <c r="V103" s="2164"/>
      <c r="W103" s="2164"/>
      <c r="X103" s="2164"/>
      <c r="Y103" s="2164"/>
      <c r="Z103" s="2164"/>
      <c r="AA103" s="2164"/>
      <c r="AB103" s="2164"/>
      <c r="AC103" s="2164"/>
      <c r="AD103" s="2164"/>
      <c r="AE103" s="2164"/>
      <c r="AF103" s="2164"/>
      <c r="AG103" s="2164"/>
      <c r="AH103" s="722"/>
      <c r="AI103" s="722"/>
      <c r="AJ103" s="722"/>
      <c r="AK103" s="722"/>
      <c r="AL103" s="722"/>
      <c r="AM103" s="722"/>
      <c r="AN103" s="722"/>
      <c r="AO103" s="722"/>
      <c r="AP103" s="722"/>
      <c r="AQ103" s="722"/>
      <c r="AR103" s="722"/>
      <c r="AS103" s="722"/>
    </row>
    <row r="104" spans="2:45" x14ac:dyDescent="0.25">
      <c r="B104" s="2164"/>
      <c r="C104" s="2261" t="s">
        <v>24</v>
      </c>
      <c r="D104" s="2163">
        <v>2.3999999999999995</v>
      </c>
      <c r="E104" s="2163">
        <v>2.3999999999999995</v>
      </c>
      <c r="F104" s="2163">
        <v>1.5999999999999996</v>
      </c>
      <c r="G104" s="2163"/>
      <c r="H104" s="2163">
        <v>2.3999999999999995</v>
      </c>
      <c r="I104" s="2163">
        <v>1.5999999999999996</v>
      </c>
      <c r="J104" s="2163">
        <v>1.5999999999999996</v>
      </c>
      <c r="K104" s="2163">
        <v>1.5999999999999996</v>
      </c>
      <c r="L104" s="2163">
        <v>2.3999999999999995</v>
      </c>
      <c r="M104" s="2163">
        <v>1.5999999999999996</v>
      </c>
      <c r="N104" s="2163"/>
      <c r="O104" s="2163">
        <v>2.3999999999999995</v>
      </c>
      <c r="P104" s="2258"/>
      <c r="Q104" s="2258"/>
      <c r="R104" s="2258"/>
      <c r="S104" s="2164"/>
      <c r="T104" s="2164"/>
      <c r="U104" s="2164"/>
      <c r="V104" s="2164"/>
      <c r="W104" s="2164"/>
      <c r="X104" s="2164"/>
      <c r="Y104" s="2164"/>
      <c r="Z104" s="2164"/>
      <c r="AA104" s="2164"/>
      <c r="AB104" s="2164"/>
      <c r="AC104" s="2164"/>
      <c r="AD104" s="2164"/>
      <c r="AE104" s="2164"/>
      <c r="AF104" s="2164"/>
      <c r="AG104" s="2164"/>
      <c r="AH104" s="722"/>
      <c r="AI104" s="722"/>
      <c r="AJ104" s="722"/>
      <c r="AK104" s="722"/>
      <c r="AL104" s="722"/>
      <c r="AM104" s="722"/>
      <c r="AN104" s="722"/>
      <c r="AO104" s="722"/>
      <c r="AP104" s="722"/>
      <c r="AQ104" s="722"/>
      <c r="AR104" s="722"/>
      <c r="AS104" s="722"/>
    </row>
    <row r="105" spans="2:45" x14ac:dyDescent="0.25">
      <c r="B105" s="2164"/>
      <c r="C105" s="519" t="s">
        <v>10</v>
      </c>
      <c r="D105" s="2163">
        <v>2.34</v>
      </c>
      <c r="E105" s="2163">
        <v>2.34</v>
      </c>
      <c r="F105" s="2163">
        <v>1.5599999999999998</v>
      </c>
      <c r="G105" s="2163"/>
      <c r="H105" s="2163">
        <v>2.34</v>
      </c>
      <c r="I105" s="2163">
        <v>1.5599999999999998</v>
      </c>
      <c r="J105" s="2163">
        <v>1.5599999999999998</v>
      </c>
      <c r="K105" s="2163">
        <v>1.5599999999999998</v>
      </c>
      <c r="L105" s="2163">
        <v>2.34</v>
      </c>
      <c r="M105" s="2163">
        <v>1.5599999999999998</v>
      </c>
      <c r="N105" s="2163"/>
      <c r="O105" s="2163">
        <v>2.34</v>
      </c>
      <c r="P105" s="2258"/>
      <c r="Q105" s="2258"/>
      <c r="R105" s="2258"/>
      <c r="S105" s="2164"/>
      <c r="T105" s="2164"/>
      <c r="U105" s="2164"/>
      <c r="V105" s="2164"/>
      <c r="W105" s="2164"/>
      <c r="X105" s="2164"/>
      <c r="Y105" s="2164"/>
      <c r="Z105" s="2164"/>
      <c r="AA105" s="2164"/>
      <c r="AB105" s="2164"/>
      <c r="AC105" s="2164"/>
      <c r="AD105" s="2164"/>
      <c r="AE105" s="2164"/>
      <c r="AF105" s="2164"/>
      <c r="AG105" s="2164"/>
      <c r="AH105" s="722"/>
      <c r="AI105" s="722"/>
      <c r="AJ105" s="722"/>
      <c r="AK105" s="722"/>
      <c r="AL105" s="722"/>
      <c r="AM105" s="722"/>
      <c r="AN105" s="722"/>
      <c r="AO105" s="722"/>
      <c r="AP105" s="722"/>
      <c r="AQ105" s="722"/>
      <c r="AR105" s="722"/>
      <c r="AS105" s="722"/>
    </row>
    <row r="106" spans="2:45" x14ac:dyDescent="0.25">
      <c r="B106" s="2164"/>
      <c r="C106" s="519" t="s">
        <v>58</v>
      </c>
      <c r="D106" s="3627">
        <v>1.95</v>
      </c>
      <c r="E106" s="3628"/>
      <c r="F106" s="3628"/>
      <c r="G106" s="3628"/>
      <c r="H106" s="3628"/>
      <c r="I106" s="3628"/>
      <c r="J106" s="3628"/>
      <c r="K106" s="3628"/>
      <c r="L106" s="3628"/>
      <c r="M106" s="3628"/>
      <c r="N106" s="3628"/>
      <c r="O106" s="3629"/>
      <c r="P106" s="122"/>
      <c r="Q106" s="122"/>
      <c r="R106" s="122"/>
      <c r="S106" s="2164"/>
      <c r="T106" s="2164"/>
      <c r="U106" s="2164"/>
      <c r="V106" s="2164"/>
      <c r="W106" s="2164"/>
      <c r="X106" s="2164"/>
      <c r="Y106" s="2164"/>
      <c r="Z106" s="2164"/>
      <c r="AA106" s="2164"/>
      <c r="AB106" s="2164"/>
      <c r="AC106" s="2164"/>
      <c r="AD106" s="2164"/>
      <c r="AE106" s="2164"/>
      <c r="AF106" s="2164"/>
      <c r="AG106" s="2164"/>
      <c r="AH106" s="722"/>
      <c r="AI106" s="722"/>
      <c r="AJ106" s="722"/>
      <c r="AK106" s="722"/>
      <c r="AL106" s="722"/>
      <c r="AM106" s="722"/>
      <c r="AN106" s="722"/>
      <c r="AO106" s="722"/>
      <c r="AP106" s="722"/>
      <c r="AQ106" s="722"/>
      <c r="AR106" s="722"/>
      <c r="AS106" s="722"/>
    </row>
    <row r="107" spans="2:45" x14ac:dyDescent="0.25">
      <c r="B107" s="2164"/>
      <c r="C107" s="2164"/>
      <c r="D107" s="2164"/>
      <c r="E107" s="2164"/>
      <c r="F107" s="2164"/>
      <c r="G107" s="2164"/>
      <c r="H107" s="2164"/>
      <c r="I107" s="2164"/>
      <c r="J107" s="2164"/>
      <c r="K107" s="2164"/>
      <c r="L107" s="2164"/>
      <c r="M107" s="2164"/>
      <c r="N107" s="2164"/>
      <c r="O107" s="2164"/>
      <c r="P107" s="2164"/>
      <c r="Q107" s="2164"/>
      <c r="R107" s="2164"/>
      <c r="S107" s="2164"/>
      <c r="T107" s="2164"/>
      <c r="U107" s="2164"/>
      <c r="V107" s="2164"/>
      <c r="W107" s="2164"/>
      <c r="X107" s="2164"/>
      <c r="Y107" s="2164"/>
      <c r="Z107" s="2164"/>
      <c r="AA107" s="2164"/>
      <c r="AB107" s="2164"/>
      <c r="AC107" s="2164"/>
      <c r="AD107" s="2164"/>
      <c r="AE107" s="2164"/>
      <c r="AF107" s="2164"/>
      <c r="AG107" s="2164"/>
      <c r="AH107" s="722"/>
      <c r="AI107" s="722"/>
      <c r="AJ107" s="722"/>
      <c r="AK107" s="722"/>
      <c r="AL107" s="722"/>
      <c r="AM107" s="722"/>
      <c r="AN107" s="722"/>
      <c r="AO107" s="722"/>
      <c r="AP107" s="722"/>
      <c r="AQ107" s="722"/>
      <c r="AR107" s="722"/>
      <c r="AS107" s="722"/>
    </row>
    <row r="108" spans="2:45" x14ac:dyDescent="0.25">
      <c r="B108" s="2164"/>
      <c r="C108" s="2166"/>
      <c r="D108" s="342"/>
      <c r="E108" s="342"/>
      <c r="F108" s="2164"/>
      <c r="G108" s="2164"/>
      <c r="H108" s="2164"/>
      <c r="I108" s="2164"/>
      <c r="J108" s="2164"/>
      <c r="K108" s="2164"/>
      <c r="M108" s="342"/>
      <c r="N108" s="342"/>
      <c r="O108" s="342"/>
      <c r="P108" s="342"/>
      <c r="Q108" s="342"/>
      <c r="R108" s="2164"/>
      <c r="S108" s="2164"/>
      <c r="T108" s="2164"/>
      <c r="U108" s="2164"/>
      <c r="V108" s="2164"/>
      <c r="W108" s="2164"/>
      <c r="X108" s="2164"/>
      <c r="Y108" s="2164"/>
      <c r="Z108" s="2164"/>
      <c r="AA108" s="2164"/>
      <c r="AB108" s="2164"/>
      <c r="AC108" s="2164"/>
      <c r="AD108" s="2164"/>
      <c r="AE108" s="2164"/>
      <c r="AF108" s="2164"/>
      <c r="AG108" s="2164"/>
      <c r="AH108" s="722"/>
      <c r="AI108" s="722"/>
      <c r="AJ108" s="722"/>
      <c r="AK108" s="722"/>
      <c r="AL108" s="722"/>
      <c r="AM108" s="722"/>
      <c r="AN108" s="722"/>
      <c r="AO108" s="722"/>
      <c r="AP108" s="722"/>
      <c r="AQ108" s="722"/>
      <c r="AR108" s="722"/>
      <c r="AS108" s="722"/>
    </row>
    <row r="109" spans="2:45" x14ac:dyDescent="0.25">
      <c r="B109" s="2872" t="s">
        <v>263</v>
      </c>
      <c r="C109" s="2872"/>
      <c r="D109" s="342"/>
      <c r="E109" s="342"/>
      <c r="F109" s="2164"/>
      <c r="G109" s="2164"/>
      <c r="H109" s="2164"/>
      <c r="I109" s="2164"/>
      <c r="J109" s="2164"/>
      <c r="K109" s="2164"/>
      <c r="L109" s="2872" t="s">
        <v>264</v>
      </c>
      <c r="M109" s="2872"/>
      <c r="N109" s="2177"/>
      <c r="O109" s="2177"/>
      <c r="P109" s="342"/>
      <c r="Q109" s="342"/>
      <c r="R109" s="2164"/>
      <c r="S109" s="2164"/>
      <c r="T109" s="2164"/>
      <c r="U109" s="2164"/>
      <c r="V109" s="2164"/>
      <c r="W109" s="2164"/>
      <c r="X109" s="2164"/>
      <c r="Y109" s="2164"/>
      <c r="Z109" s="2164"/>
      <c r="AA109" s="2164"/>
      <c r="AB109" s="2164"/>
      <c r="AC109" s="2164"/>
      <c r="AD109" s="2164"/>
      <c r="AE109" s="2164"/>
      <c r="AF109" s="2164"/>
      <c r="AG109" s="2164"/>
      <c r="AH109" s="722"/>
      <c r="AI109" s="722"/>
      <c r="AJ109" s="722"/>
      <c r="AK109" s="722"/>
      <c r="AL109" s="722"/>
      <c r="AM109" s="722"/>
      <c r="AN109" s="722"/>
      <c r="AO109" s="722"/>
      <c r="AP109" s="722"/>
      <c r="AQ109" s="722"/>
      <c r="AR109" s="722"/>
      <c r="AS109" s="722"/>
    </row>
    <row r="110" spans="2:45" x14ac:dyDescent="0.25">
      <c r="B110" s="2166"/>
      <c r="C110" s="2126" t="s">
        <v>59</v>
      </c>
      <c r="D110" s="2252" t="s">
        <v>60</v>
      </c>
      <c r="E110" s="2252" t="s">
        <v>61</v>
      </c>
      <c r="F110" s="2252" t="s">
        <v>62</v>
      </c>
      <c r="G110" s="2164"/>
      <c r="H110" s="2164"/>
      <c r="I110" s="2164"/>
      <c r="J110" s="2164"/>
      <c r="K110" s="2164"/>
      <c r="L110" s="2164"/>
      <c r="N110" s="54"/>
      <c r="O110" s="2126" t="s">
        <v>59</v>
      </c>
      <c r="P110" s="2252" t="s">
        <v>60</v>
      </c>
      <c r="Q110" s="2252" t="s">
        <v>61</v>
      </c>
      <c r="R110" s="2252" t="s">
        <v>62</v>
      </c>
      <c r="S110" s="2164"/>
      <c r="T110" s="2164"/>
      <c r="U110" s="2164"/>
      <c r="V110" s="2164"/>
      <c r="W110" s="2164"/>
      <c r="X110" s="2164"/>
      <c r="Y110" s="2164"/>
      <c r="Z110" s="2164"/>
      <c r="AA110" s="2164"/>
      <c r="AB110" s="2164"/>
      <c r="AC110" s="2164"/>
      <c r="AD110" s="2164"/>
      <c r="AE110" s="2164"/>
      <c r="AF110" s="2164"/>
      <c r="AG110" s="2164"/>
      <c r="AH110" s="722"/>
      <c r="AI110" s="722"/>
      <c r="AJ110" s="722"/>
      <c r="AK110" s="722"/>
      <c r="AL110" s="722"/>
      <c r="AM110" s="722"/>
      <c r="AN110" s="722"/>
      <c r="AO110" s="722"/>
      <c r="AP110" s="722"/>
      <c r="AQ110" s="722"/>
      <c r="AR110" s="722"/>
      <c r="AS110" s="722"/>
    </row>
    <row r="111" spans="2:45" x14ac:dyDescent="0.25">
      <c r="B111" s="2164"/>
      <c r="C111" s="2262" t="s">
        <v>20</v>
      </c>
      <c r="D111" s="580">
        <v>3</v>
      </c>
      <c r="E111" s="580">
        <v>3</v>
      </c>
      <c r="F111" s="580">
        <v>2</v>
      </c>
      <c r="G111" s="2164"/>
      <c r="H111" s="2164"/>
      <c r="I111" s="2164"/>
      <c r="J111" s="2164"/>
      <c r="K111" s="2164"/>
      <c r="L111" s="2164"/>
      <c r="N111" s="54"/>
      <c r="O111" s="837" t="s">
        <v>20</v>
      </c>
      <c r="P111" s="2163">
        <v>2.0999999999999996</v>
      </c>
      <c r="Q111" s="2163">
        <v>2.0999999999999996</v>
      </c>
      <c r="R111" s="2163">
        <v>1.3999999999999997</v>
      </c>
      <c r="S111" s="2164"/>
      <c r="T111" s="2164"/>
      <c r="U111" s="2164"/>
      <c r="V111" s="2164"/>
      <c r="W111" s="2164"/>
      <c r="X111" s="2164"/>
      <c r="Y111" s="2164"/>
      <c r="Z111" s="2164"/>
      <c r="AA111" s="2164"/>
      <c r="AB111" s="2164"/>
      <c r="AC111" s="2164"/>
      <c r="AD111" s="2164"/>
      <c r="AE111" s="2164"/>
      <c r="AF111" s="2164"/>
      <c r="AG111" s="2164"/>
      <c r="AH111" s="722"/>
      <c r="AI111" s="722"/>
      <c r="AJ111" s="722"/>
      <c r="AK111" s="722"/>
      <c r="AL111" s="722"/>
      <c r="AM111" s="722"/>
      <c r="AN111" s="722"/>
      <c r="AO111" s="722"/>
      <c r="AP111" s="722"/>
      <c r="AQ111" s="722"/>
      <c r="AR111" s="722"/>
      <c r="AS111" s="722"/>
    </row>
    <row r="112" spans="2:45" x14ac:dyDescent="0.25">
      <c r="B112" s="2164"/>
      <c r="C112" s="2261" t="s">
        <v>21</v>
      </c>
      <c r="D112" s="580">
        <v>3</v>
      </c>
      <c r="E112" s="580">
        <v>3</v>
      </c>
      <c r="F112" s="580">
        <v>2</v>
      </c>
      <c r="G112" s="2164"/>
      <c r="H112" s="2164"/>
      <c r="I112" s="2164"/>
      <c r="J112" s="2164"/>
      <c r="K112" s="2164"/>
      <c r="L112" s="2164"/>
      <c r="N112" s="54"/>
      <c r="O112" s="837" t="s">
        <v>21</v>
      </c>
      <c r="P112" s="2163">
        <v>2.0999999999999996</v>
      </c>
      <c r="Q112" s="2163">
        <v>2.0999999999999996</v>
      </c>
      <c r="R112" s="2163">
        <v>1.3999999999999997</v>
      </c>
      <c r="S112" s="2164"/>
      <c r="T112" s="2164"/>
      <c r="U112" s="2164"/>
      <c r="V112" s="2164"/>
      <c r="W112" s="2164"/>
      <c r="X112" s="2164"/>
      <c r="Y112" s="2164"/>
      <c r="Z112" s="2164"/>
      <c r="AA112" s="2164"/>
      <c r="AB112" s="2164"/>
      <c r="AC112" s="2164"/>
      <c r="AD112" s="2164"/>
      <c r="AE112" s="2164"/>
      <c r="AF112" s="2164"/>
      <c r="AG112" s="2164"/>
      <c r="AH112" s="722"/>
      <c r="AI112" s="722"/>
      <c r="AJ112" s="722"/>
      <c r="AK112" s="722"/>
      <c r="AL112" s="722"/>
      <c r="AM112" s="722"/>
      <c r="AN112" s="722"/>
      <c r="AO112" s="722"/>
      <c r="AP112" s="722"/>
      <c r="AQ112" s="722"/>
      <c r="AR112" s="722"/>
      <c r="AS112" s="722"/>
    </row>
    <row r="113" spans="2:45" x14ac:dyDescent="0.25">
      <c r="B113" s="2164"/>
      <c r="C113" s="2261" t="s">
        <v>23</v>
      </c>
      <c r="D113" s="580">
        <v>3</v>
      </c>
      <c r="E113" s="580">
        <v>3</v>
      </c>
      <c r="F113" s="580">
        <v>2</v>
      </c>
      <c r="G113" s="2164"/>
      <c r="H113" s="2164"/>
      <c r="I113" s="2164"/>
      <c r="J113" s="2164"/>
      <c r="K113" s="2164"/>
      <c r="L113" s="2164"/>
      <c r="N113" s="54"/>
      <c r="O113" s="837" t="s">
        <v>23</v>
      </c>
      <c r="P113" s="2163">
        <v>2.0999999999999996</v>
      </c>
      <c r="Q113" s="2163">
        <v>2.0999999999999996</v>
      </c>
      <c r="R113" s="2163">
        <v>1.3999999999999997</v>
      </c>
      <c r="S113" s="2164"/>
      <c r="T113" s="2164"/>
      <c r="U113" s="2164"/>
      <c r="V113" s="2164"/>
      <c r="W113" s="2164"/>
      <c r="X113" s="2164"/>
      <c r="Y113" s="2164"/>
      <c r="Z113" s="2164"/>
      <c r="AA113" s="2164"/>
      <c r="AB113" s="2164"/>
      <c r="AC113" s="2164"/>
      <c r="AD113" s="2164"/>
      <c r="AE113" s="2164"/>
      <c r="AF113" s="2164"/>
      <c r="AG113" s="2164"/>
      <c r="AH113" s="722"/>
      <c r="AI113" s="722"/>
      <c r="AJ113" s="722"/>
      <c r="AK113" s="722"/>
      <c r="AL113" s="722"/>
      <c r="AM113" s="722"/>
      <c r="AN113" s="722"/>
      <c r="AO113" s="722"/>
      <c r="AP113" s="722"/>
      <c r="AQ113" s="722"/>
      <c r="AR113" s="722"/>
      <c r="AS113" s="722"/>
    </row>
    <row r="114" spans="2:45" x14ac:dyDescent="0.25">
      <c r="B114" s="2164"/>
      <c r="C114" s="2261" t="s">
        <v>25</v>
      </c>
      <c r="D114" s="580">
        <v>3</v>
      </c>
      <c r="E114" s="580">
        <v>3</v>
      </c>
      <c r="F114" s="580">
        <v>2</v>
      </c>
      <c r="G114" s="2164"/>
      <c r="H114" s="2164"/>
      <c r="I114" s="2164"/>
      <c r="J114" s="2164"/>
      <c r="K114" s="2164"/>
      <c r="L114" s="2164"/>
      <c r="N114" s="54"/>
      <c r="O114" s="837" t="s">
        <v>25</v>
      </c>
      <c r="P114" s="2163">
        <v>2.9999999999999996</v>
      </c>
      <c r="Q114" s="2163">
        <v>2.9999999999999996</v>
      </c>
      <c r="R114" s="2163">
        <v>1.9999999999999998</v>
      </c>
      <c r="S114" s="2164"/>
      <c r="T114" s="2164"/>
      <c r="U114" s="2164"/>
      <c r="V114" s="2164"/>
      <c r="W114" s="2164"/>
      <c r="X114" s="2164"/>
      <c r="Y114" s="2164"/>
      <c r="Z114" s="2164"/>
      <c r="AA114" s="2164"/>
      <c r="AB114" s="2164"/>
      <c r="AC114" s="2164"/>
      <c r="AD114" s="2164"/>
      <c r="AE114" s="2164"/>
      <c r="AF114" s="2164"/>
      <c r="AG114" s="2164"/>
      <c r="AH114" s="722"/>
      <c r="AI114" s="722"/>
      <c r="AJ114" s="722"/>
      <c r="AK114" s="722"/>
      <c r="AL114" s="722"/>
      <c r="AM114" s="722"/>
      <c r="AN114" s="722"/>
      <c r="AO114" s="722"/>
      <c r="AP114" s="722"/>
      <c r="AQ114" s="722"/>
      <c r="AR114" s="722"/>
      <c r="AS114" s="722"/>
    </row>
    <row r="115" spans="2:45" x14ac:dyDescent="0.25">
      <c r="B115" s="2164"/>
      <c r="C115" s="2261" t="s">
        <v>24</v>
      </c>
      <c r="D115" s="580">
        <v>3</v>
      </c>
      <c r="E115" s="580">
        <v>3</v>
      </c>
      <c r="F115" s="580">
        <v>2</v>
      </c>
      <c r="G115" s="2164"/>
      <c r="H115" s="2164"/>
      <c r="I115" s="2164"/>
      <c r="J115" s="2164"/>
      <c r="K115" s="2164"/>
      <c r="L115" s="2164"/>
      <c r="N115" s="54"/>
      <c r="O115" s="837" t="s">
        <v>24</v>
      </c>
      <c r="P115" s="2163">
        <v>2.3999999999999995</v>
      </c>
      <c r="Q115" s="2163">
        <v>2.3999999999999995</v>
      </c>
      <c r="R115" s="2163">
        <v>1.5999999999999996</v>
      </c>
      <c r="S115" s="2164"/>
      <c r="T115" s="2164"/>
      <c r="U115" s="2164"/>
      <c r="V115" s="2164"/>
      <c r="W115" s="2164"/>
      <c r="X115" s="2164"/>
      <c r="Y115" s="2164"/>
      <c r="Z115" s="2164"/>
      <c r="AA115" s="2164"/>
      <c r="AB115" s="2164"/>
      <c r="AC115" s="2164"/>
      <c r="AD115" s="2164"/>
      <c r="AE115" s="2164"/>
      <c r="AF115" s="2164"/>
      <c r="AG115" s="2164"/>
      <c r="AH115" s="722"/>
      <c r="AI115" s="722"/>
      <c r="AJ115" s="722"/>
      <c r="AK115" s="722"/>
      <c r="AL115" s="722"/>
      <c r="AM115" s="722"/>
      <c r="AN115" s="722"/>
      <c r="AO115" s="722"/>
      <c r="AP115" s="722"/>
      <c r="AQ115" s="722"/>
      <c r="AR115" s="722"/>
      <c r="AS115" s="722"/>
    </row>
    <row r="116" spans="2:45" x14ac:dyDescent="0.25">
      <c r="B116" s="2164"/>
      <c r="C116" s="519" t="s">
        <v>10</v>
      </c>
      <c r="D116" s="580">
        <v>3</v>
      </c>
      <c r="E116" s="580">
        <v>3</v>
      </c>
      <c r="F116" s="580">
        <v>2</v>
      </c>
      <c r="G116" s="2164"/>
      <c r="H116" s="2164"/>
      <c r="I116" s="2164"/>
      <c r="J116" s="2164"/>
      <c r="K116" s="2164"/>
      <c r="L116" s="2164"/>
      <c r="N116" s="122"/>
      <c r="O116" s="2126" t="s">
        <v>10</v>
      </c>
      <c r="P116" s="2163">
        <v>2.3249999999999997</v>
      </c>
      <c r="Q116" s="2163">
        <v>2.3249999999999997</v>
      </c>
      <c r="R116" s="2163">
        <v>1.5499999999999998</v>
      </c>
      <c r="S116" s="2164"/>
      <c r="T116" s="2164"/>
      <c r="U116" s="2164"/>
      <c r="V116" s="2164"/>
      <c r="W116" s="2164"/>
      <c r="X116" s="2164"/>
      <c r="Y116" s="2164"/>
      <c r="Z116" s="2164"/>
      <c r="AA116" s="2164"/>
      <c r="AB116" s="2164"/>
      <c r="AC116" s="2164"/>
      <c r="AD116" s="2164"/>
      <c r="AE116" s="2164"/>
      <c r="AF116" s="2164"/>
      <c r="AG116" s="2164"/>
      <c r="AH116" s="722"/>
      <c r="AI116" s="722"/>
      <c r="AJ116" s="722"/>
      <c r="AK116" s="722"/>
      <c r="AL116" s="722"/>
      <c r="AM116" s="722"/>
      <c r="AN116" s="722"/>
      <c r="AO116" s="722"/>
      <c r="AP116" s="722"/>
      <c r="AQ116" s="722"/>
      <c r="AR116" s="722"/>
      <c r="AS116" s="722"/>
    </row>
    <row r="117" spans="2:45" ht="31.5" x14ac:dyDescent="0.25">
      <c r="B117" s="2164"/>
      <c r="C117" s="2038" t="s">
        <v>58</v>
      </c>
      <c r="D117" s="3118">
        <v>2.6666666666666665</v>
      </c>
      <c r="E117" s="3118"/>
      <c r="F117" s="3118"/>
      <c r="G117" s="2165"/>
      <c r="H117" s="2165"/>
      <c r="I117" s="2165"/>
      <c r="J117" s="2165"/>
      <c r="K117" s="2165"/>
      <c r="L117" s="2165"/>
      <c r="N117" s="50"/>
      <c r="O117" s="2167" t="s">
        <v>58</v>
      </c>
      <c r="P117" s="3107">
        <v>2.0666666666666664</v>
      </c>
      <c r="Q117" s="3107"/>
      <c r="R117" s="3107"/>
      <c r="S117" s="2165"/>
      <c r="T117" s="2164"/>
      <c r="U117" s="2164"/>
      <c r="V117" s="2164"/>
      <c r="W117" s="2164"/>
      <c r="X117" s="2164"/>
      <c r="Y117" s="2164"/>
      <c r="Z117" s="2164"/>
      <c r="AA117" s="2164"/>
      <c r="AB117" s="2164"/>
      <c r="AC117" s="2164"/>
      <c r="AD117" s="2164"/>
      <c r="AE117" s="2164"/>
      <c r="AF117" s="2164"/>
      <c r="AG117" s="2164"/>
      <c r="AH117" s="722"/>
      <c r="AI117" s="722"/>
      <c r="AJ117" s="722"/>
      <c r="AK117" s="722"/>
      <c r="AL117" s="722"/>
      <c r="AM117" s="722"/>
      <c r="AN117" s="722"/>
      <c r="AO117" s="722"/>
      <c r="AP117" s="722"/>
      <c r="AQ117" s="722"/>
      <c r="AR117" s="722"/>
      <c r="AS117" s="722"/>
    </row>
    <row r="118" spans="2:45" x14ac:dyDescent="0.25">
      <c r="B118" s="2165"/>
      <c r="C118" s="2164"/>
      <c r="D118" s="2164"/>
      <c r="E118" s="2164"/>
      <c r="F118" s="2164"/>
      <c r="G118" s="2164"/>
      <c r="H118" s="2164"/>
      <c r="I118" s="2164"/>
      <c r="J118" s="2164"/>
      <c r="K118" s="2164"/>
      <c r="L118" s="2164"/>
      <c r="M118" s="2164"/>
      <c r="N118" s="2164"/>
      <c r="O118" s="2164"/>
      <c r="P118" s="2164"/>
      <c r="Q118" s="2164"/>
      <c r="R118" s="2164"/>
      <c r="S118" s="2164"/>
      <c r="T118" s="2164"/>
      <c r="U118" s="2164"/>
      <c r="V118" s="2164"/>
      <c r="W118" s="2164"/>
      <c r="X118" s="2164"/>
      <c r="Y118" s="2164"/>
      <c r="Z118" s="2164"/>
      <c r="AA118" s="2164"/>
      <c r="AB118" s="2164"/>
      <c r="AC118" s="2164"/>
      <c r="AD118" s="2164"/>
      <c r="AE118" s="2164"/>
      <c r="AF118" s="2164"/>
      <c r="AG118" s="2164"/>
      <c r="AH118" s="722"/>
      <c r="AI118" s="722"/>
      <c r="AJ118" s="722"/>
      <c r="AK118" s="722"/>
      <c r="AL118" s="722"/>
      <c r="AM118" s="722"/>
      <c r="AN118" s="722"/>
      <c r="AO118" s="722"/>
      <c r="AP118" s="722"/>
      <c r="AQ118" s="722"/>
      <c r="AR118" s="722"/>
      <c r="AS118" s="722"/>
    </row>
    <row r="119" spans="2:45" x14ac:dyDescent="0.25">
      <c r="B119" s="2164"/>
      <c r="C119" s="2164"/>
      <c r="D119" s="2164"/>
      <c r="E119" s="2164"/>
      <c r="F119" s="2164"/>
      <c r="G119" s="2164"/>
      <c r="H119" s="2164"/>
      <c r="I119" s="2164"/>
      <c r="J119" s="2164"/>
      <c r="K119" s="2164"/>
      <c r="L119" s="2164"/>
      <c r="M119" s="2164"/>
      <c r="N119" s="2164"/>
      <c r="O119" s="2164"/>
      <c r="P119" s="2164"/>
      <c r="Q119" s="2164"/>
      <c r="R119" s="2164"/>
      <c r="S119" s="2164"/>
      <c r="T119" s="2164"/>
      <c r="U119" s="2164"/>
      <c r="V119" s="2164"/>
      <c r="W119" s="2164"/>
      <c r="X119" s="2164"/>
      <c r="Y119" s="2164"/>
      <c r="Z119" s="2164"/>
      <c r="AA119" s="2164"/>
      <c r="AB119" s="2164"/>
      <c r="AC119" s="2164"/>
      <c r="AD119" s="2164"/>
      <c r="AE119" s="2164"/>
      <c r="AF119" s="2164"/>
      <c r="AG119" s="2164"/>
      <c r="AH119" s="722"/>
      <c r="AI119" s="722"/>
      <c r="AJ119" s="722"/>
      <c r="AK119" s="722"/>
      <c r="AL119" s="722"/>
      <c r="AM119" s="722"/>
      <c r="AN119" s="722"/>
      <c r="AO119" s="722"/>
      <c r="AP119" s="722"/>
      <c r="AQ119" s="722"/>
      <c r="AR119" s="722"/>
      <c r="AS119" s="722"/>
    </row>
    <row r="120" spans="2:45" ht="18.75" x14ac:dyDescent="0.25">
      <c r="B120" s="2804"/>
      <c r="C120" s="2804"/>
      <c r="D120" s="2804"/>
      <c r="E120" s="2804"/>
      <c r="F120" s="2804"/>
      <c r="G120" s="2804"/>
      <c r="H120" s="2804"/>
      <c r="I120" s="2804"/>
      <c r="J120" s="2804"/>
      <c r="K120" s="2804"/>
      <c r="L120" s="2804"/>
      <c r="M120" s="2804"/>
      <c r="N120" s="2804"/>
      <c r="O120" s="2804"/>
      <c r="P120" s="2804"/>
      <c r="Q120" s="2804"/>
      <c r="R120" s="2804"/>
      <c r="S120" s="2804"/>
      <c r="T120" s="2804"/>
      <c r="U120" s="2043"/>
      <c r="V120" s="2043"/>
      <c r="W120" s="2164"/>
      <c r="X120" s="2164"/>
      <c r="Y120" s="2164"/>
      <c r="Z120" s="2164"/>
      <c r="AA120" s="2164"/>
      <c r="AB120" s="2164"/>
      <c r="AC120" s="2164"/>
      <c r="AD120" s="2164"/>
      <c r="AE120" s="2164"/>
      <c r="AF120" s="2164"/>
      <c r="AG120" s="2164"/>
      <c r="AH120" s="722"/>
      <c r="AI120" s="722"/>
      <c r="AJ120" s="722"/>
      <c r="AK120" s="722"/>
      <c r="AL120" s="722"/>
      <c r="AM120" s="722"/>
      <c r="AN120" s="722"/>
      <c r="AO120" s="722"/>
      <c r="AP120" s="722"/>
      <c r="AQ120" s="722"/>
      <c r="AR120" s="722"/>
      <c r="AS120" s="722"/>
    </row>
    <row r="121" spans="2:45" x14ac:dyDescent="0.25">
      <c r="B121" s="3399"/>
      <c r="C121" s="3399"/>
      <c r="D121" s="3399"/>
      <c r="E121" s="3399"/>
      <c r="F121" s="3399"/>
      <c r="G121" s="3399"/>
      <c r="H121" s="3399"/>
      <c r="I121" s="3399"/>
      <c r="J121" s="3399"/>
      <c r="K121" s="3399"/>
      <c r="L121" s="3399"/>
      <c r="M121" s="3399"/>
      <c r="N121" s="3399"/>
      <c r="O121" s="3399"/>
      <c r="P121" s="3399"/>
      <c r="Q121" s="3399"/>
      <c r="R121" s="3399"/>
      <c r="S121" s="3399"/>
      <c r="T121" s="3399"/>
      <c r="U121" s="2052"/>
      <c r="V121" s="2052"/>
      <c r="AH121" s="720"/>
      <c r="AI121" s="720"/>
      <c r="AJ121" s="720"/>
      <c r="AK121" s="720"/>
      <c r="AL121" s="720"/>
      <c r="AM121" s="720"/>
      <c r="AN121" s="720"/>
      <c r="AO121" s="720"/>
      <c r="AP121" s="720"/>
      <c r="AQ121" s="720"/>
      <c r="AR121" s="720"/>
      <c r="AS121" s="720"/>
    </row>
    <row r="122" spans="2:45" x14ac:dyDescent="0.25">
      <c r="B122" s="2052"/>
      <c r="C122" s="3399"/>
      <c r="D122" s="3399"/>
      <c r="E122" s="3399"/>
      <c r="F122" s="2052"/>
      <c r="G122" s="2052"/>
      <c r="H122" s="2052"/>
      <c r="I122" s="2052"/>
      <c r="J122" s="2052"/>
      <c r="K122" s="2052"/>
      <c r="L122" s="2052"/>
      <c r="M122" s="2052"/>
      <c r="N122" s="2052"/>
      <c r="O122" s="2052"/>
      <c r="P122" s="2052"/>
      <c r="Q122" s="2052"/>
      <c r="R122" s="2052"/>
      <c r="S122" s="2052"/>
      <c r="T122" s="2052"/>
      <c r="U122" s="2052"/>
      <c r="V122" s="2052"/>
      <c r="AH122" s="720"/>
      <c r="AI122" s="720"/>
      <c r="AJ122" s="720"/>
      <c r="AK122" s="720"/>
      <c r="AL122" s="720"/>
      <c r="AM122" s="720"/>
      <c r="AN122" s="720"/>
      <c r="AO122" s="720"/>
      <c r="AP122" s="720"/>
      <c r="AQ122" s="720"/>
      <c r="AR122" s="720"/>
      <c r="AS122" s="720"/>
    </row>
    <row r="123" spans="2:45" x14ac:dyDescent="0.25">
      <c r="B123" s="2043"/>
      <c r="C123" s="3299" t="s">
        <v>265</v>
      </c>
      <c r="D123" s="3299"/>
      <c r="E123" s="3299"/>
      <c r="F123" s="3299"/>
      <c r="G123" s="3299"/>
      <c r="H123" s="3299"/>
      <c r="I123" s="3299"/>
      <c r="J123" s="3299"/>
      <c r="K123" s="3299"/>
      <c r="L123" s="3299"/>
      <c r="M123" s="3299"/>
      <c r="N123" s="3299"/>
      <c r="O123" s="3299"/>
      <c r="P123" s="3299"/>
      <c r="Q123" s="3299"/>
      <c r="R123" s="3299"/>
      <c r="S123" s="2043"/>
      <c r="T123" s="2043"/>
      <c r="U123" s="2052"/>
      <c r="V123" s="2052"/>
      <c r="AH123" s="720"/>
      <c r="AI123" s="720"/>
      <c r="AJ123" s="720"/>
      <c r="AK123" s="720"/>
      <c r="AL123" s="720"/>
      <c r="AM123" s="720"/>
      <c r="AN123" s="720"/>
      <c r="AO123" s="720"/>
      <c r="AP123" s="720"/>
      <c r="AQ123" s="720"/>
      <c r="AR123" s="720"/>
      <c r="AS123" s="720"/>
    </row>
    <row r="124" spans="2:45" x14ac:dyDescent="0.25">
      <c r="C124" s="3630" t="s">
        <v>277</v>
      </c>
      <c r="D124" s="3624"/>
      <c r="E124" s="3624"/>
      <c r="F124" s="3624"/>
      <c r="G124" s="3624"/>
      <c r="H124" s="3624"/>
      <c r="I124" s="3624"/>
      <c r="J124" s="3624"/>
      <c r="K124" s="3624"/>
      <c r="L124" s="3624"/>
      <c r="M124" s="3624"/>
      <c r="N124" s="3624"/>
      <c r="O124" s="3624"/>
      <c r="P124" s="3624"/>
      <c r="Q124" s="3624"/>
      <c r="R124" s="3624"/>
      <c r="U124" s="3624"/>
      <c r="V124" s="3624"/>
      <c r="W124" s="3624"/>
      <c r="X124" s="3624"/>
      <c r="Y124" s="3624"/>
      <c r="Z124" s="3624"/>
      <c r="AA124" s="3624"/>
      <c r="AB124" s="3624"/>
      <c r="AC124" s="3624"/>
      <c r="AD124" s="3624"/>
      <c r="AE124" s="3624"/>
      <c r="AF124" s="3624"/>
      <c r="AG124" s="3624"/>
      <c r="AH124" s="3624"/>
      <c r="AI124" s="3624"/>
      <c r="AJ124" s="3624"/>
      <c r="AK124" s="3624"/>
      <c r="AL124" s="3624"/>
      <c r="AM124" s="3624"/>
      <c r="AN124" s="3624"/>
      <c r="AO124" s="720"/>
      <c r="AP124" s="720"/>
      <c r="AQ124" s="720"/>
      <c r="AR124" s="720"/>
      <c r="AS124" s="720"/>
    </row>
    <row r="125" spans="2:45" x14ac:dyDescent="0.25">
      <c r="C125" s="3624" t="s">
        <v>278</v>
      </c>
      <c r="D125" s="3624"/>
      <c r="E125" s="3624"/>
      <c r="F125" s="3624"/>
      <c r="G125" s="3624"/>
      <c r="H125" s="3624"/>
      <c r="I125" s="3624"/>
      <c r="J125" s="3624"/>
      <c r="K125" s="3624"/>
      <c r="L125" s="3624"/>
      <c r="M125" s="3624"/>
      <c r="N125" s="3624"/>
      <c r="O125" s="3624"/>
      <c r="P125" s="3624"/>
      <c r="Q125" s="3624"/>
      <c r="R125" s="3624"/>
      <c r="AH125" s="720"/>
      <c r="AI125" s="720"/>
      <c r="AJ125" s="720"/>
      <c r="AK125" s="720"/>
      <c r="AL125" s="720"/>
      <c r="AM125" s="720"/>
      <c r="AN125" s="720"/>
      <c r="AO125" s="720"/>
      <c r="AP125" s="720"/>
      <c r="AQ125" s="720"/>
      <c r="AR125" s="720"/>
      <c r="AS125" s="720"/>
    </row>
    <row r="126" spans="2:45" x14ac:dyDescent="0.25">
      <c r="C126" s="3624" t="s">
        <v>279</v>
      </c>
      <c r="D126" s="3624"/>
      <c r="E126" s="3624"/>
      <c r="F126" s="3624"/>
      <c r="G126" s="3624"/>
      <c r="H126" s="3624"/>
      <c r="I126" s="3624"/>
      <c r="J126" s="3624"/>
      <c r="K126" s="3624"/>
      <c r="L126" s="3624"/>
      <c r="M126" s="3624"/>
      <c r="N126" s="3624"/>
      <c r="O126" s="3624"/>
      <c r="P126" s="3624"/>
      <c r="Q126" s="3624"/>
      <c r="R126" s="3624"/>
      <c r="AH126" s="720"/>
      <c r="AI126" s="720"/>
      <c r="AJ126" s="720"/>
      <c r="AK126" s="720"/>
      <c r="AL126" s="720"/>
      <c r="AM126" s="720"/>
      <c r="AN126" s="720"/>
      <c r="AO126" s="720"/>
      <c r="AP126" s="720"/>
      <c r="AQ126" s="720"/>
      <c r="AR126" s="720"/>
      <c r="AS126" s="720"/>
    </row>
    <row r="127" spans="2:45" x14ac:dyDescent="0.25">
      <c r="C127" s="3630" t="s">
        <v>280</v>
      </c>
      <c r="D127" s="3624"/>
      <c r="E127" s="3624"/>
      <c r="F127" s="3624"/>
      <c r="G127" s="3624"/>
      <c r="H127" s="3624"/>
      <c r="I127" s="3624"/>
      <c r="J127" s="3624"/>
      <c r="K127" s="3624"/>
      <c r="L127" s="3624"/>
      <c r="M127" s="3624"/>
      <c r="N127" s="3624"/>
      <c r="O127" s="3624"/>
      <c r="P127" s="3624"/>
      <c r="Q127" s="3624"/>
      <c r="R127" s="3624"/>
      <c r="AH127" s="720"/>
      <c r="AI127" s="720"/>
      <c r="AJ127" s="720"/>
      <c r="AK127" s="720"/>
      <c r="AL127" s="720"/>
      <c r="AM127" s="720"/>
      <c r="AN127" s="720"/>
      <c r="AO127" s="720"/>
      <c r="AP127" s="720"/>
      <c r="AQ127" s="720"/>
      <c r="AR127" s="720"/>
      <c r="AS127" s="720"/>
    </row>
    <row r="128" spans="2:45" x14ac:dyDescent="0.25">
      <c r="C128" s="3624" t="s">
        <v>281</v>
      </c>
      <c r="D128" s="3624"/>
      <c r="E128" s="3624"/>
      <c r="F128" s="3624"/>
      <c r="G128" s="3624"/>
      <c r="H128" s="3624"/>
      <c r="I128" s="3624"/>
      <c r="J128" s="3624"/>
      <c r="K128" s="3624"/>
      <c r="L128" s="3624"/>
      <c r="M128" s="3624"/>
      <c r="N128" s="3624"/>
      <c r="O128" s="3624"/>
      <c r="P128" s="3624"/>
      <c r="Q128" s="3624"/>
      <c r="R128" s="3624"/>
      <c r="AH128" s="720"/>
      <c r="AI128" s="720"/>
      <c r="AJ128" s="720"/>
      <c r="AK128" s="720"/>
      <c r="AL128" s="720"/>
      <c r="AM128" s="720"/>
      <c r="AN128" s="720"/>
      <c r="AO128" s="720"/>
      <c r="AP128" s="720"/>
      <c r="AQ128" s="720"/>
      <c r="AR128" s="720"/>
      <c r="AS128" s="720"/>
    </row>
  </sheetData>
  <mergeCells count="61">
    <mergeCell ref="D3:M3"/>
    <mergeCell ref="Q3:Z3"/>
    <mergeCell ref="D4:M4"/>
    <mergeCell ref="P4:Z4"/>
    <mergeCell ref="B1:C1"/>
    <mergeCell ref="D1:M1"/>
    <mergeCell ref="Q1:Z1"/>
    <mergeCell ref="B2:C2"/>
    <mergeCell ref="D2:M2"/>
    <mergeCell ref="Q2:Z2"/>
    <mergeCell ref="C128:R128"/>
    <mergeCell ref="D94:O94"/>
    <mergeCell ref="D106:O106"/>
    <mergeCell ref="B120:T120"/>
    <mergeCell ref="B121:T121"/>
    <mergeCell ref="B98:C98"/>
    <mergeCell ref="B109:C109"/>
    <mergeCell ref="L109:M109"/>
    <mergeCell ref="D117:F117"/>
    <mergeCell ref="P117:R117"/>
    <mergeCell ref="C125:R125"/>
    <mergeCell ref="C122:E122"/>
    <mergeCell ref="C123:R123"/>
    <mergeCell ref="C124:R124"/>
    <mergeCell ref="C126:R126"/>
    <mergeCell ref="C127:R127"/>
    <mergeCell ref="C5:C6"/>
    <mergeCell ref="P5:R5"/>
    <mergeCell ref="D5:F5"/>
    <mergeCell ref="U5:V6"/>
    <mergeCell ref="Y5:Z6"/>
    <mergeCell ref="J5:K6"/>
    <mergeCell ref="G5:G6"/>
    <mergeCell ref="H5:I6"/>
    <mergeCell ref="L5:M6"/>
    <mergeCell ref="U124:AN124"/>
    <mergeCell ref="AG5:AG8"/>
    <mergeCell ref="AB5:AD6"/>
    <mergeCell ref="G79:H79"/>
    <mergeCell ref="G76:H76"/>
    <mergeCell ref="G80:H80"/>
    <mergeCell ref="AF5:AF8"/>
    <mergeCell ref="G74:H74"/>
    <mergeCell ref="AB7:AB8"/>
    <mergeCell ref="AD7:AD8"/>
    <mergeCell ref="N5:N8"/>
    <mergeCell ref="O5:O6"/>
    <mergeCell ref="AA5:AA8"/>
    <mergeCell ref="W5:X6"/>
    <mergeCell ref="S5:T6"/>
    <mergeCell ref="AC7:AC8"/>
    <mergeCell ref="G81:H81"/>
    <mergeCell ref="B86:C86"/>
    <mergeCell ref="G77:H77"/>
    <mergeCell ref="G78:H78"/>
    <mergeCell ref="B67:B68"/>
    <mergeCell ref="C67:C68"/>
    <mergeCell ref="G75:H75"/>
    <mergeCell ref="B69:C69"/>
    <mergeCell ref="B70:C70"/>
    <mergeCell ref="B81:F81"/>
  </mergeCells>
  <pageMargins left="0.7" right="0.7" top="0.75" bottom="0.75" header="0.3" footer="0.3"/>
  <pageSetup paperSize="8" scale="2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7"/>
  <sheetViews>
    <sheetView view="pageBreakPreview" topLeftCell="A64" zoomScale="60" zoomScaleNormal="80" workbookViewId="0">
      <selection activeCell="N71" sqref="N71"/>
    </sheetView>
  </sheetViews>
  <sheetFormatPr defaultColWidth="17.28515625" defaultRowHeight="29.25" customHeight="1" x14ac:dyDescent="0.4"/>
  <cols>
    <col min="1" max="1" width="17.28515625" style="1041"/>
    <col min="2" max="2" width="21.5703125" style="1041" customWidth="1"/>
    <col min="3" max="13" width="13.42578125" style="1041" customWidth="1"/>
    <col min="14" max="14" width="13.42578125" style="1405" customWidth="1"/>
    <col min="15" max="25" width="13.42578125" style="1041" customWidth="1"/>
    <col min="26" max="26" width="13.42578125" style="1405" customWidth="1"/>
    <col min="27" max="28" width="13.42578125" style="1041" customWidth="1"/>
    <col min="29" max="16384" width="17.28515625" style="1041"/>
  </cols>
  <sheetData>
    <row r="1" spans="1:31" ht="29.25" customHeight="1" x14ac:dyDescent="0.4">
      <c r="A1" s="3637" t="s">
        <v>0</v>
      </c>
      <c r="B1" s="3638"/>
      <c r="C1" s="3639" t="s">
        <v>127</v>
      </c>
      <c r="D1" s="3201"/>
      <c r="E1" s="3201"/>
      <c r="F1" s="3201"/>
      <c r="G1" s="3201"/>
      <c r="H1" s="3201"/>
      <c r="I1" s="3201"/>
      <c r="J1" s="3201"/>
      <c r="K1" s="3201"/>
      <c r="L1" s="3201"/>
      <c r="M1" s="3201"/>
      <c r="N1" s="3640"/>
      <c r="O1" s="1163" t="s">
        <v>63</v>
      </c>
      <c r="P1" s="3635" t="s">
        <v>155</v>
      </c>
      <c r="Q1" s="3636"/>
      <c r="R1" s="3636"/>
      <c r="S1" s="3636"/>
      <c r="T1" s="3636"/>
      <c r="U1" s="3636"/>
      <c r="V1" s="3636"/>
      <c r="W1" s="3636"/>
      <c r="X1" s="3636"/>
      <c r="Y1" s="3636"/>
      <c r="Z1" s="3636"/>
      <c r="AA1" s="1406"/>
      <c r="AB1" s="1406"/>
      <c r="AC1" s="1406"/>
      <c r="AD1" s="1406"/>
      <c r="AE1" s="1406"/>
    </row>
    <row r="2" spans="1:31" ht="29.25" customHeight="1" x14ac:dyDescent="0.4">
      <c r="A2" s="3637" t="s">
        <v>1</v>
      </c>
      <c r="B2" s="3638"/>
      <c r="C2" s="3639" t="s">
        <v>283</v>
      </c>
      <c r="D2" s="3201"/>
      <c r="E2" s="3201"/>
      <c r="F2" s="3201"/>
      <c r="G2" s="3201"/>
      <c r="H2" s="3201"/>
      <c r="I2" s="3201"/>
      <c r="J2" s="3201"/>
      <c r="K2" s="3201"/>
      <c r="L2" s="3201"/>
      <c r="M2" s="3201"/>
      <c r="N2" s="3640"/>
      <c r="O2" s="1164" t="s">
        <v>64</v>
      </c>
      <c r="P2" s="3635" t="s">
        <v>232</v>
      </c>
      <c r="Q2" s="3636"/>
      <c r="R2" s="3636"/>
      <c r="S2" s="3636"/>
      <c r="T2" s="3636"/>
      <c r="U2" s="3636"/>
      <c r="V2" s="3636"/>
      <c r="W2" s="3636"/>
      <c r="X2" s="3636"/>
      <c r="Y2" s="3636"/>
      <c r="Z2" s="3636"/>
      <c r="AA2" s="1406"/>
      <c r="AB2" s="1406"/>
      <c r="AC2" s="1406"/>
      <c r="AD2" s="1406"/>
      <c r="AE2" s="1406"/>
    </row>
    <row r="3" spans="1:31" ht="29.25" customHeight="1" thickBot="1" x14ac:dyDescent="0.45">
      <c r="A3" s="1407"/>
      <c r="B3" s="1408" t="s">
        <v>2</v>
      </c>
      <c r="C3" s="3179" t="s">
        <v>272</v>
      </c>
      <c r="D3" s="3180"/>
      <c r="E3" s="3180"/>
      <c r="F3" s="3180"/>
      <c r="G3" s="3180"/>
      <c r="H3" s="3180"/>
      <c r="I3" s="3180"/>
      <c r="J3" s="3180"/>
      <c r="K3" s="3180"/>
      <c r="L3" s="3180"/>
      <c r="M3" s="3180"/>
      <c r="N3" s="3181"/>
      <c r="O3" s="1408" t="s">
        <v>65</v>
      </c>
      <c r="P3" s="3641" t="s">
        <v>66</v>
      </c>
      <c r="Q3" s="3642"/>
      <c r="R3" s="3642"/>
      <c r="S3" s="3642"/>
      <c r="T3" s="3642"/>
      <c r="U3" s="3642"/>
      <c r="V3" s="3642"/>
      <c r="W3" s="3642"/>
      <c r="X3" s="3642"/>
      <c r="Y3" s="3642"/>
      <c r="Z3" s="3642"/>
      <c r="AA3" s="1406"/>
      <c r="AB3" s="1406"/>
      <c r="AC3" s="1406"/>
      <c r="AD3" s="1406"/>
      <c r="AE3" s="1406"/>
    </row>
    <row r="4" spans="1:31" ht="29.25" customHeight="1" thickBot="1" x14ac:dyDescent="0.45">
      <c r="A4" s="3184"/>
      <c r="B4" s="3185"/>
      <c r="C4" s="3186" t="s">
        <v>3</v>
      </c>
      <c r="D4" s="3187"/>
      <c r="E4" s="3187"/>
      <c r="F4" s="3187"/>
      <c r="G4" s="3187"/>
      <c r="H4" s="3187"/>
      <c r="I4" s="3187"/>
      <c r="J4" s="3187"/>
      <c r="K4" s="3187"/>
      <c r="L4" s="3187"/>
      <c r="M4" s="3187"/>
      <c r="N4" s="3187"/>
      <c r="O4" s="3188"/>
      <c r="P4" s="3189" t="s">
        <v>4</v>
      </c>
      <c r="Q4" s="3190"/>
      <c r="R4" s="3190"/>
      <c r="S4" s="3190"/>
      <c r="T4" s="3190"/>
      <c r="U4" s="3190"/>
      <c r="V4" s="3190"/>
      <c r="W4" s="3190"/>
      <c r="X4" s="3190"/>
      <c r="Y4" s="3190"/>
      <c r="Z4" s="3190"/>
      <c r="AA4" s="3190"/>
      <c r="AB4" s="1165"/>
      <c r="AC4" s="1165"/>
      <c r="AD4" s="1165"/>
      <c r="AE4" s="1166"/>
    </row>
    <row r="5" spans="1:31" ht="38.25" customHeight="1" x14ac:dyDescent="0.4">
      <c r="A5" s="3191"/>
      <c r="B5" s="3645" t="s">
        <v>5</v>
      </c>
      <c r="C5" s="3175" t="s">
        <v>6</v>
      </c>
      <c r="D5" s="3176"/>
      <c r="E5" s="3196"/>
      <c r="F5" s="3197" t="s">
        <v>7</v>
      </c>
      <c r="G5" s="3178"/>
      <c r="H5" s="3170" t="s">
        <v>8</v>
      </c>
      <c r="I5" s="3171"/>
      <c r="J5" s="3643" t="s">
        <v>9</v>
      </c>
      <c r="K5" s="3644"/>
      <c r="L5" s="3644" t="s">
        <v>236</v>
      </c>
      <c r="M5" s="3658"/>
      <c r="N5" s="3660" t="s">
        <v>146</v>
      </c>
      <c r="O5" s="3175" t="s">
        <v>6</v>
      </c>
      <c r="P5" s="3176"/>
      <c r="Q5" s="3176"/>
      <c r="R5" s="3197" t="s">
        <v>7</v>
      </c>
      <c r="S5" s="3659"/>
      <c r="T5" s="3644" t="s">
        <v>8</v>
      </c>
      <c r="U5" s="3658"/>
      <c r="V5" s="3197" t="s">
        <v>9</v>
      </c>
      <c r="W5" s="3178"/>
      <c r="X5" s="3170" t="s">
        <v>236</v>
      </c>
      <c r="Y5" s="3178"/>
      <c r="Z5" s="3153" t="s">
        <v>147</v>
      </c>
      <c r="AA5" s="3153" t="s">
        <v>233</v>
      </c>
      <c r="AB5" s="3645" t="s">
        <v>11</v>
      </c>
      <c r="AC5" s="3655" t="s">
        <v>12</v>
      </c>
    </row>
    <row r="6" spans="1:31" ht="29.25" customHeight="1" x14ac:dyDescent="0.4">
      <c r="A6" s="3192"/>
      <c r="B6" s="3646"/>
      <c r="C6" s="1168" t="s">
        <v>13</v>
      </c>
      <c r="D6" s="1169" t="s">
        <v>14</v>
      </c>
      <c r="E6" s="1409" t="s">
        <v>15</v>
      </c>
      <c r="F6" s="1168" t="s">
        <v>13</v>
      </c>
      <c r="G6" s="1169" t="s">
        <v>14</v>
      </c>
      <c r="H6" s="1169" t="s">
        <v>13</v>
      </c>
      <c r="I6" s="1169" t="s">
        <v>14</v>
      </c>
      <c r="J6" s="1168" t="s">
        <v>13</v>
      </c>
      <c r="K6" s="1410" t="s">
        <v>14</v>
      </c>
      <c r="L6" s="1179" t="s">
        <v>13</v>
      </c>
      <c r="M6" s="1169" t="s">
        <v>14</v>
      </c>
      <c r="N6" s="3661"/>
      <c r="O6" s="1168" t="s">
        <v>13</v>
      </c>
      <c r="P6" s="1169" t="s">
        <v>14</v>
      </c>
      <c r="Q6" s="1410" t="s">
        <v>15</v>
      </c>
      <c r="R6" s="1168" t="s">
        <v>13</v>
      </c>
      <c r="S6" s="1169" t="s">
        <v>14</v>
      </c>
      <c r="T6" s="1410" t="s">
        <v>13</v>
      </c>
      <c r="U6" s="1169" t="s">
        <v>14</v>
      </c>
      <c r="V6" s="1168" t="s">
        <v>13</v>
      </c>
      <c r="W6" s="1169" t="s">
        <v>14</v>
      </c>
      <c r="X6" s="1169" t="s">
        <v>13</v>
      </c>
      <c r="Y6" s="1169" t="s">
        <v>14</v>
      </c>
      <c r="Z6" s="3155"/>
      <c r="AA6" s="3154"/>
      <c r="AB6" s="3654"/>
      <c r="AC6" s="3656"/>
      <c r="AD6" s="1180"/>
    </row>
    <row r="7" spans="1:31" ht="29.25" customHeight="1" x14ac:dyDescent="0.4">
      <c r="A7" s="3193"/>
      <c r="B7" s="1412" t="s">
        <v>19</v>
      </c>
      <c r="C7" s="1168" t="s">
        <v>22</v>
      </c>
      <c r="D7" s="1168" t="s">
        <v>21</v>
      </c>
      <c r="E7" s="1170" t="s">
        <v>21</v>
      </c>
      <c r="F7" s="1168" t="s">
        <v>22</v>
      </c>
      <c r="G7" s="1168" t="s">
        <v>22</v>
      </c>
      <c r="H7" s="1410" t="s">
        <v>21</v>
      </c>
      <c r="I7" s="1410" t="s">
        <v>21</v>
      </c>
      <c r="J7" s="1503" t="s">
        <v>21</v>
      </c>
      <c r="K7" s="1503" t="s">
        <v>21</v>
      </c>
      <c r="L7" s="1168" t="s">
        <v>40</v>
      </c>
      <c r="M7" s="1503" t="s">
        <v>21</v>
      </c>
      <c r="N7" s="3662"/>
      <c r="O7" s="1168" t="s">
        <v>41</v>
      </c>
      <c r="P7" s="1169" t="s">
        <v>42</v>
      </c>
      <c r="Q7" s="1410" t="s">
        <v>42</v>
      </c>
      <c r="R7" s="1168" t="s">
        <v>41</v>
      </c>
      <c r="S7" s="1169" t="s">
        <v>41</v>
      </c>
      <c r="T7" s="1410" t="s">
        <v>41</v>
      </c>
      <c r="U7" s="1169" t="s">
        <v>41</v>
      </c>
      <c r="V7" s="1168" t="s">
        <v>42</v>
      </c>
      <c r="W7" s="1168" t="s">
        <v>42</v>
      </c>
      <c r="X7" s="1169" t="s">
        <v>42</v>
      </c>
      <c r="Y7" s="1169" t="s">
        <v>42</v>
      </c>
      <c r="Z7" s="1411" t="s">
        <v>237</v>
      </c>
      <c r="AA7" s="3155"/>
      <c r="AB7" s="3646"/>
      <c r="AC7" s="3657"/>
      <c r="AD7" s="1180"/>
    </row>
    <row r="8" spans="1:31" ht="29.25" customHeight="1" x14ac:dyDescent="0.4">
      <c r="A8" s="1169" t="s">
        <v>18</v>
      </c>
      <c r="B8" s="1413" t="s">
        <v>26</v>
      </c>
      <c r="C8" s="1168">
        <v>2</v>
      </c>
      <c r="D8" s="1169">
        <v>2</v>
      </c>
      <c r="E8" s="1409">
        <v>2</v>
      </c>
      <c r="F8" s="1168">
        <v>6</v>
      </c>
      <c r="G8" s="1169">
        <v>6</v>
      </c>
      <c r="H8" s="1169">
        <v>6</v>
      </c>
      <c r="I8" s="1169">
        <v>6</v>
      </c>
      <c r="J8" s="1168">
        <v>6</v>
      </c>
      <c r="K8" s="1413">
        <v>6</v>
      </c>
      <c r="L8" s="1169">
        <v>6</v>
      </c>
      <c r="M8" s="1169">
        <v>6</v>
      </c>
      <c r="N8" s="1414">
        <v>30</v>
      </c>
      <c r="O8" s="1168">
        <v>2</v>
      </c>
      <c r="P8" s="1169">
        <v>2</v>
      </c>
      <c r="Q8" s="1410">
        <v>2</v>
      </c>
      <c r="R8" s="1168">
        <v>6</v>
      </c>
      <c r="S8" s="1169">
        <v>6</v>
      </c>
      <c r="T8" s="1410">
        <v>6</v>
      </c>
      <c r="U8" s="1169">
        <v>6</v>
      </c>
      <c r="V8" s="1169">
        <v>6</v>
      </c>
      <c r="W8" s="1169">
        <v>6</v>
      </c>
      <c r="X8" s="1169">
        <v>6</v>
      </c>
      <c r="Y8" s="1169">
        <v>6</v>
      </c>
      <c r="Z8" s="1411">
        <v>30</v>
      </c>
      <c r="AA8" s="1415">
        <v>10</v>
      </c>
      <c r="AB8" s="1415"/>
      <c r="AC8" s="1167"/>
      <c r="AD8" s="1171"/>
    </row>
    <row r="9" spans="1:31" ht="29.25" customHeight="1" x14ac:dyDescent="0.4">
      <c r="A9" s="1421">
        <v>1</v>
      </c>
      <c r="B9" s="1043">
        <v>5191421002</v>
      </c>
      <c r="C9" s="1418">
        <v>1</v>
      </c>
      <c r="D9" s="1046">
        <v>2</v>
      </c>
      <c r="E9" s="1424">
        <v>0</v>
      </c>
      <c r="F9" s="1417">
        <v>6</v>
      </c>
      <c r="G9" s="1042">
        <v>3</v>
      </c>
      <c r="H9" s="1425"/>
      <c r="I9" s="1425"/>
      <c r="J9" s="1422">
        <v>3</v>
      </c>
      <c r="K9" s="1423">
        <v>3</v>
      </c>
      <c r="L9" s="1504"/>
      <c r="M9" s="1505"/>
      <c r="N9" s="1506">
        <v>20</v>
      </c>
      <c r="O9" s="1422">
        <v>1</v>
      </c>
      <c r="P9" s="1423">
        <v>2</v>
      </c>
      <c r="Q9" s="1507"/>
      <c r="R9" s="1422">
        <v>4</v>
      </c>
      <c r="S9" s="1423">
        <v>5</v>
      </c>
      <c r="T9" s="1410"/>
      <c r="U9" s="1169"/>
      <c r="V9" s="1508"/>
      <c r="W9" s="1422"/>
      <c r="X9" s="1425">
        <v>5</v>
      </c>
      <c r="Y9" s="1425"/>
      <c r="Z9" s="1506">
        <v>18</v>
      </c>
      <c r="AA9" s="1427">
        <v>10</v>
      </c>
      <c r="AB9" s="1176" t="s">
        <v>33</v>
      </c>
      <c r="AC9" s="1041">
        <f>IF(AB9="O",100,IF(AB9="A+",90,IF(AB9="A",80,IF(AB9="B+",70,IF(AB9="B",60,IF(AB9="C",55,IF(AB9="P",50,IF(AB9="F",39))))))))</f>
        <v>60</v>
      </c>
    </row>
    <row r="10" spans="1:31" s="1055" customFormat="1" ht="29.25" customHeight="1" x14ac:dyDescent="0.4">
      <c r="A10" s="1169">
        <v>2</v>
      </c>
      <c r="B10" s="1043">
        <v>5191421003</v>
      </c>
      <c r="C10" s="1045">
        <v>2</v>
      </c>
      <c r="D10" s="1045">
        <v>2</v>
      </c>
      <c r="E10" s="1045">
        <v>0</v>
      </c>
      <c r="F10" s="1045">
        <v>6</v>
      </c>
      <c r="G10" s="1044">
        <v>6</v>
      </c>
      <c r="H10" s="1044"/>
      <c r="I10" s="1044"/>
      <c r="J10" s="1044"/>
      <c r="K10" s="1044"/>
      <c r="L10" s="1044">
        <v>2</v>
      </c>
      <c r="M10" s="1044">
        <v>4</v>
      </c>
      <c r="N10" s="1506">
        <v>22</v>
      </c>
      <c r="O10" s="1045">
        <v>2</v>
      </c>
      <c r="P10" s="1045">
        <v>2</v>
      </c>
      <c r="Q10" s="1509">
        <v>2</v>
      </c>
      <c r="R10" s="1173">
        <v>6</v>
      </c>
      <c r="S10" s="1044">
        <v>2</v>
      </c>
      <c r="T10" s="1410"/>
      <c r="U10" s="1169"/>
      <c r="V10" s="1510"/>
      <c r="W10" s="1174"/>
      <c r="X10" s="1436">
        <v>6</v>
      </c>
      <c r="Y10" s="1436">
        <v>6</v>
      </c>
      <c r="Z10" s="1506">
        <v>26</v>
      </c>
      <c r="AA10" s="1427">
        <v>10</v>
      </c>
      <c r="AB10" s="1175" t="s">
        <v>32</v>
      </c>
      <c r="AC10" s="1041">
        <f t="shared" ref="AC10:AC41" si="0">IF(AB10="O",100,IF(AB10="A+",90,IF(AB10="A",80,IF(AB10="B+",70,IF(AB10="B",60,IF(AB10="C",55,IF(AB10="P",50,IF(AB10="F",39))))))))</f>
        <v>70</v>
      </c>
    </row>
    <row r="11" spans="1:31" s="1055" customFormat="1" ht="29.25" customHeight="1" x14ac:dyDescent="0.4">
      <c r="A11" s="1421">
        <v>3</v>
      </c>
      <c r="B11" s="1043">
        <v>5191421004</v>
      </c>
      <c r="C11" s="1428"/>
      <c r="D11" s="1045">
        <v>2</v>
      </c>
      <c r="E11" s="1045"/>
      <c r="F11" s="1045">
        <v>6</v>
      </c>
      <c r="G11" s="1044">
        <v>6</v>
      </c>
      <c r="H11" s="1044"/>
      <c r="I11" s="1044"/>
      <c r="J11" s="1044">
        <v>2</v>
      </c>
      <c r="K11" s="1044">
        <v>2</v>
      </c>
      <c r="L11" s="1504"/>
      <c r="M11" s="1504"/>
      <c r="N11" s="1506">
        <v>18</v>
      </c>
      <c r="O11" s="1045">
        <v>1</v>
      </c>
      <c r="P11" s="1045">
        <v>2</v>
      </c>
      <c r="Q11" s="1509">
        <v>2</v>
      </c>
      <c r="R11" s="1173">
        <v>1</v>
      </c>
      <c r="S11" s="1044">
        <v>1</v>
      </c>
      <c r="T11" s="1410"/>
      <c r="U11" s="1169"/>
      <c r="V11" s="1510"/>
      <c r="W11" s="1174"/>
      <c r="X11" s="1436">
        <v>3</v>
      </c>
      <c r="Y11" s="1436">
        <v>2</v>
      </c>
      <c r="Z11" s="1506">
        <v>12</v>
      </c>
      <c r="AA11" s="1427">
        <v>10</v>
      </c>
      <c r="AB11" s="1175" t="s">
        <v>28</v>
      </c>
      <c r="AC11" s="1041">
        <f t="shared" si="0"/>
        <v>50</v>
      </c>
    </row>
    <row r="12" spans="1:31" ht="29.25" customHeight="1" x14ac:dyDescent="0.4">
      <c r="A12" s="1169">
        <v>4</v>
      </c>
      <c r="B12" s="1429">
        <v>5191421005</v>
      </c>
      <c r="C12" s="1430"/>
      <c r="D12" s="1431">
        <v>1</v>
      </c>
      <c r="E12" s="1432"/>
      <c r="F12" s="1430">
        <v>6</v>
      </c>
      <c r="G12" s="1433">
        <v>6</v>
      </c>
      <c r="H12" s="1434"/>
      <c r="I12" s="1434"/>
      <c r="J12" s="1435">
        <v>3</v>
      </c>
      <c r="K12" s="1433">
        <v>2</v>
      </c>
      <c r="L12" s="1504"/>
      <c r="M12" s="1504"/>
      <c r="N12" s="1506">
        <v>18</v>
      </c>
      <c r="O12" s="1430">
        <v>2</v>
      </c>
      <c r="P12" s="1431">
        <v>2</v>
      </c>
      <c r="Q12" s="1511">
        <v>1</v>
      </c>
      <c r="R12" s="1430">
        <v>4</v>
      </c>
      <c r="S12" s="1044">
        <v>5</v>
      </c>
      <c r="T12" s="1410"/>
      <c r="U12" s="1169"/>
      <c r="V12" s="1512"/>
      <c r="W12" s="1435"/>
      <c r="X12" s="1434">
        <v>5</v>
      </c>
      <c r="Y12" s="1434">
        <v>5</v>
      </c>
      <c r="Z12" s="1506">
        <v>24</v>
      </c>
      <c r="AA12" s="1427">
        <v>10</v>
      </c>
      <c r="AB12" s="1175" t="s">
        <v>27</v>
      </c>
      <c r="AC12" s="1041">
        <f t="shared" si="0"/>
        <v>80</v>
      </c>
    </row>
    <row r="13" spans="1:31" ht="29.25" customHeight="1" x14ac:dyDescent="0.4">
      <c r="A13" s="1421">
        <v>5</v>
      </c>
      <c r="B13" s="1416">
        <v>5191421006</v>
      </c>
      <c r="C13" s="1173"/>
      <c r="D13" s="1045">
        <v>2</v>
      </c>
      <c r="E13" s="1419"/>
      <c r="F13" s="1173">
        <v>6</v>
      </c>
      <c r="G13" s="1044">
        <v>3</v>
      </c>
      <c r="H13" s="1436"/>
      <c r="I13" s="1436"/>
      <c r="J13" s="1174"/>
      <c r="K13" s="1044"/>
      <c r="L13" s="1044">
        <v>4</v>
      </c>
      <c r="M13" s="1044">
        <v>5</v>
      </c>
      <c r="N13" s="1506">
        <v>20</v>
      </c>
      <c r="O13" s="1173">
        <v>2</v>
      </c>
      <c r="P13" s="1045">
        <v>2</v>
      </c>
      <c r="Q13" s="1509">
        <v>2</v>
      </c>
      <c r="R13" s="1173">
        <v>6</v>
      </c>
      <c r="S13" s="1044">
        <v>6</v>
      </c>
      <c r="T13" s="1410">
        <v>3</v>
      </c>
      <c r="U13" s="1169">
        <v>4</v>
      </c>
      <c r="V13" s="1510"/>
      <c r="W13" s="1174"/>
      <c r="X13" s="1436"/>
      <c r="Y13" s="1436"/>
      <c r="Z13" s="1506">
        <v>26</v>
      </c>
      <c r="AA13" s="1427">
        <v>10</v>
      </c>
      <c r="AB13" s="1175" t="s">
        <v>33</v>
      </c>
      <c r="AC13" s="1041">
        <f t="shared" si="0"/>
        <v>60</v>
      </c>
    </row>
    <row r="14" spans="1:31" ht="29.25" customHeight="1" x14ac:dyDescent="0.4">
      <c r="A14" s="1169">
        <v>6</v>
      </c>
      <c r="B14" s="1416">
        <v>5191421007</v>
      </c>
      <c r="C14" s="1173">
        <v>1</v>
      </c>
      <c r="D14" s="1045">
        <v>1</v>
      </c>
      <c r="E14" s="1419"/>
      <c r="F14" s="1173">
        <v>6</v>
      </c>
      <c r="G14" s="1044">
        <v>6</v>
      </c>
      <c r="H14" s="1436"/>
      <c r="I14" s="1436"/>
      <c r="J14" s="1174"/>
      <c r="K14" s="1044"/>
      <c r="L14" s="1504"/>
      <c r="M14" s="1504"/>
      <c r="N14" s="1506">
        <v>16</v>
      </c>
      <c r="O14" s="1173">
        <v>2</v>
      </c>
      <c r="P14" s="1045">
        <v>2</v>
      </c>
      <c r="Q14" s="1509">
        <v>2</v>
      </c>
      <c r="R14" s="1173">
        <v>3</v>
      </c>
      <c r="S14" s="1044"/>
      <c r="T14" s="1410"/>
      <c r="U14" s="1169"/>
      <c r="V14" s="1510"/>
      <c r="W14" s="1174">
        <v>3</v>
      </c>
      <c r="X14" s="1436">
        <v>6</v>
      </c>
      <c r="Y14" s="1436">
        <v>4</v>
      </c>
      <c r="Z14" s="1506">
        <v>22</v>
      </c>
      <c r="AA14" s="1427">
        <v>10</v>
      </c>
      <c r="AB14" s="1175" t="s">
        <v>32</v>
      </c>
      <c r="AC14" s="1041">
        <f t="shared" si="0"/>
        <v>70</v>
      </c>
    </row>
    <row r="15" spans="1:31" ht="29.25" customHeight="1" x14ac:dyDescent="0.4">
      <c r="A15" s="1421">
        <v>7</v>
      </c>
      <c r="B15" s="1416">
        <v>5191421008</v>
      </c>
      <c r="C15" s="1173"/>
      <c r="D15" s="1045">
        <v>1</v>
      </c>
      <c r="E15" s="1419"/>
      <c r="F15" s="1173">
        <v>6</v>
      </c>
      <c r="G15" s="1044">
        <v>6</v>
      </c>
      <c r="H15" s="1436"/>
      <c r="I15" s="1436"/>
      <c r="J15" s="1174"/>
      <c r="K15" s="1044"/>
      <c r="L15" s="1044">
        <v>2</v>
      </c>
      <c r="M15" s="1044">
        <v>2</v>
      </c>
      <c r="N15" s="1506">
        <v>18</v>
      </c>
      <c r="O15" s="1173"/>
      <c r="P15" s="1045">
        <v>2</v>
      </c>
      <c r="Q15" s="1509">
        <v>2</v>
      </c>
      <c r="R15" s="1173">
        <v>5</v>
      </c>
      <c r="S15" s="1044">
        <v>5</v>
      </c>
      <c r="T15" s="1410"/>
      <c r="U15" s="1169"/>
      <c r="V15" s="1510"/>
      <c r="W15" s="1174"/>
      <c r="X15" s="1436">
        <v>5</v>
      </c>
      <c r="Y15" s="1436">
        <v>3</v>
      </c>
      <c r="Z15" s="1506">
        <v>22</v>
      </c>
      <c r="AA15" s="1427">
        <v>10</v>
      </c>
      <c r="AB15" s="1175" t="s">
        <v>32</v>
      </c>
      <c r="AC15" s="1041">
        <f t="shared" si="0"/>
        <v>70</v>
      </c>
    </row>
    <row r="16" spans="1:31" ht="29.25" customHeight="1" x14ac:dyDescent="0.4">
      <c r="A16" s="1169">
        <v>8</v>
      </c>
      <c r="B16" s="1416">
        <v>5191421010</v>
      </c>
      <c r="C16" s="1173">
        <v>0</v>
      </c>
      <c r="D16" s="1045">
        <v>2</v>
      </c>
      <c r="E16" s="1419">
        <v>1</v>
      </c>
      <c r="F16" s="1173">
        <v>6</v>
      </c>
      <c r="G16" s="1044">
        <v>6</v>
      </c>
      <c r="H16" s="1436"/>
      <c r="I16" s="1436"/>
      <c r="J16" s="1174"/>
      <c r="K16" s="1044">
        <v>6</v>
      </c>
      <c r="L16" s="1504"/>
      <c r="M16" s="1504"/>
      <c r="N16" s="1506">
        <v>21</v>
      </c>
      <c r="O16" s="1173">
        <v>1</v>
      </c>
      <c r="P16" s="1045">
        <v>2</v>
      </c>
      <c r="Q16" s="1509">
        <v>1</v>
      </c>
      <c r="R16" s="1173">
        <v>3</v>
      </c>
      <c r="S16" s="1044">
        <v>5</v>
      </c>
      <c r="T16" s="1410"/>
      <c r="U16" s="1169"/>
      <c r="V16" s="1510"/>
      <c r="W16" s="1174"/>
      <c r="X16" s="1436">
        <v>5</v>
      </c>
      <c r="Y16" s="1436">
        <v>5</v>
      </c>
      <c r="Z16" s="1506">
        <v>22</v>
      </c>
      <c r="AA16" s="1427">
        <v>10</v>
      </c>
      <c r="AB16" s="1175" t="s">
        <v>32</v>
      </c>
      <c r="AC16" s="1041">
        <f t="shared" si="0"/>
        <v>70</v>
      </c>
    </row>
    <row r="17" spans="1:29" ht="29.25" customHeight="1" x14ac:dyDescent="0.4">
      <c r="A17" s="1421">
        <v>9</v>
      </c>
      <c r="B17" s="1416">
        <v>5191421011</v>
      </c>
      <c r="C17" s="1173">
        <v>2</v>
      </c>
      <c r="D17" s="1045">
        <v>2</v>
      </c>
      <c r="E17" s="1419"/>
      <c r="F17" s="1173">
        <v>6</v>
      </c>
      <c r="G17" s="1044">
        <v>5</v>
      </c>
      <c r="H17" s="1436"/>
      <c r="I17" s="1436"/>
      <c r="J17" s="1174"/>
      <c r="K17" s="1044"/>
      <c r="L17" s="1044">
        <v>4</v>
      </c>
      <c r="M17" s="1504"/>
      <c r="N17" s="1506">
        <v>19</v>
      </c>
      <c r="O17" s="1173">
        <v>2</v>
      </c>
      <c r="P17" s="1045">
        <v>2</v>
      </c>
      <c r="Q17" s="1509">
        <v>2</v>
      </c>
      <c r="R17" s="1173"/>
      <c r="S17" s="1044"/>
      <c r="T17" s="1410">
        <v>4</v>
      </c>
      <c r="U17" s="1169">
        <v>4</v>
      </c>
      <c r="V17" s="1510">
        <v>5</v>
      </c>
      <c r="W17" s="1174"/>
      <c r="X17" s="1436"/>
      <c r="Y17" s="1436">
        <v>5</v>
      </c>
      <c r="Z17" s="1506">
        <v>20</v>
      </c>
      <c r="AA17" s="1427">
        <v>10</v>
      </c>
      <c r="AB17" s="1175" t="s">
        <v>31</v>
      </c>
      <c r="AC17" s="1041">
        <f t="shared" si="0"/>
        <v>55</v>
      </c>
    </row>
    <row r="18" spans="1:29" ht="29.25" customHeight="1" x14ac:dyDescent="0.4">
      <c r="A18" s="1169">
        <v>10</v>
      </c>
      <c r="B18" s="1416">
        <v>5191421012</v>
      </c>
      <c r="C18" s="1173">
        <v>1</v>
      </c>
      <c r="D18" s="1045">
        <v>1</v>
      </c>
      <c r="E18" s="1419">
        <v>1</v>
      </c>
      <c r="F18" s="1173">
        <v>6</v>
      </c>
      <c r="G18" s="1044">
        <v>4</v>
      </c>
      <c r="H18" s="1436"/>
      <c r="I18" s="1436"/>
      <c r="J18" s="1174">
        <v>6</v>
      </c>
      <c r="K18" s="1044">
        <v>5</v>
      </c>
      <c r="L18" s="1504"/>
      <c r="M18" s="1504"/>
      <c r="N18" s="1506">
        <v>24</v>
      </c>
      <c r="O18" s="1173">
        <v>1</v>
      </c>
      <c r="P18" s="1045">
        <v>2</v>
      </c>
      <c r="Q18" s="1509">
        <v>1</v>
      </c>
      <c r="R18" s="1173"/>
      <c r="S18" s="1044"/>
      <c r="T18" s="1410">
        <v>5</v>
      </c>
      <c r="U18" s="1169">
        <v>2</v>
      </c>
      <c r="V18" s="1510"/>
      <c r="W18" s="1174"/>
      <c r="X18" s="1436">
        <v>6</v>
      </c>
      <c r="Y18" s="1436">
        <v>4</v>
      </c>
      <c r="Z18" s="1506">
        <v>25</v>
      </c>
      <c r="AA18" s="1427">
        <v>10</v>
      </c>
      <c r="AB18" s="1175" t="s">
        <v>32</v>
      </c>
      <c r="AC18" s="1041">
        <f t="shared" si="0"/>
        <v>70</v>
      </c>
    </row>
    <row r="19" spans="1:29" ht="29.25" customHeight="1" x14ac:dyDescent="0.4">
      <c r="A19" s="1421">
        <v>11</v>
      </c>
      <c r="B19" s="1416">
        <v>5191421013</v>
      </c>
      <c r="C19" s="1173">
        <v>0</v>
      </c>
      <c r="D19" s="1045">
        <v>2</v>
      </c>
      <c r="E19" s="1419"/>
      <c r="F19" s="1173">
        <v>6</v>
      </c>
      <c r="G19" s="1044">
        <v>6</v>
      </c>
      <c r="H19" s="1436"/>
      <c r="I19" s="1436"/>
      <c r="J19" s="1174">
        <v>2</v>
      </c>
      <c r="K19" s="1044">
        <v>6</v>
      </c>
      <c r="L19" s="1504"/>
      <c r="M19" s="1504"/>
      <c r="N19" s="1506">
        <v>22</v>
      </c>
      <c r="O19" s="1173">
        <v>2</v>
      </c>
      <c r="P19" s="1045">
        <v>2</v>
      </c>
      <c r="Q19" s="1509">
        <v>2</v>
      </c>
      <c r="R19" s="1173">
        <v>5</v>
      </c>
      <c r="S19" s="1044">
        <v>6</v>
      </c>
      <c r="T19" s="1410"/>
      <c r="U19" s="1169"/>
      <c r="V19" s="1510"/>
      <c r="W19" s="1174"/>
      <c r="X19" s="1436">
        <v>6</v>
      </c>
      <c r="Y19" s="1436">
        <v>5</v>
      </c>
      <c r="Z19" s="1506">
        <v>28</v>
      </c>
      <c r="AA19" s="1427">
        <v>10</v>
      </c>
      <c r="AB19" s="1175" t="s">
        <v>32</v>
      </c>
      <c r="AC19" s="1041">
        <f t="shared" si="0"/>
        <v>70</v>
      </c>
    </row>
    <row r="20" spans="1:29" ht="29.25" customHeight="1" x14ac:dyDescent="0.4">
      <c r="A20" s="1169">
        <v>12</v>
      </c>
      <c r="B20" s="1416">
        <v>5191421014</v>
      </c>
      <c r="C20" s="1173"/>
      <c r="D20" s="1045">
        <v>2</v>
      </c>
      <c r="E20" s="1419"/>
      <c r="F20" s="1173">
        <v>6</v>
      </c>
      <c r="G20" s="1044"/>
      <c r="H20" s="1436"/>
      <c r="I20" s="1436"/>
      <c r="J20" s="1174"/>
      <c r="K20" s="1044">
        <v>1</v>
      </c>
      <c r="L20" s="1504"/>
      <c r="M20" s="1504"/>
      <c r="N20" s="1506">
        <v>12</v>
      </c>
      <c r="O20" s="1173">
        <v>1</v>
      </c>
      <c r="P20" s="1045">
        <v>2</v>
      </c>
      <c r="Q20" s="1509">
        <v>1</v>
      </c>
      <c r="R20" s="1173">
        <v>5</v>
      </c>
      <c r="S20" s="1044">
        <v>5</v>
      </c>
      <c r="T20" s="1410"/>
      <c r="U20" s="1169"/>
      <c r="V20" s="1510">
        <v>4</v>
      </c>
      <c r="W20" s="1174">
        <v>3</v>
      </c>
      <c r="X20" s="1436"/>
      <c r="Y20" s="1436"/>
      <c r="Z20" s="1506">
        <v>21</v>
      </c>
      <c r="AA20" s="1427">
        <v>10</v>
      </c>
      <c r="AB20" s="1175" t="s">
        <v>32</v>
      </c>
      <c r="AC20" s="1041">
        <f t="shared" si="0"/>
        <v>70</v>
      </c>
    </row>
    <row r="21" spans="1:29" ht="29.25" customHeight="1" x14ac:dyDescent="0.4">
      <c r="A21" s="1421">
        <v>13</v>
      </c>
      <c r="B21" s="1416">
        <v>5191421015</v>
      </c>
      <c r="C21" s="1173"/>
      <c r="D21" s="1045">
        <v>2</v>
      </c>
      <c r="E21" s="1419"/>
      <c r="F21" s="1173">
        <v>6</v>
      </c>
      <c r="G21" s="1044">
        <v>5</v>
      </c>
      <c r="H21" s="1436"/>
      <c r="I21" s="1436"/>
      <c r="J21" s="1174">
        <v>3</v>
      </c>
      <c r="K21" s="1044">
        <v>6</v>
      </c>
      <c r="L21" s="1504"/>
      <c r="M21" s="1504"/>
      <c r="N21" s="1506">
        <v>22</v>
      </c>
      <c r="O21" s="1173">
        <v>1</v>
      </c>
      <c r="P21" s="1045">
        <v>2</v>
      </c>
      <c r="Q21" s="1509">
        <v>1</v>
      </c>
      <c r="R21" s="1173">
        <v>4</v>
      </c>
      <c r="S21" s="1044">
        <v>4</v>
      </c>
      <c r="T21" s="1410"/>
      <c r="U21" s="1169"/>
      <c r="V21" s="1510">
        <v>3</v>
      </c>
      <c r="W21" s="1174">
        <v>3</v>
      </c>
      <c r="X21" s="1436"/>
      <c r="Y21" s="1436"/>
      <c r="Z21" s="1513">
        <v>18</v>
      </c>
      <c r="AA21" s="1427">
        <v>10</v>
      </c>
      <c r="AB21" s="1175" t="s">
        <v>31</v>
      </c>
      <c r="AC21" s="1041">
        <f t="shared" si="0"/>
        <v>55</v>
      </c>
    </row>
    <row r="22" spans="1:29" ht="29.25" customHeight="1" x14ac:dyDescent="0.4">
      <c r="A22" s="1169">
        <v>14</v>
      </c>
      <c r="B22" s="1416">
        <v>5191421017</v>
      </c>
      <c r="C22" s="1173"/>
      <c r="D22" s="1045">
        <v>2</v>
      </c>
      <c r="E22" s="1419"/>
      <c r="F22" s="1173"/>
      <c r="G22" s="1044"/>
      <c r="H22" s="1436">
        <v>6</v>
      </c>
      <c r="I22" s="1436">
        <v>5</v>
      </c>
      <c r="J22" s="1174">
        <v>6</v>
      </c>
      <c r="K22" s="1044">
        <v>6</v>
      </c>
      <c r="L22" s="1504"/>
      <c r="M22" s="1504"/>
      <c r="N22" s="1506">
        <v>25</v>
      </c>
      <c r="O22" s="1173">
        <v>2</v>
      </c>
      <c r="P22" s="1045">
        <v>2</v>
      </c>
      <c r="Q22" s="1509">
        <v>2</v>
      </c>
      <c r="R22" s="1173"/>
      <c r="S22" s="1044"/>
      <c r="T22" s="1410">
        <v>2</v>
      </c>
      <c r="U22" s="1169">
        <v>5</v>
      </c>
      <c r="V22" s="1510"/>
      <c r="W22" s="1174"/>
      <c r="X22" s="1436">
        <v>6</v>
      </c>
      <c r="Y22" s="1436">
        <v>5</v>
      </c>
      <c r="Z22" s="1506">
        <v>24</v>
      </c>
      <c r="AA22" s="1427">
        <v>10</v>
      </c>
      <c r="AB22" s="1175" t="s">
        <v>29</v>
      </c>
      <c r="AC22" s="1041">
        <f t="shared" si="0"/>
        <v>39</v>
      </c>
    </row>
    <row r="23" spans="1:29" ht="29.25" customHeight="1" x14ac:dyDescent="0.4">
      <c r="A23" s="1421">
        <v>15</v>
      </c>
      <c r="B23" s="1416">
        <v>5191421018</v>
      </c>
      <c r="C23" s="1172"/>
      <c r="D23" s="1045"/>
      <c r="E23" s="1419"/>
      <c r="F23" s="1173"/>
      <c r="G23" s="1044"/>
      <c r="H23" s="1436"/>
      <c r="I23" s="1436">
        <v>4</v>
      </c>
      <c r="J23" s="1174">
        <v>4</v>
      </c>
      <c r="K23" s="1044">
        <v>4</v>
      </c>
      <c r="L23" s="1504"/>
      <c r="M23" s="1504"/>
      <c r="N23" s="1506">
        <v>12</v>
      </c>
      <c r="O23" s="1173">
        <v>1</v>
      </c>
      <c r="P23" s="1045">
        <v>2</v>
      </c>
      <c r="Q23" s="1509">
        <v>1</v>
      </c>
      <c r="R23" s="1173">
        <v>4</v>
      </c>
      <c r="S23" s="1044">
        <v>5</v>
      </c>
      <c r="T23" s="1410"/>
      <c r="U23" s="1169"/>
      <c r="V23" s="1510">
        <v>4</v>
      </c>
      <c r="W23" s="1174">
        <v>3</v>
      </c>
      <c r="X23" s="1436"/>
      <c r="Y23" s="1436"/>
      <c r="Z23" s="1506">
        <v>20</v>
      </c>
      <c r="AA23" s="1427">
        <v>10</v>
      </c>
      <c r="AB23" s="1175" t="s">
        <v>32</v>
      </c>
      <c r="AC23" s="1041">
        <f t="shared" si="0"/>
        <v>70</v>
      </c>
    </row>
    <row r="24" spans="1:29" ht="29.25" customHeight="1" x14ac:dyDescent="0.4">
      <c r="A24" s="1169">
        <v>16</v>
      </c>
      <c r="B24" s="1416">
        <v>5191421021</v>
      </c>
      <c r="C24" s="1173"/>
      <c r="D24" s="1044">
        <v>2</v>
      </c>
      <c r="E24" s="1420"/>
      <c r="F24" s="1174">
        <v>5</v>
      </c>
      <c r="G24" s="1044">
        <v>5</v>
      </c>
      <c r="H24" s="1436"/>
      <c r="I24" s="1436"/>
      <c r="J24" s="1174"/>
      <c r="K24" s="1044"/>
      <c r="L24" s="1044">
        <v>2</v>
      </c>
      <c r="M24" s="1504"/>
      <c r="N24" s="1506">
        <v>22</v>
      </c>
      <c r="O24" s="1173">
        <v>1</v>
      </c>
      <c r="P24" s="1044">
        <v>2</v>
      </c>
      <c r="Q24" s="1514">
        <v>2</v>
      </c>
      <c r="R24" s="1174"/>
      <c r="S24" s="1044"/>
      <c r="T24" s="1410">
        <v>4</v>
      </c>
      <c r="U24" s="1169"/>
      <c r="V24" s="1510"/>
      <c r="W24" s="1174"/>
      <c r="X24" s="1436">
        <v>6</v>
      </c>
      <c r="Y24" s="1436">
        <v>5</v>
      </c>
      <c r="Z24" s="1506">
        <v>20</v>
      </c>
      <c r="AA24" s="1427">
        <v>10</v>
      </c>
      <c r="AB24" s="1175" t="s">
        <v>33</v>
      </c>
      <c r="AC24" s="1041">
        <f t="shared" si="0"/>
        <v>60</v>
      </c>
    </row>
    <row r="25" spans="1:29" ht="29.25" customHeight="1" x14ac:dyDescent="0.4">
      <c r="A25" s="1421">
        <v>17</v>
      </c>
      <c r="B25" s="1416">
        <v>5191421026</v>
      </c>
      <c r="C25" s="1173"/>
      <c r="D25" s="1044">
        <v>2</v>
      </c>
      <c r="E25" s="1420"/>
      <c r="F25" s="1174">
        <v>6</v>
      </c>
      <c r="G25" s="1044">
        <v>6</v>
      </c>
      <c r="H25" s="1436"/>
      <c r="I25" s="1436"/>
      <c r="J25" s="1174">
        <v>1</v>
      </c>
      <c r="K25" s="1044">
        <v>3</v>
      </c>
      <c r="L25" s="1504"/>
      <c r="M25" s="1504"/>
      <c r="N25" s="1506">
        <v>24</v>
      </c>
      <c r="O25" s="1174">
        <v>2</v>
      </c>
      <c r="P25" s="1044">
        <v>2</v>
      </c>
      <c r="Q25" s="1514">
        <v>2</v>
      </c>
      <c r="R25" s="1174">
        <v>6</v>
      </c>
      <c r="S25" s="1044">
        <v>6</v>
      </c>
      <c r="T25" s="1410"/>
      <c r="U25" s="1169"/>
      <c r="V25" s="1510">
        <v>6</v>
      </c>
      <c r="W25" s="1174">
        <v>4</v>
      </c>
      <c r="X25" s="1436"/>
      <c r="Y25" s="1436"/>
      <c r="Z25" s="1506">
        <v>28</v>
      </c>
      <c r="AA25" s="1427">
        <v>10</v>
      </c>
      <c r="AB25" s="1175" t="s">
        <v>33</v>
      </c>
      <c r="AC25" s="1041">
        <f t="shared" si="0"/>
        <v>60</v>
      </c>
    </row>
    <row r="26" spans="1:29" ht="29.25" customHeight="1" x14ac:dyDescent="0.4">
      <c r="A26" s="1421">
        <v>19</v>
      </c>
      <c r="B26" s="1416">
        <v>5191421028</v>
      </c>
      <c r="C26" s="1173">
        <v>2</v>
      </c>
      <c r="D26" s="1044">
        <v>2</v>
      </c>
      <c r="E26" s="1420">
        <v>2</v>
      </c>
      <c r="F26" s="1174"/>
      <c r="G26" s="1044"/>
      <c r="H26" s="1436">
        <v>6</v>
      </c>
      <c r="I26" s="1436">
        <v>6</v>
      </c>
      <c r="J26" s="1174">
        <v>6</v>
      </c>
      <c r="K26" s="1044">
        <v>6</v>
      </c>
      <c r="L26" s="1504"/>
      <c r="M26" s="1504"/>
      <c r="N26" s="1506">
        <v>30</v>
      </c>
      <c r="O26" s="1173">
        <v>2</v>
      </c>
      <c r="P26" s="1044">
        <v>2</v>
      </c>
      <c r="Q26" s="1514">
        <v>2</v>
      </c>
      <c r="R26" s="1174"/>
      <c r="S26" s="1044"/>
      <c r="T26" s="1410">
        <v>6</v>
      </c>
      <c r="U26" s="1169">
        <v>5</v>
      </c>
      <c r="V26" s="1510"/>
      <c r="W26" s="1174"/>
      <c r="X26" s="1436">
        <v>6</v>
      </c>
      <c r="Y26" s="1436">
        <v>6</v>
      </c>
      <c r="Z26" s="1506">
        <v>29</v>
      </c>
      <c r="AA26" s="1427">
        <v>10</v>
      </c>
      <c r="AB26" s="1177" t="s">
        <v>27</v>
      </c>
      <c r="AC26" s="1041">
        <f t="shared" si="0"/>
        <v>80</v>
      </c>
    </row>
    <row r="27" spans="1:29" ht="29.25" customHeight="1" x14ac:dyDescent="0.4">
      <c r="A27" s="1169">
        <v>20</v>
      </c>
      <c r="B27" s="1416">
        <v>5191421029</v>
      </c>
      <c r="C27" s="1173">
        <v>2</v>
      </c>
      <c r="D27" s="1044">
        <v>2</v>
      </c>
      <c r="E27" s="1420">
        <v>2</v>
      </c>
      <c r="F27" s="1174"/>
      <c r="G27" s="1044"/>
      <c r="H27" s="1436">
        <v>6</v>
      </c>
      <c r="I27" s="1436">
        <v>4</v>
      </c>
      <c r="J27" s="1174">
        <v>6</v>
      </c>
      <c r="K27" s="1044">
        <v>6</v>
      </c>
      <c r="L27" s="1504"/>
      <c r="M27" s="1504"/>
      <c r="N27" s="1506">
        <v>29</v>
      </c>
      <c r="O27" s="1173">
        <v>2</v>
      </c>
      <c r="P27" s="1044">
        <v>2</v>
      </c>
      <c r="Q27" s="1514">
        <v>2</v>
      </c>
      <c r="R27" s="1174">
        <v>6</v>
      </c>
      <c r="S27" s="1044">
        <v>6</v>
      </c>
      <c r="T27" s="1410"/>
      <c r="U27" s="1169"/>
      <c r="V27" s="1510"/>
      <c r="W27" s="1174"/>
      <c r="X27" s="1436">
        <v>6</v>
      </c>
      <c r="Y27" s="1436">
        <v>4</v>
      </c>
      <c r="Z27" s="1506">
        <v>28</v>
      </c>
      <c r="AA27" s="1427">
        <v>10</v>
      </c>
      <c r="AB27" s="1175" t="s">
        <v>30</v>
      </c>
      <c r="AC27" s="1041">
        <f t="shared" si="0"/>
        <v>90</v>
      </c>
    </row>
    <row r="28" spans="1:29" ht="29.25" customHeight="1" x14ac:dyDescent="0.4">
      <c r="A28" s="1421">
        <v>21</v>
      </c>
      <c r="B28" s="1416">
        <v>5191421030</v>
      </c>
      <c r="C28" s="1515">
        <v>2</v>
      </c>
      <c r="D28" s="1044">
        <v>2</v>
      </c>
      <c r="E28" s="1420">
        <v>2</v>
      </c>
      <c r="F28" s="1174"/>
      <c r="G28" s="1044"/>
      <c r="H28" s="1436"/>
      <c r="I28" s="1436"/>
      <c r="J28" s="1174">
        <v>6</v>
      </c>
      <c r="K28" s="1044"/>
      <c r="L28" s="1504"/>
      <c r="M28" s="1504"/>
      <c r="N28" s="1506">
        <v>12</v>
      </c>
      <c r="O28" s="1173"/>
      <c r="P28" s="1044">
        <v>2</v>
      </c>
      <c r="Q28" s="1514">
        <v>2</v>
      </c>
      <c r="R28" s="1174">
        <v>5</v>
      </c>
      <c r="S28" s="1044">
        <v>4</v>
      </c>
      <c r="T28" s="1410"/>
      <c r="U28" s="1169"/>
      <c r="V28" s="1510">
        <v>2</v>
      </c>
      <c r="W28" s="1174"/>
      <c r="X28" s="1436"/>
      <c r="Y28" s="1436"/>
      <c r="Z28" s="1506">
        <v>16</v>
      </c>
      <c r="AA28" s="1427">
        <v>10</v>
      </c>
      <c r="AB28" s="1175" t="s">
        <v>31</v>
      </c>
      <c r="AC28" s="1041">
        <f t="shared" si="0"/>
        <v>55</v>
      </c>
    </row>
    <row r="29" spans="1:29" ht="29.25" customHeight="1" x14ac:dyDescent="0.4">
      <c r="A29" s="1169">
        <v>22</v>
      </c>
      <c r="B29" s="1416">
        <v>5191421031</v>
      </c>
      <c r="C29" s="1174">
        <v>3</v>
      </c>
      <c r="D29" s="1044"/>
      <c r="E29" s="1420"/>
      <c r="F29" s="1174"/>
      <c r="G29" s="1044"/>
      <c r="H29" s="1436">
        <v>6</v>
      </c>
      <c r="I29" s="1436">
        <v>4</v>
      </c>
      <c r="J29" s="1174">
        <v>5</v>
      </c>
      <c r="K29" s="1044">
        <v>3</v>
      </c>
      <c r="L29" s="1504"/>
      <c r="M29" s="1504"/>
      <c r="N29" s="1506">
        <v>21</v>
      </c>
      <c r="O29" s="1173">
        <v>1</v>
      </c>
      <c r="P29" s="1044"/>
      <c r="Q29" s="1514"/>
      <c r="R29" s="1174">
        <v>5</v>
      </c>
      <c r="S29" s="1044">
        <v>6</v>
      </c>
      <c r="T29" s="1410"/>
      <c r="U29" s="1169"/>
      <c r="V29" s="1510"/>
      <c r="W29" s="1174"/>
      <c r="X29" s="1436">
        <v>6</v>
      </c>
      <c r="Y29" s="1436">
        <v>4</v>
      </c>
      <c r="Z29" s="1506">
        <v>22</v>
      </c>
      <c r="AA29" s="1427">
        <v>10</v>
      </c>
      <c r="AB29" s="1175" t="s">
        <v>33</v>
      </c>
      <c r="AC29" s="1041">
        <f t="shared" si="0"/>
        <v>60</v>
      </c>
    </row>
    <row r="30" spans="1:29" ht="29.25" customHeight="1" x14ac:dyDescent="0.4">
      <c r="A30" s="1421">
        <v>23</v>
      </c>
      <c r="B30" s="1043">
        <v>5191421032</v>
      </c>
      <c r="C30" s="1042"/>
      <c r="D30" s="1042">
        <v>2</v>
      </c>
      <c r="E30" s="1042"/>
      <c r="F30" s="1053"/>
      <c r="G30" s="1053"/>
      <c r="H30" s="1042">
        <v>4</v>
      </c>
      <c r="I30" s="1042"/>
      <c r="J30" s="1042">
        <v>4</v>
      </c>
      <c r="K30" s="1042">
        <v>2</v>
      </c>
      <c r="L30" s="1504"/>
      <c r="M30" s="1504"/>
      <c r="N30" s="1506">
        <v>12</v>
      </c>
      <c r="O30" s="1174">
        <v>2</v>
      </c>
      <c r="P30" s="1044">
        <v>2</v>
      </c>
      <c r="Q30" s="1514"/>
      <c r="R30" s="1174">
        <v>6</v>
      </c>
      <c r="S30" s="1044">
        <v>6</v>
      </c>
      <c r="T30" s="1410"/>
      <c r="U30" s="1169"/>
      <c r="V30" s="1510"/>
      <c r="W30" s="1174"/>
      <c r="X30" s="1436">
        <v>6</v>
      </c>
      <c r="Y30" s="1436">
        <v>4</v>
      </c>
      <c r="Z30" s="1506">
        <v>26</v>
      </c>
      <c r="AA30" s="1427">
        <v>10</v>
      </c>
      <c r="AB30" s="1175" t="s">
        <v>32</v>
      </c>
      <c r="AC30" s="1041">
        <f t="shared" si="0"/>
        <v>70</v>
      </c>
    </row>
    <row r="31" spans="1:29" ht="29.25" customHeight="1" x14ac:dyDescent="0.4">
      <c r="A31" s="1169">
        <v>24</v>
      </c>
      <c r="B31" s="1416">
        <v>5191421033</v>
      </c>
      <c r="C31" s="1173">
        <v>2</v>
      </c>
      <c r="D31" s="1044"/>
      <c r="E31" s="1420">
        <v>2</v>
      </c>
      <c r="F31" s="1174">
        <v>5</v>
      </c>
      <c r="G31" s="1044">
        <v>5</v>
      </c>
      <c r="H31" s="1436"/>
      <c r="I31" s="1436"/>
      <c r="J31" s="1174"/>
      <c r="K31" s="1044">
        <v>5</v>
      </c>
      <c r="L31" s="1504"/>
      <c r="M31" s="1504"/>
      <c r="N31" s="1506">
        <v>22</v>
      </c>
      <c r="O31" s="1173">
        <v>2</v>
      </c>
      <c r="P31" s="1044">
        <v>2</v>
      </c>
      <c r="Q31" s="1514">
        <v>2</v>
      </c>
      <c r="R31" s="1174"/>
      <c r="S31" s="1044"/>
      <c r="T31" s="1410">
        <v>4</v>
      </c>
      <c r="U31" s="1169">
        <v>4</v>
      </c>
      <c r="V31" s="1510"/>
      <c r="W31" s="1174"/>
      <c r="X31" s="1436">
        <v>6</v>
      </c>
      <c r="Y31" s="1436">
        <v>4</v>
      </c>
      <c r="Z31" s="1506">
        <v>26</v>
      </c>
      <c r="AA31" s="1427">
        <v>10</v>
      </c>
      <c r="AB31" s="1175" t="s">
        <v>32</v>
      </c>
      <c r="AC31" s="1041">
        <f t="shared" si="0"/>
        <v>70</v>
      </c>
    </row>
    <row r="32" spans="1:29" ht="29.25" customHeight="1" x14ac:dyDescent="0.4">
      <c r="A32" s="1421">
        <v>25</v>
      </c>
      <c r="B32" s="1416">
        <v>5191421034</v>
      </c>
      <c r="C32" s="1173"/>
      <c r="D32" s="1044"/>
      <c r="E32" s="1420"/>
      <c r="F32" s="1174"/>
      <c r="G32" s="1044"/>
      <c r="H32" s="1436">
        <v>6</v>
      </c>
      <c r="I32" s="1436">
        <v>5</v>
      </c>
      <c r="J32" s="1174">
        <v>4</v>
      </c>
      <c r="K32" s="1044">
        <v>2</v>
      </c>
      <c r="L32" s="1504">
        <v>3</v>
      </c>
      <c r="M32" s="1504"/>
      <c r="N32" s="1506">
        <v>22</v>
      </c>
      <c r="O32" s="1174">
        <v>1</v>
      </c>
      <c r="P32" s="1044">
        <v>2</v>
      </c>
      <c r="Q32" s="1514">
        <v>2</v>
      </c>
      <c r="R32" s="1174">
        <v>5</v>
      </c>
      <c r="S32" s="1044"/>
      <c r="T32" s="1410"/>
      <c r="U32" s="1169"/>
      <c r="V32" s="1510"/>
      <c r="W32" s="1174"/>
      <c r="X32" s="1436">
        <v>6</v>
      </c>
      <c r="Y32" s="1436">
        <v>6</v>
      </c>
      <c r="Z32" s="1506">
        <v>22</v>
      </c>
      <c r="AA32" s="1427">
        <v>10</v>
      </c>
      <c r="AB32" s="1175" t="s">
        <v>32</v>
      </c>
      <c r="AC32" s="1041">
        <f t="shared" si="0"/>
        <v>70</v>
      </c>
    </row>
    <row r="33" spans="1:29" ht="29.25" customHeight="1" x14ac:dyDescent="0.4">
      <c r="A33" s="1169">
        <v>26</v>
      </c>
      <c r="B33" s="1416">
        <v>5191421040</v>
      </c>
      <c r="C33" s="1515">
        <v>2</v>
      </c>
      <c r="D33" s="1044">
        <v>1</v>
      </c>
      <c r="E33" s="1420">
        <v>2</v>
      </c>
      <c r="F33" s="1174"/>
      <c r="G33" s="1044"/>
      <c r="H33" s="1436">
        <v>6</v>
      </c>
      <c r="I33" s="1436">
        <v>5</v>
      </c>
      <c r="J33" s="1174">
        <v>5</v>
      </c>
      <c r="K33" s="1044">
        <v>6</v>
      </c>
      <c r="L33" s="1504"/>
      <c r="M33" s="1504"/>
      <c r="N33" s="1506">
        <v>29</v>
      </c>
      <c r="O33" s="1173"/>
      <c r="P33" s="1044"/>
      <c r="Q33" s="1514"/>
      <c r="R33" s="1174"/>
      <c r="S33" s="1044"/>
      <c r="T33" s="1410"/>
      <c r="U33" s="1169"/>
      <c r="V33" s="1510"/>
      <c r="W33" s="1174"/>
      <c r="X33" s="1436"/>
      <c r="Y33" s="1436"/>
      <c r="Z33" s="1506">
        <v>0</v>
      </c>
      <c r="AA33" s="1427">
        <v>10</v>
      </c>
      <c r="AB33" s="1175" t="s">
        <v>31</v>
      </c>
      <c r="AC33" s="1041">
        <f t="shared" si="0"/>
        <v>55</v>
      </c>
    </row>
    <row r="34" spans="1:29" ht="29.25" customHeight="1" x14ac:dyDescent="0.4">
      <c r="A34" s="1421">
        <v>27</v>
      </c>
      <c r="B34" s="1416">
        <v>5191421041</v>
      </c>
      <c r="C34" s="1173">
        <v>2</v>
      </c>
      <c r="D34" s="1044">
        <v>2</v>
      </c>
      <c r="E34" s="1420"/>
      <c r="F34" s="1174"/>
      <c r="G34" s="1044"/>
      <c r="H34" s="1436">
        <v>4</v>
      </c>
      <c r="I34" s="1436">
        <v>3</v>
      </c>
      <c r="J34" s="1174">
        <v>1</v>
      </c>
      <c r="K34" s="1044"/>
      <c r="L34" s="1504"/>
      <c r="M34" s="1504"/>
      <c r="N34" s="1506">
        <v>12</v>
      </c>
      <c r="O34" s="1173"/>
      <c r="P34" s="1044">
        <v>2</v>
      </c>
      <c r="Q34" s="1514"/>
      <c r="R34" s="1174">
        <v>4</v>
      </c>
      <c r="S34" s="1044">
        <v>7</v>
      </c>
      <c r="T34" s="1410"/>
      <c r="U34" s="1169"/>
      <c r="V34" s="1510">
        <v>5</v>
      </c>
      <c r="W34" s="1174"/>
      <c r="X34" s="1436"/>
      <c r="Y34" s="1436"/>
      <c r="Z34" s="1506">
        <v>18</v>
      </c>
      <c r="AA34" s="1427">
        <v>10</v>
      </c>
      <c r="AB34" s="1175" t="s">
        <v>31</v>
      </c>
      <c r="AC34" s="1041">
        <f t="shared" si="0"/>
        <v>55</v>
      </c>
    </row>
    <row r="35" spans="1:29" ht="29.25" customHeight="1" x14ac:dyDescent="0.4">
      <c r="A35" s="1169">
        <v>28</v>
      </c>
      <c r="B35" s="1416">
        <v>5191421042</v>
      </c>
      <c r="C35" s="1173">
        <v>1</v>
      </c>
      <c r="D35" s="1044"/>
      <c r="E35" s="1420">
        <v>2</v>
      </c>
      <c r="F35" s="1174">
        <v>6</v>
      </c>
      <c r="G35" s="1044">
        <v>4</v>
      </c>
      <c r="H35" s="1436"/>
      <c r="I35" s="1436"/>
      <c r="J35" s="1174">
        <v>2</v>
      </c>
      <c r="K35" s="1044">
        <v>6</v>
      </c>
      <c r="L35" s="1504"/>
      <c r="M35" s="1504"/>
      <c r="N35" s="1506">
        <v>21</v>
      </c>
      <c r="O35" s="1173">
        <v>2</v>
      </c>
      <c r="P35" s="1044"/>
      <c r="Q35" s="1514"/>
      <c r="R35" s="1174">
        <v>4</v>
      </c>
      <c r="S35" s="1044">
        <v>3</v>
      </c>
      <c r="T35" s="1410"/>
      <c r="U35" s="1169"/>
      <c r="V35" s="1510"/>
      <c r="W35" s="1174"/>
      <c r="X35" s="1436">
        <v>5</v>
      </c>
      <c r="Y35" s="1436">
        <v>5</v>
      </c>
      <c r="Z35" s="1506">
        <v>20</v>
      </c>
      <c r="AA35" s="1427">
        <v>10</v>
      </c>
      <c r="AB35" s="1175" t="s">
        <v>32</v>
      </c>
      <c r="AC35" s="1041">
        <f t="shared" si="0"/>
        <v>70</v>
      </c>
    </row>
    <row r="36" spans="1:29" ht="29.25" customHeight="1" x14ac:dyDescent="0.4">
      <c r="A36" s="1421">
        <v>29</v>
      </c>
      <c r="B36" s="1416">
        <v>5191421043</v>
      </c>
      <c r="C36" s="1173">
        <v>2</v>
      </c>
      <c r="D36" s="1044">
        <v>2</v>
      </c>
      <c r="E36" s="1420">
        <v>2</v>
      </c>
      <c r="F36" s="1174"/>
      <c r="G36" s="1044"/>
      <c r="H36" s="1436">
        <v>6</v>
      </c>
      <c r="I36" s="1436">
        <v>5</v>
      </c>
      <c r="J36" s="1174">
        <v>6</v>
      </c>
      <c r="K36" s="1044">
        <v>6</v>
      </c>
      <c r="L36" s="1504"/>
      <c r="M36" s="1504"/>
      <c r="N36" s="1506">
        <v>29</v>
      </c>
      <c r="O36" s="1173">
        <v>2</v>
      </c>
      <c r="P36" s="1044">
        <v>2</v>
      </c>
      <c r="Q36" s="1514">
        <v>2</v>
      </c>
      <c r="R36" s="1174">
        <v>3</v>
      </c>
      <c r="S36" s="1044">
        <v>4</v>
      </c>
      <c r="T36" s="1410"/>
      <c r="U36" s="1169"/>
      <c r="V36" s="1510"/>
      <c r="W36" s="1174"/>
      <c r="X36" s="1436">
        <v>6</v>
      </c>
      <c r="Y36" s="1436">
        <v>5</v>
      </c>
      <c r="Z36" s="1506">
        <v>24</v>
      </c>
      <c r="AA36" s="1427">
        <v>10</v>
      </c>
      <c r="AB36" s="1175" t="s">
        <v>27</v>
      </c>
      <c r="AC36" s="1041">
        <f t="shared" si="0"/>
        <v>80</v>
      </c>
    </row>
    <row r="37" spans="1:29" ht="29.25" customHeight="1" x14ac:dyDescent="0.4">
      <c r="A37" s="1169">
        <v>30</v>
      </c>
      <c r="B37" s="1416">
        <v>5191421046</v>
      </c>
      <c r="C37" s="1173"/>
      <c r="D37" s="1044">
        <v>3</v>
      </c>
      <c r="E37" s="1420"/>
      <c r="F37" s="1174">
        <v>6</v>
      </c>
      <c r="G37" s="1044">
        <v>5</v>
      </c>
      <c r="H37" s="1436"/>
      <c r="I37" s="1436"/>
      <c r="J37" s="1174">
        <v>5</v>
      </c>
      <c r="K37" s="1044">
        <v>6</v>
      </c>
      <c r="L37" s="1504"/>
      <c r="M37" s="1504"/>
      <c r="N37" s="1506">
        <v>25</v>
      </c>
      <c r="O37" s="1173">
        <v>1</v>
      </c>
      <c r="P37" s="1044">
        <v>2</v>
      </c>
      <c r="Q37" s="1514">
        <v>1</v>
      </c>
      <c r="R37" s="1174">
        <v>4</v>
      </c>
      <c r="S37" s="1044">
        <v>5</v>
      </c>
      <c r="T37" s="1410"/>
      <c r="U37" s="1169"/>
      <c r="V37" s="1510">
        <v>6</v>
      </c>
      <c r="W37" s="1174">
        <v>5</v>
      </c>
      <c r="X37" s="1436"/>
      <c r="Y37" s="1436"/>
      <c r="Z37" s="1506">
        <v>24</v>
      </c>
      <c r="AA37" s="1427">
        <v>10</v>
      </c>
      <c r="AB37" s="1175" t="s">
        <v>32</v>
      </c>
      <c r="AC37" s="1041">
        <f t="shared" si="0"/>
        <v>70</v>
      </c>
    </row>
    <row r="38" spans="1:29" ht="29.25" customHeight="1" x14ac:dyDescent="0.4">
      <c r="A38" s="1421">
        <v>31</v>
      </c>
      <c r="B38" s="1416">
        <v>5191421051</v>
      </c>
      <c r="C38" s="1426">
        <v>2</v>
      </c>
      <c r="D38" s="1423">
        <v>2</v>
      </c>
      <c r="E38" s="1424">
        <v>1</v>
      </c>
      <c r="F38" s="1422">
        <v>6</v>
      </c>
      <c r="G38" s="1044">
        <v>5</v>
      </c>
      <c r="H38" s="1425"/>
      <c r="I38" s="1425"/>
      <c r="J38" s="1422">
        <v>6</v>
      </c>
      <c r="K38" s="1423">
        <v>6</v>
      </c>
      <c r="L38" s="1504"/>
      <c r="M38" s="1504"/>
      <c r="N38" s="1506">
        <v>28</v>
      </c>
      <c r="O38" s="1426">
        <v>2</v>
      </c>
      <c r="P38" s="1423">
        <v>2</v>
      </c>
      <c r="Q38" s="1516">
        <v>2</v>
      </c>
      <c r="R38" s="1422"/>
      <c r="S38" s="1044"/>
      <c r="T38" s="1410">
        <v>5</v>
      </c>
      <c r="U38" s="1169">
        <v>5</v>
      </c>
      <c r="V38" s="1508">
        <v>6</v>
      </c>
      <c r="W38" s="1422">
        <v>6</v>
      </c>
      <c r="X38" s="1425"/>
      <c r="Y38" s="1436"/>
      <c r="Z38" s="1506">
        <v>28</v>
      </c>
      <c r="AA38" s="1427">
        <v>10</v>
      </c>
      <c r="AB38" s="1175" t="s">
        <v>27</v>
      </c>
      <c r="AC38" s="1041">
        <f t="shared" si="0"/>
        <v>80</v>
      </c>
    </row>
    <row r="39" spans="1:29" ht="29.25" customHeight="1" x14ac:dyDescent="0.4">
      <c r="A39" s="1169">
        <v>32</v>
      </c>
      <c r="B39" s="1416">
        <v>5191421052</v>
      </c>
      <c r="C39" s="1426">
        <v>2</v>
      </c>
      <c r="D39" s="1423">
        <v>2</v>
      </c>
      <c r="E39" s="1424">
        <v>2</v>
      </c>
      <c r="F39" s="1422">
        <v>6</v>
      </c>
      <c r="G39" s="1044">
        <v>6</v>
      </c>
      <c r="H39" s="1425"/>
      <c r="I39" s="1425"/>
      <c r="J39" s="1422">
        <v>4</v>
      </c>
      <c r="K39" s="1423">
        <v>6</v>
      </c>
      <c r="L39" s="1504"/>
      <c r="M39" s="1504"/>
      <c r="N39" s="1506">
        <v>28</v>
      </c>
      <c r="O39" s="1426">
        <v>2</v>
      </c>
      <c r="P39" s="1423">
        <v>2</v>
      </c>
      <c r="Q39" s="1516">
        <v>2</v>
      </c>
      <c r="R39" s="1422"/>
      <c r="S39" s="1044"/>
      <c r="T39" s="1410">
        <v>6</v>
      </c>
      <c r="U39" s="1169">
        <v>6</v>
      </c>
      <c r="V39" s="1508">
        <v>6</v>
      </c>
      <c r="W39" s="1422">
        <v>6</v>
      </c>
      <c r="X39" s="1425"/>
      <c r="Y39" s="1436"/>
      <c r="Z39" s="1506">
        <v>30</v>
      </c>
      <c r="AA39" s="1427">
        <v>10</v>
      </c>
      <c r="AB39" s="1175" t="s">
        <v>27</v>
      </c>
      <c r="AC39" s="1041">
        <f t="shared" si="0"/>
        <v>80</v>
      </c>
    </row>
    <row r="40" spans="1:29" ht="29.25" customHeight="1" x14ac:dyDescent="0.4">
      <c r="A40" s="1421">
        <v>33</v>
      </c>
      <c r="B40" s="1416">
        <v>5191421053</v>
      </c>
      <c r="C40" s="1426"/>
      <c r="D40" s="1423">
        <v>2</v>
      </c>
      <c r="E40" s="1424">
        <v>1</v>
      </c>
      <c r="F40" s="1422">
        <v>6</v>
      </c>
      <c r="G40" s="1044">
        <v>6</v>
      </c>
      <c r="H40" s="1425"/>
      <c r="I40" s="1425"/>
      <c r="J40" s="1422">
        <v>4</v>
      </c>
      <c r="K40" s="1423">
        <v>3</v>
      </c>
      <c r="L40" s="1504"/>
      <c r="M40" s="1504"/>
      <c r="N40" s="1506">
        <v>22</v>
      </c>
      <c r="O40" s="1426">
        <v>2</v>
      </c>
      <c r="P40" s="1423">
        <v>2</v>
      </c>
      <c r="Q40" s="1516"/>
      <c r="R40" s="1422">
        <v>6</v>
      </c>
      <c r="S40" s="1044">
        <v>6</v>
      </c>
      <c r="T40" s="1410"/>
      <c r="U40" s="1169"/>
      <c r="V40" s="1508">
        <v>6</v>
      </c>
      <c r="W40" s="1422">
        <v>6</v>
      </c>
      <c r="X40" s="1425"/>
      <c r="Y40" s="1436"/>
      <c r="Z40" s="1506">
        <v>28</v>
      </c>
      <c r="AA40" s="1427">
        <v>10</v>
      </c>
      <c r="AB40" s="1175" t="s">
        <v>32</v>
      </c>
      <c r="AC40" s="1041">
        <f t="shared" si="0"/>
        <v>70</v>
      </c>
    </row>
    <row r="41" spans="1:29" ht="29.25" customHeight="1" x14ac:dyDescent="0.4">
      <c r="A41" s="1169">
        <v>34</v>
      </c>
      <c r="B41" s="1416">
        <v>5191421054</v>
      </c>
      <c r="C41" s="1426">
        <v>2</v>
      </c>
      <c r="D41" s="1423">
        <v>2</v>
      </c>
      <c r="E41" s="1424">
        <v>1</v>
      </c>
      <c r="F41" s="1422">
        <v>6</v>
      </c>
      <c r="G41" s="1044">
        <v>6</v>
      </c>
      <c r="H41" s="1425"/>
      <c r="I41" s="1425"/>
      <c r="J41" s="1422">
        <v>6</v>
      </c>
      <c r="K41" s="1423">
        <v>5</v>
      </c>
      <c r="L41" s="1504"/>
      <c r="M41" s="1504"/>
      <c r="N41" s="1506">
        <v>28</v>
      </c>
      <c r="O41" s="1426">
        <v>2</v>
      </c>
      <c r="P41" s="1423">
        <v>2</v>
      </c>
      <c r="Q41" s="1516">
        <v>2</v>
      </c>
      <c r="R41" s="1422"/>
      <c r="S41" s="1044"/>
      <c r="T41" s="1410"/>
      <c r="U41" s="1169"/>
      <c r="V41" s="1508"/>
      <c r="W41" s="1422"/>
      <c r="X41" s="1425">
        <v>6</v>
      </c>
      <c r="Y41" s="1436">
        <v>6</v>
      </c>
      <c r="Z41" s="1506">
        <v>24</v>
      </c>
      <c r="AA41" s="1427">
        <v>10</v>
      </c>
      <c r="AB41" s="1175" t="s">
        <v>27</v>
      </c>
      <c r="AC41" s="1041">
        <f t="shared" si="0"/>
        <v>80</v>
      </c>
    </row>
    <row r="42" spans="1:29" ht="29.25" customHeight="1" x14ac:dyDescent="0.4">
      <c r="C42" s="1040">
        <f t="shared" ref="C42:M42" si="1">COUNT(C9:C41)</f>
        <v>19</v>
      </c>
      <c r="D42" s="1040">
        <f t="shared" si="1"/>
        <v>28</v>
      </c>
      <c r="E42" s="1040">
        <f t="shared" si="1"/>
        <v>15</v>
      </c>
      <c r="F42" s="1040">
        <f t="shared" si="1"/>
        <v>22</v>
      </c>
      <c r="G42" s="1040">
        <f t="shared" si="1"/>
        <v>21</v>
      </c>
      <c r="H42" s="1040">
        <f t="shared" si="1"/>
        <v>9</v>
      </c>
      <c r="I42" s="1040">
        <f t="shared" si="1"/>
        <v>9</v>
      </c>
      <c r="J42" s="1040">
        <f t="shared" si="1"/>
        <v>24</v>
      </c>
      <c r="K42" s="1040">
        <f t="shared" si="1"/>
        <v>25</v>
      </c>
      <c r="L42" s="1040">
        <f t="shared" si="1"/>
        <v>6</v>
      </c>
      <c r="M42" s="1040">
        <f t="shared" si="1"/>
        <v>3</v>
      </c>
      <c r="N42" s="1040"/>
      <c r="O42" s="1040">
        <f t="shared" ref="O42:Y42" si="2">COUNT(O9:O41)</f>
        <v>29</v>
      </c>
      <c r="P42" s="1040">
        <f t="shared" si="2"/>
        <v>30</v>
      </c>
      <c r="Q42" s="1040">
        <f t="shared" si="2"/>
        <v>26</v>
      </c>
      <c r="R42" s="1040">
        <f t="shared" si="2"/>
        <v>23</v>
      </c>
      <c r="S42" s="1040">
        <f t="shared" si="2"/>
        <v>21</v>
      </c>
      <c r="T42" s="1040">
        <f t="shared" si="2"/>
        <v>9</v>
      </c>
      <c r="U42" s="1040">
        <f t="shared" si="2"/>
        <v>8</v>
      </c>
      <c r="V42" s="1040">
        <f t="shared" si="2"/>
        <v>11</v>
      </c>
      <c r="W42" s="1040">
        <f t="shared" si="2"/>
        <v>9</v>
      </c>
      <c r="X42" s="1040">
        <f t="shared" si="2"/>
        <v>20</v>
      </c>
      <c r="Y42" s="1040">
        <f t="shared" si="2"/>
        <v>20</v>
      </c>
      <c r="Z42" s="1041"/>
      <c r="AA42" s="1040">
        <f>COUNT(AA9:AA41)</f>
        <v>33</v>
      </c>
    </row>
    <row r="43" spans="1:29" ht="29.25" customHeight="1" x14ac:dyDescent="0.4">
      <c r="A43" s="1437" t="s">
        <v>34</v>
      </c>
      <c r="B43" s="1167">
        <v>55</v>
      </c>
      <c r="C43" s="1438">
        <f>C8*(B43/100)</f>
        <v>1.1000000000000001</v>
      </c>
      <c r="D43" s="1438">
        <f>D8*(B43/100)</f>
        <v>1.1000000000000001</v>
      </c>
      <c r="E43" s="1438">
        <v>1</v>
      </c>
      <c r="F43" s="1438">
        <v>3</v>
      </c>
      <c r="G43" s="1438">
        <v>3</v>
      </c>
      <c r="H43" s="1438">
        <v>3</v>
      </c>
      <c r="I43" s="1438">
        <v>3</v>
      </c>
      <c r="J43" s="1438">
        <v>3</v>
      </c>
      <c r="K43" s="1438">
        <v>3</v>
      </c>
      <c r="L43" s="1438">
        <v>3</v>
      </c>
      <c r="M43" s="1438">
        <v>3</v>
      </c>
      <c r="N43" s="1040"/>
      <c r="O43" s="1438">
        <f>O8*(B43/100)</f>
        <v>1.1000000000000001</v>
      </c>
      <c r="P43" s="1438">
        <f>P8*(B43/100)</f>
        <v>1.1000000000000001</v>
      </c>
      <c r="Q43" s="1438">
        <f>Q8*(B43/100)</f>
        <v>1.1000000000000001</v>
      </c>
      <c r="R43" s="1438">
        <f>R8*(B43/100)</f>
        <v>3.3000000000000003</v>
      </c>
      <c r="S43" s="1438">
        <f>S8*(B43/100)</f>
        <v>3.3000000000000003</v>
      </c>
      <c r="T43" s="1438">
        <f>T8*(B43/100)</f>
        <v>3.3000000000000003</v>
      </c>
      <c r="U43" s="1438">
        <f>U8*(B43/100)</f>
        <v>3.3000000000000003</v>
      </c>
      <c r="V43" s="1438">
        <v>3</v>
      </c>
      <c r="W43" s="1438">
        <v>3</v>
      </c>
      <c r="X43" s="1438">
        <v>3</v>
      </c>
      <c r="Y43" s="1438">
        <v>3</v>
      </c>
      <c r="Z43" s="1041"/>
      <c r="AA43" s="1438">
        <v>3</v>
      </c>
    </row>
    <row r="44" spans="1:29" ht="29.25" customHeight="1" x14ac:dyDescent="0.4">
      <c r="A44" s="3165" t="s">
        <v>35</v>
      </c>
      <c r="B44" s="3165"/>
      <c r="C44" s="1040">
        <f t="shared" ref="C44:M44" si="3">COUNTIF(C9:C41,"&gt;=" &amp;C43)</f>
        <v>13</v>
      </c>
      <c r="D44" s="1040">
        <f t="shared" si="3"/>
        <v>23</v>
      </c>
      <c r="E44" s="1040">
        <f t="shared" si="3"/>
        <v>13</v>
      </c>
      <c r="F44" s="1040">
        <f t="shared" si="3"/>
        <v>22</v>
      </c>
      <c r="G44" s="1040">
        <f t="shared" si="3"/>
        <v>21</v>
      </c>
      <c r="H44" s="1040">
        <f t="shared" si="3"/>
        <v>9</v>
      </c>
      <c r="I44" s="1040">
        <f t="shared" si="3"/>
        <v>9</v>
      </c>
      <c r="J44" s="1040">
        <f t="shared" si="3"/>
        <v>19</v>
      </c>
      <c r="K44" s="1040">
        <f t="shared" si="3"/>
        <v>20</v>
      </c>
      <c r="L44" s="1040">
        <f t="shared" si="3"/>
        <v>3</v>
      </c>
      <c r="M44" s="1040">
        <f t="shared" si="3"/>
        <v>2</v>
      </c>
      <c r="N44" s="1040"/>
      <c r="O44" s="1040">
        <f t="shared" ref="O44:Y44" si="4">COUNTIF(O9:O38,"&gt;=" &amp;O43)</f>
        <v>15</v>
      </c>
      <c r="P44" s="1040">
        <f t="shared" si="4"/>
        <v>27</v>
      </c>
      <c r="Q44" s="1040">
        <f t="shared" si="4"/>
        <v>17</v>
      </c>
      <c r="R44" s="1040">
        <f t="shared" si="4"/>
        <v>18</v>
      </c>
      <c r="S44" s="1040">
        <f t="shared" si="4"/>
        <v>17</v>
      </c>
      <c r="T44" s="1040">
        <f t="shared" si="4"/>
        <v>6</v>
      </c>
      <c r="U44" s="1040">
        <f t="shared" si="4"/>
        <v>6</v>
      </c>
      <c r="V44" s="1040">
        <f t="shared" si="4"/>
        <v>8</v>
      </c>
      <c r="W44" s="1040">
        <f t="shared" si="4"/>
        <v>7</v>
      </c>
      <c r="X44" s="1040">
        <f t="shared" si="4"/>
        <v>19</v>
      </c>
      <c r="Y44" s="1040">
        <f t="shared" si="4"/>
        <v>18</v>
      </c>
      <c r="Z44" s="1041"/>
      <c r="AA44" s="1040">
        <f>COUNTIF(AA9:AA38,"&gt;=" &amp;AA43)</f>
        <v>30</v>
      </c>
      <c r="AB44" s="1040"/>
      <c r="AC44" s="1040">
        <f>COUNTIF(AC9:AC41,"&gt;="&amp;B43)</f>
        <v>31</v>
      </c>
    </row>
    <row r="45" spans="1:29" ht="29.25" customHeight="1" x14ac:dyDescent="0.4">
      <c r="A45" s="3166" t="s">
        <v>36</v>
      </c>
      <c r="B45" s="3166"/>
      <c r="C45" s="1040">
        <f t="shared" ref="C45:Y45" si="5">C44/C42</f>
        <v>0.68421052631578949</v>
      </c>
      <c r="D45" s="1040">
        <f t="shared" si="5"/>
        <v>0.8214285714285714</v>
      </c>
      <c r="E45" s="1040">
        <f t="shared" si="5"/>
        <v>0.8666666666666667</v>
      </c>
      <c r="F45" s="1040">
        <f t="shared" si="5"/>
        <v>1</v>
      </c>
      <c r="G45" s="1040">
        <f t="shared" si="5"/>
        <v>1</v>
      </c>
      <c r="H45" s="1040">
        <f t="shared" si="5"/>
        <v>1</v>
      </c>
      <c r="I45" s="1040">
        <f t="shared" si="5"/>
        <v>1</v>
      </c>
      <c r="J45" s="1040">
        <f t="shared" si="5"/>
        <v>0.79166666666666663</v>
      </c>
      <c r="K45" s="1040">
        <f t="shared" si="5"/>
        <v>0.8</v>
      </c>
      <c r="L45" s="1040">
        <f t="shared" si="5"/>
        <v>0.5</v>
      </c>
      <c r="M45" s="1040">
        <f t="shared" si="5"/>
        <v>0.66666666666666663</v>
      </c>
      <c r="N45" s="1040"/>
      <c r="O45" s="1040">
        <f t="shared" si="5"/>
        <v>0.51724137931034486</v>
      </c>
      <c r="P45" s="1040">
        <f t="shared" si="5"/>
        <v>0.9</v>
      </c>
      <c r="Q45" s="1040">
        <f t="shared" si="5"/>
        <v>0.65384615384615385</v>
      </c>
      <c r="R45" s="1040">
        <f t="shared" si="5"/>
        <v>0.78260869565217395</v>
      </c>
      <c r="S45" s="1040">
        <f t="shared" si="5"/>
        <v>0.80952380952380953</v>
      </c>
      <c r="T45" s="1040">
        <f t="shared" si="5"/>
        <v>0.66666666666666663</v>
      </c>
      <c r="U45" s="1040">
        <f t="shared" si="5"/>
        <v>0.75</v>
      </c>
      <c r="V45" s="1040">
        <f t="shared" si="5"/>
        <v>0.72727272727272729</v>
      </c>
      <c r="W45" s="1040">
        <f t="shared" si="5"/>
        <v>0.77777777777777779</v>
      </c>
      <c r="X45" s="1040">
        <f t="shared" si="5"/>
        <v>0.95</v>
      </c>
      <c r="Y45" s="1040">
        <f t="shared" si="5"/>
        <v>0.9</v>
      </c>
      <c r="Z45" s="1041"/>
      <c r="AA45" s="1040">
        <f t="shared" ref="AA45" si="6">AA44/AA42</f>
        <v>0.90909090909090906</v>
      </c>
      <c r="AB45" s="1040"/>
      <c r="AC45" s="1040">
        <f>(AC44/A41)*100</f>
        <v>91.17647058823529</v>
      </c>
    </row>
    <row r="46" spans="1:29" ht="29.25" customHeight="1" x14ac:dyDescent="0.4">
      <c r="C46" s="1168" t="s">
        <v>22</v>
      </c>
      <c r="D46" s="1168" t="s">
        <v>21</v>
      </c>
      <c r="E46" s="1170" t="s">
        <v>21</v>
      </c>
      <c r="F46" s="1168" t="s">
        <v>22</v>
      </c>
      <c r="G46" s="1168" t="s">
        <v>22</v>
      </c>
      <c r="H46" s="1410" t="s">
        <v>21</v>
      </c>
      <c r="I46" s="1410" t="s">
        <v>21</v>
      </c>
      <c r="J46" s="1503" t="s">
        <v>21</v>
      </c>
      <c r="K46" s="1503" t="s">
        <v>21</v>
      </c>
      <c r="L46" s="1168" t="s">
        <v>40</v>
      </c>
      <c r="M46" s="1503" t="s">
        <v>21</v>
      </c>
      <c r="N46" s="1040"/>
      <c r="O46" s="1168" t="s">
        <v>41</v>
      </c>
      <c r="P46" s="1169" t="s">
        <v>42</v>
      </c>
      <c r="Q46" s="1410" t="s">
        <v>42</v>
      </c>
      <c r="R46" s="1168" t="s">
        <v>41</v>
      </c>
      <c r="S46" s="1169" t="s">
        <v>41</v>
      </c>
      <c r="T46" s="1410" t="s">
        <v>41</v>
      </c>
      <c r="U46" s="1169" t="s">
        <v>41</v>
      </c>
      <c r="V46" s="1168" t="s">
        <v>42</v>
      </c>
      <c r="W46" s="1168" t="s">
        <v>42</v>
      </c>
      <c r="X46" s="1169" t="s">
        <v>42</v>
      </c>
      <c r="Y46" s="1169" t="s">
        <v>42</v>
      </c>
      <c r="Z46" s="1040"/>
      <c r="AA46" s="1040"/>
    </row>
    <row r="48" spans="1:29" ht="29.25" customHeight="1" x14ac:dyDescent="0.4">
      <c r="C48" s="1046"/>
      <c r="D48" s="1167" t="s">
        <v>38</v>
      </c>
      <c r="E48" s="2654" t="s">
        <v>39</v>
      </c>
      <c r="F48" s="2654"/>
      <c r="G48" s="2654" t="s">
        <v>37</v>
      </c>
      <c r="H48" s="2654"/>
      <c r="I48" s="1167"/>
      <c r="J48" s="1439"/>
      <c r="K48" s="1167"/>
    </row>
    <row r="49" spans="1:26" ht="29.25" customHeight="1" x14ac:dyDescent="0.4">
      <c r="B49" s="1167" t="s">
        <v>22</v>
      </c>
      <c r="C49" s="1040">
        <f>AVERAGE(C45,F45,G45,AA45)*100</f>
        <v>89.832535885167459</v>
      </c>
      <c r="D49" s="1040">
        <f t="shared" ref="D49:D52" si="7">IF(C49&gt;=70,3,IF(AND(C49&gt;=60,C49&lt;70),2,IF(AND(C49&gt;=50,C49&lt;60),1)))</f>
        <v>3</v>
      </c>
      <c r="E49" s="3647">
        <f>IF(AC45&gt;=70,3,IF(AND(AC45&gt;=60,AC45&lt;70),2,IF(AND(AC45&gt;=50,AC45&lt;60),1)))</f>
        <v>3</v>
      </c>
      <c r="F49" s="3647"/>
      <c r="G49" s="1040">
        <f>(70/100)*E49+(30/100)*D49</f>
        <v>2.9999999999999996</v>
      </c>
      <c r="H49" s="1040"/>
      <c r="I49" s="1048"/>
      <c r="J49" s="1048"/>
      <c r="K49" s="1048"/>
    </row>
    <row r="50" spans="1:26" ht="29.25" customHeight="1" x14ac:dyDescent="0.4">
      <c r="B50" s="1167" t="s">
        <v>40</v>
      </c>
      <c r="C50" s="1040">
        <f>AVERAGE(D45,E45,H45,I45,J45,K45,L45,M45,AA45)*100</f>
        <v>81.727994227994245</v>
      </c>
      <c r="D50" s="1040">
        <f t="shared" si="7"/>
        <v>3</v>
      </c>
      <c r="E50" s="3647">
        <f>IF(AC45&gt;=70,3,IF(AND(AC45&gt;=60,AC45&lt;70),2,IF(AND(AC45&gt;=50,AC45&lt;60),1)))</f>
        <v>3</v>
      </c>
      <c r="F50" s="3647"/>
      <c r="G50" s="1040">
        <f t="shared" ref="G50:G52" si="8">(70/100)*E50+(30/100)*D50</f>
        <v>2.9999999999999996</v>
      </c>
      <c r="H50" s="1040"/>
      <c r="I50" s="1048"/>
      <c r="J50" s="1048"/>
      <c r="K50" s="1048"/>
    </row>
    <row r="51" spans="1:26" ht="29.25" customHeight="1" x14ac:dyDescent="0.4">
      <c r="B51" s="1167" t="s">
        <v>41</v>
      </c>
      <c r="C51" s="1040">
        <f>AVERAGE(O45,R45,S45,T45,U45,AA45)*100</f>
        <v>73.918857670731725</v>
      </c>
      <c r="D51" s="1040">
        <f t="shared" si="7"/>
        <v>3</v>
      </c>
      <c r="E51" s="3647">
        <f>IF(AC45&gt;=70,3,IF(AND(AC45&gt;=60,AC45&lt;70),2,IF(AND(AC45&gt;=50,AC45&lt;60),1)))</f>
        <v>3</v>
      </c>
      <c r="F51" s="3647"/>
      <c r="G51" s="1040">
        <f t="shared" si="8"/>
        <v>2.9999999999999996</v>
      </c>
      <c r="H51" s="1040"/>
      <c r="I51" s="1048"/>
      <c r="J51" s="1048"/>
      <c r="K51" s="1048"/>
    </row>
    <row r="52" spans="1:26" ht="29.25" customHeight="1" x14ac:dyDescent="0.4">
      <c r="B52" s="1167" t="s">
        <v>42</v>
      </c>
      <c r="C52" s="1040">
        <f>AVERAGE(P45,Q45)*100</f>
        <v>77.692307692307693</v>
      </c>
      <c r="D52" s="1040">
        <f t="shared" si="7"/>
        <v>3</v>
      </c>
      <c r="E52" s="3647">
        <f>IF(AC45&gt;=70,3,IF(AND(AC45&gt;=60,AC45&lt;70),2,IF(AND(AC45&gt;=50,AC45&lt;60),1)))</f>
        <v>3</v>
      </c>
      <c r="F52" s="3647"/>
      <c r="G52" s="1040">
        <f t="shared" si="8"/>
        <v>2.9999999999999996</v>
      </c>
      <c r="H52" s="1040"/>
      <c r="I52" s="1048"/>
      <c r="J52" s="1048"/>
      <c r="K52" s="1048"/>
    </row>
    <row r="53" spans="1:26" ht="29.25" customHeight="1" x14ac:dyDescent="0.4">
      <c r="B53" s="3145" t="s">
        <v>44</v>
      </c>
      <c r="C53" s="3145"/>
      <c r="D53" s="3145"/>
      <c r="E53" s="3145"/>
      <c r="F53" s="3145"/>
      <c r="G53" s="1046">
        <f>AVERAGE(G49:G52)</f>
        <v>2.9999999999999996</v>
      </c>
      <c r="H53" s="1046"/>
      <c r="I53" s="1440"/>
      <c r="J53" s="1440"/>
      <c r="K53" s="1440"/>
    </row>
    <row r="54" spans="1:26" ht="29.25" customHeight="1" x14ac:dyDescent="0.4">
      <c r="A54" s="3145" t="s">
        <v>134</v>
      </c>
      <c r="B54" s="3145"/>
    </row>
    <row r="56" spans="1:26" ht="29.25" customHeight="1" x14ac:dyDescent="0.4">
      <c r="B56" s="1042" t="s">
        <v>45</v>
      </c>
      <c r="C56" s="1441" t="s">
        <v>68</v>
      </c>
      <c r="D56" s="1441" t="s">
        <v>69</v>
      </c>
      <c r="E56" s="1441" t="s">
        <v>70</v>
      </c>
      <c r="F56" s="1441" t="s">
        <v>71</v>
      </c>
      <c r="G56" s="1441" t="s">
        <v>72</v>
      </c>
      <c r="H56" s="1441" t="s">
        <v>73</v>
      </c>
      <c r="I56" s="1441" t="s">
        <v>74</v>
      </c>
      <c r="J56" s="1442" t="s">
        <v>75</v>
      </c>
      <c r="K56" s="1441" t="s">
        <v>76</v>
      </c>
      <c r="L56" s="1441" t="s">
        <v>77</v>
      </c>
      <c r="M56" s="1441" t="s">
        <v>78</v>
      </c>
      <c r="N56" s="1441" t="s">
        <v>79</v>
      </c>
      <c r="T56" s="1405"/>
      <c r="U56" s="1405"/>
      <c r="Z56" s="1041"/>
    </row>
    <row r="57" spans="1:26" ht="29.25" customHeight="1" x14ac:dyDescent="0.4">
      <c r="B57" s="1051" t="s">
        <v>22</v>
      </c>
      <c r="C57" s="1517">
        <v>3</v>
      </c>
      <c r="D57" s="1517">
        <v>2</v>
      </c>
      <c r="E57" s="1517">
        <v>1</v>
      </c>
      <c r="F57" s="1517">
        <v>2</v>
      </c>
      <c r="G57" s="1517">
        <v>1</v>
      </c>
      <c r="H57" s="1517">
        <v>2</v>
      </c>
      <c r="I57" s="1517"/>
      <c r="J57" s="1517"/>
      <c r="K57" s="1517"/>
      <c r="L57" s="1517"/>
      <c r="M57" s="1517"/>
      <c r="N57" s="1517">
        <v>2</v>
      </c>
      <c r="T57" s="1405"/>
      <c r="U57" s="1405"/>
      <c r="Z57" s="1041"/>
    </row>
    <row r="58" spans="1:26" ht="29.25" customHeight="1" x14ac:dyDescent="0.4">
      <c r="B58" s="1051" t="s">
        <v>40</v>
      </c>
      <c r="C58" s="1517">
        <v>3</v>
      </c>
      <c r="D58" s="1517">
        <v>3</v>
      </c>
      <c r="E58" s="1517">
        <v>3</v>
      </c>
      <c r="F58" s="1517">
        <v>2</v>
      </c>
      <c r="G58" s="1517">
        <v>1</v>
      </c>
      <c r="H58" s="1517">
        <v>2</v>
      </c>
      <c r="I58" s="1517"/>
      <c r="J58" s="1517">
        <v>3</v>
      </c>
      <c r="K58" s="1517"/>
      <c r="L58" s="1517"/>
      <c r="M58" s="1517"/>
      <c r="N58" s="1517">
        <v>2</v>
      </c>
      <c r="T58" s="1405"/>
      <c r="U58" s="1405"/>
      <c r="Z58" s="1041"/>
    </row>
    <row r="59" spans="1:26" ht="29.25" customHeight="1" x14ac:dyDescent="0.4">
      <c r="B59" s="1051" t="s">
        <v>41</v>
      </c>
      <c r="C59" s="1517">
        <v>3</v>
      </c>
      <c r="D59" s="1517">
        <v>3</v>
      </c>
      <c r="E59" s="1517">
        <v>3</v>
      </c>
      <c r="F59" s="1517">
        <v>2</v>
      </c>
      <c r="G59" s="1517">
        <v>1</v>
      </c>
      <c r="H59" s="1517">
        <v>2</v>
      </c>
      <c r="I59" s="1517"/>
      <c r="J59" s="1517">
        <v>3</v>
      </c>
      <c r="K59" s="1517"/>
      <c r="L59" s="1517"/>
      <c r="M59" s="1517"/>
      <c r="N59" s="1517">
        <v>2</v>
      </c>
      <c r="T59" s="1405"/>
      <c r="U59" s="1405"/>
      <c r="Z59" s="1041"/>
    </row>
    <row r="60" spans="1:26" ht="29.25" customHeight="1" x14ac:dyDescent="0.4">
      <c r="B60" s="1051" t="s">
        <v>42</v>
      </c>
      <c r="C60" s="1517">
        <v>3</v>
      </c>
      <c r="D60" s="1517">
        <v>3</v>
      </c>
      <c r="E60" s="1517">
        <v>3</v>
      </c>
      <c r="F60" s="1517">
        <v>2</v>
      </c>
      <c r="G60" s="1517">
        <v>1</v>
      </c>
      <c r="H60" s="1517">
        <v>2</v>
      </c>
      <c r="I60" s="1517"/>
      <c r="J60" s="1517">
        <v>3</v>
      </c>
      <c r="K60" s="1517"/>
      <c r="L60" s="1517"/>
      <c r="M60" s="1517"/>
      <c r="N60" s="1517">
        <v>2</v>
      </c>
      <c r="T60" s="1405"/>
      <c r="U60" s="1405"/>
      <c r="Z60" s="1041"/>
    </row>
    <row r="61" spans="1:26" ht="29.25" customHeight="1" x14ac:dyDescent="0.4">
      <c r="B61" s="1049" t="s">
        <v>284</v>
      </c>
      <c r="C61" s="1518">
        <f t="shared" ref="C61:H61" si="9">AVERAGE(C57:C60)</f>
        <v>3</v>
      </c>
      <c r="D61" s="1518">
        <f t="shared" si="9"/>
        <v>2.75</v>
      </c>
      <c r="E61" s="1518">
        <f t="shared" si="9"/>
        <v>2.5</v>
      </c>
      <c r="F61" s="1518">
        <f t="shared" si="9"/>
        <v>2</v>
      </c>
      <c r="G61" s="1518">
        <f t="shared" si="9"/>
        <v>1</v>
      </c>
      <c r="H61" s="1518">
        <f t="shared" si="9"/>
        <v>2</v>
      </c>
      <c r="I61" s="1518"/>
      <c r="J61" s="1518">
        <f t="shared" ref="J61" si="10">AVERAGE(J57:J60)</f>
        <v>3</v>
      </c>
      <c r="K61" s="1518"/>
      <c r="L61" s="1518"/>
      <c r="M61" s="1518"/>
      <c r="N61" s="1518">
        <f>AVERAGE(N57:N60)</f>
        <v>2</v>
      </c>
      <c r="T61" s="1405"/>
      <c r="U61" s="1405"/>
      <c r="Z61" s="1041"/>
    </row>
    <row r="62" spans="1:26" ht="29.25" customHeight="1" x14ac:dyDescent="0.4">
      <c r="B62" s="1049" t="s">
        <v>285</v>
      </c>
      <c r="C62" s="3652">
        <f>AVERAGE(C61:N61)</f>
        <v>2.28125</v>
      </c>
      <c r="D62" s="3150"/>
      <c r="E62" s="3150"/>
      <c r="F62" s="3150"/>
      <c r="G62" s="3150"/>
      <c r="H62" s="3150"/>
      <c r="I62" s="3150"/>
      <c r="J62" s="3150"/>
      <c r="K62" s="3150"/>
      <c r="L62" s="3150"/>
      <c r="M62" s="3150"/>
      <c r="N62" s="3150"/>
      <c r="O62" s="3653"/>
      <c r="P62" s="1444"/>
      <c r="Q62" s="1444"/>
      <c r="R62" s="1444"/>
    </row>
    <row r="63" spans="1:26" ht="29.25" customHeight="1" x14ac:dyDescent="0.4">
      <c r="C63" s="1445"/>
    </row>
    <row r="64" spans="1:26" ht="29.25" customHeight="1" x14ac:dyDescent="0.4">
      <c r="A64" s="3145" t="s">
        <v>148</v>
      </c>
      <c r="B64" s="3145"/>
    </row>
    <row r="66" spans="1:26" ht="29.25" customHeight="1" x14ac:dyDescent="0.4">
      <c r="B66" s="1042" t="s">
        <v>45</v>
      </c>
      <c r="C66" s="1441" t="s">
        <v>68</v>
      </c>
      <c r="D66" s="1441" t="s">
        <v>69</v>
      </c>
      <c r="E66" s="1441" t="s">
        <v>70</v>
      </c>
      <c r="F66" s="1441" t="s">
        <v>71</v>
      </c>
      <c r="G66" s="1441" t="s">
        <v>72</v>
      </c>
      <c r="H66" s="1441" t="s">
        <v>73</v>
      </c>
      <c r="I66" s="1441" t="s">
        <v>74</v>
      </c>
      <c r="J66" s="1441" t="s">
        <v>75</v>
      </c>
      <c r="K66" s="1441" t="s">
        <v>76</v>
      </c>
      <c r="L66" s="1441" t="s">
        <v>77</v>
      </c>
      <c r="M66" s="1441" t="s">
        <v>78</v>
      </c>
      <c r="N66" s="1441" t="s">
        <v>79</v>
      </c>
      <c r="T66" s="1405"/>
      <c r="U66" s="1405"/>
      <c r="Z66" s="1041"/>
    </row>
    <row r="67" spans="1:26" ht="29.25" customHeight="1" x14ac:dyDescent="0.4">
      <c r="B67" s="1051" t="s">
        <v>22</v>
      </c>
      <c r="C67" s="1519">
        <f>C57*G49/3</f>
        <v>2.9999999999999996</v>
      </c>
      <c r="D67" s="1519">
        <f>D57*G49/3</f>
        <v>1.9999999999999998</v>
      </c>
      <c r="E67" s="1519">
        <f>E57*G49/3</f>
        <v>0.99999999999999989</v>
      </c>
      <c r="F67" s="1519">
        <f>F57*G49/3</f>
        <v>1.9999999999999998</v>
      </c>
      <c r="G67" s="1519">
        <f>G57*G49/3</f>
        <v>0.99999999999999989</v>
      </c>
      <c r="H67" s="1519">
        <f>H57*G49/3</f>
        <v>1.9999999999999998</v>
      </c>
      <c r="I67" s="1519"/>
      <c r="J67" s="1519"/>
      <c r="K67" s="1519"/>
      <c r="L67" s="1519"/>
      <c r="M67" s="1519"/>
      <c r="N67" s="1519">
        <f>N57*G49/3</f>
        <v>1.9999999999999998</v>
      </c>
      <c r="T67" s="1405"/>
      <c r="U67" s="1405"/>
      <c r="Z67" s="1041"/>
    </row>
    <row r="68" spans="1:26" ht="29.25" customHeight="1" x14ac:dyDescent="0.4">
      <c r="B68" s="1051" t="s">
        <v>40</v>
      </c>
      <c r="C68" s="1519">
        <f>C58*G50/3</f>
        <v>2.9999999999999996</v>
      </c>
      <c r="D68" s="1519">
        <f>D58*G50/3</f>
        <v>2.9999999999999996</v>
      </c>
      <c r="E68" s="1519">
        <f>E58*G50/3</f>
        <v>2.9999999999999996</v>
      </c>
      <c r="F68" s="1519">
        <f>F58*G50/3</f>
        <v>1.9999999999999998</v>
      </c>
      <c r="G68" s="1519">
        <f>G58*G50/3</f>
        <v>0.99999999999999989</v>
      </c>
      <c r="H68" s="1519">
        <f>H58*G50/3</f>
        <v>1.9999999999999998</v>
      </c>
      <c r="I68" s="1519"/>
      <c r="J68" s="1519">
        <f>J58*G50/3</f>
        <v>2.9999999999999996</v>
      </c>
      <c r="K68" s="1519"/>
      <c r="L68" s="1519"/>
      <c r="M68" s="1519"/>
      <c r="N68" s="1519">
        <f>N58*G50/3</f>
        <v>1.9999999999999998</v>
      </c>
      <c r="T68" s="1405"/>
      <c r="U68" s="1405"/>
      <c r="Z68" s="1041"/>
    </row>
    <row r="69" spans="1:26" ht="29.25" customHeight="1" x14ac:dyDescent="0.4">
      <c r="B69" s="1051" t="s">
        <v>41</v>
      </c>
      <c r="C69" s="1519">
        <f>C59*G51/3</f>
        <v>2.9999999999999996</v>
      </c>
      <c r="D69" s="1519">
        <f>D59*G51/3</f>
        <v>2.9999999999999996</v>
      </c>
      <c r="E69" s="1519">
        <f>E59*G51/3</f>
        <v>2.9999999999999996</v>
      </c>
      <c r="F69" s="1519">
        <f>F59*G51/3</f>
        <v>1.9999999999999998</v>
      </c>
      <c r="G69" s="1519">
        <f>G59*G51/3</f>
        <v>0.99999999999999989</v>
      </c>
      <c r="H69" s="1519">
        <f>H59*G51/3</f>
        <v>1.9999999999999998</v>
      </c>
      <c r="I69" s="1519"/>
      <c r="J69" s="1519">
        <f>J59*G51/3</f>
        <v>2.9999999999999996</v>
      </c>
      <c r="K69" s="1519"/>
      <c r="L69" s="1519"/>
      <c r="M69" s="1519"/>
      <c r="N69" s="1519">
        <f>N59*G51/3</f>
        <v>1.9999999999999998</v>
      </c>
      <c r="T69" s="1405"/>
      <c r="U69" s="1405"/>
      <c r="Z69" s="1041"/>
    </row>
    <row r="70" spans="1:26" ht="29.25" customHeight="1" x14ac:dyDescent="0.4">
      <c r="B70" s="1051" t="s">
        <v>42</v>
      </c>
      <c r="C70" s="1519">
        <f>C60*G52/3</f>
        <v>2.9999999999999996</v>
      </c>
      <c r="D70" s="1519">
        <f>D60*G52/3</f>
        <v>2.9999999999999996</v>
      </c>
      <c r="E70" s="1519">
        <f>E60*G52/3</f>
        <v>2.9999999999999996</v>
      </c>
      <c r="F70" s="1519">
        <f>F60*G52/3</f>
        <v>1.9999999999999998</v>
      </c>
      <c r="G70" s="1519">
        <f>G60*G52/3</f>
        <v>0.99999999999999989</v>
      </c>
      <c r="H70" s="1519">
        <f>H60*G52/3</f>
        <v>1.9999999999999998</v>
      </c>
      <c r="I70" s="1519"/>
      <c r="J70" s="1519">
        <f>J60*G52/3</f>
        <v>2.9999999999999996</v>
      </c>
      <c r="K70" s="1519"/>
      <c r="L70" s="1519"/>
      <c r="M70" s="1519"/>
      <c r="N70" s="1519">
        <f>N60*G52/3</f>
        <v>1.9999999999999998</v>
      </c>
      <c r="T70" s="1405"/>
      <c r="U70" s="1405"/>
      <c r="Z70" s="1041"/>
    </row>
    <row r="71" spans="1:26" ht="29.25" customHeight="1" x14ac:dyDescent="0.4">
      <c r="B71" s="1054" t="s">
        <v>10</v>
      </c>
      <c r="C71" s="1412">
        <f t="shared" ref="C71:H71" si="11">AVERAGE(C57:C60)</f>
        <v>3</v>
      </c>
      <c r="D71" s="1412">
        <f t="shared" si="11"/>
        <v>2.75</v>
      </c>
      <c r="E71" s="1412">
        <f t="shared" si="11"/>
        <v>2.5</v>
      </c>
      <c r="F71" s="1412">
        <f t="shared" si="11"/>
        <v>2</v>
      </c>
      <c r="G71" s="1412">
        <f t="shared" si="11"/>
        <v>1</v>
      </c>
      <c r="H71" s="1412">
        <f t="shared" si="11"/>
        <v>2</v>
      </c>
      <c r="I71" s="1412"/>
      <c r="J71" s="1412">
        <f>AVERAGE(J57:J60)</f>
        <v>3</v>
      </c>
      <c r="K71" s="1412"/>
      <c r="L71" s="1412"/>
      <c r="M71" s="1412"/>
      <c r="N71" s="1054">
        <f>AVERAGE(N57:N60)</f>
        <v>2</v>
      </c>
      <c r="O71" s="1520"/>
      <c r="P71" s="1446"/>
      <c r="Q71" s="1446"/>
      <c r="R71" s="1446"/>
    </row>
    <row r="72" spans="1:26" ht="29.25" customHeight="1" x14ac:dyDescent="0.4">
      <c r="B72" s="1521" t="s">
        <v>285</v>
      </c>
      <c r="C72" s="3648">
        <f>AVERAGE(C71:N71)</f>
        <v>2.28125</v>
      </c>
      <c r="D72" s="3648"/>
      <c r="E72" s="3648"/>
      <c r="F72" s="3648"/>
      <c r="G72" s="3648"/>
      <c r="H72" s="3648"/>
      <c r="I72" s="3648"/>
      <c r="J72" s="3648"/>
      <c r="K72" s="3648"/>
      <c r="L72" s="3648"/>
      <c r="M72" s="3648"/>
      <c r="N72" s="3648"/>
    </row>
    <row r="73" spans="1:26" ht="29.25" customHeight="1" x14ac:dyDescent="0.4">
      <c r="A73" s="3145" t="s">
        <v>137</v>
      </c>
      <c r="B73" s="3145"/>
      <c r="C73" s="1440"/>
      <c r="D73" s="1440"/>
      <c r="L73" s="3145" t="s">
        <v>149</v>
      </c>
      <c r="M73" s="3145"/>
      <c r="N73" s="3145"/>
      <c r="O73" s="1440"/>
      <c r="P73" s="1440"/>
    </row>
    <row r="74" spans="1:26" ht="29.25" customHeight="1" x14ac:dyDescent="0.4">
      <c r="A74" s="1046"/>
      <c r="B74" s="1046"/>
      <c r="C74" s="1440"/>
      <c r="D74" s="1440"/>
      <c r="L74" s="1046"/>
      <c r="M74" s="1046"/>
      <c r="N74" s="1447"/>
      <c r="O74" s="1440"/>
      <c r="P74" s="1440"/>
    </row>
    <row r="75" spans="1:26" ht="29.25" customHeight="1" x14ac:dyDescent="0.4">
      <c r="B75" s="1049" t="s">
        <v>286</v>
      </c>
      <c r="C75" s="1050" t="s">
        <v>87</v>
      </c>
      <c r="D75" s="1050" t="s">
        <v>88</v>
      </c>
      <c r="E75" s="1050" t="s">
        <v>85</v>
      </c>
      <c r="N75" s="1049" t="s">
        <v>286</v>
      </c>
      <c r="O75" s="1050" t="s">
        <v>87</v>
      </c>
      <c r="P75" s="1050" t="s">
        <v>88</v>
      </c>
      <c r="Q75" s="1050" t="s">
        <v>85</v>
      </c>
    </row>
    <row r="76" spans="1:26" ht="29.25" customHeight="1" x14ac:dyDescent="0.4">
      <c r="B76" s="1522" t="s">
        <v>22</v>
      </c>
      <c r="C76" s="1523">
        <v>1</v>
      </c>
      <c r="D76" s="1523">
        <v>1</v>
      </c>
      <c r="E76" s="1523">
        <v>2</v>
      </c>
      <c r="N76" s="1050" t="s">
        <v>22</v>
      </c>
      <c r="O76" s="1519">
        <f>C76*G49/3</f>
        <v>0.99999999999999989</v>
      </c>
      <c r="P76" s="1519">
        <f>D76*G49/3</f>
        <v>0.99999999999999989</v>
      </c>
      <c r="Q76" s="1519">
        <f>E76*G49/3</f>
        <v>1.9999999999999998</v>
      </c>
    </row>
    <row r="77" spans="1:26" ht="29.25" customHeight="1" x14ac:dyDescent="0.4">
      <c r="B77" s="1522" t="s">
        <v>40</v>
      </c>
      <c r="C77" s="1523">
        <v>3</v>
      </c>
      <c r="D77" s="1523">
        <v>3</v>
      </c>
      <c r="E77" s="1523">
        <v>2</v>
      </c>
      <c r="N77" s="1050" t="s">
        <v>40</v>
      </c>
      <c r="O77" s="1519">
        <f>C77*G50/3</f>
        <v>2.9999999999999996</v>
      </c>
      <c r="P77" s="1519">
        <f>D77*G50/3</f>
        <v>2.9999999999999996</v>
      </c>
      <c r="Q77" s="1519">
        <f>E77*G50/3</f>
        <v>1.9999999999999998</v>
      </c>
    </row>
    <row r="78" spans="1:26" ht="29.25" customHeight="1" x14ac:dyDescent="0.4">
      <c r="B78" s="1522" t="s">
        <v>41</v>
      </c>
      <c r="C78" s="1523">
        <v>3</v>
      </c>
      <c r="D78" s="1523">
        <v>3</v>
      </c>
      <c r="E78" s="1523">
        <v>2</v>
      </c>
      <c r="N78" s="1050" t="s">
        <v>41</v>
      </c>
      <c r="O78" s="1519">
        <f>C78*G51/3</f>
        <v>2.9999999999999996</v>
      </c>
      <c r="P78" s="1519">
        <f>D78*G51/3</f>
        <v>2.9999999999999996</v>
      </c>
      <c r="Q78" s="1519">
        <f>E78*G51/3</f>
        <v>1.9999999999999998</v>
      </c>
    </row>
    <row r="79" spans="1:26" ht="29.25" customHeight="1" x14ac:dyDescent="0.4">
      <c r="B79" s="1522" t="s">
        <v>42</v>
      </c>
      <c r="C79" s="1524">
        <v>3</v>
      </c>
      <c r="D79" s="1523">
        <v>3</v>
      </c>
      <c r="E79" s="1523">
        <v>2</v>
      </c>
      <c r="N79" s="1050" t="s">
        <v>42</v>
      </c>
      <c r="O79" s="1519">
        <f>C79*G52/3</f>
        <v>2.9999999999999996</v>
      </c>
      <c r="P79" s="1519">
        <f>D79*G52/3</f>
        <v>2.9999999999999996</v>
      </c>
      <c r="Q79" s="1519">
        <f>E79*G52/3</f>
        <v>1.9999999999999998</v>
      </c>
    </row>
    <row r="80" spans="1:26" ht="29.25" customHeight="1" x14ac:dyDescent="0.4">
      <c r="A80" s="1040"/>
      <c r="B80" s="1050" t="s">
        <v>284</v>
      </c>
      <c r="C80" s="1525">
        <f>AVERAGE(C76:C79)</f>
        <v>2.5</v>
      </c>
      <c r="D80" s="1525">
        <f t="shared" ref="D80:E80" si="12">AVERAGE(D76:D79)</f>
        <v>2.5</v>
      </c>
      <c r="E80" s="1525">
        <f t="shared" si="12"/>
        <v>2</v>
      </c>
      <c r="F80" s="1040"/>
      <c r="G80" s="1040"/>
      <c r="H80" s="1040"/>
      <c r="I80" s="1040"/>
      <c r="J80" s="1040"/>
      <c r="K80" s="1040"/>
      <c r="L80" s="1040"/>
      <c r="M80" s="1040"/>
      <c r="N80" s="1050" t="s">
        <v>284</v>
      </c>
      <c r="O80" s="1525">
        <f>AVERAGE(O76:O79)</f>
        <v>2.4999999999999996</v>
      </c>
      <c r="P80" s="1525">
        <f t="shared" ref="P80:Q80" si="13">AVERAGE(P76:P79)</f>
        <v>2.4999999999999996</v>
      </c>
      <c r="Q80" s="1525">
        <f t="shared" si="13"/>
        <v>1.9999999999999998</v>
      </c>
      <c r="R80" s="1040"/>
    </row>
    <row r="81" spans="1:18" ht="29.25" customHeight="1" x14ac:dyDescent="0.4">
      <c r="B81" s="1054" t="s">
        <v>58</v>
      </c>
      <c r="C81" s="3649">
        <f>AVERAGE(C80:E80)</f>
        <v>2.3333333333333335</v>
      </c>
      <c r="D81" s="3650"/>
      <c r="E81" s="3651"/>
      <c r="N81" s="1054" t="s">
        <v>58</v>
      </c>
      <c r="O81" s="3649">
        <f>AVERAGE(O80:Q80)</f>
        <v>2.333333333333333</v>
      </c>
      <c r="P81" s="3650"/>
      <c r="Q81" s="3651"/>
    </row>
    <row r="83" spans="1:18" ht="29.25" customHeight="1" x14ac:dyDescent="0.4">
      <c r="A83" s="3142"/>
      <c r="B83" s="3142"/>
      <c r="C83" s="3142"/>
      <c r="D83" s="3142"/>
      <c r="E83" s="3142"/>
      <c r="F83" s="3142"/>
      <c r="G83" s="3142"/>
      <c r="H83" s="3142"/>
      <c r="I83" s="3142"/>
      <c r="J83" s="3142"/>
      <c r="K83" s="3142"/>
      <c r="L83" s="3142"/>
      <c r="M83" s="3142"/>
      <c r="N83" s="3142"/>
      <c r="O83" s="3142"/>
      <c r="P83" s="3142"/>
      <c r="Q83" s="3142"/>
      <c r="R83" s="3142"/>
    </row>
    <row r="84" spans="1:18" ht="29.25" customHeight="1" x14ac:dyDescent="0.4">
      <c r="A84" s="1450"/>
      <c r="B84" s="1450"/>
      <c r="C84" s="1450"/>
      <c r="D84" s="1450"/>
      <c r="E84" s="1450"/>
      <c r="F84" s="1450"/>
      <c r="G84" s="1450"/>
      <c r="H84" s="1450"/>
      <c r="I84" s="1450"/>
      <c r="J84" s="1450"/>
      <c r="K84" s="1450"/>
      <c r="L84" s="1450"/>
      <c r="M84" s="1450"/>
      <c r="N84" s="1450"/>
      <c r="O84" s="1450"/>
      <c r="P84" s="1450"/>
      <c r="Q84" s="1450"/>
      <c r="R84" s="1450"/>
    </row>
    <row r="85" spans="1:18" ht="29.25" customHeight="1" x14ac:dyDescent="0.4">
      <c r="A85" s="3141"/>
      <c r="B85" s="3141"/>
      <c r="C85" s="3141"/>
      <c r="D85" s="3141"/>
      <c r="E85" s="3141"/>
      <c r="F85" s="3141"/>
      <c r="G85" s="3141"/>
      <c r="H85" s="3141"/>
      <c r="I85" s="3141"/>
      <c r="J85" s="3141"/>
      <c r="K85" s="3141"/>
      <c r="L85" s="3141"/>
      <c r="M85" s="3141"/>
      <c r="N85" s="3141"/>
      <c r="O85" s="3141"/>
      <c r="P85" s="3141"/>
      <c r="Q85" s="3141"/>
      <c r="R85" s="3141"/>
    </row>
    <row r="86" spans="1:18" ht="29.25" customHeight="1" x14ac:dyDescent="0.4">
      <c r="A86" s="3141"/>
      <c r="B86" s="3141"/>
      <c r="C86" s="3141"/>
      <c r="D86" s="3141"/>
      <c r="E86" s="3141"/>
      <c r="F86" s="3141"/>
      <c r="G86" s="3141"/>
      <c r="H86" s="3141"/>
      <c r="I86" s="3141"/>
      <c r="J86" s="3141"/>
      <c r="K86" s="3141"/>
      <c r="L86" s="3141"/>
      <c r="M86" s="3141"/>
      <c r="N86" s="3141"/>
      <c r="O86" s="3141"/>
      <c r="P86" s="3141"/>
      <c r="Q86" s="3141"/>
      <c r="R86" s="3141"/>
    </row>
    <row r="87" spans="1:18" ht="29.25" customHeight="1" x14ac:dyDescent="0.4">
      <c r="A87" s="3141"/>
      <c r="B87" s="3141"/>
      <c r="C87" s="3141"/>
      <c r="D87" s="3141"/>
      <c r="E87" s="3141"/>
      <c r="F87" s="3141"/>
      <c r="G87" s="3141"/>
      <c r="H87" s="3141"/>
      <c r="I87" s="3141"/>
      <c r="J87" s="3141"/>
      <c r="K87" s="3141"/>
      <c r="L87" s="3141"/>
      <c r="M87" s="3141"/>
      <c r="N87" s="3141"/>
      <c r="O87" s="3141"/>
      <c r="P87" s="3141"/>
      <c r="Q87" s="3141"/>
      <c r="R87" s="3141"/>
    </row>
    <row r="88" spans="1:18" ht="29.25" customHeight="1" x14ac:dyDescent="0.4">
      <c r="A88" s="3141"/>
      <c r="B88" s="3141"/>
      <c r="C88" s="3141"/>
      <c r="D88" s="3141"/>
      <c r="E88" s="3141"/>
      <c r="F88" s="3141"/>
      <c r="G88" s="3141"/>
      <c r="H88" s="3141"/>
      <c r="I88" s="3141"/>
      <c r="J88" s="3141"/>
      <c r="K88" s="3141"/>
      <c r="L88" s="3141"/>
      <c r="M88" s="3141"/>
      <c r="N88" s="3141"/>
      <c r="O88" s="3141"/>
      <c r="P88" s="3141"/>
      <c r="Q88" s="3141"/>
      <c r="R88" s="3141"/>
    </row>
    <row r="89" spans="1:18" ht="29.25" customHeight="1" x14ac:dyDescent="0.4">
      <c r="A89" s="3141"/>
      <c r="B89" s="3141"/>
      <c r="C89" s="3141"/>
      <c r="D89" s="3141"/>
      <c r="E89" s="3141"/>
      <c r="F89" s="3141"/>
      <c r="G89" s="3141"/>
      <c r="H89" s="3141"/>
      <c r="I89" s="3141"/>
      <c r="J89" s="3141"/>
      <c r="K89" s="3141"/>
      <c r="L89" s="3141"/>
      <c r="M89" s="3141"/>
      <c r="N89" s="3141"/>
      <c r="O89" s="3141"/>
      <c r="P89" s="3141"/>
      <c r="Q89" s="3141"/>
      <c r="R89" s="3141"/>
    </row>
    <row r="90" spans="1:18" ht="29.25" customHeight="1" x14ac:dyDescent="0.4">
      <c r="A90" s="3141"/>
      <c r="B90" s="3141"/>
      <c r="C90" s="3141"/>
      <c r="D90" s="3141"/>
      <c r="E90" s="3141"/>
      <c r="F90" s="3141"/>
      <c r="G90" s="3141"/>
      <c r="H90" s="3141"/>
      <c r="I90" s="3141"/>
      <c r="J90" s="3141"/>
      <c r="K90" s="3141"/>
      <c r="L90" s="3141"/>
      <c r="M90" s="3141"/>
      <c r="N90" s="3141"/>
      <c r="O90" s="3141"/>
      <c r="P90" s="3141"/>
      <c r="Q90" s="3141"/>
      <c r="R90" s="3141"/>
    </row>
    <row r="91" spans="1:18" ht="29.25" customHeight="1" x14ac:dyDescent="0.4">
      <c r="A91" s="3142"/>
      <c r="B91" s="3142"/>
      <c r="C91" s="3142"/>
      <c r="D91" s="3142"/>
      <c r="E91" s="3142"/>
      <c r="F91" s="3142"/>
      <c r="G91" s="3142"/>
      <c r="H91" s="3142"/>
      <c r="I91" s="3142"/>
      <c r="J91" s="3142"/>
      <c r="K91" s="3142"/>
      <c r="L91" s="3142"/>
      <c r="M91" s="3142"/>
      <c r="N91" s="3142"/>
      <c r="O91" s="3142"/>
      <c r="P91" s="3142"/>
      <c r="Q91" s="3142"/>
      <c r="R91" s="3142"/>
    </row>
    <row r="92" spans="1:18" ht="29.25" customHeight="1" x14ac:dyDescent="0.4">
      <c r="A92" s="3143"/>
      <c r="B92" s="3143"/>
      <c r="C92" s="3143"/>
      <c r="D92" s="3143"/>
      <c r="E92" s="3143"/>
      <c r="F92" s="3143"/>
      <c r="G92" s="3143"/>
      <c r="H92" s="3143"/>
      <c r="I92" s="3143"/>
      <c r="J92" s="3143"/>
      <c r="K92" s="3143"/>
      <c r="L92" s="3143"/>
      <c r="M92" s="3143"/>
      <c r="N92" s="3143"/>
      <c r="O92" s="3143"/>
      <c r="P92" s="3143"/>
      <c r="Q92" s="3143"/>
      <c r="R92" s="3143"/>
    </row>
    <row r="93" spans="1:18" ht="29.25" customHeight="1" x14ac:dyDescent="0.4">
      <c r="A93" s="3139"/>
      <c r="B93" s="3139"/>
      <c r="C93" s="3139"/>
      <c r="D93" s="3139"/>
      <c r="E93" s="3139"/>
      <c r="F93" s="3139"/>
      <c r="G93" s="3139"/>
      <c r="H93" s="3139"/>
      <c r="I93" s="3139"/>
      <c r="J93" s="3139"/>
      <c r="K93" s="3139"/>
      <c r="L93" s="3139"/>
      <c r="M93" s="3139"/>
      <c r="N93" s="3139"/>
      <c r="O93" s="3139"/>
      <c r="P93" s="3139"/>
      <c r="Q93" s="3139"/>
      <c r="R93" s="3139"/>
    </row>
    <row r="94" spans="1:18" ht="29.25" customHeight="1" x14ac:dyDescent="0.4">
      <c r="A94" s="3144"/>
      <c r="B94" s="3144"/>
      <c r="C94" s="3144"/>
      <c r="D94" s="3144"/>
      <c r="E94" s="3144"/>
      <c r="F94" s="3144"/>
      <c r="G94" s="3144"/>
      <c r="H94" s="3144"/>
      <c r="I94" s="3144"/>
      <c r="J94" s="3144"/>
      <c r="K94" s="3144"/>
      <c r="L94" s="3144"/>
      <c r="M94" s="3144"/>
      <c r="N94" s="3144"/>
      <c r="O94" s="3144"/>
      <c r="P94" s="3144"/>
      <c r="Q94" s="3144"/>
      <c r="R94" s="3144"/>
    </row>
    <row r="95" spans="1:18" ht="29.25" customHeight="1" x14ac:dyDescent="0.4">
      <c r="A95" s="3138"/>
      <c r="B95" s="3138"/>
      <c r="C95" s="3138"/>
      <c r="D95" s="3138"/>
      <c r="E95" s="3138"/>
      <c r="F95" s="3138"/>
      <c r="G95" s="3138"/>
      <c r="H95" s="3138"/>
      <c r="I95" s="3138"/>
      <c r="J95" s="3138"/>
      <c r="K95" s="3138"/>
      <c r="L95" s="3138"/>
      <c r="M95" s="3138"/>
      <c r="N95" s="3138"/>
      <c r="O95" s="3138"/>
      <c r="P95" s="3138"/>
      <c r="Q95" s="3138"/>
      <c r="R95" s="3138"/>
    </row>
    <row r="96" spans="1:18" ht="29.25" customHeight="1" x14ac:dyDescent="0.4">
      <c r="A96" s="3138"/>
      <c r="B96" s="3138"/>
      <c r="C96" s="3138"/>
      <c r="D96" s="3138"/>
      <c r="E96" s="3138"/>
      <c r="F96" s="3138"/>
      <c r="G96" s="3138"/>
      <c r="H96" s="3138"/>
      <c r="I96" s="3138"/>
      <c r="J96" s="3138"/>
      <c r="K96" s="3138"/>
      <c r="L96" s="3138"/>
      <c r="M96" s="3138"/>
      <c r="N96" s="3138"/>
      <c r="O96" s="3138"/>
      <c r="P96" s="3138"/>
      <c r="Q96" s="3138"/>
      <c r="R96" s="3138"/>
    </row>
    <row r="97" spans="1:18" ht="29.25" customHeight="1" x14ac:dyDescent="0.4">
      <c r="A97" s="3139"/>
      <c r="B97" s="3139"/>
      <c r="C97" s="3139"/>
      <c r="D97" s="3139"/>
      <c r="E97" s="3139"/>
      <c r="F97" s="3139"/>
      <c r="G97" s="3139"/>
      <c r="H97" s="3139"/>
      <c r="I97" s="3139"/>
      <c r="J97" s="3139"/>
      <c r="K97" s="3139"/>
      <c r="L97" s="3139"/>
      <c r="M97" s="3139"/>
      <c r="N97" s="3139"/>
      <c r="O97" s="3139"/>
      <c r="P97" s="3139"/>
      <c r="Q97" s="3139"/>
      <c r="R97" s="3139"/>
    </row>
  </sheetData>
  <autoFilter ref="A1:AA4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</autoFilter>
  <mergeCells count="59">
    <mergeCell ref="AB5:AB7"/>
    <mergeCell ref="AC5:AC7"/>
    <mergeCell ref="Z5:Z6"/>
    <mergeCell ref="E48:F48"/>
    <mergeCell ref="G48:H48"/>
    <mergeCell ref="L5:M5"/>
    <mergeCell ref="O5:Q5"/>
    <mergeCell ref="R5:S5"/>
    <mergeCell ref="T5:U5"/>
    <mergeCell ref="V5:W5"/>
    <mergeCell ref="N5:N7"/>
    <mergeCell ref="A96:R96"/>
    <mergeCell ref="A88:R88"/>
    <mergeCell ref="C62:O62"/>
    <mergeCell ref="A64:B64"/>
    <mergeCell ref="A73:B73"/>
    <mergeCell ref="L73:N73"/>
    <mergeCell ref="C81:E81"/>
    <mergeCell ref="A83:R83"/>
    <mergeCell ref="A85:R85"/>
    <mergeCell ref="A86:R86"/>
    <mergeCell ref="A87:R87"/>
    <mergeCell ref="E49:F49"/>
    <mergeCell ref="A97:R97"/>
    <mergeCell ref="A89:R89"/>
    <mergeCell ref="A90:R90"/>
    <mergeCell ref="A91:R91"/>
    <mergeCell ref="A92:R92"/>
    <mergeCell ref="A93:R93"/>
    <mergeCell ref="A94:R94"/>
    <mergeCell ref="E50:F50"/>
    <mergeCell ref="E52:F52"/>
    <mergeCell ref="B53:F53"/>
    <mergeCell ref="A54:B54"/>
    <mergeCell ref="C72:N72"/>
    <mergeCell ref="O81:Q81"/>
    <mergeCell ref="E51:F51"/>
    <mergeCell ref="A95:R95"/>
    <mergeCell ref="A44:B44"/>
    <mergeCell ref="A45:B45"/>
    <mergeCell ref="J5:K5"/>
    <mergeCell ref="A5:A7"/>
    <mergeCell ref="B5:B6"/>
    <mergeCell ref="P1:Z1"/>
    <mergeCell ref="A2:B2"/>
    <mergeCell ref="C2:N2"/>
    <mergeCell ref="P2:Z2"/>
    <mergeCell ref="C5:E5"/>
    <mergeCell ref="F5:G5"/>
    <mergeCell ref="H5:I5"/>
    <mergeCell ref="A1:B1"/>
    <mergeCell ref="C1:N1"/>
    <mergeCell ref="C3:N3"/>
    <mergeCell ref="P3:Z3"/>
    <mergeCell ref="A4:B4"/>
    <mergeCell ref="C4:O4"/>
    <mergeCell ref="P4:AA4"/>
    <mergeCell ref="X5:Y5"/>
    <mergeCell ref="AA5:AA7"/>
  </mergeCells>
  <conditionalFormatting sqref="AA9:AA41">
    <cfRule type="containsText" dxfId="73" priority="12" operator="containsText" text="F">
      <formula>NOT(ISERROR(SEARCH("F",AA9)))</formula>
    </cfRule>
  </conditionalFormatting>
  <conditionalFormatting sqref="AB9:AB15">
    <cfRule type="containsText" dxfId="72" priority="11" operator="containsText" text="F">
      <formula>NOT(ISERROR(SEARCH("F",AB9)))</formula>
    </cfRule>
  </conditionalFormatting>
  <conditionalFormatting sqref="AB16:AB21">
    <cfRule type="containsText" dxfId="71" priority="10" operator="containsText" text="F">
      <formula>NOT(ISERROR(SEARCH("F",AB16)))</formula>
    </cfRule>
  </conditionalFormatting>
  <conditionalFormatting sqref="AB22:AB23">
    <cfRule type="containsText" dxfId="70" priority="9" operator="containsText" text="F">
      <formula>NOT(ISERROR(SEARCH("F",AB22)))</formula>
    </cfRule>
  </conditionalFormatting>
  <conditionalFormatting sqref="AB24">
    <cfRule type="containsText" dxfId="69" priority="8" operator="containsText" text="F">
      <formula>NOT(ISERROR(SEARCH("F",AB24)))</formula>
    </cfRule>
  </conditionalFormatting>
  <conditionalFormatting sqref="AB25">
    <cfRule type="containsText" dxfId="68" priority="7" operator="containsText" text="F">
      <formula>NOT(ISERROR(SEARCH("F",AB25)))</formula>
    </cfRule>
  </conditionalFormatting>
  <conditionalFormatting sqref="AB26:AB31">
    <cfRule type="containsText" dxfId="67" priority="6" operator="containsText" text="F">
      <formula>NOT(ISERROR(SEARCH("F",AB26)))</formula>
    </cfRule>
  </conditionalFormatting>
  <conditionalFormatting sqref="AB32">
    <cfRule type="containsText" dxfId="66" priority="5" operator="containsText" text="F">
      <formula>NOT(ISERROR(SEARCH("F",AB32)))</formula>
    </cfRule>
  </conditionalFormatting>
  <conditionalFormatting sqref="AB33:AB36">
    <cfRule type="containsText" dxfId="65" priority="4" operator="containsText" text="F">
      <formula>NOT(ISERROR(SEARCH("F",AB33)))</formula>
    </cfRule>
  </conditionalFormatting>
  <conditionalFormatting sqref="AB37">
    <cfRule type="containsText" dxfId="64" priority="3" operator="containsText" text="F">
      <formula>NOT(ISERROR(SEARCH("F",AB37)))</formula>
    </cfRule>
  </conditionalFormatting>
  <conditionalFormatting sqref="AB38:AB41">
    <cfRule type="containsText" dxfId="63" priority="1" operator="containsText" text="F">
      <formula>NOT(ISERROR(SEARCH("F",AB38)))</formula>
    </cfRule>
  </conditionalFormatting>
  <pageMargins left="0.70866141732283472" right="0.70866141732283472" top="0.74803149606299213" bottom="0.74803149606299213" header="0.31496062992125984" footer="0.31496062992125984"/>
  <pageSetup paperSize="8" scale="2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96" zoomScale="90" zoomScaleNormal="90" workbookViewId="0">
      <selection activeCell="J113" sqref="J113"/>
    </sheetView>
  </sheetViews>
  <sheetFormatPr defaultRowHeight="15.75" x14ac:dyDescent="0.25"/>
  <cols>
    <col min="1" max="1" width="14.5703125" style="2164" customWidth="1"/>
    <col min="2" max="2" width="21.5703125" style="2164" customWidth="1"/>
    <col min="3" max="3" width="26.42578125" style="2164" customWidth="1"/>
    <col min="4" max="4" width="12.5703125" style="2164" customWidth="1"/>
    <col min="5" max="5" width="10.7109375" style="2164" customWidth="1"/>
    <col min="6" max="6" width="11.85546875" style="2164" bestFit="1" customWidth="1"/>
    <col min="7" max="7" width="19.28515625" style="2164" customWidth="1"/>
    <col min="8" max="8" width="14.140625" style="2164" customWidth="1"/>
    <col min="9" max="14" width="11.85546875" style="2164" bestFit="1" customWidth="1"/>
    <col min="15" max="16384" width="9.140625" style="2164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328</v>
      </c>
      <c r="D2" s="2089" t="s">
        <v>63</v>
      </c>
      <c r="E2" s="2092" t="s">
        <v>329</v>
      </c>
      <c r="F2" s="735"/>
      <c r="G2" s="735"/>
      <c r="H2" s="735"/>
    </row>
    <row r="3" spans="1:8" ht="30" x14ac:dyDescent="0.25">
      <c r="A3" s="3301" t="s">
        <v>1</v>
      </c>
      <c r="B3" s="3301"/>
      <c r="C3" s="2170" t="s">
        <v>330</v>
      </c>
      <c r="D3" s="803" t="s">
        <v>64</v>
      </c>
      <c r="E3" s="2092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331</v>
      </c>
      <c r="D4" s="2089" t="s">
        <v>65</v>
      </c>
      <c r="E4" s="2092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2087" t="s">
        <v>18</v>
      </c>
      <c r="B8" s="2087" t="s">
        <v>26</v>
      </c>
      <c r="C8" s="895">
        <v>50</v>
      </c>
      <c r="D8" s="896"/>
      <c r="E8" s="2160">
        <v>100</v>
      </c>
    </row>
    <row r="9" spans="1:8" ht="18.75" x14ac:dyDescent="0.25">
      <c r="A9" s="839">
        <v>1</v>
      </c>
      <c r="B9" s="897">
        <v>5191421001</v>
      </c>
      <c r="C9" s="958">
        <v>38</v>
      </c>
      <c r="D9" s="2281" t="s">
        <v>30</v>
      </c>
      <c r="E9" s="2161">
        <f>IF(D9="O",100,IF(D9="A+",90,IF(D9="A",80,IF(D9="B+",70,IF(D9="B",60,IF(D9="C",55,IF(D9="P",50,IF(D9="F",39))))))))</f>
        <v>90</v>
      </c>
    </row>
    <row r="10" spans="1:8" ht="18.75" x14ac:dyDescent="0.25">
      <c r="A10" s="839">
        <v>2</v>
      </c>
      <c r="B10" s="898">
        <v>5191421002</v>
      </c>
      <c r="C10" s="958">
        <v>47</v>
      </c>
      <c r="D10" s="2281" t="s">
        <v>30</v>
      </c>
      <c r="E10" s="2161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958">
        <v>47</v>
      </c>
      <c r="D11" s="2281" t="s">
        <v>82</v>
      </c>
      <c r="E11" s="2161">
        <f t="shared" si="0"/>
        <v>100</v>
      </c>
    </row>
    <row r="12" spans="1:8" ht="18.75" x14ac:dyDescent="0.25">
      <c r="A12" s="839">
        <v>4</v>
      </c>
      <c r="B12" s="897">
        <v>5191421004</v>
      </c>
      <c r="C12" s="958">
        <v>42</v>
      </c>
      <c r="D12" s="2281" t="s">
        <v>30</v>
      </c>
      <c r="E12" s="2161">
        <f t="shared" si="0"/>
        <v>90</v>
      </c>
    </row>
    <row r="13" spans="1:8" ht="18.75" x14ac:dyDescent="0.25">
      <c r="A13" s="839">
        <v>5</v>
      </c>
      <c r="B13" s="899">
        <v>5191421005</v>
      </c>
      <c r="C13" s="958">
        <v>37</v>
      </c>
      <c r="D13" s="2281" t="s">
        <v>27</v>
      </c>
      <c r="E13" s="2161">
        <f t="shared" si="0"/>
        <v>80</v>
      </c>
    </row>
    <row r="14" spans="1:8" ht="18.75" x14ac:dyDescent="0.25">
      <c r="A14" s="839">
        <v>6</v>
      </c>
      <c r="B14" s="897">
        <v>5191421006</v>
      </c>
      <c r="C14" s="958">
        <v>46</v>
      </c>
      <c r="D14" s="2281" t="s">
        <v>82</v>
      </c>
      <c r="E14" s="2161">
        <f t="shared" si="0"/>
        <v>100</v>
      </c>
    </row>
    <row r="15" spans="1:8" ht="18.75" x14ac:dyDescent="0.25">
      <c r="A15" s="839">
        <v>7</v>
      </c>
      <c r="B15" s="897">
        <v>5191421007</v>
      </c>
      <c r="C15" s="958">
        <v>44</v>
      </c>
      <c r="D15" s="2281" t="s">
        <v>30</v>
      </c>
      <c r="E15" s="2161">
        <f t="shared" si="0"/>
        <v>90</v>
      </c>
    </row>
    <row r="16" spans="1:8" ht="18.75" x14ac:dyDescent="0.25">
      <c r="A16" s="839">
        <v>8</v>
      </c>
      <c r="B16" s="897">
        <v>5191421008</v>
      </c>
      <c r="C16" s="958">
        <v>42</v>
      </c>
      <c r="D16" s="2281" t="s">
        <v>82</v>
      </c>
      <c r="E16" s="2161">
        <f t="shared" si="0"/>
        <v>100</v>
      </c>
    </row>
    <row r="17" spans="1:5" ht="18.75" x14ac:dyDescent="0.25">
      <c r="A17" s="839">
        <v>9</v>
      </c>
      <c r="B17" s="897">
        <v>5191421009</v>
      </c>
      <c r="C17" s="958">
        <v>46</v>
      </c>
      <c r="D17" s="2281" t="s">
        <v>82</v>
      </c>
      <c r="E17" s="2161">
        <f t="shared" si="0"/>
        <v>100</v>
      </c>
    </row>
    <row r="18" spans="1:5" ht="18.75" x14ac:dyDescent="0.25">
      <c r="A18" s="839">
        <v>10</v>
      </c>
      <c r="B18" s="897">
        <v>5191421010</v>
      </c>
      <c r="C18" s="958">
        <v>45</v>
      </c>
      <c r="D18" s="2281" t="s">
        <v>82</v>
      </c>
      <c r="E18" s="2161">
        <f t="shared" si="0"/>
        <v>100</v>
      </c>
    </row>
    <row r="19" spans="1:5" ht="18.75" x14ac:dyDescent="0.25">
      <c r="A19" s="839">
        <v>11</v>
      </c>
      <c r="B19" s="897">
        <v>5191421011</v>
      </c>
      <c r="C19" s="958">
        <v>48</v>
      </c>
      <c r="D19" s="2281" t="s">
        <v>82</v>
      </c>
      <c r="E19" s="2161">
        <f t="shared" si="0"/>
        <v>100</v>
      </c>
    </row>
    <row r="20" spans="1:5" ht="18.75" x14ac:dyDescent="0.25">
      <c r="A20" s="839">
        <v>12</v>
      </c>
      <c r="B20" s="897">
        <v>5191421012</v>
      </c>
      <c r="C20" s="958">
        <v>33</v>
      </c>
      <c r="D20" s="2281" t="s">
        <v>30</v>
      </c>
      <c r="E20" s="2161">
        <f t="shared" si="0"/>
        <v>90</v>
      </c>
    </row>
    <row r="21" spans="1:5" ht="18.75" x14ac:dyDescent="0.25">
      <c r="A21" s="839">
        <v>13</v>
      </c>
      <c r="B21" s="897">
        <v>5191421013</v>
      </c>
      <c r="C21" s="958">
        <v>48</v>
      </c>
      <c r="D21" s="2281" t="s">
        <v>30</v>
      </c>
      <c r="E21" s="2161">
        <f t="shared" si="0"/>
        <v>90</v>
      </c>
    </row>
    <row r="22" spans="1:5" ht="18.75" x14ac:dyDescent="0.25">
      <c r="A22" s="839">
        <v>14</v>
      </c>
      <c r="B22" s="897">
        <v>5191421014</v>
      </c>
      <c r="C22" s="958">
        <v>45</v>
      </c>
      <c r="D22" s="2281" t="s">
        <v>30</v>
      </c>
      <c r="E22" s="2161">
        <f t="shared" si="0"/>
        <v>90</v>
      </c>
    </row>
    <row r="23" spans="1:5" ht="18.75" x14ac:dyDescent="0.25">
      <c r="A23" s="839">
        <v>15</v>
      </c>
      <c r="B23" s="897">
        <v>5191421015</v>
      </c>
      <c r="C23" s="958">
        <v>41</v>
      </c>
      <c r="D23" s="2281" t="s">
        <v>82</v>
      </c>
      <c r="E23" s="2161">
        <f t="shared" si="0"/>
        <v>100</v>
      </c>
    </row>
    <row r="24" spans="1:5" ht="18.75" x14ac:dyDescent="0.25">
      <c r="A24" s="839">
        <v>16</v>
      </c>
      <c r="B24" s="897">
        <v>5191421016</v>
      </c>
      <c r="C24" s="958">
        <v>30</v>
      </c>
      <c r="D24" s="2281" t="s">
        <v>30</v>
      </c>
      <c r="E24" s="2161">
        <f t="shared" si="0"/>
        <v>90</v>
      </c>
    </row>
    <row r="25" spans="1:5" ht="18.75" x14ac:dyDescent="0.25">
      <c r="A25" s="839">
        <v>17</v>
      </c>
      <c r="B25" s="897">
        <v>5191421017</v>
      </c>
      <c r="C25" s="958">
        <v>43</v>
      </c>
      <c r="D25" s="2281" t="s">
        <v>30</v>
      </c>
      <c r="E25" s="2161">
        <f t="shared" si="0"/>
        <v>90</v>
      </c>
    </row>
    <row r="26" spans="1:5" ht="18.75" x14ac:dyDescent="0.25">
      <c r="A26" s="839">
        <v>18</v>
      </c>
      <c r="B26" s="897">
        <v>5191421018</v>
      </c>
      <c r="C26" s="958">
        <v>30</v>
      </c>
      <c r="D26" s="2281" t="s">
        <v>30</v>
      </c>
      <c r="E26" s="2161">
        <f t="shared" si="0"/>
        <v>90</v>
      </c>
    </row>
    <row r="27" spans="1:5" ht="18.75" x14ac:dyDescent="0.25">
      <c r="A27" s="839">
        <v>19</v>
      </c>
      <c r="B27" s="897">
        <v>5191421019</v>
      </c>
      <c r="C27" s="958">
        <v>47</v>
      </c>
      <c r="D27" s="2281" t="s">
        <v>82</v>
      </c>
      <c r="E27" s="2161">
        <f t="shared" si="0"/>
        <v>100</v>
      </c>
    </row>
    <row r="28" spans="1:5" ht="18.75" x14ac:dyDescent="0.25">
      <c r="A28" s="839">
        <v>20</v>
      </c>
      <c r="B28" s="897">
        <v>5191421020</v>
      </c>
      <c r="C28" s="958">
        <v>48</v>
      </c>
      <c r="D28" s="2281" t="s">
        <v>82</v>
      </c>
      <c r="E28" s="2161">
        <f t="shared" si="0"/>
        <v>100</v>
      </c>
    </row>
    <row r="29" spans="1:5" ht="18.75" x14ac:dyDescent="0.25">
      <c r="A29" s="839">
        <v>21</v>
      </c>
      <c r="B29" s="897">
        <v>5191421021</v>
      </c>
      <c r="C29" s="958">
        <v>43</v>
      </c>
      <c r="D29" s="2281" t="s">
        <v>82</v>
      </c>
      <c r="E29" s="2161">
        <f t="shared" si="0"/>
        <v>100</v>
      </c>
    </row>
    <row r="30" spans="1:5" ht="18.75" x14ac:dyDescent="0.25">
      <c r="A30" s="839">
        <v>22</v>
      </c>
      <c r="B30" s="897">
        <v>5191421022</v>
      </c>
      <c r="C30" s="958">
        <v>31</v>
      </c>
      <c r="D30" s="2281" t="s">
        <v>30</v>
      </c>
      <c r="E30" s="2161">
        <f t="shared" si="0"/>
        <v>90</v>
      </c>
    </row>
    <row r="31" spans="1:5" ht="18.75" x14ac:dyDescent="0.25">
      <c r="A31" s="839">
        <v>23</v>
      </c>
      <c r="B31" s="897">
        <v>5191421023</v>
      </c>
      <c r="C31" s="958">
        <v>39</v>
      </c>
      <c r="D31" s="2281" t="s">
        <v>30</v>
      </c>
      <c r="E31" s="2161">
        <f t="shared" si="0"/>
        <v>90</v>
      </c>
    </row>
    <row r="32" spans="1:5" ht="18.75" x14ac:dyDescent="0.25">
      <c r="A32" s="839">
        <v>24</v>
      </c>
      <c r="B32" s="897">
        <v>5191421024</v>
      </c>
      <c r="C32" s="958">
        <v>38</v>
      </c>
      <c r="D32" s="2281" t="s">
        <v>30</v>
      </c>
      <c r="E32" s="2161">
        <f t="shared" si="0"/>
        <v>90</v>
      </c>
    </row>
    <row r="33" spans="1:5" ht="18.75" x14ac:dyDescent="0.25">
      <c r="A33" s="839">
        <v>25</v>
      </c>
      <c r="B33" s="897">
        <v>5191421025</v>
      </c>
      <c r="C33" s="958">
        <v>48</v>
      </c>
      <c r="D33" s="2281" t="s">
        <v>82</v>
      </c>
      <c r="E33" s="2161">
        <f t="shared" si="0"/>
        <v>100</v>
      </c>
    </row>
    <row r="34" spans="1:5" ht="18.75" x14ac:dyDescent="0.25">
      <c r="A34" s="839">
        <v>26</v>
      </c>
      <c r="B34" s="897">
        <v>5191421026</v>
      </c>
      <c r="C34" s="958">
        <v>42</v>
      </c>
      <c r="D34" s="2281" t="s">
        <v>30</v>
      </c>
      <c r="E34" s="2161">
        <f t="shared" si="0"/>
        <v>90</v>
      </c>
    </row>
    <row r="35" spans="1:5" ht="18.75" x14ac:dyDescent="0.25">
      <c r="A35" s="839">
        <v>27</v>
      </c>
      <c r="B35" s="897">
        <v>5191421027</v>
      </c>
      <c r="C35" s="958">
        <v>41</v>
      </c>
      <c r="D35" s="2281" t="s">
        <v>82</v>
      </c>
      <c r="E35" s="2161">
        <f t="shared" si="0"/>
        <v>100</v>
      </c>
    </row>
    <row r="36" spans="1:5" ht="18.75" x14ac:dyDescent="0.25">
      <c r="A36" s="839">
        <v>28</v>
      </c>
      <c r="B36" s="897">
        <v>5191421028</v>
      </c>
      <c r="C36" s="958">
        <v>47</v>
      </c>
      <c r="D36" s="2284" t="s">
        <v>82</v>
      </c>
      <c r="E36" s="2161">
        <f t="shared" si="0"/>
        <v>100</v>
      </c>
    </row>
    <row r="37" spans="1:5" ht="18.75" x14ac:dyDescent="0.25">
      <c r="A37" s="839">
        <v>29</v>
      </c>
      <c r="B37" s="897">
        <v>5191421029</v>
      </c>
      <c r="C37" s="958">
        <v>44</v>
      </c>
      <c r="D37" s="2281" t="s">
        <v>82</v>
      </c>
      <c r="E37" s="2161">
        <f t="shared" si="0"/>
        <v>100</v>
      </c>
    </row>
    <row r="38" spans="1:5" ht="18.75" x14ac:dyDescent="0.25">
      <c r="A38" s="839">
        <v>30</v>
      </c>
      <c r="B38" s="897">
        <v>5191421030</v>
      </c>
      <c r="C38" s="958">
        <v>30</v>
      </c>
      <c r="D38" s="2281" t="s">
        <v>30</v>
      </c>
      <c r="E38" s="2161">
        <f t="shared" si="0"/>
        <v>90</v>
      </c>
    </row>
    <row r="39" spans="1:5" ht="18.75" x14ac:dyDescent="0.25">
      <c r="A39" s="839">
        <v>31</v>
      </c>
      <c r="B39" s="897">
        <v>5191421031</v>
      </c>
      <c r="C39" s="958">
        <v>46</v>
      </c>
      <c r="D39" s="2281" t="s">
        <v>82</v>
      </c>
      <c r="E39" s="2161">
        <f t="shared" si="0"/>
        <v>100</v>
      </c>
    </row>
    <row r="40" spans="1:5" ht="18.75" x14ac:dyDescent="0.25">
      <c r="A40" s="839">
        <v>32</v>
      </c>
      <c r="B40" s="897">
        <v>5191421032</v>
      </c>
      <c r="C40" s="958">
        <v>30</v>
      </c>
      <c r="D40" s="2281" t="s">
        <v>27</v>
      </c>
      <c r="E40" s="2161">
        <f t="shared" si="0"/>
        <v>80</v>
      </c>
    </row>
    <row r="41" spans="1:5" ht="18.75" x14ac:dyDescent="0.25">
      <c r="A41" s="839">
        <v>33</v>
      </c>
      <c r="B41" s="897">
        <v>5191421033</v>
      </c>
      <c r="C41" s="958">
        <v>47</v>
      </c>
      <c r="D41" s="2281" t="s">
        <v>82</v>
      </c>
      <c r="E41" s="2161">
        <f t="shared" si="0"/>
        <v>100</v>
      </c>
    </row>
    <row r="42" spans="1:5" ht="18.75" x14ac:dyDescent="0.25">
      <c r="A42" s="839">
        <v>34</v>
      </c>
      <c r="B42" s="897">
        <v>5191421034</v>
      </c>
      <c r="C42" s="958">
        <v>47</v>
      </c>
      <c r="D42" s="2281" t="s">
        <v>82</v>
      </c>
      <c r="E42" s="2161">
        <f t="shared" si="0"/>
        <v>100</v>
      </c>
    </row>
    <row r="43" spans="1:5" ht="18.75" x14ac:dyDescent="0.25">
      <c r="A43" s="839">
        <v>35</v>
      </c>
      <c r="B43" s="897">
        <v>5191421035</v>
      </c>
      <c r="C43" s="958">
        <v>38</v>
      </c>
      <c r="D43" s="2281" t="s">
        <v>27</v>
      </c>
      <c r="E43" s="2161">
        <f t="shared" si="0"/>
        <v>80</v>
      </c>
    </row>
    <row r="44" spans="1:5" ht="18.75" x14ac:dyDescent="0.25">
      <c r="A44" s="839">
        <v>36</v>
      </c>
      <c r="B44" s="897">
        <v>5191421036</v>
      </c>
      <c r="C44" s="958">
        <v>47</v>
      </c>
      <c r="D44" s="2281" t="s">
        <v>30</v>
      </c>
      <c r="E44" s="2161">
        <f t="shared" si="0"/>
        <v>90</v>
      </c>
    </row>
    <row r="45" spans="1:5" ht="18.75" x14ac:dyDescent="0.25">
      <c r="A45" s="839">
        <v>37</v>
      </c>
      <c r="B45" s="897">
        <v>5191421037</v>
      </c>
      <c r="C45" s="958">
        <v>30</v>
      </c>
      <c r="D45" s="2281" t="s">
        <v>32</v>
      </c>
      <c r="E45" s="2161">
        <f t="shared" si="0"/>
        <v>70</v>
      </c>
    </row>
    <row r="46" spans="1:5" ht="18.75" x14ac:dyDescent="0.25">
      <c r="A46" s="839">
        <v>38</v>
      </c>
      <c r="B46" s="897">
        <v>5191421038</v>
      </c>
      <c r="C46" s="958">
        <v>35</v>
      </c>
      <c r="D46" s="2281" t="s">
        <v>30</v>
      </c>
      <c r="E46" s="2161">
        <f t="shared" si="0"/>
        <v>90</v>
      </c>
    </row>
    <row r="47" spans="1:5" ht="18.75" x14ac:dyDescent="0.25">
      <c r="A47" s="839">
        <v>39</v>
      </c>
      <c r="B47" s="897">
        <v>5191421039</v>
      </c>
      <c r="C47" s="958">
        <v>48</v>
      </c>
      <c r="D47" s="2281" t="s">
        <v>82</v>
      </c>
      <c r="E47" s="2161">
        <f t="shared" si="0"/>
        <v>100</v>
      </c>
    </row>
    <row r="48" spans="1:5" ht="18.75" x14ac:dyDescent="0.25">
      <c r="A48" s="839">
        <v>40</v>
      </c>
      <c r="B48" s="897">
        <v>5191421040</v>
      </c>
      <c r="C48" s="958">
        <v>35</v>
      </c>
      <c r="D48" s="2281" t="s">
        <v>82</v>
      </c>
      <c r="E48" s="2161">
        <f t="shared" si="0"/>
        <v>100</v>
      </c>
    </row>
    <row r="49" spans="1:5" ht="18.75" x14ac:dyDescent="0.25">
      <c r="A49" s="839">
        <v>41</v>
      </c>
      <c r="B49" s="897">
        <v>5191421041</v>
      </c>
      <c r="C49" s="958">
        <v>32</v>
      </c>
      <c r="D49" s="2281" t="s">
        <v>30</v>
      </c>
      <c r="E49" s="2161">
        <f t="shared" si="0"/>
        <v>90</v>
      </c>
    </row>
    <row r="50" spans="1:5" ht="18.75" x14ac:dyDescent="0.25">
      <c r="A50" s="839">
        <v>42</v>
      </c>
      <c r="B50" s="897">
        <v>5191421042</v>
      </c>
      <c r="C50" s="958">
        <v>30</v>
      </c>
      <c r="D50" s="2281" t="s">
        <v>27</v>
      </c>
      <c r="E50" s="2161">
        <f t="shared" si="0"/>
        <v>80</v>
      </c>
    </row>
    <row r="51" spans="1:5" ht="18.75" x14ac:dyDescent="0.25">
      <c r="A51" s="839">
        <v>43</v>
      </c>
      <c r="B51" s="897">
        <v>5191421043</v>
      </c>
      <c r="C51" s="958">
        <v>48</v>
      </c>
      <c r="D51" s="2281" t="s">
        <v>30</v>
      </c>
      <c r="E51" s="2161">
        <f t="shared" si="0"/>
        <v>90</v>
      </c>
    </row>
    <row r="52" spans="1:5" ht="18.75" x14ac:dyDescent="0.25">
      <c r="A52" s="839">
        <v>44</v>
      </c>
      <c r="B52" s="897">
        <v>5191421044</v>
      </c>
      <c r="C52" s="958">
        <v>48</v>
      </c>
      <c r="D52" s="2281" t="s">
        <v>30</v>
      </c>
      <c r="E52" s="2161">
        <f t="shared" si="0"/>
        <v>90</v>
      </c>
    </row>
    <row r="53" spans="1:5" ht="18.75" x14ac:dyDescent="0.25">
      <c r="A53" s="839">
        <v>45</v>
      </c>
      <c r="B53" s="897">
        <v>5191421045</v>
      </c>
      <c r="C53" s="958">
        <v>30</v>
      </c>
      <c r="D53" s="2281" t="s">
        <v>32</v>
      </c>
      <c r="E53" s="2161">
        <f t="shared" si="0"/>
        <v>70</v>
      </c>
    </row>
    <row r="54" spans="1:5" ht="18.75" x14ac:dyDescent="0.25">
      <c r="A54" s="839">
        <v>46</v>
      </c>
      <c r="B54" s="897">
        <v>5191421046</v>
      </c>
      <c r="C54" s="958">
        <v>41</v>
      </c>
      <c r="D54" s="2281" t="s">
        <v>30</v>
      </c>
      <c r="E54" s="2161">
        <f t="shared" si="0"/>
        <v>90</v>
      </c>
    </row>
    <row r="55" spans="1:5" ht="18.75" x14ac:dyDescent="0.25">
      <c r="A55" s="839">
        <v>47</v>
      </c>
      <c r="B55" s="897">
        <v>5191421047</v>
      </c>
      <c r="C55" s="958">
        <v>30</v>
      </c>
      <c r="D55" s="2281" t="s">
        <v>32</v>
      </c>
      <c r="E55" s="2161">
        <f t="shared" si="0"/>
        <v>70</v>
      </c>
    </row>
    <row r="56" spans="1:5" ht="18.75" x14ac:dyDescent="0.25">
      <c r="A56" s="839">
        <v>48</v>
      </c>
      <c r="B56" s="897">
        <v>5191421048</v>
      </c>
      <c r="C56" s="958">
        <v>39</v>
      </c>
      <c r="D56" s="2281" t="s">
        <v>32</v>
      </c>
      <c r="E56" s="2161">
        <f t="shared" si="0"/>
        <v>70</v>
      </c>
    </row>
    <row r="57" spans="1:5" ht="18.75" x14ac:dyDescent="0.25">
      <c r="A57" s="839">
        <v>49</v>
      </c>
      <c r="B57" s="897">
        <v>5191421049</v>
      </c>
      <c r="C57" s="958">
        <v>32</v>
      </c>
      <c r="D57" s="2281" t="s">
        <v>32</v>
      </c>
      <c r="E57" s="2161">
        <f t="shared" si="0"/>
        <v>70</v>
      </c>
    </row>
    <row r="58" spans="1:5" ht="18.75" x14ac:dyDescent="0.25">
      <c r="A58" s="839">
        <v>50</v>
      </c>
      <c r="B58" s="897">
        <v>5191421050</v>
      </c>
      <c r="C58" s="958">
        <v>30</v>
      </c>
      <c r="D58" s="2281" t="s">
        <v>30</v>
      </c>
      <c r="E58" s="2161">
        <f t="shared" si="0"/>
        <v>90</v>
      </c>
    </row>
    <row r="59" spans="1:5" ht="18.75" x14ac:dyDescent="0.25">
      <c r="A59" s="839">
        <v>51</v>
      </c>
      <c r="B59" s="897">
        <v>5191421051</v>
      </c>
      <c r="C59" s="958">
        <v>45</v>
      </c>
      <c r="D59" s="2281" t="s">
        <v>27</v>
      </c>
      <c r="E59" s="2161">
        <f t="shared" si="0"/>
        <v>80</v>
      </c>
    </row>
    <row r="60" spans="1:5" ht="18.75" x14ac:dyDescent="0.25">
      <c r="A60" s="839">
        <v>52</v>
      </c>
      <c r="B60" s="897">
        <v>5191421052</v>
      </c>
      <c r="C60" s="958">
        <v>48</v>
      </c>
      <c r="D60" s="2281" t="s">
        <v>82</v>
      </c>
      <c r="E60" s="2161">
        <f t="shared" si="0"/>
        <v>100</v>
      </c>
    </row>
    <row r="61" spans="1:5" ht="18.75" x14ac:dyDescent="0.25">
      <c r="A61" s="839">
        <v>53</v>
      </c>
      <c r="B61" s="897">
        <v>5191421053</v>
      </c>
      <c r="C61" s="958">
        <v>48</v>
      </c>
      <c r="D61" s="2281" t="s">
        <v>82</v>
      </c>
      <c r="E61" s="2161">
        <f t="shared" si="0"/>
        <v>100</v>
      </c>
    </row>
    <row r="62" spans="1:5" ht="18.75" x14ac:dyDescent="0.25">
      <c r="A62" s="839">
        <v>54</v>
      </c>
      <c r="B62" s="897">
        <v>5191421054</v>
      </c>
      <c r="C62" s="958">
        <v>41</v>
      </c>
      <c r="D62" s="2281" t="s">
        <v>30</v>
      </c>
      <c r="E62" s="2161">
        <f t="shared" si="0"/>
        <v>90</v>
      </c>
    </row>
    <row r="63" spans="1:5" ht="18.75" x14ac:dyDescent="0.25">
      <c r="A63" s="839">
        <v>55</v>
      </c>
      <c r="B63" s="897">
        <v>5191421055</v>
      </c>
      <c r="C63" s="958">
        <v>40</v>
      </c>
      <c r="D63" s="2281" t="s">
        <v>30</v>
      </c>
      <c r="E63" s="2161">
        <f t="shared" si="0"/>
        <v>90</v>
      </c>
    </row>
    <row r="64" spans="1:5" ht="18.75" x14ac:dyDescent="0.25">
      <c r="A64" s="839">
        <v>56</v>
      </c>
      <c r="B64" s="897">
        <v>5191421056</v>
      </c>
      <c r="C64" s="958">
        <v>41</v>
      </c>
      <c r="D64" s="2281" t="s">
        <v>30</v>
      </c>
      <c r="E64" s="2161">
        <f t="shared" si="0"/>
        <v>90</v>
      </c>
    </row>
    <row r="65" spans="1:14" ht="18.75" x14ac:dyDescent="0.25">
      <c r="A65" s="839">
        <v>57</v>
      </c>
      <c r="B65" s="897">
        <v>5191421057</v>
      </c>
      <c r="C65" s="958">
        <v>44</v>
      </c>
      <c r="D65" s="2282" t="s">
        <v>82</v>
      </c>
      <c r="E65" s="2161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958">
        <v>36</v>
      </c>
      <c r="D66" s="2283" t="s">
        <v>30</v>
      </c>
      <c r="E66" s="2161">
        <f t="shared" si="0"/>
        <v>90</v>
      </c>
    </row>
    <row r="67" spans="1:14" x14ac:dyDescent="0.25">
      <c r="C67" s="2165">
        <f>COUNT(C9:C66)</f>
        <v>58</v>
      </c>
      <c r="D67" s="2165"/>
    </row>
    <row r="68" spans="1:14" ht="31.5" x14ac:dyDescent="0.25">
      <c r="A68" s="2091" t="s">
        <v>34</v>
      </c>
      <c r="B68" s="2083">
        <v>65</v>
      </c>
      <c r="C68" s="2093">
        <f>C8*(B68/100)</f>
        <v>32.5</v>
      </c>
      <c r="D68" s="2165"/>
    </row>
    <row r="69" spans="1:14" x14ac:dyDescent="0.25">
      <c r="A69" s="3305" t="s">
        <v>35</v>
      </c>
      <c r="B69" s="3305"/>
      <c r="C69" s="2165">
        <f>COUNTIF(C9:C66,"&gt;=" &amp;C68)</f>
        <v>46</v>
      </c>
      <c r="D69" s="2165"/>
      <c r="E69" s="2165">
        <f>COUNTIF(E9:E66,"&gt;="&amp;B68)</f>
        <v>58</v>
      </c>
    </row>
    <row r="70" spans="1:14" x14ac:dyDescent="0.25">
      <c r="A70" s="3306" t="s">
        <v>36</v>
      </c>
      <c r="B70" s="3306"/>
      <c r="C70" s="36">
        <f>C69/C67</f>
        <v>0.7931034482758621</v>
      </c>
      <c r="D70" s="2165"/>
      <c r="E70" s="36">
        <f>(E69/A66)*100</f>
        <v>100</v>
      </c>
    </row>
    <row r="73" spans="1:14" x14ac:dyDescent="0.25">
      <c r="B73" s="449"/>
      <c r="C73" s="2267" t="s">
        <v>39</v>
      </c>
      <c r="D73" s="2629" t="s">
        <v>37</v>
      </c>
      <c r="E73" s="2647"/>
      <c r="F73" s="13"/>
    </row>
    <row r="74" spans="1:14" x14ac:dyDescent="0.25">
      <c r="B74" s="2267" t="s">
        <v>22</v>
      </c>
      <c r="C74" s="2268">
        <f>IF(E70&gt;=70,3,IF(AND(E70&gt;=60,E70&lt;70),2,IF(AND(E70&gt;=50,E70&lt;60),1)))</f>
        <v>3</v>
      </c>
      <c r="D74" s="3108">
        <f>(100/100)*C74</f>
        <v>3</v>
      </c>
      <c r="E74" s="3109"/>
      <c r="F74" s="2176"/>
    </row>
    <row r="75" spans="1:14" x14ac:dyDescent="0.25">
      <c r="B75" s="2267" t="s">
        <v>40</v>
      </c>
      <c r="C75" s="2268">
        <f>IF(E70&gt;=70,3,IF(AND(E70&gt;=60,E70&lt;70),2,IF(AND(E70&gt;=50,E70&lt;60),1)))</f>
        <v>3</v>
      </c>
      <c r="D75" s="3108">
        <f t="shared" ref="D75:D77" si="1">(100/100)*C75</f>
        <v>3</v>
      </c>
      <c r="E75" s="3109"/>
      <c r="F75" s="2176"/>
    </row>
    <row r="76" spans="1:14" x14ac:dyDescent="0.25">
      <c r="B76" s="2267" t="s">
        <v>41</v>
      </c>
      <c r="C76" s="2268">
        <f>IF(E70&gt;=70,3,IF(AND(E70&gt;=60,E70&lt;70),2,IF(AND(E70&gt;=50,E70&lt;60),1)))</f>
        <v>3</v>
      </c>
      <c r="D76" s="3108">
        <f t="shared" si="1"/>
        <v>3</v>
      </c>
      <c r="E76" s="3109"/>
      <c r="F76" s="2176"/>
    </row>
    <row r="77" spans="1:14" x14ac:dyDescent="0.25">
      <c r="B77" s="2267" t="s">
        <v>42</v>
      </c>
      <c r="C77" s="2268">
        <f>IF(E70&gt;=70,3,IF(AND(E70&gt;=60,E70&lt;70),2,IF(AND(E70&gt;=50,E70&lt;60),1)))</f>
        <v>3</v>
      </c>
      <c r="D77" s="3108">
        <f t="shared" si="1"/>
        <v>3</v>
      </c>
      <c r="E77" s="3109"/>
      <c r="F77" s="2176"/>
    </row>
    <row r="78" spans="1:14" x14ac:dyDescent="0.25">
      <c r="B78" s="3110" t="s">
        <v>44</v>
      </c>
      <c r="C78" s="3112"/>
      <c r="D78" s="3108">
        <f>AVERAGE(C74:C74)</f>
        <v>3</v>
      </c>
      <c r="E78" s="3109"/>
      <c r="F78" s="2272"/>
      <c r="G78" s="2165"/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2126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x14ac:dyDescent="0.25">
      <c r="B84" s="20" t="s">
        <v>22</v>
      </c>
      <c r="C84" s="814">
        <v>3</v>
      </c>
      <c r="D84" s="814">
        <v>3</v>
      </c>
      <c r="E84" s="814">
        <v>2</v>
      </c>
      <c r="F84" s="814">
        <v>1</v>
      </c>
      <c r="G84" s="814">
        <v>2</v>
      </c>
      <c r="H84" s="814"/>
      <c r="I84" s="814"/>
      <c r="J84" s="814"/>
      <c r="K84" s="814"/>
      <c r="L84" s="814"/>
      <c r="M84" s="814"/>
      <c r="N84" s="814">
        <v>2</v>
      </c>
    </row>
    <row r="85" spans="1:14" x14ac:dyDescent="0.25">
      <c r="B85" s="20" t="s">
        <v>40</v>
      </c>
      <c r="C85" s="814">
        <v>3</v>
      </c>
      <c r="D85" s="814">
        <v>3</v>
      </c>
      <c r="E85" s="814">
        <v>2</v>
      </c>
      <c r="F85" s="814">
        <v>1</v>
      </c>
      <c r="G85" s="814">
        <v>2</v>
      </c>
      <c r="H85" s="814">
        <v>1</v>
      </c>
      <c r="I85" s="814"/>
      <c r="J85" s="814"/>
      <c r="K85" s="814"/>
      <c r="L85" s="814"/>
      <c r="M85" s="814"/>
      <c r="N85" s="814">
        <v>2</v>
      </c>
    </row>
    <row r="86" spans="1:14" x14ac:dyDescent="0.25">
      <c r="B86" s="20" t="s">
        <v>41</v>
      </c>
      <c r="C86" s="814">
        <v>3</v>
      </c>
      <c r="D86" s="814">
        <v>3</v>
      </c>
      <c r="E86" s="814">
        <v>3</v>
      </c>
      <c r="F86" s="814">
        <v>1</v>
      </c>
      <c r="G86" s="814">
        <v>3</v>
      </c>
      <c r="H86" s="814">
        <v>2</v>
      </c>
      <c r="I86" s="814"/>
      <c r="J86" s="814"/>
      <c r="K86" s="814"/>
      <c r="L86" s="814"/>
      <c r="M86" s="814"/>
      <c r="N86" s="814">
        <v>2</v>
      </c>
    </row>
    <row r="87" spans="1:14" x14ac:dyDescent="0.25">
      <c r="B87" s="20" t="s">
        <v>42</v>
      </c>
      <c r="C87" s="814">
        <v>2</v>
      </c>
      <c r="D87" s="814">
        <v>2</v>
      </c>
      <c r="E87" s="814">
        <v>3</v>
      </c>
      <c r="F87" s="814">
        <v>1</v>
      </c>
      <c r="G87" s="814">
        <v>1</v>
      </c>
      <c r="H87" s="814"/>
      <c r="I87" s="814"/>
      <c r="J87" s="814"/>
      <c r="K87" s="814"/>
      <c r="L87" s="814"/>
      <c r="M87" s="814"/>
      <c r="N87" s="814">
        <v>2</v>
      </c>
    </row>
    <row r="88" spans="1:14" x14ac:dyDescent="0.25">
      <c r="B88" s="2126" t="s">
        <v>10</v>
      </c>
      <c r="C88" s="745">
        <f>AVERAGE(C84:C87)</f>
        <v>2.75</v>
      </c>
      <c r="D88" s="745">
        <f t="shared" ref="D88:N88" si="2">AVERAGE(D84:D87)</f>
        <v>2.75</v>
      </c>
      <c r="E88" s="745">
        <f t="shared" si="2"/>
        <v>2.5</v>
      </c>
      <c r="F88" s="745">
        <f t="shared" si="2"/>
        <v>1</v>
      </c>
      <c r="G88" s="745">
        <f>AVERAGE(G84:G87)</f>
        <v>2</v>
      </c>
      <c r="H88" s="745">
        <f t="shared" si="2"/>
        <v>1.5</v>
      </c>
      <c r="I88" s="745"/>
      <c r="J88" s="745"/>
      <c r="K88" s="745"/>
      <c r="L88" s="745"/>
      <c r="M88" s="745"/>
      <c r="N88" s="745">
        <f t="shared" si="2"/>
        <v>2</v>
      </c>
    </row>
    <row r="89" spans="1:14" x14ac:dyDescent="0.25">
      <c r="B89" s="2126" t="s">
        <v>58</v>
      </c>
      <c r="C89" s="3311">
        <f>AVERAGE(C88:N88)</f>
        <v>2.0714285714285716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2126" t="s">
        <v>45</v>
      </c>
      <c r="C93" s="2090" t="s">
        <v>68</v>
      </c>
      <c r="D93" s="2090" t="s">
        <v>69</v>
      </c>
      <c r="E93" s="2090" t="s">
        <v>70</v>
      </c>
      <c r="F93" s="2090" t="s">
        <v>71</v>
      </c>
      <c r="G93" s="2090" t="s">
        <v>72</v>
      </c>
      <c r="H93" s="2090" t="s">
        <v>73</v>
      </c>
      <c r="I93" s="2090" t="s">
        <v>74</v>
      </c>
      <c r="J93" s="2090" t="s">
        <v>75</v>
      </c>
      <c r="K93" s="2090" t="s">
        <v>76</v>
      </c>
      <c r="L93" s="2090" t="s">
        <v>77</v>
      </c>
      <c r="M93" s="2090" t="s">
        <v>78</v>
      </c>
      <c r="N93" s="2090" t="s">
        <v>79</v>
      </c>
    </row>
    <row r="94" spans="1:14" x14ac:dyDescent="0.25">
      <c r="B94" s="2088" t="s">
        <v>20</v>
      </c>
      <c r="C94" s="907">
        <f>$D$74*C84/3</f>
        <v>3</v>
      </c>
      <c r="D94" s="907">
        <f t="shared" ref="D94:N94" si="3">$D$74*D84/3</f>
        <v>3</v>
      </c>
      <c r="E94" s="907">
        <f t="shared" si="3"/>
        <v>2</v>
      </c>
      <c r="F94" s="907">
        <f t="shared" si="3"/>
        <v>1</v>
      </c>
      <c r="G94" s="907">
        <f t="shared" si="3"/>
        <v>2</v>
      </c>
      <c r="H94" s="907"/>
      <c r="I94" s="907"/>
      <c r="J94" s="907"/>
      <c r="K94" s="907"/>
      <c r="L94" s="907"/>
      <c r="M94" s="907"/>
      <c r="N94" s="907">
        <f t="shared" si="3"/>
        <v>2</v>
      </c>
    </row>
    <row r="95" spans="1:14" x14ac:dyDescent="0.25">
      <c r="B95" s="2088" t="s">
        <v>21</v>
      </c>
      <c r="C95" s="907">
        <f>$D$75*C85/3</f>
        <v>3</v>
      </c>
      <c r="D95" s="907">
        <f t="shared" ref="D95:N95" si="4">$D$75*D85/3</f>
        <v>3</v>
      </c>
      <c r="E95" s="907">
        <f t="shared" si="4"/>
        <v>2</v>
      </c>
      <c r="F95" s="907">
        <f t="shared" si="4"/>
        <v>1</v>
      </c>
      <c r="G95" s="907">
        <f t="shared" si="4"/>
        <v>2</v>
      </c>
      <c r="H95" s="907">
        <f t="shared" si="4"/>
        <v>1</v>
      </c>
      <c r="I95" s="907"/>
      <c r="J95" s="907"/>
      <c r="K95" s="907"/>
      <c r="L95" s="907"/>
      <c r="M95" s="907"/>
      <c r="N95" s="907">
        <f t="shared" si="4"/>
        <v>2</v>
      </c>
    </row>
    <row r="96" spans="1:14" x14ac:dyDescent="0.25">
      <c r="B96" s="2088" t="s">
        <v>23</v>
      </c>
      <c r="C96" s="907">
        <f>$D$76*C86/3</f>
        <v>3</v>
      </c>
      <c r="D96" s="907">
        <f t="shared" ref="D96:N96" si="5">$D$76*D86/3</f>
        <v>3</v>
      </c>
      <c r="E96" s="907">
        <f t="shared" si="5"/>
        <v>3</v>
      </c>
      <c r="F96" s="907">
        <f t="shared" si="5"/>
        <v>1</v>
      </c>
      <c r="G96" s="907">
        <f t="shared" si="5"/>
        <v>3</v>
      </c>
      <c r="H96" s="907">
        <f t="shared" si="5"/>
        <v>2</v>
      </c>
      <c r="I96" s="907"/>
      <c r="J96" s="907"/>
      <c r="K96" s="907"/>
      <c r="L96" s="907"/>
      <c r="M96" s="907"/>
      <c r="N96" s="907">
        <f t="shared" si="5"/>
        <v>2</v>
      </c>
    </row>
    <row r="97" spans="1:14" x14ac:dyDescent="0.25">
      <c r="B97" s="2088" t="s">
        <v>25</v>
      </c>
      <c r="C97" s="907">
        <f>$D$77*C87/3</f>
        <v>2</v>
      </c>
      <c r="D97" s="907">
        <f t="shared" ref="D97:N97" si="6">$D$77*D87/3</f>
        <v>2</v>
      </c>
      <c r="E97" s="907">
        <f t="shared" si="6"/>
        <v>3</v>
      </c>
      <c r="F97" s="907">
        <f t="shared" si="6"/>
        <v>1</v>
      </c>
      <c r="G97" s="907">
        <f t="shared" si="6"/>
        <v>1</v>
      </c>
      <c r="H97" s="907"/>
      <c r="I97" s="907"/>
      <c r="J97" s="907"/>
      <c r="K97" s="907"/>
      <c r="L97" s="907"/>
      <c r="M97" s="907"/>
      <c r="N97" s="907">
        <f t="shared" si="6"/>
        <v>2</v>
      </c>
    </row>
    <row r="98" spans="1:14" x14ac:dyDescent="0.25">
      <c r="B98" s="2126" t="s">
        <v>10</v>
      </c>
      <c r="C98" s="908">
        <f>AVERAGE(C94:C97)</f>
        <v>2.75</v>
      </c>
      <c r="D98" s="908">
        <f t="shared" ref="D98:N98" si="7">AVERAGE(D94:D97)</f>
        <v>2.75</v>
      </c>
      <c r="E98" s="908">
        <f t="shared" si="7"/>
        <v>2.5</v>
      </c>
      <c r="F98" s="908">
        <f t="shared" si="7"/>
        <v>1</v>
      </c>
      <c r="G98" s="908">
        <f t="shared" si="7"/>
        <v>2</v>
      </c>
      <c r="H98" s="908">
        <f t="shared" si="7"/>
        <v>1.5</v>
      </c>
      <c r="I98" s="908"/>
      <c r="J98" s="908"/>
      <c r="K98" s="908"/>
      <c r="L98" s="908"/>
      <c r="M98" s="908"/>
      <c r="N98" s="908">
        <f t="shared" si="7"/>
        <v>2</v>
      </c>
    </row>
    <row r="99" spans="1:14" x14ac:dyDescent="0.25">
      <c r="B99" s="2126" t="s">
        <v>58</v>
      </c>
      <c r="C99" s="3024">
        <f>AVERAGE(C98:N98)</f>
        <v>2.0714285714285716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2126" t="s">
        <v>59</v>
      </c>
      <c r="C104" s="748" t="s">
        <v>87</v>
      </c>
      <c r="D104" s="748" t="s">
        <v>88</v>
      </c>
      <c r="E104" s="748" t="s">
        <v>85</v>
      </c>
      <c r="F104" s="2127"/>
      <c r="G104" s="2126" t="s">
        <v>59</v>
      </c>
      <c r="H104" s="2090" t="s">
        <v>60</v>
      </c>
      <c r="I104" s="2090" t="s">
        <v>61</v>
      </c>
      <c r="J104" s="2090" t="s">
        <v>62</v>
      </c>
      <c r="L104" s="2127"/>
      <c r="M104" s="2127"/>
      <c r="N104" s="2127"/>
    </row>
    <row r="105" spans="1:14" x14ac:dyDescent="0.25">
      <c r="B105" s="572" t="s">
        <v>22</v>
      </c>
      <c r="C105" s="856">
        <v>2</v>
      </c>
      <c r="D105" s="856">
        <v>2</v>
      </c>
      <c r="E105" s="856">
        <v>2</v>
      </c>
      <c r="F105" s="2127"/>
      <c r="G105" s="967" t="s">
        <v>20</v>
      </c>
      <c r="H105" s="907">
        <f>$D$74*C105/3</f>
        <v>2</v>
      </c>
      <c r="I105" s="907">
        <f t="shared" ref="I105:J105" si="8">$D$74*D105/3</f>
        <v>2</v>
      </c>
      <c r="J105" s="907">
        <f t="shared" si="8"/>
        <v>2</v>
      </c>
      <c r="L105" s="2127"/>
      <c r="M105" s="2127"/>
      <c r="N105" s="2127"/>
    </row>
    <row r="106" spans="1:14" x14ac:dyDescent="0.25">
      <c r="B106" s="572" t="s">
        <v>40</v>
      </c>
      <c r="C106" s="856">
        <v>3</v>
      </c>
      <c r="D106" s="856">
        <v>3</v>
      </c>
      <c r="E106" s="856">
        <v>2</v>
      </c>
      <c r="F106" s="24"/>
      <c r="G106" s="967" t="s">
        <v>21</v>
      </c>
      <c r="H106" s="907">
        <f>$D$75*C106/3</f>
        <v>3</v>
      </c>
      <c r="I106" s="907">
        <f t="shared" ref="I106:J106" si="9">$D$75*D106/3</f>
        <v>3</v>
      </c>
      <c r="J106" s="907">
        <f t="shared" si="9"/>
        <v>2</v>
      </c>
      <c r="L106" s="24"/>
      <c r="M106" s="24"/>
      <c r="N106" s="24"/>
    </row>
    <row r="107" spans="1:14" x14ac:dyDescent="0.25">
      <c r="B107" s="572" t="s">
        <v>41</v>
      </c>
      <c r="C107" s="856">
        <v>3</v>
      </c>
      <c r="D107" s="856">
        <v>3</v>
      </c>
      <c r="E107" s="856">
        <v>2</v>
      </c>
      <c r="F107" s="24"/>
      <c r="G107" s="967" t="s">
        <v>23</v>
      </c>
      <c r="H107" s="907">
        <f>$D$76*C107/3</f>
        <v>3</v>
      </c>
      <c r="I107" s="907">
        <f t="shared" ref="I107:J107" si="10">$D$76*D107/3</f>
        <v>3</v>
      </c>
      <c r="J107" s="907">
        <f t="shared" si="10"/>
        <v>2</v>
      </c>
      <c r="L107" s="24"/>
      <c r="M107" s="24"/>
      <c r="N107" s="24"/>
    </row>
    <row r="108" spans="1:14" x14ac:dyDescent="0.25">
      <c r="B108" s="572" t="s">
        <v>42</v>
      </c>
      <c r="C108" s="749">
        <v>3</v>
      </c>
      <c r="D108" s="856">
        <v>2</v>
      </c>
      <c r="E108" s="856">
        <v>2</v>
      </c>
      <c r="F108" s="24"/>
      <c r="G108" s="967" t="s">
        <v>25</v>
      </c>
      <c r="H108" s="907">
        <f>$D$77*C108/3</f>
        <v>3</v>
      </c>
      <c r="I108" s="907">
        <f t="shared" ref="I108:J108" si="11">$D$77*D108/3</f>
        <v>2</v>
      </c>
      <c r="J108" s="907">
        <f t="shared" si="11"/>
        <v>2</v>
      </c>
      <c r="L108" s="24"/>
      <c r="M108" s="24"/>
      <c r="N108" s="24"/>
    </row>
    <row r="109" spans="1:14" x14ac:dyDescent="0.25">
      <c r="B109" s="2126" t="s">
        <v>10</v>
      </c>
      <c r="C109" s="909">
        <f>AVERAGE(C105:C108)</f>
        <v>2.75</v>
      </c>
      <c r="D109" s="909">
        <f t="shared" ref="D109:E109" si="12">AVERAGE(D105:D108)</f>
        <v>2.5</v>
      </c>
      <c r="E109" s="909">
        <f t="shared" si="12"/>
        <v>2</v>
      </c>
      <c r="F109" s="910"/>
      <c r="G109" s="2126" t="s">
        <v>10</v>
      </c>
      <c r="H109" s="911">
        <f>AVERAGE(H105:H108)</f>
        <v>2.75</v>
      </c>
      <c r="I109" s="911">
        <f t="shared" ref="I109:J109" si="13">AVERAGE(I105:I108)</f>
        <v>2.5</v>
      </c>
      <c r="J109" s="911">
        <f t="shared" si="13"/>
        <v>2</v>
      </c>
      <c r="L109" s="910"/>
      <c r="M109" s="910"/>
      <c r="N109" s="910"/>
    </row>
    <row r="110" spans="1:14" x14ac:dyDescent="0.25">
      <c r="B110" s="2126" t="s">
        <v>58</v>
      </c>
      <c r="C110" s="3307">
        <f>AVERAGE(C109:E109)</f>
        <v>2.4166666666666665</v>
      </c>
      <c r="D110" s="3308"/>
      <c r="E110" s="3309"/>
      <c r="F110" s="912"/>
      <c r="G110" s="2126" t="s">
        <v>58</v>
      </c>
      <c r="H110" s="3024">
        <f>AVERAGE(H109:J109)</f>
        <v>2.4166666666666665</v>
      </c>
      <c r="I110" s="3310"/>
      <c r="J110" s="3026"/>
      <c r="L110" s="912"/>
      <c r="M110" s="912"/>
      <c r="N110" s="912"/>
    </row>
  </sheetData>
  <mergeCells count="26">
    <mergeCell ref="A2:B2"/>
    <mergeCell ref="A3:B3"/>
    <mergeCell ref="A4:B4"/>
    <mergeCell ref="A5:A7"/>
    <mergeCell ref="B5:B7"/>
    <mergeCell ref="D5:D7"/>
    <mergeCell ref="E5:E7"/>
    <mergeCell ref="A69:B69"/>
    <mergeCell ref="A70:B70"/>
    <mergeCell ref="A81:B81"/>
    <mergeCell ref="C5:C7"/>
    <mergeCell ref="C110:E110"/>
    <mergeCell ref="H110:J110"/>
    <mergeCell ref="D73:E73"/>
    <mergeCell ref="D74:E74"/>
    <mergeCell ref="D75:E75"/>
    <mergeCell ref="D76:E76"/>
    <mergeCell ref="D77:E77"/>
    <mergeCell ref="D78:E78"/>
    <mergeCell ref="B78:C78"/>
    <mergeCell ref="C89:N89"/>
    <mergeCell ref="A91:B91"/>
    <mergeCell ref="C99:N99"/>
    <mergeCell ref="A102:B102"/>
    <mergeCell ref="G102:H102"/>
    <mergeCell ref="G103:H103"/>
  </mergeCells>
  <conditionalFormatting sqref="D9:D66">
    <cfRule type="containsText" dxfId="62" priority="2" operator="containsText" text="F">
      <formula>NOT(ISERROR(SEARCH("F",D9)))</formula>
    </cfRule>
  </conditionalFormatting>
  <conditionalFormatting sqref="C9:C66">
    <cfRule type="cellIs" dxfId="61" priority="1" operator="lessThan">
      <formula>25</formula>
    </cfRule>
  </conditionalFormatting>
  <pageMargins left="0.7" right="0.7" top="0.75" bottom="0.75" header="0.3" footer="0.3"/>
  <pageSetup paperSize="8" scale="5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91" zoomScale="90" zoomScaleNormal="90" workbookViewId="0">
      <selection activeCell="C98" sqref="C98"/>
    </sheetView>
  </sheetViews>
  <sheetFormatPr defaultRowHeight="15.75" x14ac:dyDescent="0.25"/>
  <cols>
    <col min="1" max="1" width="14.5703125" style="792" customWidth="1"/>
    <col min="2" max="2" width="21.5703125" style="792" customWidth="1"/>
    <col min="3" max="3" width="26.42578125" style="792" customWidth="1"/>
    <col min="4" max="4" width="12.5703125" style="792" customWidth="1"/>
    <col min="5" max="5" width="10.7109375" style="792" customWidth="1"/>
    <col min="6" max="6" width="11.85546875" style="792" bestFit="1" customWidth="1"/>
    <col min="7" max="7" width="19.28515625" style="792" customWidth="1"/>
    <col min="8" max="8" width="14.140625" style="792" customWidth="1"/>
    <col min="9" max="14" width="11.85546875" style="792" bestFit="1" customWidth="1"/>
    <col min="15" max="16384" width="9.14062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328</v>
      </c>
      <c r="D2" s="802" t="s">
        <v>63</v>
      </c>
      <c r="E2" s="765" t="s">
        <v>329</v>
      </c>
      <c r="F2" s="735"/>
      <c r="G2" s="735"/>
      <c r="H2" s="735"/>
    </row>
    <row r="3" spans="1:8" ht="30" x14ac:dyDescent="0.25">
      <c r="A3" s="3301" t="s">
        <v>1</v>
      </c>
      <c r="B3" s="3301"/>
      <c r="C3" s="894" t="s">
        <v>330</v>
      </c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331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764">
        <v>38</v>
      </c>
      <c r="D9" s="867" t="s">
        <v>27</v>
      </c>
      <c r="E9" s="866">
        <f>IF(D9="O",100,IF(D9="A+",90,IF(D9="A",80,IF(D9="B+",70,IF(D9="B",60,IF(D9="C",55,IF(D9="P",50,IF(D9="F",39))))))))</f>
        <v>80</v>
      </c>
    </row>
    <row r="10" spans="1:8" ht="18.75" x14ac:dyDescent="0.25">
      <c r="A10" s="839">
        <v>2</v>
      </c>
      <c r="B10" s="898">
        <v>5191421002</v>
      </c>
      <c r="C10" s="764">
        <v>47</v>
      </c>
      <c r="D10" s="867" t="s">
        <v>82</v>
      </c>
      <c r="E10" s="866">
        <f t="shared" ref="E10:E66" si="0">IF(D10="O",100,IF(D10="A+",90,IF(D10="A",80,IF(D10="B+",70,IF(D10="B",60,IF(D10="C",55,IF(D10="P",50,IF(D10="F",39))))))))</f>
        <v>100</v>
      </c>
    </row>
    <row r="11" spans="1:8" ht="18.75" x14ac:dyDescent="0.25">
      <c r="A11" s="839">
        <v>3</v>
      </c>
      <c r="B11" s="897">
        <v>5191421003</v>
      </c>
      <c r="C11" s="764">
        <v>47</v>
      </c>
      <c r="D11" s="867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764">
        <v>42</v>
      </c>
      <c r="D12" s="867" t="s">
        <v>27</v>
      </c>
      <c r="E12" s="866">
        <f t="shared" si="0"/>
        <v>80</v>
      </c>
    </row>
    <row r="13" spans="1:8" ht="18.75" x14ac:dyDescent="0.25">
      <c r="A13" s="839">
        <v>5</v>
      </c>
      <c r="B13" s="899">
        <v>5191421005</v>
      </c>
      <c r="C13" s="764">
        <v>37</v>
      </c>
      <c r="D13" s="867" t="s">
        <v>27</v>
      </c>
      <c r="E13" s="866">
        <f t="shared" si="0"/>
        <v>80</v>
      </c>
    </row>
    <row r="14" spans="1:8" ht="18.75" x14ac:dyDescent="0.25">
      <c r="A14" s="839">
        <v>6</v>
      </c>
      <c r="B14" s="897">
        <v>5191421006</v>
      </c>
      <c r="C14" s="764">
        <v>46</v>
      </c>
      <c r="D14" s="867" t="s">
        <v>82</v>
      </c>
      <c r="E14" s="866">
        <f t="shared" si="0"/>
        <v>100</v>
      </c>
    </row>
    <row r="15" spans="1:8" ht="18.75" x14ac:dyDescent="0.25">
      <c r="A15" s="839">
        <v>7</v>
      </c>
      <c r="B15" s="897">
        <v>5191421007</v>
      </c>
      <c r="C15" s="764">
        <v>44</v>
      </c>
      <c r="D15" s="867" t="s">
        <v>30</v>
      </c>
      <c r="E15" s="866">
        <f t="shared" si="0"/>
        <v>90</v>
      </c>
    </row>
    <row r="16" spans="1:8" ht="18.75" x14ac:dyDescent="0.25">
      <c r="A16" s="839">
        <v>8</v>
      </c>
      <c r="B16" s="897">
        <v>5191421008</v>
      </c>
      <c r="C16" s="764">
        <v>42</v>
      </c>
      <c r="D16" s="867" t="s">
        <v>30</v>
      </c>
      <c r="E16" s="866">
        <f t="shared" si="0"/>
        <v>90</v>
      </c>
    </row>
    <row r="17" spans="1:5" ht="18.75" x14ac:dyDescent="0.25">
      <c r="A17" s="839">
        <v>9</v>
      </c>
      <c r="B17" s="897">
        <v>5191421009</v>
      </c>
      <c r="C17" s="764">
        <v>46</v>
      </c>
      <c r="D17" s="867" t="s">
        <v>82</v>
      </c>
      <c r="E17" s="866">
        <f t="shared" si="0"/>
        <v>100</v>
      </c>
    </row>
    <row r="18" spans="1:5" ht="18.75" x14ac:dyDescent="0.25">
      <c r="A18" s="839">
        <v>10</v>
      </c>
      <c r="B18" s="897">
        <v>5191421010</v>
      </c>
      <c r="C18" s="764">
        <v>45</v>
      </c>
      <c r="D18" s="867" t="s">
        <v>82</v>
      </c>
      <c r="E18" s="866">
        <f t="shared" si="0"/>
        <v>100</v>
      </c>
    </row>
    <row r="19" spans="1:5" ht="18.75" x14ac:dyDescent="0.25">
      <c r="A19" s="839">
        <v>11</v>
      </c>
      <c r="B19" s="897">
        <v>5191421011</v>
      </c>
      <c r="C19" s="764">
        <v>48</v>
      </c>
      <c r="D19" s="867" t="s">
        <v>82</v>
      </c>
      <c r="E19" s="866">
        <f t="shared" si="0"/>
        <v>100</v>
      </c>
    </row>
    <row r="20" spans="1:5" ht="18.75" x14ac:dyDescent="0.25">
      <c r="A20" s="839">
        <v>12</v>
      </c>
      <c r="B20" s="897">
        <v>5191421012</v>
      </c>
      <c r="C20" s="764">
        <v>33</v>
      </c>
      <c r="D20" s="867" t="s">
        <v>27</v>
      </c>
      <c r="E20" s="866">
        <f t="shared" si="0"/>
        <v>80</v>
      </c>
    </row>
    <row r="21" spans="1:5" ht="18.75" x14ac:dyDescent="0.25">
      <c r="A21" s="839">
        <v>13</v>
      </c>
      <c r="B21" s="897">
        <v>5191421013</v>
      </c>
      <c r="C21" s="764">
        <v>48</v>
      </c>
      <c r="D21" s="867" t="s">
        <v>82</v>
      </c>
      <c r="E21" s="866">
        <f t="shared" si="0"/>
        <v>100</v>
      </c>
    </row>
    <row r="22" spans="1:5" ht="18.75" x14ac:dyDescent="0.25">
      <c r="A22" s="839">
        <v>14</v>
      </c>
      <c r="B22" s="897">
        <v>5191421014</v>
      </c>
      <c r="C22" s="764">
        <v>45</v>
      </c>
      <c r="D22" s="867" t="s">
        <v>30</v>
      </c>
      <c r="E22" s="866">
        <f t="shared" si="0"/>
        <v>90</v>
      </c>
    </row>
    <row r="23" spans="1:5" ht="18.75" x14ac:dyDescent="0.25">
      <c r="A23" s="839">
        <v>15</v>
      </c>
      <c r="B23" s="897">
        <v>5191421015</v>
      </c>
      <c r="C23" s="764">
        <v>41</v>
      </c>
      <c r="D23" s="867" t="s">
        <v>30</v>
      </c>
      <c r="E23" s="866">
        <f t="shared" si="0"/>
        <v>90</v>
      </c>
    </row>
    <row r="24" spans="1:5" ht="18.75" x14ac:dyDescent="0.25">
      <c r="A24" s="839">
        <v>16</v>
      </c>
      <c r="B24" s="897">
        <v>5191421016</v>
      </c>
      <c r="C24" s="764">
        <v>30</v>
      </c>
      <c r="D24" s="867" t="s">
        <v>31</v>
      </c>
      <c r="E24" s="866">
        <f t="shared" si="0"/>
        <v>55</v>
      </c>
    </row>
    <row r="25" spans="1:5" ht="18.75" x14ac:dyDescent="0.25">
      <c r="A25" s="839">
        <v>17</v>
      </c>
      <c r="B25" s="897">
        <v>5191421017</v>
      </c>
      <c r="C25" s="764">
        <v>43</v>
      </c>
      <c r="D25" s="867" t="s">
        <v>30</v>
      </c>
      <c r="E25" s="866">
        <f t="shared" si="0"/>
        <v>90</v>
      </c>
    </row>
    <row r="26" spans="1:5" ht="18.75" x14ac:dyDescent="0.25">
      <c r="A26" s="839">
        <v>18</v>
      </c>
      <c r="B26" s="897">
        <v>5191421018</v>
      </c>
      <c r="C26" s="764">
        <v>30</v>
      </c>
      <c r="D26" s="867" t="s">
        <v>31</v>
      </c>
      <c r="E26" s="866">
        <f t="shared" si="0"/>
        <v>55</v>
      </c>
    </row>
    <row r="27" spans="1:5" ht="18.75" x14ac:dyDescent="0.25">
      <c r="A27" s="839">
        <v>19</v>
      </c>
      <c r="B27" s="897">
        <v>5191421019</v>
      </c>
      <c r="C27" s="764">
        <v>47</v>
      </c>
      <c r="D27" s="867" t="s">
        <v>82</v>
      </c>
      <c r="E27" s="866">
        <f t="shared" si="0"/>
        <v>100</v>
      </c>
    </row>
    <row r="28" spans="1:5" ht="18.75" x14ac:dyDescent="0.25">
      <c r="A28" s="839">
        <v>20</v>
      </c>
      <c r="B28" s="897">
        <v>5191421020</v>
      </c>
      <c r="C28" s="764">
        <v>48</v>
      </c>
      <c r="D28" s="867" t="s">
        <v>82</v>
      </c>
      <c r="E28" s="866">
        <f t="shared" si="0"/>
        <v>100</v>
      </c>
    </row>
    <row r="29" spans="1:5" ht="18.75" x14ac:dyDescent="0.25">
      <c r="A29" s="839">
        <v>21</v>
      </c>
      <c r="B29" s="897">
        <v>5191421021</v>
      </c>
      <c r="C29" s="764">
        <v>43</v>
      </c>
      <c r="D29" s="867" t="s">
        <v>30</v>
      </c>
      <c r="E29" s="866">
        <f t="shared" si="0"/>
        <v>90</v>
      </c>
    </row>
    <row r="30" spans="1:5" ht="18.75" x14ac:dyDescent="0.25">
      <c r="A30" s="839">
        <v>22</v>
      </c>
      <c r="B30" s="897">
        <v>5191421022</v>
      </c>
      <c r="C30" s="764">
        <v>31</v>
      </c>
      <c r="D30" s="867" t="s">
        <v>33</v>
      </c>
      <c r="E30" s="866">
        <f t="shared" si="0"/>
        <v>60</v>
      </c>
    </row>
    <row r="31" spans="1:5" ht="18.75" x14ac:dyDescent="0.25">
      <c r="A31" s="839">
        <v>23</v>
      </c>
      <c r="B31" s="897">
        <v>5191421023</v>
      </c>
      <c r="C31" s="764">
        <v>39</v>
      </c>
      <c r="D31" s="867" t="s">
        <v>30</v>
      </c>
      <c r="E31" s="866">
        <f t="shared" si="0"/>
        <v>90</v>
      </c>
    </row>
    <row r="32" spans="1:5" ht="18.75" x14ac:dyDescent="0.25">
      <c r="A32" s="839">
        <v>24</v>
      </c>
      <c r="B32" s="897">
        <v>5191421024</v>
      </c>
      <c r="C32" s="764">
        <v>38</v>
      </c>
      <c r="D32" s="867" t="s">
        <v>27</v>
      </c>
      <c r="E32" s="866">
        <f t="shared" si="0"/>
        <v>80</v>
      </c>
    </row>
    <row r="33" spans="1:5" ht="18.75" x14ac:dyDescent="0.25">
      <c r="A33" s="839">
        <v>25</v>
      </c>
      <c r="B33" s="897">
        <v>5191421025</v>
      </c>
      <c r="C33" s="764">
        <v>48</v>
      </c>
      <c r="D33" s="867" t="s">
        <v>82</v>
      </c>
      <c r="E33" s="866">
        <f t="shared" si="0"/>
        <v>100</v>
      </c>
    </row>
    <row r="34" spans="1:5" ht="18.75" x14ac:dyDescent="0.25">
      <c r="A34" s="839">
        <v>26</v>
      </c>
      <c r="B34" s="897">
        <v>5191421026</v>
      </c>
      <c r="C34" s="764">
        <v>42</v>
      </c>
      <c r="D34" s="867" t="s">
        <v>30</v>
      </c>
      <c r="E34" s="866">
        <f t="shared" si="0"/>
        <v>90</v>
      </c>
    </row>
    <row r="35" spans="1:5" ht="18.75" x14ac:dyDescent="0.25">
      <c r="A35" s="839">
        <v>27</v>
      </c>
      <c r="B35" s="897">
        <v>5191421027</v>
      </c>
      <c r="C35" s="764">
        <v>41</v>
      </c>
      <c r="D35" s="867" t="s">
        <v>30</v>
      </c>
      <c r="E35" s="866">
        <f t="shared" si="0"/>
        <v>90</v>
      </c>
    </row>
    <row r="36" spans="1:5" ht="18.75" x14ac:dyDescent="0.25">
      <c r="A36" s="839">
        <v>28</v>
      </c>
      <c r="B36" s="897">
        <v>5191421028</v>
      </c>
      <c r="C36" s="764">
        <v>47</v>
      </c>
      <c r="D36" s="870" t="s">
        <v>82</v>
      </c>
      <c r="E36" s="866">
        <f t="shared" si="0"/>
        <v>100</v>
      </c>
    </row>
    <row r="37" spans="1:5" ht="18.75" x14ac:dyDescent="0.25">
      <c r="A37" s="839">
        <v>29</v>
      </c>
      <c r="B37" s="897">
        <v>5191421029</v>
      </c>
      <c r="C37" s="764">
        <v>44</v>
      </c>
      <c r="D37" s="867" t="s">
        <v>30</v>
      </c>
      <c r="E37" s="866">
        <f t="shared" si="0"/>
        <v>90</v>
      </c>
    </row>
    <row r="38" spans="1:5" ht="18.75" x14ac:dyDescent="0.25">
      <c r="A38" s="839">
        <v>30</v>
      </c>
      <c r="B38" s="897">
        <v>5191421030</v>
      </c>
      <c r="C38" s="764">
        <v>30</v>
      </c>
      <c r="D38" s="867" t="s">
        <v>31</v>
      </c>
      <c r="E38" s="866">
        <f t="shared" si="0"/>
        <v>55</v>
      </c>
    </row>
    <row r="39" spans="1:5" ht="18.75" x14ac:dyDescent="0.25">
      <c r="A39" s="839">
        <v>31</v>
      </c>
      <c r="B39" s="897">
        <v>5191421031</v>
      </c>
      <c r="C39" s="764">
        <v>46</v>
      </c>
      <c r="D39" s="867" t="s">
        <v>30</v>
      </c>
      <c r="E39" s="866">
        <f t="shared" si="0"/>
        <v>90</v>
      </c>
    </row>
    <row r="40" spans="1:5" ht="18.75" x14ac:dyDescent="0.25">
      <c r="A40" s="839">
        <v>32</v>
      </c>
      <c r="B40" s="897">
        <v>5191421032</v>
      </c>
      <c r="C40" s="764">
        <v>30</v>
      </c>
      <c r="D40" s="867" t="s">
        <v>31</v>
      </c>
      <c r="E40" s="866">
        <f t="shared" si="0"/>
        <v>55</v>
      </c>
    </row>
    <row r="41" spans="1:5" ht="18.75" x14ac:dyDescent="0.25">
      <c r="A41" s="839">
        <v>33</v>
      </c>
      <c r="B41" s="897">
        <v>5191421033</v>
      </c>
      <c r="C41" s="764">
        <v>47</v>
      </c>
      <c r="D41" s="867" t="s">
        <v>82</v>
      </c>
      <c r="E41" s="866">
        <f t="shared" si="0"/>
        <v>100</v>
      </c>
    </row>
    <row r="42" spans="1:5" ht="18.75" x14ac:dyDescent="0.25">
      <c r="A42" s="839">
        <v>34</v>
      </c>
      <c r="B42" s="897">
        <v>5191421034</v>
      </c>
      <c r="C42" s="764">
        <v>47</v>
      </c>
      <c r="D42" s="867" t="s">
        <v>82</v>
      </c>
      <c r="E42" s="866">
        <f t="shared" si="0"/>
        <v>100</v>
      </c>
    </row>
    <row r="43" spans="1:5" ht="18.75" x14ac:dyDescent="0.25">
      <c r="A43" s="839">
        <v>35</v>
      </c>
      <c r="B43" s="897">
        <v>5191421035</v>
      </c>
      <c r="C43" s="764">
        <v>38</v>
      </c>
      <c r="D43" s="867" t="s">
        <v>32</v>
      </c>
      <c r="E43" s="866">
        <f t="shared" si="0"/>
        <v>70</v>
      </c>
    </row>
    <row r="44" spans="1:5" ht="18.75" x14ac:dyDescent="0.25">
      <c r="A44" s="839">
        <v>36</v>
      </c>
      <c r="B44" s="897">
        <v>5191421036</v>
      </c>
      <c r="C44" s="764">
        <v>47</v>
      </c>
      <c r="D44" s="867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764">
        <v>30</v>
      </c>
      <c r="D45" s="867" t="s">
        <v>31</v>
      </c>
      <c r="E45" s="866">
        <f t="shared" si="0"/>
        <v>55</v>
      </c>
    </row>
    <row r="46" spans="1:5" ht="18.75" x14ac:dyDescent="0.25">
      <c r="A46" s="839">
        <v>38</v>
      </c>
      <c r="B46" s="897">
        <v>5191421038</v>
      </c>
      <c r="C46" s="764">
        <v>35</v>
      </c>
      <c r="D46" s="867" t="s">
        <v>32</v>
      </c>
      <c r="E46" s="866">
        <f t="shared" si="0"/>
        <v>70</v>
      </c>
    </row>
    <row r="47" spans="1:5" ht="18.75" x14ac:dyDescent="0.25">
      <c r="A47" s="839">
        <v>39</v>
      </c>
      <c r="B47" s="897">
        <v>5191421039</v>
      </c>
      <c r="C47" s="764">
        <v>48</v>
      </c>
      <c r="D47" s="867" t="s">
        <v>82</v>
      </c>
      <c r="E47" s="866">
        <f t="shared" si="0"/>
        <v>100</v>
      </c>
    </row>
    <row r="48" spans="1:5" ht="18.75" x14ac:dyDescent="0.25">
      <c r="A48" s="839">
        <v>40</v>
      </c>
      <c r="B48" s="897">
        <v>5191421040</v>
      </c>
      <c r="C48" s="764">
        <v>35</v>
      </c>
      <c r="D48" s="867" t="s">
        <v>27</v>
      </c>
      <c r="E48" s="866">
        <f t="shared" si="0"/>
        <v>80</v>
      </c>
    </row>
    <row r="49" spans="1:5" ht="18.75" x14ac:dyDescent="0.25">
      <c r="A49" s="839">
        <v>41</v>
      </c>
      <c r="B49" s="897">
        <v>5191421041</v>
      </c>
      <c r="C49" s="764">
        <v>32</v>
      </c>
      <c r="D49" s="867" t="s">
        <v>32</v>
      </c>
      <c r="E49" s="866">
        <f t="shared" si="0"/>
        <v>70</v>
      </c>
    </row>
    <row r="50" spans="1:5" ht="18.75" x14ac:dyDescent="0.25">
      <c r="A50" s="839">
        <v>42</v>
      </c>
      <c r="B50" s="897">
        <v>5191421042</v>
      </c>
      <c r="C50" s="764">
        <v>30</v>
      </c>
      <c r="D50" s="867" t="s">
        <v>33</v>
      </c>
      <c r="E50" s="866">
        <f t="shared" si="0"/>
        <v>60</v>
      </c>
    </row>
    <row r="51" spans="1:5" ht="18.75" x14ac:dyDescent="0.25">
      <c r="A51" s="839">
        <v>43</v>
      </c>
      <c r="B51" s="897">
        <v>5191421043</v>
      </c>
      <c r="C51" s="764">
        <v>48</v>
      </c>
      <c r="D51" s="867" t="s">
        <v>82</v>
      </c>
      <c r="E51" s="866">
        <f t="shared" si="0"/>
        <v>100</v>
      </c>
    </row>
    <row r="52" spans="1:5" ht="18.75" x14ac:dyDescent="0.25">
      <c r="A52" s="839">
        <v>44</v>
      </c>
      <c r="B52" s="897">
        <v>5191421044</v>
      </c>
      <c r="C52" s="764">
        <v>48</v>
      </c>
      <c r="D52" s="867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764">
        <v>30</v>
      </c>
      <c r="D53" s="867" t="s">
        <v>31</v>
      </c>
      <c r="E53" s="866">
        <f t="shared" si="0"/>
        <v>55</v>
      </c>
    </row>
    <row r="54" spans="1:5" ht="18.75" x14ac:dyDescent="0.25">
      <c r="A54" s="839">
        <v>46</v>
      </c>
      <c r="B54" s="897">
        <v>5191421046</v>
      </c>
      <c r="C54" s="764">
        <v>41</v>
      </c>
      <c r="D54" s="867" t="s">
        <v>30</v>
      </c>
      <c r="E54" s="866">
        <f t="shared" si="0"/>
        <v>90</v>
      </c>
    </row>
    <row r="55" spans="1:5" ht="18.75" x14ac:dyDescent="0.25">
      <c r="A55" s="839">
        <v>47</v>
      </c>
      <c r="B55" s="897">
        <v>5191421047</v>
      </c>
      <c r="C55" s="764">
        <v>30</v>
      </c>
      <c r="D55" s="867" t="s">
        <v>31</v>
      </c>
      <c r="E55" s="866">
        <f t="shared" si="0"/>
        <v>55</v>
      </c>
    </row>
    <row r="56" spans="1:5" ht="18.75" x14ac:dyDescent="0.25">
      <c r="A56" s="839">
        <v>48</v>
      </c>
      <c r="B56" s="897">
        <v>5191421048</v>
      </c>
      <c r="C56" s="764">
        <v>39</v>
      </c>
      <c r="D56" s="867" t="s">
        <v>27</v>
      </c>
      <c r="E56" s="866">
        <f t="shared" si="0"/>
        <v>80</v>
      </c>
    </row>
    <row r="57" spans="1:5" ht="18.75" x14ac:dyDescent="0.25">
      <c r="A57" s="839">
        <v>49</v>
      </c>
      <c r="B57" s="897">
        <v>5191421049</v>
      </c>
      <c r="C57" s="764">
        <v>32</v>
      </c>
      <c r="D57" s="867" t="s">
        <v>33</v>
      </c>
      <c r="E57" s="866">
        <f t="shared" si="0"/>
        <v>60</v>
      </c>
    </row>
    <row r="58" spans="1:5" ht="18.75" x14ac:dyDescent="0.25">
      <c r="A58" s="839">
        <v>50</v>
      </c>
      <c r="B58" s="897">
        <v>5191421050</v>
      </c>
      <c r="C58" s="764">
        <v>30</v>
      </c>
      <c r="D58" s="867" t="s">
        <v>32</v>
      </c>
      <c r="E58" s="866">
        <f t="shared" si="0"/>
        <v>70</v>
      </c>
    </row>
    <row r="59" spans="1:5" ht="18.75" x14ac:dyDescent="0.25">
      <c r="A59" s="839">
        <v>51</v>
      </c>
      <c r="B59" s="897">
        <v>5191421051</v>
      </c>
      <c r="C59" s="764">
        <v>45</v>
      </c>
      <c r="D59" s="867" t="s">
        <v>30</v>
      </c>
      <c r="E59" s="866">
        <f t="shared" si="0"/>
        <v>90</v>
      </c>
    </row>
    <row r="60" spans="1:5" ht="18.75" x14ac:dyDescent="0.25">
      <c r="A60" s="839">
        <v>52</v>
      </c>
      <c r="B60" s="897">
        <v>5191421052</v>
      </c>
      <c r="C60" s="764">
        <v>48</v>
      </c>
      <c r="D60" s="867" t="s">
        <v>82</v>
      </c>
      <c r="E60" s="866">
        <f t="shared" si="0"/>
        <v>100</v>
      </c>
    </row>
    <row r="61" spans="1:5" ht="18.75" x14ac:dyDescent="0.25">
      <c r="A61" s="839">
        <v>53</v>
      </c>
      <c r="B61" s="897">
        <v>5191421053</v>
      </c>
      <c r="C61" s="764">
        <v>48</v>
      </c>
      <c r="D61" s="867" t="s">
        <v>82</v>
      </c>
      <c r="E61" s="866">
        <f t="shared" si="0"/>
        <v>100</v>
      </c>
    </row>
    <row r="62" spans="1:5" ht="18.75" x14ac:dyDescent="0.25">
      <c r="A62" s="839">
        <v>54</v>
      </c>
      <c r="B62" s="897">
        <v>5191421054</v>
      </c>
      <c r="C62" s="764">
        <v>41</v>
      </c>
      <c r="D62" s="867" t="s">
        <v>30</v>
      </c>
      <c r="E62" s="866">
        <f t="shared" si="0"/>
        <v>90</v>
      </c>
    </row>
    <row r="63" spans="1:5" ht="18.75" x14ac:dyDescent="0.25">
      <c r="A63" s="839">
        <v>55</v>
      </c>
      <c r="B63" s="897">
        <v>5191421055</v>
      </c>
      <c r="C63" s="764">
        <v>40</v>
      </c>
      <c r="D63" s="867" t="s">
        <v>30</v>
      </c>
      <c r="E63" s="866">
        <f t="shared" si="0"/>
        <v>90</v>
      </c>
    </row>
    <row r="64" spans="1:5" ht="18.75" x14ac:dyDescent="0.25">
      <c r="A64" s="839">
        <v>56</v>
      </c>
      <c r="B64" s="897">
        <v>5191421056</v>
      </c>
      <c r="C64" s="764">
        <v>41</v>
      </c>
      <c r="D64" s="867" t="s">
        <v>27</v>
      </c>
      <c r="E64" s="866">
        <f t="shared" si="0"/>
        <v>80</v>
      </c>
    </row>
    <row r="65" spans="1:14" ht="18.75" x14ac:dyDescent="0.25">
      <c r="A65" s="839">
        <v>57</v>
      </c>
      <c r="B65" s="897">
        <v>5191421057</v>
      </c>
      <c r="C65" s="764">
        <v>44</v>
      </c>
      <c r="D65" s="868" t="s">
        <v>82</v>
      </c>
      <c r="E65" s="866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764">
        <v>36</v>
      </c>
      <c r="D66" s="869" t="s">
        <v>27</v>
      </c>
      <c r="E66" s="866">
        <f t="shared" si="0"/>
        <v>80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46</v>
      </c>
      <c r="D69" s="793"/>
      <c r="E69" s="793">
        <f>COUNTIF(E9:E66,"&gt;="&amp;B68)</f>
        <v>48</v>
      </c>
    </row>
    <row r="70" spans="1:14" x14ac:dyDescent="0.25">
      <c r="A70" s="3306" t="s">
        <v>36</v>
      </c>
      <c r="B70" s="3306"/>
      <c r="C70" s="36">
        <f>C69/C67</f>
        <v>0.7931034482758621</v>
      </c>
      <c r="D70" s="793"/>
      <c r="E70" s="36">
        <f>(E69/A66)*100</f>
        <v>82.758620689655174</v>
      </c>
    </row>
    <row r="73" spans="1:14" x14ac:dyDescent="0.25">
      <c r="D73" s="805" t="s">
        <v>38</v>
      </c>
      <c r="E73" s="805" t="s">
        <v>39</v>
      </c>
      <c r="F73" s="805"/>
      <c r="G73" s="805" t="s">
        <v>37</v>
      </c>
      <c r="H73" s="13"/>
    </row>
    <row r="74" spans="1:14" x14ac:dyDescent="0.25">
      <c r="B74" s="805" t="s">
        <v>22</v>
      </c>
      <c r="C74" s="36">
        <f>AVERAGE(C70)*100</f>
        <v>79.310344827586206</v>
      </c>
      <c r="D74" s="793">
        <f>IF(C74&gt;=70,3,IF(AND(C74&gt;=60,C74&lt;70),2,IF(AND(C74&gt;=50,C74&lt;60),1)))</f>
        <v>3</v>
      </c>
      <c r="E74" s="793">
        <f>IF(E70&gt;=70,3,IF(AND(E70&gt;=60,E70&lt;70),2,IF(AND(E70&gt;=50,E70&lt;60),1)))</f>
        <v>3</v>
      </c>
      <c r="F74" s="793"/>
      <c r="G74" s="793">
        <f>(50/100)*E74+(50/100)*D74</f>
        <v>3</v>
      </c>
      <c r="H74" s="329"/>
    </row>
    <row r="75" spans="1:14" x14ac:dyDescent="0.25">
      <c r="B75" s="805" t="s">
        <v>40</v>
      </c>
      <c r="C75" s="36">
        <f>AVERAGE(C70)*100</f>
        <v>79.310344827586206</v>
      </c>
      <c r="D75" s="793">
        <f t="shared" ref="D75:D77" si="1">IF(C75&gt;=70,3,IF(AND(C75&gt;=60,C75&lt;70),2,IF(AND(C75&gt;=50,C75&lt;60),1)))</f>
        <v>3</v>
      </c>
      <c r="E75" s="793">
        <f>IF(E70&gt;=70,3,IF(AND(E70&gt;=60,E70&lt;70),2,IF(AND(E70&gt;=50,E70&lt;60),1)))</f>
        <v>3</v>
      </c>
      <c r="F75" s="793"/>
      <c r="G75" s="793">
        <f t="shared" ref="G75:G77" si="2">(50/100)*E75+(50/100)*D75</f>
        <v>3</v>
      </c>
      <c r="H75" s="329"/>
    </row>
    <row r="76" spans="1:14" x14ac:dyDescent="0.25">
      <c r="B76" s="805" t="s">
        <v>41</v>
      </c>
      <c r="C76" s="36">
        <f>AVERAGE(C70)*100</f>
        <v>79.310344827586206</v>
      </c>
      <c r="D76" s="793">
        <f t="shared" si="1"/>
        <v>3</v>
      </c>
      <c r="E76" s="793">
        <f>IF(E70&gt;=70,3,IF(AND(E70&gt;=60,E70&lt;70),2,IF(AND(E70&gt;=50,E70&lt;60),1)))</f>
        <v>3</v>
      </c>
      <c r="F76" s="793"/>
      <c r="G76" s="793">
        <f t="shared" si="2"/>
        <v>3</v>
      </c>
      <c r="H76" s="329"/>
    </row>
    <row r="77" spans="1:14" x14ac:dyDescent="0.25">
      <c r="B77" s="805" t="s">
        <v>42</v>
      </c>
      <c r="C77" s="36">
        <f>AVERAGE(C70)*100</f>
        <v>79.310344827586206</v>
      </c>
      <c r="D77" s="793">
        <f t="shared" si="1"/>
        <v>3</v>
      </c>
      <c r="E77" s="793">
        <f>IF(E70&gt;=70,3,IF(AND(E70&gt;=60,E70&lt;70),2,IF(AND(E70&gt;=50,E70&lt;60),1)))</f>
        <v>3</v>
      </c>
      <c r="F77" s="793"/>
      <c r="G77" s="793">
        <f t="shared" si="2"/>
        <v>3</v>
      </c>
      <c r="H77" s="329"/>
    </row>
    <row r="78" spans="1:14" x14ac:dyDescent="0.25">
      <c r="B78" s="2872" t="s">
        <v>44</v>
      </c>
      <c r="C78" s="2872"/>
      <c r="D78" s="2872"/>
      <c r="E78" s="2872"/>
      <c r="F78" s="2872"/>
      <c r="G78" s="793">
        <f>AVERAGE(G74:G74)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859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ht="18.75" x14ac:dyDescent="0.25">
      <c r="B84" s="20" t="s">
        <v>22</v>
      </c>
      <c r="C84" s="1153">
        <v>3</v>
      </c>
      <c r="D84" s="1153">
        <v>2</v>
      </c>
      <c r="E84" s="1153">
        <v>2</v>
      </c>
      <c r="F84" s="1153">
        <v>2</v>
      </c>
      <c r="G84" s="1153">
        <v>3</v>
      </c>
      <c r="H84" s="1153">
        <v>2</v>
      </c>
      <c r="I84" s="1153">
        <v>3</v>
      </c>
      <c r="J84" s="1153">
        <v>2</v>
      </c>
      <c r="K84" s="1153">
        <v>3</v>
      </c>
      <c r="L84" s="1153">
        <v>2</v>
      </c>
      <c r="M84" s="1153">
        <v>3</v>
      </c>
      <c r="N84" s="1153">
        <v>2</v>
      </c>
    </row>
    <row r="85" spans="1:14" ht="18.75" x14ac:dyDescent="0.25">
      <c r="B85" s="20" t="s">
        <v>40</v>
      </c>
      <c r="C85" s="1153">
        <v>3</v>
      </c>
      <c r="D85" s="1153">
        <v>2</v>
      </c>
      <c r="E85" s="1153">
        <v>1</v>
      </c>
      <c r="F85" s="1153">
        <v>2</v>
      </c>
      <c r="G85" s="1153">
        <v>3</v>
      </c>
      <c r="H85" s="1153">
        <v>2</v>
      </c>
      <c r="I85" s="1153">
        <v>2</v>
      </c>
      <c r="J85" s="1153"/>
      <c r="K85" s="1153">
        <v>3</v>
      </c>
      <c r="L85" s="1153"/>
      <c r="M85" s="1153">
        <v>2</v>
      </c>
      <c r="N85" s="1153">
        <v>2</v>
      </c>
    </row>
    <row r="86" spans="1:14" ht="18.75" x14ac:dyDescent="0.25">
      <c r="B86" s="20" t="s">
        <v>41</v>
      </c>
      <c r="C86" s="1153">
        <v>3</v>
      </c>
      <c r="D86" s="1153">
        <v>2</v>
      </c>
      <c r="E86" s="1153">
        <v>2</v>
      </c>
      <c r="F86" s="1153">
        <v>2</v>
      </c>
      <c r="G86" s="1153">
        <v>3</v>
      </c>
      <c r="H86" s="1153">
        <v>2</v>
      </c>
      <c r="I86" s="1153">
        <v>3</v>
      </c>
      <c r="J86" s="1153">
        <v>3</v>
      </c>
      <c r="K86" s="1153">
        <v>3</v>
      </c>
      <c r="L86" s="1153">
        <v>2</v>
      </c>
      <c r="M86" s="1153">
        <v>2</v>
      </c>
      <c r="N86" s="1153">
        <v>2</v>
      </c>
    </row>
    <row r="87" spans="1:14" ht="18.75" x14ac:dyDescent="0.25">
      <c r="B87" s="20" t="s">
        <v>42</v>
      </c>
      <c r="C87" s="1153">
        <v>3</v>
      </c>
      <c r="D87" s="1153">
        <v>2</v>
      </c>
      <c r="E87" s="1153">
        <v>1</v>
      </c>
      <c r="F87" s="1153"/>
      <c r="G87" s="1153">
        <v>3</v>
      </c>
      <c r="H87" s="1153">
        <v>2</v>
      </c>
      <c r="I87" s="1153">
        <v>3</v>
      </c>
      <c r="J87" s="1153">
        <v>2</v>
      </c>
      <c r="K87" s="1153">
        <v>3</v>
      </c>
      <c r="L87" s="1153">
        <v>2</v>
      </c>
      <c r="M87" s="1153">
        <v>2</v>
      </c>
      <c r="N87" s="1153">
        <v>3</v>
      </c>
    </row>
    <row r="88" spans="1:14" x14ac:dyDescent="0.25">
      <c r="B88" s="859" t="s">
        <v>10</v>
      </c>
      <c r="C88" s="745">
        <f>AVERAGE(C84:C87)</f>
        <v>3</v>
      </c>
      <c r="D88" s="745">
        <f t="shared" ref="D88:N88" si="3">AVERAGE(D84:D87)</f>
        <v>2</v>
      </c>
      <c r="E88" s="745">
        <f t="shared" si="3"/>
        <v>1.5</v>
      </c>
      <c r="F88" s="745">
        <f t="shared" si="3"/>
        <v>2</v>
      </c>
      <c r="G88" s="745">
        <f>AVERAGE(G84:G87)</f>
        <v>3</v>
      </c>
      <c r="H88" s="745">
        <f t="shared" si="3"/>
        <v>2</v>
      </c>
      <c r="I88" s="745">
        <f t="shared" si="3"/>
        <v>2.75</v>
      </c>
      <c r="J88" s="745">
        <f t="shared" si="3"/>
        <v>2.3333333333333335</v>
      </c>
      <c r="K88" s="745">
        <f t="shared" si="3"/>
        <v>3</v>
      </c>
      <c r="L88" s="745">
        <f t="shared" si="3"/>
        <v>2</v>
      </c>
      <c r="M88" s="745">
        <f t="shared" si="3"/>
        <v>2.25</v>
      </c>
      <c r="N88" s="745">
        <f t="shared" si="3"/>
        <v>2.25</v>
      </c>
    </row>
    <row r="89" spans="1:14" x14ac:dyDescent="0.25">
      <c r="B89" s="859" t="s">
        <v>58</v>
      </c>
      <c r="C89" s="3311">
        <f>AVERAGE(C88:N88)</f>
        <v>2.3402777777777777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859" t="s">
        <v>45</v>
      </c>
      <c r="C93" s="906" t="s">
        <v>68</v>
      </c>
      <c r="D93" s="906" t="s">
        <v>69</v>
      </c>
      <c r="E93" s="906" t="s">
        <v>70</v>
      </c>
      <c r="F93" s="906" t="s">
        <v>71</v>
      </c>
      <c r="G93" s="906" t="s">
        <v>72</v>
      </c>
      <c r="H93" s="906" t="s">
        <v>73</v>
      </c>
      <c r="I93" s="906" t="s">
        <v>74</v>
      </c>
      <c r="J93" s="906" t="s">
        <v>75</v>
      </c>
      <c r="K93" s="906" t="s">
        <v>76</v>
      </c>
      <c r="L93" s="906" t="s">
        <v>77</v>
      </c>
      <c r="M93" s="906" t="s">
        <v>78</v>
      </c>
      <c r="N93" s="906" t="s">
        <v>79</v>
      </c>
    </row>
    <row r="94" spans="1:14" x14ac:dyDescent="0.25">
      <c r="B94" s="763" t="s">
        <v>20</v>
      </c>
      <c r="C94" s="907">
        <f>$G$74*C84/3</f>
        <v>3</v>
      </c>
      <c r="D94" s="907">
        <f t="shared" ref="D94:N94" si="4">$G$74*D84/3</f>
        <v>2</v>
      </c>
      <c r="E94" s="907">
        <f t="shared" si="4"/>
        <v>2</v>
      </c>
      <c r="F94" s="907">
        <f t="shared" si="4"/>
        <v>2</v>
      </c>
      <c r="G94" s="907">
        <f t="shared" si="4"/>
        <v>3</v>
      </c>
      <c r="H94" s="907">
        <f t="shared" si="4"/>
        <v>2</v>
      </c>
      <c r="I94" s="907">
        <f t="shared" si="4"/>
        <v>3</v>
      </c>
      <c r="J94" s="907">
        <f t="shared" si="4"/>
        <v>2</v>
      </c>
      <c r="K94" s="907">
        <f t="shared" si="4"/>
        <v>3</v>
      </c>
      <c r="L94" s="907">
        <f t="shared" si="4"/>
        <v>2</v>
      </c>
      <c r="M94" s="907">
        <f t="shared" si="4"/>
        <v>3</v>
      </c>
      <c r="N94" s="907">
        <f t="shared" si="4"/>
        <v>2</v>
      </c>
    </row>
    <row r="95" spans="1:14" x14ac:dyDescent="0.25">
      <c r="B95" s="763" t="s">
        <v>21</v>
      </c>
      <c r="C95" s="907">
        <f>$G$75*C85/3</f>
        <v>3</v>
      </c>
      <c r="D95" s="907">
        <f t="shared" ref="D95:N95" si="5">$G$75*D85/3</f>
        <v>2</v>
      </c>
      <c r="E95" s="907">
        <f t="shared" si="5"/>
        <v>1</v>
      </c>
      <c r="F95" s="907">
        <f t="shared" si="5"/>
        <v>2</v>
      </c>
      <c r="G95" s="907">
        <f t="shared" si="5"/>
        <v>3</v>
      </c>
      <c r="H95" s="907">
        <f t="shared" si="5"/>
        <v>2</v>
      </c>
      <c r="I95" s="907">
        <f t="shared" si="5"/>
        <v>2</v>
      </c>
      <c r="J95" s="907"/>
      <c r="K95" s="907">
        <f t="shared" si="5"/>
        <v>3</v>
      </c>
      <c r="L95" s="907"/>
      <c r="M95" s="907">
        <f t="shared" si="5"/>
        <v>2</v>
      </c>
      <c r="N95" s="907">
        <f t="shared" si="5"/>
        <v>2</v>
      </c>
    </row>
    <row r="96" spans="1:14" x14ac:dyDescent="0.25">
      <c r="B96" s="763" t="s">
        <v>23</v>
      </c>
      <c r="C96" s="907">
        <f>$G$76*C86/3</f>
        <v>3</v>
      </c>
      <c r="D96" s="907">
        <f t="shared" ref="D96:N96" si="6">$G$76*D86/3</f>
        <v>2</v>
      </c>
      <c r="E96" s="907">
        <f t="shared" si="6"/>
        <v>2</v>
      </c>
      <c r="F96" s="907">
        <f t="shared" si="6"/>
        <v>2</v>
      </c>
      <c r="G96" s="907">
        <f t="shared" si="6"/>
        <v>3</v>
      </c>
      <c r="H96" s="907">
        <f t="shared" si="6"/>
        <v>2</v>
      </c>
      <c r="I96" s="907">
        <f t="shared" si="6"/>
        <v>3</v>
      </c>
      <c r="J96" s="907">
        <f t="shared" si="6"/>
        <v>3</v>
      </c>
      <c r="K96" s="907">
        <f t="shared" si="6"/>
        <v>3</v>
      </c>
      <c r="L96" s="907">
        <f t="shared" si="6"/>
        <v>2</v>
      </c>
      <c r="M96" s="907">
        <f t="shared" si="6"/>
        <v>2</v>
      </c>
      <c r="N96" s="907">
        <f t="shared" si="6"/>
        <v>2</v>
      </c>
    </row>
    <row r="97" spans="1:14" x14ac:dyDescent="0.25">
      <c r="B97" s="763" t="s">
        <v>25</v>
      </c>
      <c r="C97" s="907">
        <f>$G$77*C87/3</f>
        <v>3</v>
      </c>
      <c r="D97" s="907">
        <f t="shared" ref="D97:N97" si="7">$G$77*D87/3</f>
        <v>2</v>
      </c>
      <c r="E97" s="907">
        <f t="shared" si="7"/>
        <v>1</v>
      </c>
      <c r="F97" s="907"/>
      <c r="G97" s="907">
        <f t="shared" si="7"/>
        <v>3</v>
      </c>
      <c r="H97" s="907">
        <f t="shared" si="7"/>
        <v>2</v>
      </c>
      <c r="I97" s="907">
        <f t="shared" si="7"/>
        <v>3</v>
      </c>
      <c r="J97" s="907">
        <f t="shared" si="7"/>
        <v>2</v>
      </c>
      <c r="K97" s="907">
        <f t="shared" si="7"/>
        <v>3</v>
      </c>
      <c r="L97" s="907">
        <f t="shared" si="7"/>
        <v>2</v>
      </c>
      <c r="M97" s="907">
        <f t="shared" si="7"/>
        <v>2</v>
      </c>
      <c r="N97" s="907">
        <f t="shared" si="7"/>
        <v>3</v>
      </c>
    </row>
    <row r="98" spans="1:14" x14ac:dyDescent="0.25">
      <c r="B98" s="859" t="s">
        <v>10</v>
      </c>
      <c r="C98" s="908">
        <f>AVERAGE(C94:C97)</f>
        <v>3</v>
      </c>
      <c r="D98" s="908">
        <f t="shared" ref="D98:N98" si="8">AVERAGE(D94:D97)</f>
        <v>2</v>
      </c>
      <c r="E98" s="908">
        <f t="shared" si="8"/>
        <v>1.5</v>
      </c>
      <c r="F98" s="908">
        <f t="shared" si="8"/>
        <v>2</v>
      </c>
      <c r="G98" s="908">
        <f t="shared" si="8"/>
        <v>3</v>
      </c>
      <c r="H98" s="908">
        <f t="shared" si="8"/>
        <v>2</v>
      </c>
      <c r="I98" s="908">
        <f t="shared" si="8"/>
        <v>2.75</v>
      </c>
      <c r="J98" s="908">
        <f t="shared" si="8"/>
        <v>2.3333333333333335</v>
      </c>
      <c r="K98" s="908">
        <f t="shared" si="8"/>
        <v>3</v>
      </c>
      <c r="L98" s="908">
        <f t="shared" si="8"/>
        <v>2</v>
      </c>
      <c r="M98" s="908">
        <f t="shared" si="8"/>
        <v>2.25</v>
      </c>
      <c r="N98" s="908">
        <f t="shared" si="8"/>
        <v>2.25</v>
      </c>
    </row>
    <row r="99" spans="1:14" x14ac:dyDescent="0.25">
      <c r="B99" s="859" t="s">
        <v>58</v>
      </c>
      <c r="C99" s="3024">
        <f>AVERAGE(C98:N98)</f>
        <v>2.3402777777777777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859" t="s">
        <v>59</v>
      </c>
      <c r="C104" s="748" t="s">
        <v>87</v>
      </c>
      <c r="D104" s="748" t="s">
        <v>88</v>
      </c>
      <c r="E104" s="748" t="s">
        <v>85</v>
      </c>
      <c r="F104" s="756"/>
      <c r="G104" s="859" t="s">
        <v>59</v>
      </c>
      <c r="H104" s="906" t="s">
        <v>60</v>
      </c>
      <c r="I104" s="906" t="s">
        <v>61</v>
      </c>
      <c r="J104" s="906" t="s">
        <v>62</v>
      </c>
      <c r="L104" s="756"/>
      <c r="M104" s="756"/>
      <c r="N104" s="756"/>
    </row>
    <row r="105" spans="1:14" x14ac:dyDescent="0.25">
      <c r="B105" s="572" t="s">
        <v>22</v>
      </c>
      <c r="C105" s="856">
        <v>2</v>
      </c>
      <c r="D105" s="856">
        <v>2</v>
      </c>
      <c r="E105" s="856">
        <v>2</v>
      </c>
      <c r="F105" s="756"/>
      <c r="G105" s="860" t="s">
        <v>20</v>
      </c>
      <c r="H105" s="907">
        <f>G74*C105/3</f>
        <v>2</v>
      </c>
      <c r="I105" s="907">
        <f>G74*D105/3</f>
        <v>2</v>
      </c>
      <c r="J105" s="907">
        <f>G74*E105/3</f>
        <v>2</v>
      </c>
      <c r="L105" s="756"/>
      <c r="M105" s="756"/>
      <c r="N105" s="756"/>
    </row>
    <row r="106" spans="1:14" x14ac:dyDescent="0.25">
      <c r="B106" s="572" t="s">
        <v>40</v>
      </c>
      <c r="C106" s="856">
        <v>3</v>
      </c>
      <c r="D106" s="856">
        <v>3</v>
      </c>
      <c r="E106" s="856">
        <v>2</v>
      </c>
      <c r="F106" s="24"/>
      <c r="G106" s="860" t="s">
        <v>21</v>
      </c>
      <c r="H106" s="907">
        <f t="shared" ref="H106:H108" si="9">G75*C106/3</f>
        <v>3</v>
      </c>
      <c r="I106" s="907">
        <f t="shared" ref="I106:I108" si="10">G75*D106/3</f>
        <v>3</v>
      </c>
      <c r="J106" s="907">
        <f>G75*E106/3</f>
        <v>2</v>
      </c>
      <c r="L106" s="24"/>
      <c r="M106" s="24"/>
      <c r="N106" s="24"/>
    </row>
    <row r="107" spans="1:14" x14ac:dyDescent="0.25">
      <c r="B107" s="572" t="s">
        <v>41</v>
      </c>
      <c r="C107" s="856">
        <v>3</v>
      </c>
      <c r="D107" s="856">
        <v>3</v>
      </c>
      <c r="E107" s="856">
        <v>2</v>
      </c>
      <c r="F107" s="24"/>
      <c r="G107" s="860" t="s">
        <v>23</v>
      </c>
      <c r="H107" s="907">
        <f t="shared" si="9"/>
        <v>3</v>
      </c>
      <c r="I107" s="907">
        <f t="shared" si="10"/>
        <v>3</v>
      </c>
      <c r="J107" s="907">
        <f t="shared" ref="J107:J108" si="11">G76*E107/3</f>
        <v>2</v>
      </c>
      <c r="L107" s="24"/>
      <c r="M107" s="24"/>
      <c r="N107" s="24"/>
    </row>
    <row r="108" spans="1:14" x14ac:dyDescent="0.25">
      <c r="B108" s="572" t="s">
        <v>42</v>
      </c>
      <c r="C108" s="749">
        <v>3</v>
      </c>
      <c r="D108" s="856">
        <v>2</v>
      </c>
      <c r="E108" s="856">
        <v>2</v>
      </c>
      <c r="F108" s="24"/>
      <c r="G108" s="860" t="s">
        <v>25</v>
      </c>
      <c r="H108" s="907">
        <f t="shared" si="9"/>
        <v>3</v>
      </c>
      <c r="I108" s="907">
        <f t="shared" si="10"/>
        <v>2</v>
      </c>
      <c r="J108" s="907">
        <f t="shared" si="11"/>
        <v>2</v>
      </c>
      <c r="L108" s="24"/>
      <c r="M108" s="24"/>
      <c r="N108" s="24"/>
    </row>
    <row r="109" spans="1:14" x14ac:dyDescent="0.25">
      <c r="B109" s="859" t="s">
        <v>10</v>
      </c>
      <c r="C109" s="909">
        <f>AVERAGE(C105:C108)</f>
        <v>2.75</v>
      </c>
      <c r="D109" s="909">
        <f t="shared" ref="D109:E109" si="12">AVERAGE(D105:D108)</f>
        <v>2.5</v>
      </c>
      <c r="E109" s="909">
        <f t="shared" si="12"/>
        <v>2</v>
      </c>
      <c r="F109" s="910"/>
      <c r="G109" s="859" t="s">
        <v>10</v>
      </c>
      <c r="H109" s="911">
        <f>AVERAGE(H105:H108)</f>
        <v>2.75</v>
      </c>
      <c r="I109" s="911">
        <f t="shared" ref="I109:J109" si="13">AVERAGE(I105:I108)</f>
        <v>2.5</v>
      </c>
      <c r="J109" s="911">
        <f t="shared" si="13"/>
        <v>2</v>
      </c>
      <c r="L109" s="910"/>
      <c r="M109" s="910"/>
      <c r="N109" s="910"/>
    </row>
    <row r="110" spans="1:14" x14ac:dyDescent="0.25">
      <c r="B110" s="859" t="s">
        <v>58</v>
      </c>
      <c r="C110" s="3307">
        <f>AVERAGE(C109:E109)</f>
        <v>2.4166666666666665</v>
      </c>
      <c r="D110" s="3308"/>
      <c r="E110" s="3309"/>
      <c r="F110" s="912"/>
      <c r="G110" s="859" t="s">
        <v>58</v>
      </c>
      <c r="H110" s="3024">
        <f>AVERAGE(H109:J109)</f>
        <v>2.4166666666666665</v>
      </c>
      <c r="I110" s="3310"/>
      <c r="J110" s="3026"/>
      <c r="L110" s="912"/>
      <c r="M110" s="912"/>
      <c r="N110" s="912"/>
    </row>
  </sheetData>
  <mergeCells count="20">
    <mergeCell ref="C110:E110"/>
    <mergeCell ref="H110:J110"/>
    <mergeCell ref="C89:N89"/>
    <mergeCell ref="A91:B91"/>
    <mergeCell ref="C99:N99"/>
    <mergeCell ref="A102:B102"/>
    <mergeCell ref="G102:H102"/>
    <mergeCell ref="G103:H103"/>
    <mergeCell ref="D5:D7"/>
    <mergeCell ref="E5:E7"/>
    <mergeCell ref="A69:B69"/>
    <mergeCell ref="A70:B70"/>
    <mergeCell ref="B78:F78"/>
    <mergeCell ref="C5:C7"/>
    <mergeCell ref="A81:B81"/>
    <mergeCell ref="A2:B2"/>
    <mergeCell ref="A3:B3"/>
    <mergeCell ref="A4:B4"/>
    <mergeCell ref="A5:A7"/>
    <mergeCell ref="B5:B7"/>
  </mergeCells>
  <conditionalFormatting sqref="D9:D66">
    <cfRule type="containsText" dxfId="60" priority="2" operator="containsText" text="F">
      <formula>NOT(ISERROR(SEARCH("F",D9)))</formula>
    </cfRule>
  </conditionalFormatting>
  <conditionalFormatting sqref="C9:C66">
    <cfRule type="cellIs" dxfId="59" priority="1" operator="lessThan">
      <formula>25</formula>
    </cfRule>
  </conditionalFormatting>
  <pageMargins left="0.7" right="0.7" top="0.75" bottom="0.75" header="0.3" footer="0.3"/>
  <pageSetup paperSize="8" scale="5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93" zoomScale="90" zoomScaleNormal="90" workbookViewId="0">
      <selection activeCell="E92" sqref="E92"/>
    </sheetView>
  </sheetViews>
  <sheetFormatPr defaultRowHeight="15.75" x14ac:dyDescent="0.25"/>
  <cols>
    <col min="1" max="1" width="14.5703125" style="792" customWidth="1"/>
    <col min="2" max="2" width="21.5703125" style="792" customWidth="1"/>
    <col min="3" max="3" width="26.42578125" style="792" customWidth="1"/>
    <col min="4" max="4" width="12.5703125" style="792" customWidth="1"/>
    <col min="5" max="5" width="10.7109375" style="792" customWidth="1"/>
    <col min="6" max="6" width="11.85546875" style="792" bestFit="1" customWidth="1"/>
    <col min="7" max="7" width="19.28515625" style="792" customWidth="1"/>
    <col min="8" max="8" width="14.140625" style="792" customWidth="1"/>
    <col min="9" max="14" width="11.85546875" style="792" bestFit="1" customWidth="1"/>
    <col min="15" max="16384" width="9.14062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328</v>
      </c>
      <c r="D2" s="892" t="s">
        <v>63</v>
      </c>
      <c r="E2" s="878" t="s">
        <v>329</v>
      </c>
      <c r="F2" s="735"/>
      <c r="G2" s="735"/>
      <c r="H2" s="735"/>
    </row>
    <row r="3" spans="1:8" ht="30" x14ac:dyDescent="0.25">
      <c r="A3" s="3301" t="s">
        <v>1</v>
      </c>
      <c r="B3" s="3301"/>
      <c r="C3" s="894" t="s">
        <v>330</v>
      </c>
      <c r="D3" s="803" t="s">
        <v>64</v>
      </c>
      <c r="E3" s="878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331</v>
      </c>
      <c r="D4" s="892" t="s">
        <v>65</v>
      </c>
      <c r="E4" s="878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73" t="s">
        <v>18</v>
      </c>
      <c r="B8" s="873" t="s">
        <v>26</v>
      </c>
      <c r="C8" s="895">
        <v>50</v>
      </c>
      <c r="D8" s="896"/>
      <c r="E8" s="874">
        <v>100</v>
      </c>
    </row>
    <row r="9" spans="1:8" ht="18.75" x14ac:dyDescent="0.25">
      <c r="A9" s="839">
        <v>1</v>
      </c>
      <c r="B9" s="897">
        <v>5191421001</v>
      </c>
      <c r="C9" s="876">
        <v>38</v>
      </c>
      <c r="D9" s="940" t="s">
        <v>33</v>
      </c>
      <c r="E9" s="880">
        <f>IF(D9="O",100,IF(D9="A+",90,IF(D9="A",80,IF(D9="B+",70,IF(D9="B",60,IF(D9="C",55,IF(D9="P",50,IF(D9="F",39))))))))</f>
        <v>60</v>
      </c>
    </row>
    <row r="10" spans="1:8" ht="18.75" x14ac:dyDescent="0.25">
      <c r="A10" s="839">
        <v>2</v>
      </c>
      <c r="B10" s="898">
        <v>5191421002</v>
      </c>
      <c r="C10" s="876">
        <v>47</v>
      </c>
      <c r="D10" s="940" t="s">
        <v>30</v>
      </c>
      <c r="E10" s="880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876">
        <v>47</v>
      </c>
      <c r="D11" s="940" t="s">
        <v>30</v>
      </c>
      <c r="E11" s="880">
        <f t="shared" si="0"/>
        <v>90</v>
      </c>
    </row>
    <row r="12" spans="1:8" ht="18.75" x14ac:dyDescent="0.25">
      <c r="A12" s="839">
        <v>4</v>
      </c>
      <c r="B12" s="897">
        <v>5191421004</v>
      </c>
      <c r="C12" s="876">
        <v>42</v>
      </c>
      <c r="D12" s="940" t="s">
        <v>33</v>
      </c>
      <c r="E12" s="880">
        <f t="shared" si="0"/>
        <v>60</v>
      </c>
    </row>
    <row r="13" spans="1:8" ht="18.75" x14ac:dyDescent="0.25">
      <c r="A13" s="839">
        <v>5</v>
      </c>
      <c r="B13" s="899">
        <v>5191421005</v>
      </c>
      <c r="C13" s="876">
        <v>37</v>
      </c>
      <c r="D13" s="940" t="s">
        <v>27</v>
      </c>
      <c r="E13" s="880">
        <f t="shared" si="0"/>
        <v>80</v>
      </c>
    </row>
    <row r="14" spans="1:8" ht="18.75" x14ac:dyDescent="0.25">
      <c r="A14" s="839">
        <v>6</v>
      </c>
      <c r="B14" s="897">
        <v>5191421006</v>
      </c>
      <c r="C14" s="876">
        <v>46</v>
      </c>
      <c r="D14" s="940" t="s">
        <v>30</v>
      </c>
      <c r="E14" s="880">
        <f t="shared" si="0"/>
        <v>90</v>
      </c>
    </row>
    <row r="15" spans="1:8" ht="18.75" x14ac:dyDescent="0.25">
      <c r="A15" s="839">
        <v>7</v>
      </c>
      <c r="B15" s="897">
        <v>5191421007</v>
      </c>
      <c r="C15" s="876">
        <v>44</v>
      </c>
      <c r="D15" s="940" t="s">
        <v>27</v>
      </c>
      <c r="E15" s="880">
        <f t="shared" si="0"/>
        <v>80</v>
      </c>
    </row>
    <row r="16" spans="1:8" ht="18.75" x14ac:dyDescent="0.25">
      <c r="A16" s="839">
        <v>8</v>
      </c>
      <c r="B16" s="897">
        <v>5191421008</v>
      </c>
      <c r="C16" s="876">
        <v>42</v>
      </c>
      <c r="D16" s="940" t="s">
        <v>27</v>
      </c>
      <c r="E16" s="880">
        <f t="shared" si="0"/>
        <v>80</v>
      </c>
    </row>
    <row r="17" spans="1:5" ht="18.75" x14ac:dyDescent="0.25">
      <c r="A17" s="839">
        <v>9</v>
      </c>
      <c r="B17" s="897">
        <v>5191421009</v>
      </c>
      <c r="C17" s="876">
        <v>46</v>
      </c>
      <c r="D17" s="940" t="s">
        <v>30</v>
      </c>
      <c r="E17" s="880">
        <f t="shared" si="0"/>
        <v>90</v>
      </c>
    </row>
    <row r="18" spans="1:5" ht="18.75" x14ac:dyDescent="0.25">
      <c r="A18" s="839">
        <v>10</v>
      </c>
      <c r="B18" s="897">
        <v>5191421010</v>
      </c>
      <c r="C18" s="876">
        <v>45</v>
      </c>
      <c r="D18" s="940" t="s">
        <v>30</v>
      </c>
      <c r="E18" s="880">
        <f t="shared" si="0"/>
        <v>90</v>
      </c>
    </row>
    <row r="19" spans="1:5" ht="18.75" x14ac:dyDescent="0.25">
      <c r="A19" s="839">
        <v>11</v>
      </c>
      <c r="B19" s="897">
        <v>5191421011</v>
      </c>
      <c r="C19" s="876">
        <v>48</v>
      </c>
      <c r="D19" s="940" t="s">
        <v>82</v>
      </c>
      <c r="E19" s="880">
        <f t="shared" si="0"/>
        <v>100</v>
      </c>
    </row>
    <row r="20" spans="1:5" ht="18.75" x14ac:dyDescent="0.25">
      <c r="A20" s="839">
        <v>12</v>
      </c>
      <c r="B20" s="897">
        <v>5191421012</v>
      </c>
      <c r="C20" s="876">
        <v>33</v>
      </c>
      <c r="D20" s="940" t="s">
        <v>32</v>
      </c>
      <c r="E20" s="880">
        <f t="shared" si="0"/>
        <v>70</v>
      </c>
    </row>
    <row r="21" spans="1:5" ht="18.75" x14ac:dyDescent="0.25">
      <c r="A21" s="839">
        <v>13</v>
      </c>
      <c r="B21" s="897">
        <v>5191421013</v>
      </c>
      <c r="C21" s="876">
        <v>48</v>
      </c>
      <c r="D21" s="940" t="s">
        <v>30</v>
      </c>
      <c r="E21" s="880">
        <f t="shared" si="0"/>
        <v>90</v>
      </c>
    </row>
    <row r="22" spans="1:5" ht="18.75" x14ac:dyDescent="0.25">
      <c r="A22" s="839">
        <v>14</v>
      </c>
      <c r="B22" s="897">
        <v>5191421014</v>
      </c>
      <c r="C22" s="876">
        <v>45</v>
      </c>
      <c r="D22" s="940" t="s">
        <v>30</v>
      </c>
      <c r="E22" s="880">
        <f t="shared" si="0"/>
        <v>90</v>
      </c>
    </row>
    <row r="23" spans="1:5" ht="18.75" x14ac:dyDescent="0.25">
      <c r="A23" s="839">
        <v>15</v>
      </c>
      <c r="B23" s="897">
        <v>5191421015</v>
      </c>
      <c r="C23" s="876">
        <v>41</v>
      </c>
      <c r="D23" s="940" t="s">
        <v>27</v>
      </c>
      <c r="E23" s="880">
        <f t="shared" si="0"/>
        <v>80</v>
      </c>
    </row>
    <row r="24" spans="1:5" ht="18.75" x14ac:dyDescent="0.25">
      <c r="A24" s="839">
        <v>16</v>
      </c>
      <c r="B24" s="897">
        <v>5191421016</v>
      </c>
      <c r="C24" s="876">
        <v>30</v>
      </c>
      <c r="D24" s="940" t="s">
        <v>33</v>
      </c>
      <c r="E24" s="880">
        <f t="shared" si="0"/>
        <v>60</v>
      </c>
    </row>
    <row r="25" spans="1:5" ht="18.75" x14ac:dyDescent="0.25">
      <c r="A25" s="839">
        <v>17</v>
      </c>
      <c r="B25" s="897">
        <v>5191421017</v>
      </c>
      <c r="C25" s="876">
        <v>43</v>
      </c>
      <c r="D25" s="940" t="s">
        <v>32</v>
      </c>
      <c r="E25" s="880">
        <f t="shared" si="0"/>
        <v>70</v>
      </c>
    </row>
    <row r="26" spans="1:5" ht="18.75" x14ac:dyDescent="0.25">
      <c r="A26" s="839">
        <v>18</v>
      </c>
      <c r="B26" s="897">
        <v>5191421018</v>
      </c>
      <c r="C26" s="876">
        <v>30</v>
      </c>
      <c r="D26" s="940" t="s">
        <v>33</v>
      </c>
      <c r="E26" s="880">
        <f t="shared" si="0"/>
        <v>60</v>
      </c>
    </row>
    <row r="27" spans="1:5" ht="18.75" x14ac:dyDescent="0.25">
      <c r="A27" s="839">
        <v>19</v>
      </c>
      <c r="B27" s="897">
        <v>5191421019</v>
      </c>
      <c r="C27" s="876">
        <v>47</v>
      </c>
      <c r="D27" s="940" t="s">
        <v>30</v>
      </c>
      <c r="E27" s="880">
        <f t="shared" si="0"/>
        <v>90</v>
      </c>
    </row>
    <row r="28" spans="1:5" ht="18.75" x14ac:dyDescent="0.25">
      <c r="A28" s="839">
        <v>20</v>
      </c>
      <c r="B28" s="897">
        <v>5191421020</v>
      </c>
      <c r="C28" s="876">
        <v>48</v>
      </c>
      <c r="D28" s="940" t="s">
        <v>82</v>
      </c>
      <c r="E28" s="880">
        <f t="shared" si="0"/>
        <v>100</v>
      </c>
    </row>
    <row r="29" spans="1:5" ht="18.75" x14ac:dyDescent="0.25">
      <c r="A29" s="839">
        <v>21</v>
      </c>
      <c r="B29" s="897">
        <v>5191421021</v>
      </c>
      <c r="C29" s="876">
        <v>43</v>
      </c>
      <c r="D29" s="940" t="s">
        <v>30</v>
      </c>
      <c r="E29" s="880">
        <f t="shared" si="0"/>
        <v>90</v>
      </c>
    </row>
    <row r="30" spans="1:5" ht="18.75" x14ac:dyDescent="0.25">
      <c r="A30" s="839">
        <v>22</v>
      </c>
      <c r="B30" s="897">
        <v>5191421022</v>
      </c>
      <c r="C30" s="876">
        <v>31</v>
      </c>
      <c r="D30" s="940" t="s">
        <v>32</v>
      </c>
      <c r="E30" s="880">
        <f t="shared" si="0"/>
        <v>70</v>
      </c>
    </row>
    <row r="31" spans="1:5" ht="18.75" x14ac:dyDescent="0.25">
      <c r="A31" s="839">
        <v>23</v>
      </c>
      <c r="B31" s="897">
        <v>5191421023</v>
      </c>
      <c r="C31" s="876">
        <v>39</v>
      </c>
      <c r="D31" s="940" t="s">
        <v>33</v>
      </c>
      <c r="E31" s="880">
        <f t="shared" si="0"/>
        <v>60</v>
      </c>
    </row>
    <row r="32" spans="1:5" ht="18.75" x14ac:dyDescent="0.25">
      <c r="A32" s="839">
        <v>24</v>
      </c>
      <c r="B32" s="897">
        <v>5191421024</v>
      </c>
      <c r="C32" s="876">
        <v>38</v>
      </c>
      <c r="D32" s="940" t="s">
        <v>33</v>
      </c>
      <c r="E32" s="880">
        <f t="shared" si="0"/>
        <v>60</v>
      </c>
    </row>
    <row r="33" spans="1:5" ht="18.75" x14ac:dyDescent="0.25">
      <c r="A33" s="839">
        <v>25</v>
      </c>
      <c r="B33" s="897">
        <v>5191421025</v>
      </c>
      <c r="C33" s="876">
        <v>48</v>
      </c>
      <c r="D33" s="940" t="s">
        <v>82</v>
      </c>
      <c r="E33" s="880">
        <f t="shared" si="0"/>
        <v>100</v>
      </c>
    </row>
    <row r="34" spans="1:5" ht="18.75" x14ac:dyDescent="0.25">
      <c r="A34" s="839">
        <v>26</v>
      </c>
      <c r="B34" s="897">
        <v>5191421026</v>
      </c>
      <c r="C34" s="876">
        <v>42</v>
      </c>
      <c r="D34" s="940" t="s">
        <v>30</v>
      </c>
      <c r="E34" s="880">
        <f t="shared" si="0"/>
        <v>90</v>
      </c>
    </row>
    <row r="35" spans="1:5" ht="18.75" x14ac:dyDescent="0.25">
      <c r="A35" s="839">
        <v>27</v>
      </c>
      <c r="B35" s="897">
        <v>5191421027</v>
      </c>
      <c r="C35" s="876">
        <v>41</v>
      </c>
      <c r="D35" s="940" t="s">
        <v>30</v>
      </c>
      <c r="E35" s="880">
        <f t="shared" si="0"/>
        <v>90</v>
      </c>
    </row>
    <row r="36" spans="1:5" ht="18.75" x14ac:dyDescent="0.25">
      <c r="A36" s="839">
        <v>28</v>
      </c>
      <c r="B36" s="897">
        <v>5191421028</v>
      </c>
      <c r="C36" s="876">
        <v>47</v>
      </c>
      <c r="D36" s="943" t="s">
        <v>30</v>
      </c>
      <c r="E36" s="880">
        <f t="shared" si="0"/>
        <v>90</v>
      </c>
    </row>
    <row r="37" spans="1:5" ht="18.75" x14ac:dyDescent="0.25">
      <c r="A37" s="839">
        <v>29</v>
      </c>
      <c r="B37" s="897">
        <v>5191421029</v>
      </c>
      <c r="C37" s="876">
        <v>44</v>
      </c>
      <c r="D37" s="940" t="s">
        <v>30</v>
      </c>
      <c r="E37" s="880">
        <f t="shared" si="0"/>
        <v>90</v>
      </c>
    </row>
    <row r="38" spans="1:5" ht="18.75" x14ac:dyDescent="0.25">
      <c r="A38" s="839">
        <v>30</v>
      </c>
      <c r="B38" s="897">
        <v>5191421030</v>
      </c>
      <c r="C38" s="876">
        <v>30</v>
      </c>
      <c r="D38" s="940" t="s">
        <v>33</v>
      </c>
      <c r="E38" s="880">
        <f t="shared" si="0"/>
        <v>60</v>
      </c>
    </row>
    <row r="39" spans="1:5" ht="18.75" x14ac:dyDescent="0.25">
      <c r="A39" s="839">
        <v>31</v>
      </c>
      <c r="B39" s="897">
        <v>5191421031</v>
      </c>
      <c r="C39" s="876">
        <v>46</v>
      </c>
      <c r="D39" s="940" t="s">
        <v>30</v>
      </c>
      <c r="E39" s="880">
        <f t="shared" si="0"/>
        <v>90</v>
      </c>
    </row>
    <row r="40" spans="1:5" ht="18.75" x14ac:dyDescent="0.25">
      <c r="A40" s="839">
        <v>32</v>
      </c>
      <c r="B40" s="897">
        <v>5191421032</v>
      </c>
      <c r="C40" s="876">
        <v>30</v>
      </c>
      <c r="D40" s="940" t="s">
        <v>33</v>
      </c>
      <c r="E40" s="880">
        <f t="shared" si="0"/>
        <v>60</v>
      </c>
    </row>
    <row r="41" spans="1:5" ht="18.75" x14ac:dyDescent="0.25">
      <c r="A41" s="839">
        <v>33</v>
      </c>
      <c r="B41" s="897">
        <v>5191421033</v>
      </c>
      <c r="C41" s="876">
        <v>47</v>
      </c>
      <c r="D41" s="940" t="s">
        <v>82</v>
      </c>
      <c r="E41" s="880">
        <f t="shared" si="0"/>
        <v>100</v>
      </c>
    </row>
    <row r="42" spans="1:5" ht="18.75" x14ac:dyDescent="0.25">
      <c r="A42" s="839">
        <v>34</v>
      </c>
      <c r="B42" s="897">
        <v>5191421034</v>
      </c>
      <c r="C42" s="876">
        <v>47</v>
      </c>
      <c r="D42" s="940" t="s">
        <v>82</v>
      </c>
      <c r="E42" s="880">
        <f t="shared" si="0"/>
        <v>100</v>
      </c>
    </row>
    <row r="43" spans="1:5" ht="18.75" x14ac:dyDescent="0.25">
      <c r="A43" s="839">
        <v>35</v>
      </c>
      <c r="B43" s="897">
        <v>5191421035</v>
      </c>
      <c r="C43" s="876">
        <v>38</v>
      </c>
      <c r="D43" s="940" t="s">
        <v>33</v>
      </c>
      <c r="E43" s="880">
        <f t="shared" si="0"/>
        <v>60</v>
      </c>
    </row>
    <row r="44" spans="1:5" ht="18.75" x14ac:dyDescent="0.25">
      <c r="A44" s="839">
        <v>36</v>
      </c>
      <c r="B44" s="897">
        <v>5191421036</v>
      </c>
      <c r="C44" s="876">
        <v>47</v>
      </c>
      <c r="D44" s="940" t="s">
        <v>30</v>
      </c>
      <c r="E44" s="880">
        <f t="shared" si="0"/>
        <v>90</v>
      </c>
    </row>
    <row r="45" spans="1:5" ht="18.75" x14ac:dyDescent="0.25">
      <c r="A45" s="839">
        <v>37</v>
      </c>
      <c r="B45" s="897">
        <v>5191421037</v>
      </c>
      <c r="C45" s="876">
        <v>30</v>
      </c>
      <c r="D45" s="940" t="s">
        <v>33</v>
      </c>
      <c r="E45" s="880">
        <f t="shared" si="0"/>
        <v>60</v>
      </c>
    </row>
    <row r="46" spans="1:5" ht="18.75" x14ac:dyDescent="0.25">
      <c r="A46" s="839">
        <v>38</v>
      </c>
      <c r="B46" s="897">
        <v>5191421038</v>
      </c>
      <c r="C46" s="876">
        <v>35</v>
      </c>
      <c r="D46" s="940" t="s">
        <v>33</v>
      </c>
      <c r="E46" s="880">
        <f t="shared" si="0"/>
        <v>60</v>
      </c>
    </row>
    <row r="47" spans="1:5" ht="18.75" x14ac:dyDescent="0.25">
      <c r="A47" s="839">
        <v>39</v>
      </c>
      <c r="B47" s="897">
        <v>5191421039</v>
      </c>
      <c r="C47" s="876">
        <v>48</v>
      </c>
      <c r="D47" s="940" t="s">
        <v>82</v>
      </c>
      <c r="E47" s="880">
        <f t="shared" si="0"/>
        <v>100</v>
      </c>
    </row>
    <row r="48" spans="1:5" ht="18.75" x14ac:dyDescent="0.25">
      <c r="A48" s="839">
        <v>40</v>
      </c>
      <c r="B48" s="897">
        <v>5191421040</v>
      </c>
      <c r="C48" s="876">
        <v>35</v>
      </c>
      <c r="D48" s="940" t="s">
        <v>27</v>
      </c>
      <c r="E48" s="880">
        <f t="shared" si="0"/>
        <v>80</v>
      </c>
    </row>
    <row r="49" spans="1:5" ht="18.75" x14ac:dyDescent="0.25">
      <c r="A49" s="839">
        <v>41</v>
      </c>
      <c r="B49" s="897">
        <v>5191421041</v>
      </c>
      <c r="C49" s="876">
        <v>32</v>
      </c>
      <c r="D49" s="940" t="s">
        <v>27</v>
      </c>
      <c r="E49" s="880">
        <f t="shared" si="0"/>
        <v>80</v>
      </c>
    </row>
    <row r="50" spans="1:5" ht="18.75" x14ac:dyDescent="0.25">
      <c r="A50" s="839">
        <v>42</v>
      </c>
      <c r="B50" s="897">
        <v>5191421042</v>
      </c>
      <c r="C50" s="876">
        <v>30</v>
      </c>
      <c r="D50" s="940" t="s">
        <v>33</v>
      </c>
      <c r="E50" s="880">
        <f t="shared" si="0"/>
        <v>60</v>
      </c>
    </row>
    <row r="51" spans="1:5" ht="18.75" x14ac:dyDescent="0.25">
      <c r="A51" s="839">
        <v>43</v>
      </c>
      <c r="B51" s="897">
        <v>5191421043</v>
      </c>
      <c r="C51" s="876">
        <v>48</v>
      </c>
      <c r="D51" s="940" t="s">
        <v>30</v>
      </c>
      <c r="E51" s="880">
        <f t="shared" si="0"/>
        <v>90</v>
      </c>
    </row>
    <row r="52" spans="1:5" ht="18.75" x14ac:dyDescent="0.25">
      <c r="A52" s="839">
        <v>44</v>
      </c>
      <c r="B52" s="897">
        <v>5191421044</v>
      </c>
      <c r="C52" s="876">
        <v>48</v>
      </c>
      <c r="D52" s="940" t="s">
        <v>30</v>
      </c>
      <c r="E52" s="880">
        <f t="shared" si="0"/>
        <v>90</v>
      </c>
    </row>
    <row r="53" spans="1:5" ht="18.75" x14ac:dyDescent="0.25">
      <c r="A53" s="839">
        <v>45</v>
      </c>
      <c r="B53" s="897">
        <v>5191421045</v>
      </c>
      <c r="C53" s="876">
        <v>30</v>
      </c>
      <c r="D53" s="940" t="s">
        <v>31</v>
      </c>
      <c r="E53" s="880">
        <f t="shared" si="0"/>
        <v>55</v>
      </c>
    </row>
    <row r="54" spans="1:5" ht="18.75" x14ac:dyDescent="0.25">
      <c r="A54" s="839">
        <v>46</v>
      </c>
      <c r="B54" s="897">
        <v>5191421046</v>
      </c>
      <c r="C54" s="876">
        <v>41</v>
      </c>
      <c r="D54" s="940" t="s">
        <v>30</v>
      </c>
      <c r="E54" s="880">
        <f t="shared" si="0"/>
        <v>90</v>
      </c>
    </row>
    <row r="55" spans="1:5" ht="18.75" x14ac:dyDescent="0.25">
      <c r="A55" s="839">
        <v>47</v>
      </c>
      <c r="B55" s="897">
        <v>5191421047</v>
      </c>
      <c r="C55" s="876">
        <v>30</v>
      </c>
      <c r="D55" s="940" t="s">
        <v>31</v>
      </c>
      <c r="E55" s="880">
        <f t="shared" si="0"/>
        <v>55</v>
      </c>
    </row>
    <row r="56" spans="1:5" ht="18.75" x14ac:dyDescent="0.25">
      <c r="A56" s="839">
        <v>48</v>
      </c>
      <c r="B56" s="897">
        <v>5191421048</v>
      </c>
      <c r="C56" s="876">
        <v>39</v>
      </c>
      <c r="D56" s="940" t="s">
        <v>32</v>
      </c>
      <c r="E56" s="880">
        <f t="shared" si="0"/>
        <v>70</v>
      </c>
    </row>
    <row r="57" spans="1:5" ht="18.75" x14ac:dyDescent="0.25">
      <c r="A57" s="839">
        <v>49</v>
      </c>
      <c r="B57" s="897">
        <v>5191421049</v>
      </c>
      <c r="C57" s="876">
        <v>32</v>
      </c>
      <c r="D57" s="940" t="s">
        <v>31</v>
      </c>
      <c r="E57" s="880">
        <f t="shared" si="0"/>
        <v>55</v>
      </c>
    </row>
    <row r="58" spans="1:5" ht="18.75" x14ac:dyDescent="0.25">
      <c r="A58" s="839">
        <v>50</v>
      </c>
      <c r="B58" s="897">
        <v>5191421050</v>
      </c>
      <c r="C58" s="876">
        <v>30</v>
      </c>
      <c r="D58" s="940" t="s">
        <v>30</v>
      </c>
      <c r="E58" s="880">
        <f t="shared" si="0"/>
        <v>90</v>
      </c>
    </row>
    <row r="59" spans="1:5" ht="18.75" x14ac:dyDescent="0.25">
      <c r="A59" s="839">
        <v>51</v>
      </c>
      <c r="B59" s="897">
        <v>5191421051</v>
      </c>
      <c r="C59" s="876">
        <v>45</v>
      </c>
      <c r="D59" s="940" t="s">
        <v>30</v>
      </c>
      <c r="E59" s="880">
        <f t="shared" si="0"/>
        <v>90</v>
      </c>
    </row>
    <row r="60" spans="1:5" ht="18.75" x14ac:dyDescent="0.25">
      <c r="A60" s="839">
        <v>52</v>
      </c>
      <c r="B60" s="897">
        <v>5191421052</v>
      </c>
      <c r="C60" s="876">
        <v>48</v>
      </c>
      <c r="D60" s="940" t="s">
        <v>30</v>
      </c>
      <c r="E60" s="880">
        <f t="shared" si="0"/>
        <v>90</v>
      </c>
    </row>
    <row r="61" spans="1:5" ht="18.75" x14ac:dyDescent="0.25">
      <c r="A61" s="839">
        <v>53</v>
      </c>
      <c r="B61" s="897">
        <v>5191421053</v>
      </c>
      <c r="C61" s="876">
        <v>48</v>
      </c>
      <c r="D61" s="940" t="s">
        <v>82</v>
      </c>
      <c r="E61" s="880">
        <f t="shared" si="0"/>
        <v>100</v>
      </c>
    </row>
    <row r="62" spans="1:5" ht="18.75" x14ac:dyDescent="0.25">
      <c r="A62" s="839">
        <v>54</v>
      </c>
      <c r="B62" s="897">
        <v>5191421054</v>
      </c>
      <c r="C62" s="876">
        <v>41</v>
      </c>
      <c r="D62" s="940" t="s">
        <v>27</v>
      </c>
      <c r="E62" s="880">
        <f t="shared" si="0"/>
        <v>80</v>
      </c>
    </row>
    <row r="63" spans="1:5" ht="18.75" x14ac:dyDescent="0.25">
      <c r="A63" s="839">
        <v>55</v>
      </c>
      <c r="B63" s="897">
        <v>5191421055</v>
      </c>
      <c r="C63" s="876">
        <v>40</v>
      </c>
      <c r="D63" s="940" t="s">
        <v>27</v>
      </c>
      <c r="E63" s="880">
        <f t="shared" si="0"/>
        <v>80</v>
      </c>
    </row>
    <row r="64" spans="1:5" ht="18.75" x14ac:dyDescent="0.25">
      <c r="A64" s="839">
        <v>56</v>
      </c>
      <c r="B64" s="897">
        <v>5191421056</v>
      </c>
      <c r="C64" s="876">
        <v>41</v>
      </c>
      <c r="D64" s="940" t="s">
        <v>27</v>
      </c>
      <c r="E64" s="880">
        <f t="shared" si="0"/>
        <v>80</v>
      </c>
    </row>
    <row r="65" spans="1:14" ht="18.75" x14ac:dyDescent="0.25">
      <c r="A65" s="839">
        <v>57</v>
      </c>
      <c r="B65" s="897">
        <v>5191421057</v>
      </c>
      <c r="C65" s="876">
        <v>44</v>
      </c>
      <c r="D65" s="941" t="s">
        <v>30</v>
      </c>
      <c r="E65" s="880">
        <f t="shared" si="0"/>
        <v>90</v>
      </c>
    </row>
    <row r="66" spans="1:14" ht="19.5" thickBot="1" x14ac:dyDescent="0.3">
      <c r="A66" s="839">
        <v>58</v>
      </c>
      <c r="B66" s="903">
        <v>5191421058</v>
      </c>
      <c r="C66" s="876">
        <v>36</v>
      </c>
      <c r="D66" s="942" t="s">
        <v>33</v>
      </c>
      <c r="E66" s="880">
        <f t="shared" si="0"/>
        <v>60</v>
      </c>
    </row>
    <row r="67" spans="1:14" x14ac:dyDescent="0.25">
      <c r="C67" s="877">
        <f>COUNT(C9:C66)</f>
        <v>58</v>
      </c>
      <c r="D67" s="877"/>
    </row>
    <row r="68" spans="1:14" ht="31.5" x14ac:dyDescent="0.25">
      <c r="A68" s="905" t="s">
        <v>34</v>
      </c>
      <c r="B68" s="871">
        <v>65</v>
      </c>
      <c r="C68" s="879">
        <f>C8*(B68/100)</f>
        <v>32.5</v>
      </c>
      <c r="D68" s="877"/>
    </row>
    <row r="69" spans="1:14" x14ac:dyDescent="0.25">
      <c r="A69" s="3305" t="s">
        <v>35</v>
      </c>
      <c r="B69" s="3305"/>
      <c r="C69" s="877">
        <f>COUNTIF(C9:C66,"&gt;=" &amp;C68)</f>
        <v>46</v>
      </c>
      <c r="D69" s="877"/>
      <c r="E69" s="877">
        <f>COUNTIF(E9:E66,"&gt;="&amp;B68)</f>
        <v>42</v>
      </c>
    </row>
    <row r="70" spans="1:14" x14ac:dyDescent="0.25">
      <c r="A70" s="3306" t="s">
        <v>36</v>
      </c>
      <c r="B70" s="3306"/>
      <c r="C70" s="36">
        <f>C69/C67</f>
        <v>0.7931034482758621</v>
      </c>
      <c r="D70" s="877"/>
      <c r="E70" s="36">
        <f>(E69/A66)*100</f>
        <v>72.41379310344827</v>
      </c>
    </row>
    <row r="73" spans="1:14" x14ac:dyDescent="0.25">
      <c r="D73" s="871" t="s">
        <v>38</v>
      </c>
      <c r="E73" s="871" t="s">
        <v>39</v>
      </c>
      <c r="F73" s="871"/>
      <c r="G73" s="871" t="s">
        <v>37</v>
      </c>
      <c r="H73" s="13"/>
    </row>
    <row r="74" spans="1:14" x14ac:dyDescent="0.25">
      <c r="B74" s="871" t="s">
        <v>22</v>
      </c>
      <c r="C74" s="36">
        <f>AVERAGE(C70)*100</f>
        <v>79.310344827586206</v>
      </c>
      <c r="D74" s="877">
        <f>IF(C74&gt;=70,3,IF(AND(C74&gt;=60,C74&lt;70),2,IF(AND(C74&gt;=50,C74&lt;60),1)))</f>
        <v>3</v>
      </c>
      <c r="E74" s="877">
        <f>IF(E70&gt;=70,3,IF(AND(E70&gt;=60,E70&lt;70),2,IF(AND(E70&gt;=50,E70&lt;60),1)))</f>
        <v>3</v>
      </c>
      <c r="F74" s="877"/>
      <c r="G74" s="877">
        <f>(50/100)*E74+(50/100)*D74</f>
        <v>3</v>
      </c>
      <c r="H74" s="329"/>
    </row>
    <row r="75" spans="1:14" x14ac:dyDescent="0.25">
      <c r="B75" s="871" t="s">
        <v>40</v>
      </c>
      <c r="C75" s="36">
        <f>AVERAGE(C70)*100</f>
        <v>79.310344827586206</v>
      </c>
      <c r="D75" s="877">
        <f t="shared" ref="D75:D77" si="1">IF(C75&gt;=70,3,IF(AND(C75&gt;=60,C75&lt;70),2,IF(AND(C75&gt;=50,C75&lt;60),1)))</f>
        <v>3</v>
      </c>
      <c r="E75" s="877">
        <f>IF(E70&gt;=70,3,IF(AND(E70&gt;=60,E70&lt;70),2,IF(AND(E70&gt;=50,E70&lt;60),1)))</f>
        <v>3</v>
      </c>
      <c r="F75" s="877"/>
      <c r="G75" s="877">
        <f t="shared" ref="G75:G77" si="2">(50/100)*E75+(50/100)*D75</f>
        <v>3</v>
      </c>
      <c r="H75" s="329"/>
    </row>
    <row r="76" spans="1:14" x14ac:dyDescent="0.25">
      <c r="B76" s="871" t="s">
        <v>41</v>
      </c>
      <c r="C76" s="36">
        <f>AVERAGE(C70)*100</f>
        <v>79.310344827586206</v>
      </c>
      <c r="D76" s="877">
        <f t="shared" si="1"/>
        <v>3</v>
      </c>
      <c r="E76" s="877">
        <f>IF(E70&gt;=70,3,IF(AND(E70&gt;=60,E70&lt;70),2,IF(AND(E70&gt;=50,E70&lt;60),1)))</f>
        <v>3</v>
      </c>
      <c r="F76" s="877"/>
      <c r="G76" s="877">
        <f t="shared" si="2"/>
        <v>3</v>
      </c>
      <c r="H76" s="329"/>
    </row>
    <row r="77" spans="1:14" x14ac:dyDescent="0.25">
      <c r="B77" s="871" t="s">
        <v>42</v>
      </c>
      <c r="C77" s="36">
        <f>AVERAGE(C70)*100</f>
        <v>79.310344827586206</v>
      </c>
      <c r="D77" s="877">
        <f t="shared" si="1"/>
        <v>3</v>
      </c>
      <c r="E77" s="877">
        <f>IF(E70&gt;=70,3,IF(AND(E70&gt;=60,E70&lt;70),2,IF(AND(E70&gt;=50,E70&lt;60),1)))</f>
        <v>3</v>
      </c>
      <c r="F77" s="877"/>
      <c r="G77" s="877">
        <f t="shared" si="2"/>
        <v>3</v>
      </c>
      <c r="H77" s="329"/>
    </row>
    <row r="78" spans="1:14" x14ac:dyDescent="0.25">
      <c r="B78" s="2872" t="s">
        <v>44</v>
      </c>
      <c r="C78" s="2872"/>
      <c r="D78" s="2872"/>
      <c r="E78" s="2872"/>
      <c r="F78" s="2872"/>
      <c r="G78" s="877">
        <f>AVERAGE(G74:G74)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881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ht="18.75" x14ac:dyDescent="0.3">
      <c r="B84" s="20" t="s">
        <v>22</v>
      </c>
      <c r="C84" s="945">
        <v>3</v>
      </c>
      <c r="D84" s="945">
        <v>2</v>
      </c>
      <c r="E84" s="945">
        <v>1</v>
      </c>
      <c r="F84" s="945">
        <v>2</v>
      </c>
      <c r="G84" s="945">
        <v>1</v>
      </c>
      <c r="H84" s="945">
        <v>2</v>
      </c>
      <c r="I84" s="945">
        <v>2</v>
      </c>
      <c r="J84" s="945">
        <v>3</v>
      </c>
      <c r="K84" s="945">
        <v>3</v>
      </c>
      <c r="L84" s="945">
        <v>2</v>
      </c>
      <c r="M84" s="945">
        <v>2</v>
      </c>
      <c r="N84" s="945">
        <v>2</v>
      </c>
    </row>
    <row r="85" spans="1:14" ht="18.75" x14ac:dyDescent="0.3">
      <c r="B85" s="20" t="s">
        <v>40</v>
      </c>
      <c r="C85" s="945">
        <v>3</v>
      </c>
      <c r="D85" s="946">
        <v>2</v>
      </c>
      <c r="E85" s="945">
        <v>1</v>
      </c>
      <c r="F85" s="945">
        <v>2</v>
      </c>
      <c r="G85" s="945">
        <v>1</v>
      </c>
      <c r="H85" s="945">
        <v>2</v>
      </c>
      <c r="I85" s="945">
        <v>2</v>
      </c>
      <c r="J85" s="945">
        <v>3</v>
      </c>
      <c r="K85" s="945">
        <v>3</v>
      </c>
      <c r="L85" s="945">
        <v>2</v>
      </c>
      <c r="M85" s="945">
        <v>2</v>
      </c>
      <c r="N85" s="945">
        <v>2</v>
      </c>
    </row>
    <row r="86" spans="1:14" ht="18.75" x14ac:dyDescent="0.3">
      <c r="B86" s="20" t="s">
        <v>41</v>
      </c>
      <c r="C86" s="945">
        <v>3</v>
      </c>
      <c r="D86" s="946">
        <v>2</v>
      </c>
      <c r="E86" s="945">
        <v>1</v>
      </c>
      <c r="F86" s="945">
        <v>2</v>
      </c>
      <c r="G86" s="945">
        <v>1</v>
      </c>
      <c r="H86" s="945">
        <v>2</v>
      </c>
      <c r="I86" s="945">
        <v>2</v>
      </c>
      <c r="J86" s="945">
        <v>3</v>
      </c>
      <c r="K86" s="945">
        <v>3</v>
      </c>
      <c r="L86" s="945">
        <v>2</v>
      </c>
      <c r="M86" s="945">
        <v>2</v>
      </c>
      <c r="N86" s="945">
        <v>2</v>
      </c>
    </row>
    <row r="87" spans="1:14" ht="18.75" x14ac:dyDescent="0.3">
      <c r="B87" s="20" t="s">
        <v>42</v>
      </c>
      <c r="C87" s="945">
        <v>3</v>
      </c>
      <c r="D87" s="946">
        <v>2</v>
      </c>
      <c r="E87" s="945">
        <v>1</v>
      </c>
      <c r="F87" s="945">
        <v>2</v>
      </c>
      <c r="G87" s="945">
        <v>1</v>
      </c>
      <c r="H87" s="945">
        <v>2</v>
      </c>
      <c r="I87" s="945">
        <v>2</v>
      </c>
      <c r="J87" s="945">
        <v>3</v>
      </c>
      <c r="K87" s="945">
        <v>3</v>
      </c>
      <c r="L87" s="945">
        <v>2</v>
      </c>
      <c r="M87" s="945">
        <v>2</v>
      </c>
      <c r="N87" s="945">
        <v>2</v>
      </c>
    </row>
    <row r="88" spans="1:14" x14ac:dyDescent="0.25">
      <c r="B88" s="881" t="s">
        <v>10</v>
      </c>
      <c r="C88" s="745">
        <f>AVERAGE(C84:C87)</f>
        <v>3</v>
      </c>
      <c r="D88" s="745">
        <f t="shared" ref="D88:N88" si="3">AVERAGE(D84:D87)</f>
        <v>2</v>
      </c>
      <c r="E88" s="745">
        <f t="shared" si="3"/>
        <v>1</v>
      </c>
      <c r="F88" s="745">
        <f t="shared" si="3"/>
        <v>2</v>
      </c>
      <c r="G88" s="745">
        <f>AVERAGE(G84:G87)</f>
        <v>1</v>
      </c>
      <c r="H88" s="745">
        <f t="shared" si="3"/>
        <v>2</v>
      </c>
      <c r="I88" s="745">
        <f t="shared" si="3"/>
        <v>2</v>
      </c>
      <c r="J88" s="745">
        <f t="shared" si="3"/>
        <v>3</v>
      </c>
      <c r="K88" s="745">
        <f t="shared" si="3"/>
        <v>3</v>
      </c>
      <c r="L88" s="745">
        <f t="shared" si="3"/>
        <v>2</v>
      </c>
      <c r="M88" s="745">
        <f t="shared" si="3"/>
        <v>2</v>
      </c>
      <c r="N88" s="745">
        <f t="shared" si="3"/>
        <v>2</v>
      </c>
    </row>
    <row r="89" spans="1:14" x14ac:dyDescent="0.25">
      <c r="B89" s="881" t="s">
        <v>58</v>
      </c>
      <c r="C89" s="3311">
        <f>AVERAGE(C88:N88)</f>
        <v>2.0833333333333335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881" t="s">
        <v>45</v>
      </c>
      <c r="C93" s="906" t="s">
        <v>68</v>
      </c>
      <c r="D93" s="906" t="s">
        <v>69</v>
      </c>
      <c r="E93" s="906" t="s">
        <v>70</v>
      </c>
      <c r="F93" s="906" t="s">
        <v>71</v>
      </c>
      <c r="G93" s="906" t="s">
        <v>72</v>
      </c>
      <c r="H93" s="906" t="s">
        <v>73</v>
      </c>
      <c r="I93" s="906" t="s">
        <v>74</v>
      </c>
      <c r="J93" s="906" t="s">
        <v>75</v>
      </c>
      <c r="K93" s="906" t="s">
        <v>76</v>
      </c>
      <c r="L93" s="906" t="s">
        <v>77</v>
      </c>
      <c r="M93" s="906" t="s">
        <v>78</v>
      </c>
      <c r="N93" s="906" t="s">
        <v>79</v>
      </c>
    </row>
    <row r="94" spans="1:14" x14ac:dyDescent="0.25">
      <c r="B94" s="875" t="s">
        <v>20</v>
      </c>
      <c r="C94" s="907">
        <f>G74*C84/3</f>
        <v>3</v>
      </c>
      <c r="D94" s="907">
        <f>G74*D84/3</f>
        <v>2</v>
      </c>
      <c r="E94" s="907">
        <f>G74*E84/3</f>
        <v>1</v>
      </c>
      <c r="F94" s="907">
        <f>G74*F84/3</f>
        <v>2</v>
      </c>
      <c r="G94" s="907">
        <f>G74*G84/3</f>
        <v>1</v>
      </c>
      <c r="H94" s="907">
        <f>G74*H84/3</f>
        <v>2</v>
      </c>
      <c r="I94" s="907">
        <f>G74*I84/3</f>
        <v>2</v>
      </c>
      <c r="J94" s="907">
        <f>G74*J84/3</f>
        <v>3</v>
      </c>
      <c r="K94" s="907">
        <f t="shared" ref="K94" si="4">G74*K84/3</f>
        <v>3</v>
      </c>
      <c r="L94" s="907">
        <f t="shared" ref="L94" si="5">G74*L84/3</f>
        <v>2</v>
      </c>
      <c r="M94" s="907">
        <f t="shared" ref="M94" si="6">G74*M84/3</f>
        <v>2</v>
      </c>
      <c r="N94" s="907">
        <f t="shared" ref="N94" si="7">G74*N84/3</f>
        <v>2</v>
      </c>
    </row>
    <row r="95" spans="1:14" x14ac:dyDescent="0.25">
      <c r="B95" s="875" t="s">
        <v>21</v>
      </c>
      <c r="C95" s="907">
        <f t="shared" ref="C95:C97" si="8">G75*C85/3</f>
        <v>3</v>
      </c>
      <c r="D95" s="907">
        <f t="shared" ref="D95:D97" si="9">G75*D85/3</f>
        <v>2</v>
      </c>
      <c r="E95" s="907">
        <f t="shared" ref="E95:E97" si="10">G75*E85/3</f>
        <v>1</v>
      </c>
      <c r="F95" s="907">
        <f t="shared" ref="F95:F97" si="11">G75*F85/3</f>
        <v>2</v>
      </c>
      <c r="G95" s="907">
        <f t="shared" ref="G95:G97" si="12">G75*G85/3</f>
        <v>1</v>
      </c>
      <c r="H95" s="907">
        <f t="shared" ref="H95:H97" si="13">G75*H85/3</f>
        <v>2</v>
      </c>
      <c r="I95" s="907">
        <f>G75*I85/3</f>
        <v>2</v>
      </c>
      <c r="J95" s="907">
        <f>G74*J85/3</f>
        <v>3</v>
      </c>
      <c r="K95" s="907">
        <f t="shared" ref="K95:K96" si="14">G75*K85/3</f>
        <v>3</v>
      </c>
      <c r="L95" s="907">
        <f t="shared" ref="L95:L96" si="15">G75*L85/3</f>
        <v>2</v>
      </c>
      <c r="M95" s="907">
        <f t="shared" ref="M95:M96" si="16">G75*M85/3</f>
        <v>2</v>
      </c>
      <c r="N95" s="907">
        <f t="shared" ref="N95:N96" si="17">G75*N85/3</f>
        <v>2</v>
      </c>
    </row>
    <row r="96" spans="1:14" x14ac:dyDescent="0.25">
      <c r="B96" s="875" t="s">
        <v>23</v>
      </c>
      <c r="C96" s="907">
        <f t="shared" si="8"/>
        <v>3</v>
      </c>
      <c r="D96" s="907">
        <f t="shared" si="9"/>
        <v>2</v>
      </c>
      <c r="E96" s="907">
        <f t="shared" si="10"/>
        <v>1</v>
      </c>
      <c r="F96" s="907">
        <f t="shared" si="11"/>
        <v>2</v>
      </c>
      <c r="G96" s="907">
        <f t="shared" si="12"/>
        <v>1</v>
      </c>
      <c r="H96" s="907">
        <f t="shared" si="13"/>
        <v>2</v>
      </c>
      <c r="I96" s="907">
        <f t="shared" ref="I96:I97" si="18">G76*I86/3</f>
        <v>2</v>
      </c>
      <c r="J96" s="907">
        <f>G75*J86/3</f>
        <v>3</v>
      </c>
      <c r="K96" s="907">
        <f t="shared" si="14"/>
        <v>3</v>
      </c>
      <c r="L96" s="907">
        <f t="shared" si="15"/>
        <v>2</v>
      </c>
      <c r="M96" s="907">
        <f t="shared" si="16"/>
        <v>2</v>
      </c>
      <c r="N96" s="907">
        <f t="shared" si="17"/>
        <v>2</v>
      </c>
    </row>
    <row r="97" spans="1:14" x14ac:dyDescent="0.25">
      <c r="B97" s="875" t="s">
        <v>25</v>
      </c>
      <c r="C97" s="907">
        <f t="shared" si="8"/>
        <v>3</v>
      </c>
      <c r="D97" s="907">
        <f t="shared" si="9"/>
        <v>2</v>
      </c>
      <c r="E97" s="907">
        <f t="shared" si="10"/>
        <v>1</v>
      </c>
      <c r="F97" s="907">
        <f t="shared" si="11"/>
        <v>2</v>
      </c>
      <c r="G97" s="907">
        <f t="shared" si="12"/>
        <v>1</v>
      </c>
      <c r="H97" s="907">
        <f t="shared" si="13"/>
        <v>2</v>
      </c>
      <c r="I97" s="907">
        <f t="shared" si="18"/>
        <v>2</v>
      </c>
      <c r="J97" s="907">
        <f>G76*J87/3</f>
        <v>3</v>
      </c>
      <c r="K97" s="907">
        <f t="shared" ref="K97" si="19">G77*K87/3</f>
        <v>3</v>
      </c>
      <c r="L97" s="907">
        <f t="shared" ref="L97" si="20">G77*L87/3</f>
        <v>2</v>
      </c>
      <c r="M97" s="907">
        <f t="shared" ref="M97" si="21">G77*M87/3</f>
        <v>2</v>
      </c>
      <c r="N97" s="907">
        <f t="shared" ref="N97" si="22">G77*N87/3</f>
        <v>2</v>
      </c>
    </row>
    <row r="98" spans="1:14" x14ac:dyDescent="0.25">
      <c r="B98" s="881" t="s">
        <v>10</v>
      </c>
      <c r="C98" s="908">
        <f>AVERAGE(C94:C97)</f>
        <v>3</v>
      </c>
      <c r="D98" s="908">
        <f t="shared" ref="D98:N98" si="23">AVERAGE(D94:D97)</f>
        <v>2</v>
      </c>
      <c r="E98" s="908">
        <f t="shared" si="23"/>
        <v>1</v>
      </c>
      <c r="F98" s="908">
        <f t="shared" si="23"/>
        <v>2</v>
      </c>
      <c r="G98" s="908">
        <f t="shared" si="23"/>
        <v>1</v>
      </c>
      <c r="H98" s="908">
        <f t="shared" si="23"/>
        <v>2</v>
      </c>
      <c r="I98" s="908">
        <f t="shared" si="23"/>
        <v>2</v>
      </c>
      <c r="J98" s="908">
        <f t="shared" si="23"/>
        <v>3</v>
      </c>
      <c r="K98" s="908">
        <f t="shared" si="23"/>
        <v>3</v>
      </c>
      <c r="L98" s="908">
        <f t="shared" si="23"/>
        <v>2</v>
      </c>
      <c r="M98" s="908">
        <f t="shared" si="23"/>
        <v>2</v>
      </c>
      <c r="N98" s="908">
        <f t="shared" si="23"/>
        <v>2</v>
      </c>
    </row>
    <row r="99" spans="1:14" x14ac:dyDescent="0.25">
      <c r="B99" s="881" t="s">
        <v>58</v>
      </c>
      <c r="C99" s="3024">
        <f>AVERAGE(C98:N98)</f>
        <v>2.0833333333333335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881" t="s">
        <v>59</v>
      </c>
      <c r="C104" s="748" t="s">
        <v>87</v>
      </c>
      <c r="D104" s="748" t="s">
        <v>88</v>
      </c>
      <c r="E104" s="748" t="s">
        <v>85</v>
      </c>
      <c r="F104" s="872"/>
      <c r="G104" s="881" t="s">
        <v>59</v>
      </c>
      <c r="H104" s="906" t="s">
        <v>60</v>
      </c>
      <c r="I104" s="906" t="s">
        <v>61</v>
      </c>
      <c r="J104" s="906" t="s">
        <v>62</v>
      </c>
      <c r="L104" s="872"/>
      <c r="M104" s="872"/>
      <c r="N104" s="872"/>
    </row>
    <row r="105" spans="1:14" ht="18.75" x14ac:dyDescent="0.3">
      <c r="B105" s="572" t="s">
        <v>22</v>
      </c>
      <c r="C105" s="947">
        <v>3</v>
      </c>
      <c r="D105" s="947">
        <v>3</v>
      </c>
      <c r="E105" s="947">
        <v>3</v>
      </c>
      <c r="F105" s="872"/>
      <c r="G105" s="882" t="s">
        <v>20</v>
      </c>
      <c r="H105" s="907">
        <f>G74*C105/3</f>
        <v>3</v>
      </c>
      <c r="I105" s="907">
        <f>G74*D105/3</f>
        <v>3</v>
      </c>
      <c r="J105" s="907">
        <f>G74*E105/3</f>
        <v>3</v>
      </c>
      <c r="K105" s="939"/>
      <c r="L105" s="872"/>
      <c r="M105" s="872"/>
      <c r="N105" s="872"/>
    </row>
    <row r="106" spans="1:14" ht="18.75" x14ac:dyDescent="0.3">
      <c r="B106" s="572" t="s">
        <v>40</v>
      </c>
      <c r="C106" s="947">
        <v>3</v>
      </c>
      <c r="D106" s="947">
        <v>3</v>
      </c>
      <c r="E106" s="947">
        <v>3</v>
      </c>
      <c r="F106" s="24"/>
      <c r="G106" s="882" t="s">
        <v>21</v>
      </c>
      <c r="H106" s="907">
        <f t="shared" ref="H106:H108" si="24">G75*C106/3</f>
        <v>3</v>
      </c>
      <c r="I106" s="907">
        <f t="shared" ref="I106:I108" si="25">G75*D106/3</f>
        <v>3</v>
      </c>
      <c r="J106" s="907">
        <f>G75*E106/3</f>
        <v>3</v>
      </c>
      <c r="K106" s="939"/>
      <c r="L106" s="24"/>
      <c r="M106" s="24"/>
      <c r="N106" s="24"/>
    </row>
    <row r="107" spans="1:14" ht="18.75" x14ac:dyDescent="0.3">
      <c r="B107" s="572" t="s">
        <v>41</v>
      </c>
      <c r="C107" s="947">
        <v>3</v>
      </c>
      <c r="D107" s="947">
        <v>3</v>
      </c>
      <c r="E107" s="947">
        <v>3</v>
      </c>
      <c r="F107" s="24"/>
      <c r="G107" s="882" t="s">
        <v>23</v>
      </c>
      <c r="H107" s="907">
        <f t="shared" si="24"/>
        <v>3</v>
      </c>
      <c r="I107" s="907">
        <f t="shared" si="25"/>
        <v>3</v>
      </c>
      <c r="J107" s="907">
        <f t="shared" ref="J107:J108" si="26">G76*E107/3</f>
        <v>3</v>
      </c>
      <c r="K107" s="939"/>
      <c r="L107" s="24"/>
      <c r="M107" s="24"/>
      <c r="N107" s="24"/>
    </row>
    <row r="108" spans="1:14" ht="18.75" x14ac:dyDescent="0.3">
      <c r="B108" s="572" t="s">
        <v>42</v>
      </c>
      <c r="C108" s="947">
        <v>3</v>
      </c>
      <c r="D108" s="947">
        <v>3</v>
      </c>
      <c r="E108" s="947">
        <v>3</v>
      </c>
      <c r="F108" s="24"/>
      <c r="G108" s="882" t="s">
        <v>25</v>
      </c>
      <c r="H108" s="907">
        <f t="shared" si="24"/>
        <v>3</v>
      </c>
      <c r="I108" s="907">
        <f t="shared" si="25"/>
        <v>3</v>
      </c>
      <c r="J108" s="907">
        <f t="shared" si="26"/>
        <v>3</v>
      </c>
      <c r="K108" s="939"/>
      <c r="L108" s="24"/>
      <c r="M108" s="24"/>
      <c r="N108" s="24"/>
    </row>
    <row r="109" spans="1:14" x14ac:dyDescent="0.25">
      <c r="B109" s="881" t="s">
        <v>10</v>
      </c>
      <c r="C109" s="909">
        <f>AVERAGE(C105:C108)</f>
        <v>3</v>
      </c>
      <c r="D109" s="909">
        <f t="shared" ref="D109:E109" si="27">AVERAGE(D105:D108)</f>
        <v>3</v>
      </c>
      <c r="E109" s="909">
        <f t="shared" si="27"/>
        <v>3</v>
      </c>
      <c r="F109" s="910"/>
      <c r="G109" s="881" t="s">
        <v>10</v>
      </c>
      <c r="H109" s="911">
        <f>AVERAGE(H105:H108)</f>
        <v>3</v>
      </c>
      <c r="I109" s="911">
        <f t="shared" ref="I109:J109" si="28">AVERAGE(I105:I108)</f>
        <v>3</v>
      </c>
      <c r="J109" s="911">
        <f t="shared" si="28"/>
        <v>3</v>
      </c>
      <c r="L109" s="910"/>
      <c r="M109" s="910"/>
      <c r="N109" s="910"/>
    </row>
    <row r="110" spans="1:14" x14ac:dyDescent="0.25">
      <c r="B110" s="881" t="s">
        <v>58</v>
      </c>
      <c r="C110" s="3307">
        <f>AVERAGE(C109:E109)</f>
        <v>3</v>
      </c>
      <c r="D110" s="3308"/>
      <c r="E110" s="3309"/>
      <c r="F110" s="912"/>
      <c r="G110" s="881" t="s">
        <v>58</v>
      </c>
      <c r="H110" s="3024">
        <f>AVERAGE(H109:J109)</f>
        <v>3</v>
      </c>
      <c r="I110" s="3310"/>
      <c r="J110" s="3026"/>
      <c r="L110" s="912"/>
      <c r="M110" s="912"/>
      <c r="N110" s="912"/>
    </row>
  </sheetData>
  <mergeCells count="20">
    <mergeCell ref="A81:B81"/>
    <mergeCell ref="A2:B2"/>
    <mergeCell ref="A3:B3"/>
    <mergeCell ref="A4:B4"/>
    <mergeCell ref="A5:A7"/>
    <mergeCell ref="B5:B7"/>
    <mergeCell ref="D5:D7"/>
    <mergeCell ref="E5:E7"/>
    <mergeCell ref="A69:B69"/>
    <mergeCell ref="A70:B70"/>
    <mergeCell ref="B78:F78"/>
    <mergeCell ref="C5:C7"/>
    <mergeCell ref="C110:E110"/>
    <mergeCell ref="H110:J110"/>
    <mergeCell ref="C89:N89"/>
    <mergeCell ref="A91:B91"/>
    <mergeCell ref="C99:N99"/>
    <mergeCell ref="A102:B102"/>
    <mergeCell ref="G102:H102"/>
    <mergeCell ref="G103:H103"/>
  </mergeCells>
  <conditionalFormatting sqref="D9:D66">
    <cfRule type="containsText" dxfId="58" priority="2" operator="containsText" text="F">
      <formula>NOT(ISERROR(SEARCH("F",D9)))</formula>
    </cfRule>
  </conditionalFormatting>
  <conditionalFormatting sqref="C9:C66">
    <cfRule type="cellIs" dxfId="57" priority="1" operator="lessThan">
      <formula>25</formula>
    </cfRule>
  </conditionalFormatting>
  <pageMargins left="0.7" right="0.7" top="0.75" bottom="0.75" header="0.3" footer="0.3"/>
  <pageSetup paperSize="8" scale="5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AH117"/>
  <sheetViews>
    <sheetView topLeftCell="A100" zoomScale="73" zoomScaleNormal="73" workbookViewId="0">
      <selection activeCell="E102" sqref="E102"/>
    </sheetView>
  </sheetViews>
  <sheetFormatPr defaultColWidth="9.140625" defaultRowHeight="30" customHeight="1" x14ac:dyDescent="0.3"/>
  <cols>
    <col min="1" max="1" width="15.28515625" style="1095" bestFit="1" customWidth="1"/>
    <col min="2" max="2" width="18.42578125" style="1095" bestFit="1" customWidth="1"/>
    <col min="3" max="3" width="13.85546875" style="1095" bestFit="1" customWidth="1"/>
    <col min="4" max="4" width="10.5703125" style="1095" bestFit="1" customWidth="1"/>
    <col min="5" max="6" width="9.28515625" style="1095" bestFit="1" customWidth="1"/>
    <col min="7" max="7" width="11.28515625" style="1095" bestFit="1" customWidth="1"/>
    <col min="8" max="8" width="11.140625" style="1095" customWidth="1"/>
    <col min="9" max="9" width="11.42578125" style="1095" customWidth="1"/>
    <col min="10" max="11" width="9.85546875" style="1095" customWidth="1"/>
    <col min="12" max="13" width="10.5703125" style="1095" customWidth="1"/>
    <col min="14" max="14" width="10.5703125" style="1370" customWidth="1"/>
    <col min="15" max="15" width="10.5703125" style="1095" customWidth="1"/>
    <col min="16" max="18" width="11.28515625" style="1095" bestFit="1" customWidth="1"/>
    <col min="19" max="19" width="9.28515625" style="1095" bestFit="1" customWidth="1"/>
    <col min="20" max="20" width="10.28515625" style="1386" customWidth="1"/>
    <col min="21" max="23" width="9" style="1095" customWidth="1"/>
    <col min="24" max="24" width="10.5703125" style="1095" customWidth="1"/>
    <col min="25" max="25" width="9" style="1095" customWidth="1"/>
    <col min="26" max="26" width="10.5703125" style="1095" customWidth="1"/>
    <col min="27" max="27" width="10.85546875" style="1370" customWidth="1"/>
    <col min="28" max="28" width="10.28515625" style="1095" customWidth="1"/>
    <col min="29" max="29" width="11.85546875" style="1095" customWidth="1"/>
    <col min="30" max="30" width="11" style="1095" customWidth="1"/>
    <col min="31" max="33" width="8" style="1095" customWidth="1"/>
    <col min="34" max="34" width="17.7109375" style="1095" bestFit="1" customWidth="1"/>
    <col min="35" max="35" width="17.140625" style="1095" bestFit="1" customWidth="1"/>
    <col min="36" max="16384" width="9.140625" style="1095"/>
  </cols>
  <sheetData>
    <row r="1" spans="1:34" ht="30" customHeight="1" x14ac:dyDescent="0.3">
      <c r="A1" s="1530"/>
    </row>
    <row r="2" spans="1:34" ht="30" customHeight="1" x14ac:dyDescent="0.3">
      <c r="A2" s="3663" t="s">
        <v>0</v>
      </c>
      <c r="B2" s="3664"/>
      <c r="C2" s="3665" t="s">
        <v>340</v>
      </c>
      <c r="D2" s="3524"/>
      <c r="E2" s="3524"/>
      <c r="F2" s="3524"/>
      <c r="G2" s="3524"/>
      <c r="H2" s="3524"/>
      <c r="I2" s="3524"/>
      <c r="J2" s="3524"/>
      <c r="K2" s="3524"/>
      <c r="L2" s="3524"/>
      <c r="M2" s="3524"/>
      <c r="N2" s="3666"/>
      <c r="O2" s="861" t="s">
        <v>63</v>
      </c>
      <c r="P2" s="3667" t="s">
        <v>271</v>
      </c>
      <c r="Q2" s="3527"/>
      <c r="R2" s="3527"/>
      <c r="S2" s="3527"/>
      <c r="T2" s="3527"/>
      <c r="U2" s="3527"/>
      <c r="V2" s="3527"/>
      <c r="W2" s="3527"/>
      <c r="X2" s="3527"/>
      <c r="Y2" s="3527"/>
      <c r="Z2" s="3527"/>
      <c r="AA2" s="3527"/>
      <c r="AB2" s="1077"/>
      <c r="AC2" s="1077"/>
      <c r="AD2" s="1077"/>
      <c r="AE2" s="1077"/>
      <c r="AF2" s="1077"/>
      <c r="AG2" s="1077"/>
      <c r="AH2" s="1077"/>
    </row>
    <row r="3" spans="1:34" ht="30" customHeight="1" x14ac:dyDescent="0.3">
      <c r="A3" s="3663" t="s">
        <v>1</v>
      </c>
      <c r="B3" s="3664"/>
      <c r="C3" s="3665" t="s">
        <v>341</v>
      </c>
      <c r="D3" s="3524"/>
      <c r="E3" s="3524"/>
      <c r="F3" s="3524"/>
      <c r="G3" s="3524"/>
      <c r="H3" s="3524"/>
      <c r="I3" s="3524"/>
      <c r="J3" s="3524"/>
      <c r="K3" s="3524"/>
      <c r="L3" s="3524"/>
      <c r="M3" s="3524"/>
      <c r="N3" s="3666"/>
      <c r="O3" s="862" t="s">
        <v>64</v>
      </c>
      <c r="P3" s="3667" t="s">
        <v>232</v>
      </c>
      <c r="Q3" s="3527"/>
      <c r="R3" s="3527"/>
      <c r="S3" s="3527"/>
      <c r="T3" s="3527"/>
      <c r="U3" s="3527"/>
      <c r="V3" s="3527"/>
      <c r="W3" s="3527"/>
      <c r="X3" s="3527"/>
      <c r="Y3" s="3527"/>
      <c r="Z3" s="3527"/>
      <c r="AA3" s="3527"/>
      <c r="AB3" s="1077"/>
      <c r="AC3" s="1077"/>
      <c r="AD3" s="1077"/>
      <c r="AE3" s="1077"/>
      <c r="AF3" s="1077"/>
      <c r="AG3" s="1077"/>
      <c r="AH3" s="1077"/>
    </row>
    <row r="4" spans="1:34" ht="30" customHeight="1" thickBot="1" x14ac:dyDescent="0.35">
      <c r="A4" s="1531"/>
      <c r="B4" s="1532" t="s">
        <v>2</v>
      </c>
      <c r="C4" s="3544" t="s">
        <v>288</v>
      </c>
      <c r="D4" s="3545"/>
      <c r="E4" s="3545"/>
      <c r="F4" s="3545"/>
      <c r="G4" s="3545"/>
      <c r="H4" s="3545"/>
      <c r="I4" s="3545"/>
      <c r="J4" s="3545"/>
      <c r="K4" s="3545"/>
      <c r="L4" s="3545"/>
      <c r="M4" s="3545"/>
      <c r="N4" s="3546"/>
      <c r="O4" s="1532" t="s">
        <v>65</v>
      </c>
      <c r="P4" s="3547" t="s">
        <v>66</v>
      </c>
      <c r="Q4" s="3548"/>
      <c r="R4" s="3548"/>
      <c r="S4" s="3548"/>
      <c r="T4" s="3548"/>
      <c r="U4" s="3548"/>
      <c r="V4" s="3548"/>
      <c r="W4" s="3548"/>
      <c r="X4" s="3548"/>
      <c r="Y4" s="3548"/>
      <c r="Z4" s="3548"/>
      <c r="AA4" s="3548"/>
      <c r="AB4" s="1077"/>
      <c r="AC4" s="1077"/>
      <c r="AD4" s="1077"/>
      <c r="AE4" s="1077"/>
      <c r="AF4" s="1077"/>
      <c r="AG4" s="1077"/>
      <c r="AH4" s="1077"/>
    </row>
    <row r="5" spans="1:34" ht="30" customHeight="1" thickBot="1" x14ac:dyDescent="0.35">
      <c r="A5" s="3549"/>
      <c r="B5" s="3550"/>
      <c r="C5" s="3551" t="s">
        <v>3</v>
      </c>
      <c r="D5" s="3552"/>
      <c r="E5" s="3552"/>
      <c r="F5" s="3552"/>
      <c r="G5" s="3552"/>
      <c r="H5" s="3552"/>
      <c r="I5" s="3552"/>
      <c r="J5" s="3552"/>
      <c r="K5" s="3552"/>
      <c r="L5" s="3552"/>
      <c r="M5" s="3552"/>
      <c r="N5" s="3552"/>
      <c r="O5" s="3553"/>
      <c r="P5" s="3554" t="s">
        <v>4</v>
      </c>
      <c r="Q5" s="3555"/>
      <c r="R5" s="3555"/>
      <c r="S5" s="3555"/>
      <c r="T5" s="3555"/>
      <c r="U5" s="3555"/>
      <c r="V5" s="3668"/>
      <c r="W5" s="3668"/>
      <c r="X5" s="3555"/>
      <c r="Y5" s="3555"/>
      <c r="Z5" s="3555"/>
      <c r="AA5" s="3555"/>
      <c r="AB5" s="3555"/>
      <c r="AC5" s="1533"/>
      <c r="AD5" s="1534"/>
      <c r="AE5" s="1535"/>
      <c r="AF5" s="1535"/>
      <c r="AG5" s="1535"/>
      <c r="AH5" s="1536"/>
    </row>
    <row r="6" spans="1:34" ht="30" customHeight="1" thickBot="1" x14ac:dyDescent="0.35">
      <c r="A6" s="3528"/>
      <c r="B6" s="3531" t="s">
        <v>5</v>
      </c>
      <c r="C6" s="3671" t="s">
        <v>6</v>
      </c>
      <c r="D6" s="3672"/>
      <c r="E6" s="3673"/>
      <c r="F6" s="3676" t="s">
        <v>7</v>
      </c>
      <c r="G6" s="3675"/>
      <c r="H6" s="3676" t="s">
        <v>8</v>
      </c>
      <c r="I6" s="3675"/>
      <c r="J6" s="3669" t="s">
        <v>9</v>
      </c>
      <c r="K6" s="3678"/>
      <c r="L6" s="3669" t="s">
        <v>236</v>
      </c>
      <c r="M6" s="3670"/>
      <c r="N6" s="1537" t="s">
        <v>146</v>
      </c>
      <c r="O6" s="3671" t="s">
        <v>6</v>
      </c>
      <c r="P6" s="3672"/>
      <c r="Q6" s="3673"/>
      <c r="R6" s="3674" t="s">
        <v>7</v>
      </c>
      <c r="S6" s="3675"/>
      <c r="T6" s="3676" t="s">
        <v>8</v>
      </c>
      <c r="U6" s="3675"/>
      <c r="V6" s="3676" t="s">
        <v>9</v>
      </c>
      <c r="W6" s="3675"/>
      <c r="X6" s="3674" t="s">
        <v>236</v>
      </c>
      <c r="Y6" s="3675"/>
      <c r="Z6" s="1538" t="s">
        <v>147</v>
      </c>
      <c r="AA6" s="3517" t="s">
        <v>151</v>
      </c>
      <c r="AB6" s="3517" t="s">
        <v>152</v>
      </c>
      <c r="AC6" s="3677" t="s">
        <v>11</v>
      </c>
      <c r="AD6" s="3677" t="s">
        <v>12</v>
      </c>
    </row>
    <row r="7" spans="1:34" ht="30" customHeight="1" x14ac:dyDescent="0.3">
      <c r="A7" s="3529"/>
      <c r="B7" s="3532"/>
      <c r="C7" s="1539" t="s">
        <v>13</v>
      </c>
      <c r="D7" s="1540" t="s">
        <v>14</v>
      </c>
      <c r="E7" s="1541" t="s">
        <v>15</v>
      </c>
      <c r="F7" s="1539" t="s">
        <v>13</v>
      </c>
      <c r="G7" s="1541" t="s">
        <v>14</v>
      </c>
      <c r="H7" s="1539" t="s">
        <v>13</v>
      </c>
      <c r="I7" s="1541" t="s">
        <v>14</v>
      </c>
      <c r="J7" s="1539" t="s">
        <v>13</v>
      </c>
      <c r="K7" s="1542" t="s">
        <v>14</v>
      </c>
      <c r="L7" s="1543" t="s">
        <v>13</v>
      </c>
      <c r="M7" s="1541" t="s">
        <v>14</v>
      </c>
      <c r="N7" s="1544"/>
      <c r="O7" s="1539" t="s">
        <v>13</v>
      </c>
      <c r="P7" s="1540" t="s">
        <v>14</v>
      </c>
      <c r="Q7" s="1541" t="s">
        <v>67</v>
      </c>
      <c r="R7" s="1539" t="s">
        <v>13</v>
      </c>
      <c r="S7" s="1541" t="s">
        <v>14</v>
      </c>
      <c r="T7" s="1539" t="s">
        <v>13</v>
      </c>
      <c r="U7" s="1541" t="s">
        <v>14</v>
      </c>
      <c r="V7" s="1539" t="s">
        <v>13</v>
      </c>
      <c r="W7" s="1541" t="s">
        <v>14</v>
      </c>
      <c r="X7" s="1545" t="s">
        <v>13</v>
      </c>
      <c r="Y7" s="1541" t="s">
        <v>14</v>
      </c>
      <c r="Z7" s="1546"/>
      <c r="AA7" s="3518"/>
      <c r="AB7" s="3518"/>
      <c r="AC7" s="3677"/>
      <c r="AD7" s="3677"/>
    </row>
    <row r="8" spans="1:34" ht="30" customHeight="1" x14ac:dyDescent="0.3">
      <c r="A8" s="3530"/>
      <c r="B8" s="1392" t="s">
        <v>19</v>
      </c>
      <c r="C8" s="1547" t="s">
        <v>22</v>
      </c>
      <c r="D8" s="1547" t="s">
        <v>23</v>
      </c>
      <c r="E8" s="1548" t="s">
        <v>23</v>
      </c>
      <c r="F8" s="1549" t="s">
        <v>20</v>
      </c>
      <c r="G8" s="1548" t="s">
        <v>20</v>
      </c>
      <c r="H8" s="1549" t="s">
        <v>20</v>
      </c>
      <c r="I8" s="1550" t="s">
        <v>20</v>
      </c>
      <c r="J8" s="1551" t="s">
        <v>23</v>
      </c>
      <c r="K8" s="1552" t="s">
        <v>41</v>
      </c>
      <c r="L8" s="1547" t="s">
        <v>41</v>
      </c>
      <c r="M8" s="1550" t="s">
        <v>41</v>
      </c>
      <c r="N8" s="1553"/>
      <c r="O8" s="1547" t="s">
        <v>40</v>
      </c>
      <c r="P8" s="1010" t="s">
        <v>42</v>
      </c>
      <c r="Q8" s="1550" t="s">
        <v>43</v>
      </c>
      <c r="R8" s="1547" t="s">
        <v>40</v>
      </c>
      <c r="S8" s="1550" t="s">
        <v>40</v>
      </c>
      <c r="T8" s="1549" t="s">
        <v>25</v>
      </c>
      <c r="U8" s="1550" t="s">
        <v>25</v>
      </c>
      <c r="V8" s="1549" t="s">
        <v>25</v>
      </c>
      <c r="W8" s="1550" t="s">
        <v>25</v>
      </c>
      <c r="X8" s="1546" t="s">
        <v>43</v>
      </c>
      <c r="Y8" s="1550" t="s">
        <v>43</v>
      </c>
      <c r="Z8" s="1546" t="s">
        <v>237</v>
      </c>
      <c r="AA8" s="3519"/>
      <c r="AB8" s="3519"/>
      <c r="AC8" s="3677"/>
      <c r="AD8" s="3677"/>
    </row>
    <row r="9" spans="1:34" ht="30" customHeight="1" x14ac:dyDescent="0.3">
      <c r="A9" s="1010" t="s">
        <v>18</v>
      </c>
      <c r="B9" s="1395" t="s">
        <v>26</v>
      </c>
      <c r="C9" s="1547">
        <v>2</v>
      </c>
      <c r="D9" s="1010">
        <v>2</v>
      </c>
      <c r="E9" s="1550">
        <v>2</v>
      </c>
      <c r="F9" s="1547">
        <v>6</v>
      </c>
      <c r="G9" s="1550">
        <v>6</v>
      </c>
      <c r="H9" s="1547">
        <v>6</v>
      </c>
      <c r="I9" s="1550">
        <v>6</v>
      </c>
      <c r="J9" s="1547">
        <v>6</v>
      </c>
      <c r="K9" s="1396">
        <v>6</v>
      </c>
      <c r="L9" s="1547">
        <v>6</v>
      </c>
      <c r="M9" s="1550">
        <v>6</v>
      </c>
      <c r="N9" s="1553">
        <v>30</v>
      </c>
      <c r="O9" s="1547">
        <v>2</v>
      </c>
      <c r="P9" s="1010">
        <v>2</v>
      </c>
      <c r="Q9" s="1550">
        <v>2</v>
      </c>
      <c r="R9" s="1547">
        <v>6</v>
      </c>
      <c r="S9" s="1550">
        <v>6</v>
      </c>
      <c r="T9" s="1554">
        <v>6</v>
      </c>
      <c r="U9" s="1555">
        <v>6</v>
      </c>
      <c r="V9" s="1547">
        <v>6</v>
      </c>
      <c r="W9" s="1550">
        <v>6</v>
      </c>
      <c r="X9" s="1546">
        <v>6</v>
      </c>
      <c r="Y9" s="1550">
        <v>6</v>
      </c>
      <c r="Z9" s="1546">
        <v>30</v>
      </c>
      <c r="AA9" s="1010">
        <v>10</v>
      </c>
      <c r="AB9" s="1010">
        <v>10</v>
      </c>
      <c r="AC9" s="3677"/>
      <c r="AD9" s="3677"/>
      <c r="AE9" s="1011"/>
      <c r="AF9" s="1102"/>
    </row>
    <row r="10" spans="1:34" ht="30" customHeight="1" x14ac:dyDescent="0.3">
      <c r="A10" s="1010">
        <v>1</v>
      </c>
      <c r="B10" s="1556">
        <v>5191421001</v>
      </c>
      <c r="C10" s="1557">
        <v>2</v>
      </c>
      <c r="D10" s="1376"/>
      <c r="E10" s="1558">
        <v>2</v>
      </c>
      <c r="F10" s="1559">
        <v>2</v>
      </c>
      <c r="G10" s="1558">
        <v>5</v>
      </c>
      <c r="H10" s="1559"/>
      <c r="I10" s="1560"/>
      <c r="J10" s="1559">
        <v>4</v>
      </c>
      <c r="K10" s="1104">
        <v>3</v>
      </c>
      <c r="L10" s="1557"/>
      <c r="M10" s="1561"/>
      <c r="N10" s="1562">
        <f>SUM(C10:M10)</f>
        <v>18</v>
      </c>
      <c r="O10" s="1563">
        <v>2</v>
      </c>
      <c r="P10" s="1564">
        <v>2</v>
      </c>
      <c r="Q10" s="1565"/>
      <c r="R10" s="1563">
        <v>6</v>
      </c>
      <c r="S10" s="1561">
        <v>4</v>
      </c>
      <c r="T10" s="1566"/>
      <c r="U10" s="1567"/>
      <c r="V10" s="1557"/>
      <c r="W10" s="1561"/>
      <c r="X10" s="1568">
        <v>5</v>
      </c>
      <c r="Y10" s="1562"/>
      <c r="Z10" s="1569">
        <f>SUM(O10:Y10)</f>
        <v>19</v>
      </c>
      <c r="AA10" s="1570">
        <v>9</v>
      </c>
      <c r="AB10" s="1570">
        <v>9</v>
      </c>
      <c r="AC10" s="1571" t="s">
        <v>31</v>
      </c>
      <c r="AD10" s="1371">
        <f>IF(AC10="O",100,IF(AC10="A+",90,IF(AC10="A",80,IF(AC10="B+",70,IF(AC10="B",60,IF(AC10="C",55,IF(AC10="P",50,IF(AC10="F",39))))))))</f>
        <v>55</v>
      </c>
    </row>
    <row r="11" spans="1:34" ht="30" customHeight="1" x14ac:dyDescent="0.3">
      <c r="A11" s="1572">
        <v>2</v>
      </c>
      <c r="B11" s="1573">
        <v>5191421002</v>
      </c>
      <c r="C11" s="1574">
        <v>2</v>
      </c>
      <c r="D11" s="1575">
        <v>2</v>
      </c>
      <c r="E11" s="1576">
        <v>1</v>
      </c>
      <c r="F11" s="1574"/>
      <c r="G11" s="1576"/>
      <c r="H11" s="1574">
        <v>3</v>
      </c>
      <c r="I11" s="1577">
        <v>5</v>
      </c>
      <c r="J11" s="1574">
        <v>5</v>
      </c>
      <c r="K11" s="1578">
        <v>5</v>
      </c>
      <c r="L11" s="1557"/>
      <c r="M11" s="1561"/>
      <c r="N11" s="1562">
        <f t="shared" ref="N11:N67" si="0">SUM(C11:M11)</f>
        <v>23</v>
      </c>
      <c r="O11" s="1579">
        <v>2</v>
      </c>
      <c r="P11" s="1580">
        <v>2</v>
      </c>
      <c r="Q11" s="1581">
        <v>1</v>
      </c>
      <c r="R11" s="1563">
        <v>4</v>
      </c>
      <c r="S11" s="1561">
        <v>1</v>
      </c>
      <c r="T11" s="1566"/>
      <c r="U11" s="1567"/>
      <c r="V11" s="1557">
        <v>1</v>
      </c>
      <c r="W11" s="1561"/>
      <c r="X11" s="1582"/>
      <c r="Y11" s="1577"/>
      <c r="Z11" s="1569">
        <f t="shared" ref="Z11:Z67" si="1">SUM(O11:Y11)</f>
        <v>11</v>
      </c>
      <c r="AA11" s="1570">
        <v>10</v>
      </c>
      <c r="AB11" s="1570">
        <v>10</v>
      </c>
      <c r="AC11" s="1571" t="s">
        <v>31</v>
      </c>
      <c r="AD11" s="1371">
        <f t="shared" ref="AD11:AD67" si="2">IF(AC11="O",100,IF(AC11="A+",90,IF(AC11="A",80,IF(AC11="B+",70,IF(AC11="B",60,IF(AC11="C",55,IF(AC11="P",50,IF(AC11="F",39))))))))</f>
        <v>55</v>
      </c>
    </row>
    <row r="12" spans="1:34" s="1073" customFormat="1" ht="30" customHeight="1" x14ac:dyDescent="0.3">
      <c r="A12" s="1010">
        <v>3</v>
      </c>
      <c r="B12" s="1556">
        <v>5191421003</v>
      </c>
      <c r="C12" s="1563">
        <v>2</v>
      </c>
      <c r="D12" s="1564">
        <v>2</v>
      </c>
      <c r="E12" s="1565">
        <v>2</v>
      </c>
      <c r="F12" s="1563"/>
      <c r="G12" s="1561"/>
      <c r="H12" s="1557">
        <v>6</v>
      </c>
      <c r="I12" s="1561">
        <v>6</v>
      </c>
      <c r="J12" s="1557">
        <v>5</v>
      </c>
      <c r="K12" s="1583">
        <v>6</v>
      </c>
      <c r="L12" s="1557"/>
      <c r="M12" s="1561"/>
      <c r="N12" s="1562">
        <f t="shared" si="0"/>
        <v>29</v>
      </c>
      <c r="O12" s="1563"/>
      <c r="P12" s="1564"/>
      <c r="Q12" s="1565"/>
      <c r="R12" s="1563"/>
      <c r="S12" s="1561"/>
      <c r="T12" s="1566"/>
      <c r="U12" s="1567"/>
      <c r="V12" s="1557"/>
      <c r="W12" s="1561"/>
      <c r="X12" s="1568"/>
      <c r="Y12" s="1584"/>
      <c r="Z12" s="1569">
        <f t="shared" si="1"/>
        <v>0</v>
      </c>
      <c r="AA12" s="1570">
        <v>10</v>
      </c>
      <c r="AB12" s="1570">
        <v>10</v>
      </c>
      <c r="AC12" s="1585" t="s">
        <v>33</v>
      </c>
      <c r="AD12" s="1371">
        <f t="shared" si="2"/>
        <v>60</v>
      </c>
    </row>
    <row r="13" spans="1:34" s="1073" customFormat="1" ht="30" customHeight="1" x14ac:dyDescent="0.3">
      <c r="A13" s="1010">
        <v>4</v>
      </c>
      <c r="B13" s="1556">
        <v>5191421004</v>
      </c>
      <c r="C13" s="1557">
        <v>2</v>
      </c>
      <c r="D13" s="1564">
        <v>1</v>
      </c>
      <c r="E13" s="1565">
        <v>2</v>
      </c>
      <c r="F13" s="1563">
        <v>4</v>
      </c>
      <c r="G13" s="1561">
        <v>1</v>
      </c>
      <c r="H13" s="1557"/>
      <c r="I13" s="1561"/>
      <c r="J13" s="1557"/>
      <c r="K13" s="1583"/>
      <c r="L13" s="1557">
        <v>5</v>
      </c>
      <c r="M13" s="1561">
        <v>1</v>
      </c>
      <c r="N13" s="1562">
        <f t="shared" si="0"/>
        <v>16</v>
      </c>
      <c r="O13" s="1563">
        <v>2</v>
      </c>
      <c r="P13" s="1564">
        <v>1</v>
      </c>
      <c r="Q13" s="1565">
        <v>1</v>
      </c>
      <c r="R13" s="1563">
        <v>4</v>
      </c>
      <c r="S13" s="1561">
        <v>4</v>
      </c>
      <c r="T13" s="1566"/>
      <c r="U13" s="1567"/>
      <c r="V13" s="1557"/>
      <c r="W13" s="1561"/>
      <c r="X13" s="1568">
        <v>4</v>
      </c>
      <c r="Y13" s="1584">
        <v>0</v>
      </c>
      <c r="Z13" s="1569">
        <f t="shared" si="1"/>
        <v>16</v>
      </c>
      <c r="AA13" s="1570">
        <v>8</v>
      </c>
      <c r="AB13" s="1570">
        <v>8</v>
      </c>
      <c r="AC13" s="1571" t="s">
        <v>31</v>
      </c>
      <c r="AD13" s="1371">
        <f t="shared" si="2"/>
        <v>55</v>
      </c>
    </row>
    <row r="14" spans="1:34" ht="30" customHeight="1" x14ac:dyDescent="0.3">
      <c r="A14" s="1540">
        <v>5</v>
      </c>
      <c r="B14" s="1586">
        <v>5191421005</v>
      </c>
      <c r="C14" s="1587">
        <v>1</v>
      </c>
      <c r="D14" s="1588"/>
      <c r="E14" s="1589">
        <v>1</v>
      </c>
      <c r="F14" s="1587">
        <v>6</v>
      </c>
      <c r="G14" s="1590">
        <v>2</v>
      </c>
      <c r="H14" s="1591"/>
      <c r="I14" s="1592"/>
      <c r="J14" s="1591"/>
      <c r="K14" s="1593"/>
      <c r="L14" s="1557">
        <v>4</v>
      </c>
      <c r="M14" s="1561">
        <v>2</v>
      </c>
      <c r="N14" s="1562">
        <f t="shared" si="0"/>
        <v>16</v>
      </c>
      <c r="O14" s="1587">
        <v>2</v>
      </c>
      <c r="P14" s="1588">
        <v>1</v>
      </c>
      <c r="Q14" s="1589">
        <v>2</v>
      </c>
      <c r="R14" s="1563">
        <v>5</v>
      </c>
      <c r="S14" s="1561">
        <v>6</v>
      </c>
      <c r="T14" s="1566"/>
      <c r="U14" s="1567"/>
      <c r="V14" s="1557"/>
      <c r="W14" s="1561"/>
      <c r="X14" s="1594">
        <v>5</v>
      </c>
      <c r="Y14" s="1592"/>
      <c r="Z14" s="1569">
        <f t="shared" si="1"/>
        <v>21</v>
      </c>
      <c r="AA14" s="1570">
        <v>9</v>
      </c>
      <c r="AB14" s="1570">
        <v>9</v>
      </c>
      <c r="AC14" s="1571" t="s">
        <v>32</v>
      </c>
      <c r="AD14" s="1371">
        <f t="shared" si="2"/>
        <v>70</v>
      </c>
    </row>
    <row r="15" spans="1:34" ht="30" customHeight="1" x14ac:dyDescent="0.3">
      <c r="A15" s="1010">
        <v>6</v>
      </c>
      <c r="B15" s="1556">
        <v>5191421006</v>
      </c>
      <c r="C15" s="1563">
        <v>2</v>
      </c>
      <c r="D15" s="1564">
        <v>2</v>
      </c>
      <c r="E15" s="1565">
        <v>2</v>
      </c>
      <c r="F15" s="1563">
        <v>5</v>
      </c>
      <c r="G15" s="1561">
        <v>6</v>
      </c>
      <c r="H15" s="1557"/>
      <c r="I15" s="1584"/>
      <c r="J15" s="1557">
        <v>5</v>
      </c>
      <c r="K15" s="1583">
        <v>6</v>
      </c>
      <c r="L15" s="1557"/>
      <c r="M15" s="1561"/>
      <c r="N15" s="1562">
        <f t="shared" si="0"/>
        <v>28</v>
      </c>
      <c r="O15" s="1563">
        <v>2</v>
      </c>
      <c r="P15" s="1564">
        <v>2</v>
      </c>
      <c r="Q15" s="1565">
        <v>1</v>
      </c>
      <c r="R15" s="1563"/>
      <c r="S15" s="1561"/>
      <c r="T15" s="1566">
        <v>5</v>
      </c>
      <c r="U15" s="1567"/>
      <c r="V15" s="1557">
        <v>5</v>
      </c>
      <c r="W15" s="1561">
        <v>0</v>
      </c>
      <c r="X15" s="1568"/>
      <c r="Y15" s="1584"/>
      <c r="Z15" s="1569">
        <f t="shared" si="1"/>
        <v>15</v>
      </c>
      <c r="AA15" s="1570">
        <v>9</v>
      </c>
      <c r="AB15" s="1570">
        <v>9</v>
      </c>
      <c r="AC15" s="1571" t="s">
        <v>27</v>
      </c>
      <c r="AD15" s="1371">
        <f t="shared" si="2"/>
        <v>80</v>
      </c>
    </row>
    <row r="16" spans="1:34" ht="30" customHeight="1" x14ac:dyDescent="0.3">
      <c r="A16" s="1010">
        <v>7</v>
      </c>
      <c r="B16" s="1556">
        <v>5191421007</v>
      </c>
      <c r="C16" s="1563">
        <v>2</v>
      </c>
      <c r="D16" s="1564">
        <v>2</v>
      </c>
      <c r="E16" s="1565">
        <v>2</v>
      </c>
      <c r="F16" s="1563">
        <v>6</v>
      </c>
      <c r="G16" s="1561">
        <v>3</v>
      </c>
      <c r="H16" s="1557"/>
      <c r="I16" s="1584"/>
      <c r="J16" s="1557">
        <v>5</v>
      </c>
      <c r="K16" s="1583">
        <v>6</v>
      </c>
      <c r="L16" s="1557"/>
      <c r="M16" s="1561"/>
      <c r="N16" s="1562">
        <f t="shared" si="0"/>
        <v>26</v>
      </c>
      <c r="O16" s="1563">
        <v>2</v>
      </c>
      <c r="P16" s="1564">
        <v>2</v>
      </c>
      <c r="Q16" s="1565"/>
      <c r="R16" s="1563">
        <v>6</v>
      </c>
      <c r="S16" s="1561">
        <v>6</v>
      </c>
      <c r="T16" s="1566"/>
      <c r="U16" s="1567"/>
      <c r="V16" s="1557">
        <v>5</v>
      </c>
      <c r="W16" s="1561">
        <v>5</v>
      </c>
      <c r="X16" s="1568"/>
      <c r="Y16" s="1584"/>
      <c r="Z16" s="1569">
        <f t="shared" si="1"/>
        <v>26</v>
      </c>
      <c r="AA16" s="1570">
        <v>9</v>
      </c>
      <c r="AB16" s="1570">
        <v>9</v>
      </c>
      <c r="AC16" s="1571" t="s">
        <v>32</v>
      </c>
      <c r="AD16" s="1371">
        <f t="shared" si="2"/>
        <v>70</v>
      </c>
    </row>
    <row r="17" spans="1:30" ht="30" customHeight="1" x14ac:dyDescent="0.3">
      <c r="A17" s="1010">
        <v>8</v>
      </c>
      <c r="B17" s="1556">
        <v>5191421008</v>
      </c>
      <c r="C17" s="1563">
        <v>2</v>
      </c>
      <c r="D17" s="1564">
        <v>1</v>
      </c>
      <c r="E17" s="1565"/>
      <c r="F17" s="1563">
        <v>5</v>
      </c>
      <c r="G17" s="1561">
        <v>6</v>
      </c>
      <c r="H17" s="1557"/>
      <c r="I17" s="1584"/>
      <c r="J17" s="1557">
        <v>5</v>
      </c>
      <c r="K17" s="1583">
        <v>4</v>
      </c>
      <c r="L17" s="1557"/>
      <c r="M17" s="1561"/>
      <c r="N17" s="1562">
        <f t="shared" si="0"/>
        <v>23</v>
      </c>
      <c r="O17" s="1563">
        <v>0</v>
      </c>
      <c r="P17" s="1564">
        <v>1</v>
      </c>
      <c r="Q17" s="1565">
        <v>1</v>
      </c>
      <c r="R17" s="1563">
        <v>2</v>
      </c>
      <c r="S17" s="1561">
        <v>5</v>
      </c>
      <c r="T17" s="1566"/>
      <c r="U17" s="1567"/>
      <c r="V17" s="1557">
        <v>4</v>
      </c>
      <c r="W17" s="1561">
        <v>1</v>
      </c>
      <c r="X17" s="1568"/>
      <c r="Y17" s="1584"/>
      <c r="Z17" s="1569">
        <f t="shared" si="1"/>
        <v>14</v>
      </c>
      <c r="AA17" s="1570">
        <v>8</v>
      </c>
      <c r="AB17" s="1570">
        <v>8</v>
      </c>
      <c r="AC17" s="1571" t="s">
        <v>31</v>
      </c>
      <c r="AD17" s="1371">
        <f t="shared" si="2"/>
        <v>55</v>
      </c>
    </row>
    <row r="18" spans="1:30" ht="30" customHeight="1" x14ac:dyDescent="0.3">
      <c r="A18" s="1010">
        <v>9</v>
      </c>
      <c r="B18" s="1556">
        <v>5191421009</v>
      </c>
      <c r="C18" s="1595">
        <v>2</v>
      </c>
      <c r="D18" s="1371">
        <v>1</v>
      </c>
      <c r="E18" s="1584">
        <v>2</v>
      </c>
      <c r="F18" s="1557">
        <v>5</v>
      </c>
      <c r="G18" s="1561">
        <v>4</v>
      </c>
      <c r="H18" s="1557"/>
      <c r="I18" s="1584"/>
      <c r="J18" s="1557">
        <v>5</v>
      </c>
      <c r="K18" s="1583">
        <v>6</v>
      </c>
      <c r="L18" s="1557"/>
      <c r="M18" s="1561"/>
      <c r="N18" s="1562">
        <f t="shared" si="0"/>
        <v>25</v>
      </c>
      <c r="O18" s="1563">
        <v>1</v>
      </c>
      <c r="P18" s="1564">
        <v>2</v>
      </c>
      <c r="Q18" s="1565">
        <v>2</v>
      </c>
      <c r="R18" s="1563">
        <v>5</v>
      </c>
      <c r="S18" s="1561">
        <v>6</v>
      </c>
      <c r="T18" s="1566"/>
      <c r="U18" s="1567"/>
      <c r="V18" s="1557">
        <v>6</v>
      </c>
      <c r="W18" s="1561">
        <v>0</v>
      </c>
      <c r="X18" s="1568"/>
      <c r="Y18" s="1584"/>
      <c r="Z18" s="1569">
        <f t="shared" si="1"/>
        <v>22</v>
      </c>
      <c r="AA18" s="1570">
        <v>10</v>
      </c>
      <c r="AB18" s="1570">
        <v>10</v>
      </c>
      <c r="AC18" s="1571" t="s">
        <v>27</v>
      </c>
      <c r="AD18" s="1371">
        <f t="shared" si="2"/>
        <v>80</v>
      </c>
    </row>
    <row r="19" spans="1:30" ht="30" customHeight="1" x14ac:dyDescent="0.3">
      <c r="A19" s="1010">
        <v>10</v>
      </c>
      <c r="B19" s="1556">
        <v>5191421010</v>
      </c>
      <c r="C19" s="1563">
        <v>2</v>
      </c>
      <c r="D19" s="1564">
        <v>1</v>
      </c>
      <c r="E19" s="1565">
        <v>2</v>
      </c>
      <c r="F19" s="1563">
        <v>6</v>
      </c>
      <c r="G19" s="1561">
        <v>5</v>
      </c>
      <c r="H19" s="1557"/>
      <c r="I19" s="1584"/>
      <c r="J19" s="1557">
        <v>5</v>
      </c>
      <c r="K19" s="1583">
        <v>6</v>
      </c>
      <c r="L19" s="1557"/>
      <c r="M19" s="1561"/>
      <c r="N19" s="1562">
        <f t="shared" si="0"/>
        <v>27</v>
      </c>
      <c r="O19" s="1563">
        <v>2</v>
      </c>
      <c r="P19" s="1564">
        <v>2</v>
      </c>
      <c r="Q19" s="1565">
        <v>1</v>
      </c>
      <c r="R19" s="1563">
        <v>6</v>
      </c>
      <c r="S19" s="1561">
        <v>6</v>
      </c>
      <c r="T19" s="1566"/>
      <c r="U19" s="1567"/>
      <c r="V19" s="1557">
        <v>6</v>
      </c>
      <c r="W19" s="1561">
        <v>2</v>
      </c>
      <c r="X19" s="1568"/>
      <c r="Y19" s="1584"/>
      <c r="Z19" s="1569">
        <f t="shared" si="1"/>
        <v>25</v>
      </c>
      <c r="AA19" s="1570">
        <v>10</v>
      </c>
      <c r="AB19" s="1570">
        <v>10</v>
      </c>
      <c r="AC19" s="1571" t="s">
        <v>27</v>
      </c>
      <c r="AD19" s="1371">
        <f t="shared" si="2"/>
        <v>80</v>
      </c>
    </row>
    <row r="20" spans="1:30" ht="30" customHeight="1" x14ac:dyDescent="0.3">
      <c r="A20" s="1010">
        <v>11</v>
      </c>
      <c r="B20" s="1556">
        <v>5191421011</v>
      </c>
      <c r="C20" s="1563">
        <v>2</v>
      </c>
      <c r="D20" s="1564">
        <v>2</v>
      </c>
      <c r="E20" s="1565">
        <v>2</v>
      </c>
      <c r="F20" s="1563"/>
      <c r="G20" s="1561"/>
      <c r="H20" s="1557">
        <v>6</v>
      </c>
      <c r="I20" s="1584">
        <v>5</v>
      </c>
      <c r="J20" s="1557">
        <v>5</v>
      </c>
      <c r="K20" s="1583">
        <v>6</v>
      </c>
      <c r="L20" s="1557"/>
      <c r="M20" s="1561"/>
      <c r="N20" s="1562">
        <f t="shared" si="0"/>
        <v>28</v>
      </c>
      <c r="O20" s="1563">
        <v>1</v>
      </c>
      <c r="P20" s="1564">
        <v>2</v>
      </c>
      <c r="Q20" s="1565">
        <v>1</v>
      </c>
      <c r="R20" s="1563">
        <v>6</v>
      </c>
      <c r="S20" s="1561">
        <v>5</v>
      </c>
      <c r="T20" s="1566"/>
      <c r="U20" s="1567"/>
      <c r="V20" s="1557"/>
      <c r="W20" s="1561"/>
      <c r="X20" s="1568">
        <v>5</v>
      </c>
      <c r="Y20" s="1584"/>
      <c r="Z20" s="1569">
        <f t="shared" si="1"/>
        <v>20</v>
      </c>
      <c r="AA20" s="1570">
        <v>10</v>
      </c>
      <c r="AB20" s="1570">
        <v>10</v>
      </c>
      <c r="AC20" s="1571" t="s">
        <v>27</v>
      </c>
      <c r="AD20" s="1371">
        <f t="shared" si="2"/>
        <v>80</v>
      </c>
    </row>
    <row r="21" spans="1:30" ht="30" customHeight="1" x14ac:dyDescent="0.3">
      <c r="A21" s="1010">
        <v>12</v>
      </c>
      <c r="B21" s="1556">
        <v>5191421012</v>
      </c>
      <c r="C21" s="1563">
        <v>2</v>
      </c>
      <c r="D21" s="1564"/>
      <c r="E21" s="1565">
        <v>1</v>
      </c>
      <c r="F21" s="1563">
        <v>5</v>
      </c>
      <c r="G21" s="1561">
        <v>2</v>
      </c>
      <c r="H21" s="1557"/>
      <c r="I21" s="1584"/>
      <c r="J21" s="1557"/>
      <c r="K21" s="1583"/>
      <c r="L21" s="1557">
        <v>4</v>
      </c>
      <c r="M21" s="1561">
        <v>2</v>
      </c>
      <c r="N21" s="1562">
        <f t="shared" si="0"/>
        <v>16</v>
      </c>
      <c r="O21" s="1563">
        <v>1</v>
      </c>
      <c r="P21" s="1564">
        <v>1</v>
      </c>
      <c r="Q21" s="1565"/>
      <c r="R21" s="1563">
        <v>2</v>
      </c>
      <c r="S21" s="1561">
        <v>5</v>
      </c>
      <c r="T21" s="1566"/>
      <c r="U21" s="1567"/>
      <c r="V21" s="1557"/>
      <c r="W21" s="1561"/>
      <c r="X21" s="1568">
        <v>5</v>
      </c>
      <c r="Y21" s="1584"/>
      <c r="Z21" s="1569">
        <f t="shared" si="1"/>
        <v>14</v>
      </c>
      <c r="AA21" s="1570">
        <v>8</v>
      </c>
      <c r="AB21" s="1570">
        <v>8</v>
      </c>
      <c r="AC21" s="1571" t="s">
        <v>31</v>
      </c>
      <c r="AD21" s="1371">
        <f t="shared" si="2"/>
        <v>55</v>
      </c>
    </row>
    <row r="22" spans="1:30" ht="30" customHeight="1" x14ac:dyDescent="0.3">
      <c r="A22" s="1010">
        <v>13</v>
      </c>
      <c r="B22" s="1556">
        <v>5191421013</v>
      </c>
      <c r="C22" s="1563">
        <v>2</v>
      </c>
      <c r="D22" s="1564">
        <v>1</v>
      </c>
      <c r="E22" s="1565">
        <v>2</v>
      </c>
      <c r="F22" s="1563">
        <v>6</v>
      </c>
      <c r="G22" s="1561">
        <v>6</v>
      </c>
      <c r="H22" s="1557"/>
      <c r="I22" s="1584"/>
      <c r="J22" s="1557">
        <v>5</v>
      </c>
      <c r="K22" s="1583">
        <v>6</v>
      </c>
      <c r="L22" s="1557"/>
      <c r="M22" s="1561"/>
      <c r="N22" s="1562">
        <f t="shared" si="0"/>
        <v>28</v>
      </c>
      <c r="O22" s="1563">
        <v>2</v>
      </c>
      <c r="P22" s="1564">
        <v>2</v>
      </c>
      <c r="Q22" s="1565">
        <v>1</v>
      </c>
      <c r="R22" s="1563">
        <v>6</v>
      </c>
      <c r="S22" s="1561">
        <v>6</v>
      </c>
      <c r="T22" s="1566"/>
      <c r="U22" s="1567"/>
      <c r="V22" s="1557">
        <v>6</v>
      </c>
      <c r="W22" s="1561">
        <v>1</v>
      </c>
      <c r="X22" s="1568"/>
      <c r="Y22" s="1584"/>
      <c r="Z22" s="1569">
        <f t="shared" si="1"/>
        <v>24</v>
      </c>
      <c r="AA22" s="1570">
        <v>9</v>
      </c>
      <c r="AB22" s="1570">
        <v>9</v>
      </c>
      <c r="AC22" s="1571" t="s">
        <v>27</v>
      </c>
      <c r="AD22" s="1371">
        <f t="shared" si="2"/>
        <v>80</v>
      </c>
    </row>
    <row r="23" spans="1:30" ht="30" customHeight="1" x14ac:dyDescent="0.3">
      <c r="A23" s="1010">
        <v>14</v>
      </c>
      <c r="B23" s="1556">
        <v>5191421014</v>
      </c>
      <c r="C23" s="1563">
        <v>1</v>
      </c>
      <c r="D23" s="1564"/>
      <c r="E23" s="1565">
        <v>0</v>
      </c>
      <c r="F23" s="1563"/>
      <c r="G23" s="1561"/>
      <c r="H23" s="1557">
        <v>3</v>
      </c>
      <c r="I23" s="1584">
        <v>5</v>
      </c>
      <c r="J23" s="1557">
        <v>5</v>
      </c>
      <c r="K23" s="1583">
        <v>4</v>
      </c>
      <c r="L23" s="1557"/>
      <c r="M23" s="1561"/>
      <c r="N23" s="1562">
        <f t="shared" si="0"/>
        <v>18</v>
      </c>
      <c r="O23" s="1563">
        <v>1</v>
      </c>
      <c r="P23" s="1564">
        <v>1</v>
      </c>
      <c r="Q23" s="1565">
        <v>1</v>
      </c>
      <c r="R23" s="1563"/>
      <c r="S23" s="1561">
        <v>5</v>
      </c>
      <c r="T23" s="1566"/>
      <c r="U23" s="1567"/>
      <c r="V23" s="1557">
        <v>4</v>
      </c>
      <c r="W23" s="1561"/>
      <c r="X23" s="1568"/>
      <c r="Y23" s="1584"/>
      <c r="Z23" s="1569">
        <f t="shared" si="1"/>
        <v>12</v>
      </c>
      <c r="AA23" s="1570">
        <v>9</v>
      </c>
      <c r="AB23" s="1570">
        <v>9</v>
      </c>
      <c r="AC23" s="1571" t="s">
        <v>33</v>
      </c>
      <c r="AD23" s="1371">
        <f t="shared" si="2"/>
        <v>60</v>
      </c>
    </row>
    <row r="24" spans="1:30" ht="30" customHeight="1" x14ac:dyDescent="0.3">
      <c r="A24" s="1010">
        <v>15</v>
      </c>
      <c r="B24" s="1556">
        <v>5191421015</v>
      </c>
      <c r="C24" s="1563">
        <v>2</v>
      </c>
      <c r="D24" s="1564">
        <v>0</v>
      </c>
      <c r="E24" s="1565">
        <v>2</v>
      </c>
      <c r="F24" s="1563">
        <v>6</v>
      </c>
      <c r="G24" s="1561">
        <v>5</v>
      </c>
      <c r="H24" s="1557">
        <v>5</v>
      </c>
      <c r="I24" s="1584">
        <v>2</v>
      </c>
      <c r="J24" s="1557"/>
      <c r="K24" s="1583"/>
      <c r="L24" s="1557"/>
      <c r="M24" s="1561"/>
      <c r="N24" s="1562">
        <f t="shared" si="0"/>
        <v>22</v>
      </c>
      <c r="O24" s="1563">
        <v>2</v>
      </c>
      <c r="P24" s="1564">
        <v>2</v>
      </c>
      <c r="Q24" s="1565">
        <v>2</v>
      </c>
      <c r="R24" s="1563">
        <v>6</v>
      </c>
      <c r="S24" s="1561">
        <v>6</v>
      </c>
      <c r="T24" s="1566"/>
      <c r="U24" s="1567"/>
      <c r="V24" s="1557"/>
      <c r="W24" s="1561"/>
      <c r="X24" s="1568">
        <v>5</v>
      </c>
      <c r="Y24" s="1584">
        <v>1</v>
      </c>
      <c r="Z24" s="1569">
        <f t="shared" si="1"/>
        <v>24</v>
      </c>
      <c r="AA24" s="1570">
        <v>9</v>
      </c>
      <c r="AB24" s="1570">
        <v>9</v>
      </c>
      <c r="AC24" s="1571" t="s">
        <v>32</v>
      </c>
      <c r="AD24" s="1371">
        <f t="shared" si="2"/>
        <v>70</v>
      </c>
    </row>
    <row r="25" spans="1:30" ht="30" customHeight="1" x14ac:dyDescent="0.3">
      <c r="A25" s="1010">
        <v>16</v>
      </c>
      <c r="B25" s="1556">
        <v>5191421016</v>
      </c>
      <c r="C25" s="1563"/>
      <c r="D25" s="1564"/>
      <c r="E25" s="1565"/>
      <c r="F25" s="1563"/>
      <c r="G25" s="1596"/>
      <c r="H25" s="1597"/>
      <c r="I25" s="1584"/>
      <c r="J25" s="1557"/>
      <c r="K25" s="1583"/>
      <c r="L25" s="1557"/>
      <c r="M25" s="1561"/>
      <c r="N25" s="1562">
        <f t="shared" si="0"/>
        <v>0</v>
      </c>
      <c r="O25" s="1563"/>
      <c r="P25" s="1564"/>
      <c r="Q25" s="1565"/>
      <c r="R25" s="1563"/>
      <c r="S25" s="1561"/>
      <c r="T25" s="1566"/>
      <c r="U25" s="1567"/>
      <c r="V25" s="1557"/>
      <c r="W25" s="1561"/>
      <c r="X25" s="1568"/>
      <c r="Y25" s="1584"/>
      <c r="Z25" s="1569">
        <f t="shared" si="1"/>
        <v>0</v>
      </c>
      <c r="AA25" s="1570">
        <v>10</v>
      </c>
      <c r="AB25" s="1570">
        <v>10</v>
      </c>
      <c r="AC25" s="1571" t="s">
        <v>29</v>
      </c>
      <c r="AD25" s="1371">
        <f t="shared" si="2"/>
        <v>39</v>
      </c>
    </row>
    <row r="26" spans="1:30" ht="30" customHeight="1" x14ac:dyDescent="0.3">
      <c r="A26" s="1010">
        <v>17</v>
      </c>
      <c r="B26" s="1556">
        <v>5191421017</v>
      </c>
      <c r="C26" s="1563">
        <v>2</v>
      </c>
      <c r="D26" s="1564">
        <v>2</v>
      </c>
      <c r="E26" s="1565"/>
      <c r="F26" s="1563"/>
      <c r="G26" s="1561"/>
      <c r="H26" s="1557">
        <v>5</v>
      </c>
      <c r="I26" s="1584">
        <v>6</v>
      </c>
      <c r="J26" s="1557"/>
      <c r="K26" s="1583"/>
      <c r="L26" s="1557">
        <v>5</v>
      </c>
      <c r="M26" s="1561">
        <v>3</v>
      </c>
      <c r="N26" s="1562">
        <f t="shared" si="0"/>
        <v>23</v>
      </c>
      <c r="O26" s="1563">
        <v>2</v>
      </c>
      <c r="P26" s="1564">
        <v>1</v>
      </c>
      <c r="Q26" s="1565">
        <v>1</v>
      </c>
      <c r="R26" s="1563">
        <v>5</v>
      </c>
      <c r="S26" s="1561">
        <v>5</v>
      </c>
      <c r="T26" s="1566"/>
      <c r="U26" s="1567"/>
      <c r="V26" s="1557"/>
      <c r="W26" s="1561"/>
      <c r="X26" s="1568">
        <v>6</v>
      </c>
      <c r="Y26" s="1584"/>
      <c r="Z26" s="1569">
        <f t="shared" si="1"/>
        <v>20</v>
      </c>
      <c r="AA26" s="1570">
        <v>9</v>
      </c>
      <c r="AB26" s="1570">
        <v>9</v>
      </c>
      <c r="AC26" s="1571" t="s">
        <v>32</v>
      </c>
      <c r="AD26" s="1371">
        <f t="shared" si="2"/>
        <v>70</v>
      </c>
    </row>
    <row r="27" spans="1:30" ht="30" customHeight="1" x14ac:dyDescent="0.3">
      <c r="A27" s="1010">
        <v>18</v>
      </c>
      <c r="B27" s="1556">
        <v>5191421018</v>
      </c>
      <c r="C27" s="1557">
        <v>1</v>
      </c>
      <c r="D27" s="1564">
        <v>1</v>
      </c>
      <c r="E27" s="1565"/>
      <c r="F27" s="1563">
        <v>1</v>
      </c>
      <c r="G27" s="1561">
        <v>0</v>
      </c>
      <c r="H27" s="1557"/>
      <c r="I27" s="1584"/>
      <c r="J27" s="1557"/>
      <c r="K27" s="1583"/>
      <c r="L27" s="1557"/>
      <c r="M27" s="1561">
        <v>0</v>
      </c>
      <c r="N27" s="1562">
        <f t="shared" si="0"/>
        <v>3</v>
      </c>
      <c r="O27" s="1563">
        <v>0</v>
      </c>
      <c r="P27" s="1564">
        <v>1</v>
      </c>
      <c r="Q27" s="1565"/>
      <c r="R27" s="1563">
        <v>3</v>
      </c>
      <c r="S27" s="1561">
        <v>2</v>
      </c>
      <c r="T27" s="1566"/>
      <c r="U27" s="1567"/>
      <c r="V27" s="1557">
        <v>2</v>
      </c>
      <c r="W27" s="1561">
        <v>1</v>
      </c>
      <c r="X27" s="1568"/>
      <c r="Y27" s="1584"/>
      <c r="Z27" s="1569">
        <f t="shared" si="1"/>
        <v>9</v>
      </c>
      <c r="AA27" s="1570">
        <v>8</v>
      </c>
      <c r="AB27" s="1570">
        <v>8</v>
      </c>
      <c r="AC27" s="1571" t="s">
        <v>29</v>
      </c>
      <c r="AD27" s="1371">
        <f t="shared" si="2"/>
        <v>39</v>
      </c>
    </row>
    <row r="28" spans="1:30" ht="30" customHeight="1" x14ac:dyDescent="0.3">
      <c r="A28" s="1010">
        <v>19</v>
      </c>
      <c r="B28" s="1556">
        <v>5191421019</v>
      </c>
      <c r="C28" s="1563">
        <v>2</v>
      </c>
      <c r="D28" s="1371">
        <v>1</v>
      </c>
      <c r="E28" s="1561">
        <v>1</v>
      </c>
      <c r="F28" s="1557"/>
      <c r="G28" s="1561"/>
      <c r="H28" s="1557">
        <v>6</v>
      </c>
      <c r="I28" s="1584">
        <v>6</v>
      </c>
      <c r="J28" s="1557"/>
      <c r="K28" s="1583"/>
      <c r="L28" s="1557">
        <v>5</v>
      </c>
      <c r="M28" s="1561">
        <v>5</v>
      </c>
      <c r="N28" s="1562">
        <f t="shared" si="0"/>
        <v>26</v>
      </c>
      <c r="O28" s="1563">
        <v>2</v>
      </c>
      <c r="P28" s="1371">
        <v>2</v>
      </c>
      <c r="Q28" s="1561">
        <v>1</v>
      </c>
      <c r="R28" s="1557">
        <v>6</v>
      </c>
      <c r="S28" s="1561">
        <v>6</v>
      </c>
      <c r="T28" s="1566"/>
      <c r="U28" s="1567"/>
      <c r="V28" s="1557">
        <v>6</v>
      </c>
      <c r="W28" s="1561">
        <v>5</v>
      </c>
      <c r="X28" s="1568"/>
      <c r="Y28" s="1584"/>
      <c r="Z28" s="1569">
        <f t="shared" si="1"/>
        <v>28</v>
      </c>
      <c r="AA28" s="1570">
        <v>10</v>
      </c>
      <c r="AB28" s="1570">
        <v>10</v>
      </c>
      <c r="AC28" s="1571" t="s">
        <v>82</v>
      </c>
      <c r="AD28" s="1371">
        <f t="shared" si="2"/>
        <v>100</v>
      </c>
    </row>
    <row r="29" spans="1:30" ht="30" customHeight="1" x14ac:dyDescent="0.3">
      <c r="A29" s="1010">
        <v>20</v>
      </c>
      <c r="B29" s="1556">
        <v>5191421020</v>
      </c>
      <c r="C29" s="1557">
        <v>2</v>
      </c>
      <c r="D29" s="1371">
        <v>1</v>
      </c>
      <c r="E29" s="1561">
        <v>2</v>
      </c>
      <c r="F29" s="1557"/>
      <c r="G29" s="1561"/>
      <c r="H29" s="1557"/>
      <c r="I29" s="1584"/>
      <c r="J29" s="1557">
        <v>5</v>
      </c>
      <c r="K29" s="1583">
        <v>5</v>
      </c>
      <c r="L29" s="1557">
        <v>5</v>
      </c>
      <c r="M29" s="1561">
        <v>6</v>
      </c>
      <c r="N29" s="1562">
        <f t="shared" si="0"/>
        <v>26</v>
      </c>
      <c r="O29" s="1557">
        <v>2</v>
      </c>
      <c r="P29" s="1371">
        <v>2</v>
      </c>
      <c r="Q29" s="1561">
        <v>1</v>
      </c>
      <c r="R29" s="1557">
        <v>5</v>
      </c>
      <c r="S29" s="1561">
        <v>2</v>
      </c>
      <c r="T29" s="1566"/>
      <c r="U29" s="1567"/>
      <c r="V29" s="1557">
        <v>6</v>
      </c>
      <c r="W29" s="1561">
        <v>2</v>
      </c>
      <c r="X29" s="1568"/>
      <c r="Y29" s="1584"/>
      <c r="Z29" s="1569">
        <f t="shared" si="1"/>
        <v>20</v>
      </c>
      <c r="AA29" s="1570">
        <v>10</v>
      </c>
      <c r="AB29" s="1570">
        <v>10</v>
      </c>
      <c r="AC29" s="1571" t="s">
        <v>27</v>
      </c>
      <c r="AD29" s="1371">
        <f t="shared" si="2"/>
        <v>80</v>
      </c>
    </row>
    <row r="30" spans="1:30" ht="30" customHeight="1" x14ac:dyDescent="0.3">
      <c r="A30" s="1010">
        <v>21</v>
      </c>
      <c r="B30" s="1556">
        <v>5191421021</v>
      </c>
      <c r="C30" s="1563">
        <v>2</v>
      </c>
      <c r="D30" s="1371">
        <v>2</v>
      </c>
      <c r="E30" s="1561">
        <v>1</v>
      </c>
      <c r="F30" s="1557">
        <v>5</v>
      </c>
      <c r="G30" s="1561">
        <v>3</v>
      </c>
      <c r="H30" s="1557"/>
      <c r="I30" s="1584"/>
      <c r="J30" s="1557">
        <v>5</v>
      </c>
      <c r="K30" s="1583">
        <v>2</v>
      </c>
      <c r="L30" s="1557"/>
      <c r="M30" s="1561"/>
      <c r="N30" s="1562">
        <f t="shared" si="0"/>
        <v>20</v>
      </c>
      <c r="O30" s="1563">
        <v>2</v>
      </c>
      <c r="P30" s="1371">
        <v>2</v>
      </c>
      <c r="Q30" s="1561"/>
      <c r="R30" s="1557">
        <v>5</v>
      </c>
      <c r="S30" s="1561">
        <v>4</v>
      </c>
      <c r="T30" s="1557"/>
      <c r="U30" s="1561"/>
      <c r="V30" s="1557">
        <v>3</v>
      </c>
      <c r="W30" s="1561">
        <v>0</v>
      </c>
      <c r="X30" s="1568"/>
      <c r="Y30" s="1584"/>
      <c r="Z30" s="1569">
        <f t="shared" si="1"/>
        <v>16</v>
      </c>
      <c r="AA30" s="1570">
        <v>10</v>
      </c>
      <c r="AB30" s="1570">
        <v>10</v>
      </c>
      <c r="AC30" s="1571" t="s">
        <v>33</v>
      </c>
      <c r="AD30" s="1371">
        <f t="shared" si="2"/>
        <v>60</v>
      </c>
    </row>
    <row r="31" spans="1:30" ht="30" customHeight="1" x14ac:dyDescent="0.3">
      <c r="A31" s="1010">
        <v>22</v>
      </c>
      <c r="B31" s="1556">
        <v>5191421022</v>
      </c>
      <c r="C31" s="1559">
        <v>2</v>
      </c>
      <c r="D31" s="1376"/>
      <c r="E31" s="1558">
        <v>1</v>
      </c>
      <c r="F31" s="1559">
        <v>5</v>
      </c>
      <c r="G31" s="1558">
        <v>4</v>
      </c>
      <c r="H31" s="1559"/>
      <c r="I31" s="1558"/>
      <c r="J31" s="1559">
        <v>4</v>
      </c>
      <c r="K31" s="1379">
        <v>2</v>
      </c>
      <c r="L31" s="1557"/>
      <c r="M31" s="1561"/>
      <c r="N31" s="1562">
        <f t="shared" si="0"/>
        <v>18</v>
      </c>
      <c r="O31" s="1563">
        <v>2</v>
      </c>
      <c r="P31" s="1371">
        <v>2</v>
      </c>
      <c r="Q31" s="1561">
        <v>1</v>
      </c>
      <c r="R31" s="1557"/>
      <c r="S31" s="1561">
        <v>4</v>
      </c>
      <c r="T31" s="1557"/>
      <c r="U31" s="1561"/>
      <c r="V31" s="1557"/>
      <c r="W31" s="1561"/>
      <c r="X31" s="1568">
        <v>5</v>
      </c>
      <c r="Y31" s="1584"/>
      <c r="Z31" s="1569">
        <f t="shared" si="1"/>
        <v>14</v>
      </c>
      <c r="AA31" s="1570">
        <v>8</v>
      </c>
      <c r="AB31" s="1570">
        <v>8</v>
      </c>
      <c r="AC31" s="1571" t="s">
        <v>33</v>
      </c>
      <c r="AD31" s="1371">
        <f t="shared" si="2"/>
        <v>60</v>
      </c>
    </row>
    <row r="32" spans="1:30" ht="30" customHeight="1" x14ac:dyDescent="0.3">
      <c r="A32" s="1010">
        <v>23</v>
      </c>
      <c r="B32" s="1556">
        <v>5191421023</v>
      </c>
      <c r="C32" s="1563">
        <v>2</v>
      </c>
      <c r="D32" s="1371"/>
      <c r="E32" s="1561">
        <v>1</v>
      </c>
      <c r="F32" s="1557">
        <v>4</v>
      </c>
      <c r="G32" s="1561">
        <v>5</v>
      </c>
      <c r="H32" s="1557"/>
      <c r="I32" s="1584"/>
      <c r="J32" s="1557">
        <v>3</v>
      </c>
      <c r="K32" s="1583">
        <v>3</v>
      </c>
      <c r="L32" s="1557"/>
      <c r="M32" s="1561"/>
      <c r="N32" s="1562">
        <f t="shared" si="0"/>
        <v>18</v>
      </c>
      <c r="O32" s="1563"/>
      <c r="P32" s="1371">
        <v>1</v>
      </c>
      <c r="Q32" s="1561"/>
      <c r="R32" s="1557">
        <v>2</v>
      </c>
      <c r="S32" s="1561">
        <v>2</v>
      </c>
      <c r="T32" s="1557"/>
      <c r="U32" s="1561"/>
      <c r="V32" s="1557"/>
      <c r="W32" s="1561"/>
      <c r="X32" s="1568">
        <v>5</v>
      </c>
      <c r="Y32" s="1584"/>
      <c r="Z32" s="1569">
        <f t="shared" si="1"/>
        <v>10</v>
      </c>
      <c r="AA32" s="1570">
        <v>8</v>
      </c>
      <c r="AB32" s="1570">
        <v>8</v>
      </c>
      <c r="AC32" s="1571" t="s">
        <v>28</v>
      </c>
      <c r="AD32" s="1371">
        <f t="shared" si="2"/>
        <v>50</v>
      </c>
    </row>
    <row r="33" spans="1:30" ht="30" customHeight="1" x14ac:dyDescent="0.3">
      <c r="A33" s="1010">
        <v>24</v>
      </c>
      <c r="B33" s="1556">
        <v>5191421024</v>
      </c>
      <c r="C33" s="1563">
        <v>2</v>
      </c>
      <c r="D33" s="1371">
        <v>1</v>
      </c>
      <c r="E33" s="1561">
        <v>1</v>
      </c>
      <c r="F33" s="1557"/>
      <c r="G33" s="1561">
        <v>4</v>
      </c>
      <c r="H33" s="1557"/>
      <c r="I33" s="1584"/>
      <c r="J33" s="1557"/>
      <c r="K33" s="1583"/>
      <c r="L33" s="1557">
        <v>1</v>
      </c>
      <c r="M33" s="1561"/>
      <c r="N33" s="1562">
        <f t="shared" si="0"/>
        <v>9</v>
      </c>
      <c r="O33" s="1563">
        <v>1</v>
      </c>
      <c r="P33" s="1371">
        <v>0</v>
      </c>
      <c r="Q33" s="1561">
        <v>1</v>
      </c>
      <c r="R33" s="1557">
        <v>5</v>
      </c>
      <c r="S33" s="1561">
        <v>4</v>
      </c>
      <c r="T33" s="1557"/>
      <c r="U33" s="1561"/>
      <c r="V33" s="1557">
        <v>4</v>
      </c>
      <c r="W33" s="1561">
        <v>1</v>
      </c>
      <c r="X33" s="1568"/>
      <c r="Y33" s="1584"/>
      <c r="Z33" s="1569">
        <f t="shared" si="1"/>
        <v>16</v>
      </c>
      <c r="AA33" s="1570">
        <v>7</v>
      </c>
      <c r="AB33" s="1570">
        <v>7</v>
      </c>
      <c r="AC33" s="1571" t="s">
        <v>28</v>
      </c>
      <c r="AD33" s="1371">
        <f t="shared" si="2"/>
        <v>50</v>
      </c>
    </row>
    <row r="34" spans="1:30" ht="30" customHeight="1" x14ac:dyDescent="0.3">
      <c r="A34" s="1010">
        <v>25</v>
      </c>
      <c r="B34" s="1556">
        <v>5191421025</v>
      </c>
      <c r="C34" s="1563">
        <v>2</v>
      </c>
      <c r="D34" s="1371">
        <v>1</v>
      </c>
      <c r="E34" s="1561">
        <v>2</v>
      </c>
      <c r="F34" s="1557"/>
      <c r="G34" s="1561"/>
      <c r="H34" s="1557">
        <v>6</v>
      </c>
      <c r="I34" s="1584">
        <v>6</v>
      </c>
      <c r="J34" s="1557"/>
      <c r="K34" s="1583"/>
      <c r="L34" s="1557">
        <v>6</v>
      </c>
      <c r="M34" s="1561">
        <v>5</v>
      </c>
      <c r="N34" s="1562">
        <f t="shared" si="0"/>
        <v>28</v>
      </c>
      <c r="O34" s="1563">
        <v>2</v>
      </c>
      <c r="P34" s="1371">
        <v>2</v>
      </c>
      <c r="Q34" s="1561">
        <v>2</v>
      </c>
      <c r="R34" s="1557">
        <v>6</v>
      </c>
      <c r="S34" s="1561">
        <v>6</v>
      </c>
      <c r="T34" s="1557"/>
      <c r="U34" s="1561"/>
      <c r="V34" s="1557">
        <v>6</v>
      </c>
      <c r="W34" s="1561">
        <v>4</v>
      </c>
      <c r="X34" s="1568"/>
      <c r="Y34" s="1584"/>
      <c r="Z34" s="1569">
        <f t="shared" si="1"/>
        <v>28</v>
      </c>
      <c r="AA34" s="1570">
        <v>10</v>
      </c>
      <c r="AB34" s="1570">
        <v>10</v>
      </c>
      <c r="AC34" s="1571" t="s">
        <v>30</v>
      </c>
      <c r="AD34" s="1371">
        <f t="shared" si="2"/>
        <v>90</v>
      </c>
    </row>
    <row r="35" spans="1:30" ht="30" customHeight="1" x14ac:dyDescent="0.3">
      <c r="A35" s="1010">
        <v>26</v>
      </c>
      <c r="B35" s="1556">
        <v>5191421026</v>
      </c>
      <c r="C35" s="1563">
        <v>2</v>
      </c>
      <c r="D35" s="1371">
        <v>0</v>
      </c>
      <c r="E35" s="1561">
        <v>1</v>
      </c>
      <c r="F35" s="1557">
        <v>4</v>
      </c>
      <c r="G35" s="1561">
        <v>5</v>
      </c>
      <c r="H35" s="1557"/>
      <c r="I35" s="1584"/>
      <c r="J35" s="1557">
        <v>5</v>
      </c>
      <c r="K35" s="1583"/>
      <c r="L35" s="1557"/>
      <c r="M35" s="1561"/>
      <c r="N35" s="1562">
        <f t="shared" si="0"/>
        <v>17</v>
      </c>
      <c r="O35" s="1563">
        <v>1</v>
      </c>
      <c r="P35" s="1371">
        <v>1</v>
      </c>
      <c r="Q35" s="1561">
        <v>1</v>
      </c>
      <c r="R35" s="1557">
        <v>2</v>
      </c>
      <c r="S35" s="1561">
        <v>5</v>
      </c>
      <c r="T35" s="1557"/>
      <c r="U35" s="1561"/>
      <c r="V35" s="1557">
        <v>6</v>
      </c>
      <c r="W35" s="1561"/>
      <c r="X35" s="1568"/>
      <c r="Y35" s="1584"/>
      <c r="Z35" s="1569">
        <f t="shared" si="1"/>
        <v>16</v>
      </c>
      <c r="AA35" s="1570">
        <v>9</v>
      </c>
      <c r="AB35" s="1570">
        <v>9</v>
      </c>
      <c r="AC35" s="1571" t="s">
        <v>31</v>
      </c>
      <c r="AD35" s="1371">
        <f t="shared" si="2"/>
        <v>55</v>
      </c>
    </row>
    <row r="36" spans="1:30" ht="30" customHeight="1" x14ac:dyDescent="0.3">
      <c r="A36" s="1010">
        <v>27</v>
      </c>
      <c r="B36" s="1556">
        <v>5191421027</v>
      </c>
      <c r="C36" s="1563">
        <v>2</v>
      </c>
      <c r="D36" s="1371">
        <v>2</v>
      </c>
      <c r="E36" s="1561">
        <v>2</v>
      </c>
      <c r="F36" s="1557"/>
      <c r="G36" s="1561"/>
      <c r="H36" s="1557">
        <v>5</v>
      </c>
      <c r="I36" s="1584">
        <v>5</v>
      </c>
      <c r="J36" s="1557">
        <v>5</v>
      </c>
      <c r="K36" s="1583">
        <v>6</v>
      </c>
      <c r="L36" s="1557"/>
      <c r="M36" s="1561"/>
      <c r="N36" s="1562">
        <f t="shared" si="0"/>
        <v>27</v>
      </c>
      <c r="O36" s="1563">
        <v>2</v>
      </c>
      <c r="P36" s="1371">
        <v>2</v>
      </c>
      <c r="Q36" s="1561"/>
      <c r="R36" s="1557">
        <v>6</v>
      </c>
      <c r="S36" s="1561">
        <v>1</v>
      </c>
      <c r="T36" s="1557"/>
      <c r="U36" s="1561"/>
      <c r="V36" s="1557">
        <v>5</v>
      </c>
      <c r="W36" s="1561">
        <v>2</v>
      </c>
      <c r="X36" s="1568"/>
      <c r="Y36" s="1584"/>
      <c r="Z36" s="1569">
        <f t="shared" si="1"/>
        <v>18</v>
      </c>
      <c r="AA36" s="1570">
        <v>10</v>
      </c>
      <c r="AB36" s="1570">
        <v>10</v>
      </c>
      <c r="AC36" s="1571" t="s">
        <v>32</v>
      </c>
      <c r="AD36" s="1371">
        <f t="shared" si="2"/>
        <v>70</v>
      </c>
    </row>
    <row r="37" spans="1:30" ht="30" customHeight="1" x14ac:dyDescent="0.3">
      <c r="A37" s="1010">
        <v>28</v>
      </c>
      <c r="B37" s="1556">
        <v>5191421028</v>
      </c>
      <c r="C37" s="1563">
        <v>2</v>
      </c>
      <c r="D37" s="1371">
        <v>1</v>
      </c>
      <c r="E37" s="1561">
        <v>2</v>
      </c>
      <c r="F37" s="1557">
        <v>6</v>
      </c>
      <c r="G37" s="1561">
        <v>6</v>
      </c>
      <c r="H37" s="1557"/>
      <c r="I37" s="1584"/>
      <c r="J37" s="1557"/>
      <c r="K37" s="1583"/>
      <c r="L37" s="1557">
        <v>5</v>
      </c>
      <c r="M37" s="1561">
        <v>6</v>
      </c>
      <c r="N37" s="1562">
        <f t="shared" si="0"/>
        <v>28</v>
      </c>
      <c r="O37" s="1563">
        <v>1</v>
      </c>
      <c r="P37" s="1371">
        <v>2</v>
      </c>
      <c r="Q37" s="1561"/>
      <c r="R37" s="1557">
        <v>1</v>
      </c>
      <c r="S37" s="1561">
        <v>1</v>
      </c>
      <c r="T37" s="1557"/>
      <c r="U37" s="1561"/>
      <c r="V37" s="1557">
        <v>6</v>
      </c>
      <c r="W37" s="1561"/>
      <c r="X37" s="1568"/>
      <c r="Y37" s="1584"/>
      <c r="Z37" s="1569">
        <f t="shared" si="1"/>
        <v>11</v>
      </c>
      <c r="AA37" s="1570">
        <v>9</v>
      </c>
      <c r="AB37" s="1570">
        <v>9</v>
      </c>
      <c r="AC37" s="1598" t="s">
        <v>27</v>
      </c>
      <c r="AD37" s="1371">
        <f t="shared" si="2"/>
        <v>80</v>
      </c>
    </row>
    <row r="38" spans="1:30" ht="30" customHeight="1" x14ac:dyDescent="0.3">
      <c r="A38" s="1010">
        <v>29</v>
      </c>
      <c r="B38" s="1556">
        <v>5191421029</v>
      </c>
      <c r="C38" s="1563">
        <v>2</v>
      </c>
      <c r="D38" s="1371">
        <v>1</v>
      </c>
      <c r="E38" s="1561">
        <v>2</v>
      </c>
      <c r="F38" s="1557">
        <v>6</v>
      </c>
      <c r="G38" s="1561">
        <v>6</v>
      </c>
      <c r="H38" s="1557"/>
      <c r="I38" s="1584"/>
      <c r="J38" s="1557">
        <v>5</v>
      </c>
      <c r="K38" s="1583">
        <v>6</v>
      </c>
      <c r="L38" s="1557"/>
      <c r="M38" s="1561"/>
      <c r="N38" s="1562">
        <f t="shared" si="0"/>
        <v>28</v>
      </c>
      <c r="O38" s="1563">
        <v>0</v>
      </c>
      <c r="P38" s="1371">
        <v>2</v>
      </c>
      <c r="Q38" s="1561"/>
      <c r="R38" s="1557">
        <v>6</v>
      </c>
      <c r="S38" s="1561">
        <v>6</v>
      </c>
      <c r="T38" s="1557"/>
      <c r="U38" s="1561"/>
      <c r="V38" s="1557">
        <v>4</v>
      </c>
      <c r="W38" s="1561">
        <v>5</v>
      </c>
      <c r="X38" s="1568"/>
      <c r="Y38" s="1584"/>
      <c r="Z38" s="1569">
        <f t="shared" si="1"/>
        <v>23</v>
      </c>
      <c r="AA38" s="1570">
        <v>10</v>
      </c>
      <c r="AB38" s="1570">
        <v>10</v>
      </c>
      <c r="AC38" s="1571" t="s">
        <v>27</v>
      </c>
      <c r="AD38" s="1371">
        <f t="shared" si="2"/>
        <v>80</v>
      </c>
    </row>
    <row r="39" spans="1:30" ht="30" customHeight="1" x14ac:dyDescent="0.3">
      <c r="A39" s="1010">
        <v>30</v>
      </c>
      <c r="B39" s="1556">
        <v>5191421030</v>
      </c>
      <c r="C39" s="1557">
        <v>2</v>
      </c>
      <c r="D39" s="1371">
        <v>1</v>
      </c>
      <c r="E39" s="1561">
        <v>1</v>
      </c>
      <c r="F39" s="1557"/>
      <c r="G39" s="1561"/>
      <c r="H39" s="1557"/>
      <c r="I39" s="1584">
        <v>2</v>
      </c>
      <c r="J39" s="1557"/>
      <c r="K39" s="1583"/>
      <c r="L39" s="1557">
        <v>4</v>
      </c>
      <c r="M39" s="1561"/>
      <c r="N39" s="1562">
        <f t="shared" si="0"/>
        <v>10</v>
      </c>
      <c r="O39" s="1563">
        <v>0</v>
      </c>
      <c r="P39" s="1371">
        <v>2</v>
      </c>
      <c r="Q39" s="1561"/>
      <c r="R39" s="1557"/>
      <c r="S39" s="1561"/>
      <c r="T39" s="1557">
        <v>5</v>
      </c>
      <c r="U39" s="1561"/>
      <c r="V39" s="1557">
        <v>3</v>
      </c>
      <c r="W39" s="1561"/>
      <c r="X39" s="1568"/>
      <c r="Y39" s="1584"/>
      <c r="Z39" s="1569">
        <f t="shared" si="1"/>
        <v>10</v>
      </c>
      <c r="AA39" s="1570">
        <v>7</v>
      </c>
      <c r="AB39" s="1570">
        <v>7</v>
      </c>
      <c r="AC39" s="1571" t="s">
        <v>28</v>
      </c>
      <c r="AD39" s="1371">
        <f t="shared" si="2"/>
        <v>50</v>
      </c>
    </row>
    <row r="40" spans="1:30" ht="30" customHeight="1" x14ac:dyDescent="0.3">
      <c r="A40" s="1010">
        <v>31</v>
      </c>
      <c r="B40" s="1556">
        <v>5191421031</v>
      </c>
      <c r="C40" s="1557">
        <v>2</v>
      </c>
      <c r="D40" s="1371"/>
      <c r="E40" s="1561">
        <v>2</v>
      </c>
      <c r="F40" s="1557">
        <v>6</v>
      </c>
      <c r="G40" s="1561">
        <v>5</v>
      </c>
      <c r="H40" s="1557"/>
      <c r="I40" s="1584"/>
      <c r="J40" s="1557">
        <v>4</v>
      </c>
      <c r="K40" s="1583">
        <v>6</v>
      </c>
      <c r="L40" s="1557"/>
      <c r="M40" s="1561"/>
      <c r="N40" s="1562">
        <f t="shared" si="0"/>
        <v>25</v>
      </c>
      <c r="O40" s="1563">
        <v>1</v>
      </c>
      <c r="P40" s="1371">
        <v>2</v>
      </c>
      <c r="Q40" s="1561"/>
      <c r="R40" s="1557">
        <v>6</v>
      </c>
      <c r="S40" s="1561">
        <v>6</v>
      </c>
      <c r="T40" s="1557"/>
      <c r="U40" s="1561"/>
      <c r="V40" s="1557">
        <v>5</v>
      </c>
      <c r="W40" s="1561">
        <v>3</v>
      </c>
      <c r="X40" s="1568"/>
      <c r="Y40" s="1584"/>
      <c r="Z40" s="1569">
        <f t="shared" si="1"/>
        <v>23</v>
      </c>
      <c r="AA40" s="1570">
        <v>10</v>
      </c>
      <c r="AB40" s="1570">
        <v>10</v>
      </c>
      <c r="AC40" s="1571" t="s">
        <v>32</v>
      </c>
      <c r="AD40" s="1371">
        <f t="shared" si="2"/>
        <v>70</v>
      </c>
    </row>
    <row r="41" spans="1:30" ht="30" customHeight="1" x14ac:dyDescent="0.3">
      <c r="A41" s="1010">
        <v>32</v>
      </c>
      <c r="B41" s="1556">
        <v>5191421032</v>
      </c>
      <c r="C41" s="1559">
        <v>2</v>
      </c>
      <c r="D41" s="1376">
        <v>0</v>
      </c>
      <c r="E41" s="1558">
        <v>0</v>
      </c>
      <c r="F41" s="1559">
        <v>2</v>
      </c>
      <c r="G41" s="1558"/>
      <c r="H41" s="1559"/>
      <c r="I41" s="1558"/>
      <c r="J41" s="1559"/>
      <c r="K41" s="1379"/>
      <c r="L41" s="1557">
        <v>4</v>
      </c>
      <c r="M41" s="1561">
        <v>0</v>
      </c>
      <c r="N41" s="1562">
        <f t="shared" si="0"/>
        <v>8</v>
      </c>
      <c r="O41" s="1557">
        <v>0</v>
      </c>
      <c r="P41" s="1371">
        <v>1</v>
      </c>
      <c r="Q41" s="1561">
        <v>0</v>
      </c>
      <c r="R41" s="1557">
        <v>5</v>
      </c>
      <c r="S41" s="1561">
        <v>2</v>
      </c>
      <c r="T41" s="1557"/>
      <c r="U41" s="1561"/>
      <c r="V41" s="1557"/>
      <c r="W41" s="1561"/>
      <c r="X41" s="1568">
        <v>3</v>
      </c>
      <c r="Y41" s="1584"/>
      <c r="Z41" s="1569">
        <f t="shared" si="1"/>
        <v>11</v>
      </c>
      <c r="AA41" s="1570">
        <v>8</v>
      </c>
      <c r="AB41" s="1570">
        <v>8</v>
      </c>
      <c r="AC41" s="1571" t="s">
        <v>28</v>
      </c>
      <c r="AD41" s="1371">
        <f t="shared" si="2"/>
        <v>50</v>
      </c>
    </row>
    <row r="42" spans="1:30" ht="30" customHeight="1" x14ac:dyDescent="0.3">
      <c r="A42" s="1010">
        <v>33</v>
      </c>
      <c r="B42" s="1556">
        <v>5191421033</v>
      </c>
      <c r="C42" s="1563">
        <v>2</v>
      </c>
      <c r="D42" s="1371">
        <v>2</v>
      </c>
      <c r="E42" s="1561">
        <v>2</v>
      </c>
      <c r="F42" s="1557">
        <v>5</v>
      </c>
      <c r="G42" s="1561"/>
      <c r="H42" s="1557"/>
      <c r="I42" s="1584"/>
      <c r="J42" s="1557"/>
      <c r="K42" s="1583"/>
      <c r="L42" s="1557">
        <v>5</v>
      </c>
      <c r="M42" s="1561">
        <v>6</v>
      </c>
      <c r="N42" s="1562">
        <f t="shared" si="0"/>
        <v>22</v>
      </c>
      <c r="O42" s="1563">
        <v>2</v>
      </c>
      <c r="P42" s="1371">
        <v>2</v>
      </c>
      <c r="Q42" s="1561">
        <v>1</v>
      </c>
      <c r="R42" s="1557">
        <v>6</v>
      </c>
      <c r="S42" s="1561">
        <v>6</v>
      </c>
      <c r="T42" s="1557"/>
      <c r="U42" s="1561"/>
      <c r="V42" s="1557"/>
      <c r="W42" s="1561"/>
      <c r="X42" s="1568">
        <v>5</v>
      </c>
      <c r="Y42" s="1584"/>
      <c r="Z42" s="1569">
        <f t="shared" si="1"/>
        <v>22</v>
      </c>
      <c r="AA42" s="1570">
        <v>10</v>
      </c>
      <c r="AB42" s="1570">
        <v>10</v>
      </c>
      <c r="AC42" s="1571" t="s">
        <v>27</v>
      </c>
      <c r="AD42" s="1371">
        <f t="shared" si="2"/>
        <v>80</v>
      </c>
    </row>
    <row r="43" spans="1:30" ht="30" customHeight="1" x14ac:dyDescent="0.3">
      <c r="A43" s="1010">
        <v>34</v>
      </c>
      <c r="B43" s="1556">
        <v>5191421034</v>
      </c>
      <c r="C43" s="1563">
        <v>2</v>
      </c>
      <c r="D43" s="1371">
        <v>2</v>
      </c>
      <c r="E43" s="1561">
        <v>2</v>
      </c>
      <c r="F43" s="1557">
        <v>5</v>
      </c>
      <c r="G43" s="1561">
        <v>6</v>
      </c>
      <c r="H43" s="1557"/>
      <c r="I43" s="1584"/>
      <c r="J43" s="1557">
        <v>5</v>
      </c>
      <c r="K43" s="1583">
        <v>6</v>
      </c>
      <c r="L43" s="1557"/>
      <c r="M43" s="1561"/>
      <c r="N43" s="1562">
        <f t="shared" si="0"/>
        <v>28</v>
      </c>
      <c r="O43" s="1557">
        <v>1</v>
      </c>
      <c r="P43" s="1371">
        <v>2</v>
      </c>
      <c r="Q43" s="1561">
        <v>1</v>
      </c>
      <c r="R43" s="1557">
        <v>6</v>
      </c>
      <c r="S43" s="1561">
        <v>6</v>
      </c>
      <c r="T43" s="1557"/>
      <c r="U43" s="1561"/>
      <c r="V43" s="1557">
        <v>5</v>
      </c>
      <c r="W43" s="1561"/>
      <c r="X43" s="1568"/>
      <c r="Y43" s="1584"/>
      <c r="Z43" s="1569">
        <f t="shared" si="1"/>
        <v>21</v>
      </c>
      <c r="AA43" s="1570">
        <v>10</v>
      </c>
      <c r="AB43" s="1570">
        <v>10</v>
      </c>
      <c r="AC43" s="1571" t="s">
        <v>27</v>
      </c>
      <c r="AD43" s="1371">
        <f t="shared" si="2"/>
        <v>80</v>
      </c>
    </row>
    <row r="44" spans="1:30" ht="30" customHeight="1" x14ac:dyDescent="0.3">
      <c r="A44" s="1010">
        <v>35</v>
      </c>
      <c r="B44" s="1556">
        <v>5191421035</v>
      </c>
      <c r="C44" s="1563"/>
      <c r="D44" s="1371"/>
      <c r="E44" s="1561"/>
      <c r="F44" s="1557">
        <v>2</v>
      </c>
      <c r="G44" s="1561"/>
      <c r="H44" s="1557"/>
      <c r="I44" s="1584"/>
      <c r="J44" s="1557"/>
      <c r="K44" s="1583"/>
      <c r="L44" s="1557"/>
      <c r="M44" s="1561">
        <v>1</v>
      </c>
      <c r="N44" s="1562">
        <f t="shared" si="0"/>
        <v>3</v>
      </c>
      <c r="O44" s="1563">
        <v>1</v>
      </c>
      <c r="P44" s="1371">
        <v>2</v>
      </c>
      <c r="Q44" s="1561">
        <v>1</v>
      </c>
      <c r="R44" s="1557"/>
      <c r="S44" s="1561"/>
      <c r="T44" s="1557">
        <v>1</v>
      </c>
      <c r="U44" s="1561"/>
      <c r="V44" s="1557"/>
      <c r="W44" s="1561"/>
      <c r="X44" s="1568">
        <v>3</v>
      </c>
      <c r="Y44" s="1584"/>
      <c r="Z44" s="1569">
        <f t="shared" si="1"/>
        <v>8</v>
      </c>
      <c r="AA44" s="1570">
        <v>8</v>
      </c>
      <c r="AB44" s="1570">
        <v>8</v>
      </c>
      <c r="AC44" s="1571" t="s">
        <v>28</v>
      </c>
      <c r="AD44" s="1371">
        <f t="shared" si="2"/>
        <v>50</v>
      </c>
    </row>
    <row r="45" spans="1:30" ht="30" customHeight="1" x14ac:dyDescent="0.3">
      <c r="A45" s="1010">
        <v>36</v>
      </c>
      <c r="B45" s="1556">
        <v>5191421036</v>
      </c>
      <c r="C45" s="1563">
        <v>2</v>
      </c>
      <c r="D45" s="1371">
        <v>2</v>
      </c>
      <c r="E45" s="1561">
        <v>2</v>
      </c>
      <c r="F45" s="1557"/>
      <c r="G45" s="1561"/>
      <c r="H45" s="1557">
        <v>5</v>
      </c>
      <c r="I45" s="1584">
        <v>6</v>
      </c>
      <c r="J45" s="1557">
        <v>5</v>
      </c>
      <c r="K45" s="1583">
        <v>6</v>
      </c>
      <c r="L45" s="1557"/>
      <c r="M45" s="1561"/>
      <c r="N45" s="1562">
        <f t="shared" si="0"/>
        <v>28</v>
      </c>
      <c r="O45" s="1563">
        <v>1</v>
      </c>
      <c r="P45" s="1371">
        <v>2</v>
      </c>
      <c r="Q45" s="1561">
        <v>2</v>
      </c>
      <c r="R45" s="1557">
        <v>6</v>
      </c>
      <c r="S45" s="1561">
        <v>6</v>
      </c>
      <c r="T45" s="1557"/>
      <c r="U45" s="1561"/>
      <c r="V45" s="1557">
        <v>6</v>
      </c>
      <c r="W45" s="1561">
        <v>2</v>
      </c>
      <c r="X45" s="1568"/>
      <c r="Y45" s="1584"/>
      <c r="Z45" s="1569">
        <f t="shared" si="1"/>
        <v>25</v>
      </c>
      <c r="AA45" s="1570">
        <v>10</v>
      </c>
      <c r="AB45" s="1570">
        <v>10</v>
      </c>
      <c r="AC45" s="1571" t="s">
        <v>27</v>
      </c>
      <c r="AD45" s="1371">
        <f t="shared" si="2"/>
        <v>80</v>
      </c>
    </row>
    <row r="46" spans="1:30" ht="30" customHeight="1" x14ac:dyDescent="0.3">
      <c r="A46" s="1010">
        <v>37</v>
      </c>
      <c r="B46" s="1556">
        <v>5191421037</v>
      </c>
      <c r="C46" s="1563">
        <v>2</v>
      </c>
      <c r="D46" s="1371">
        <v>0</v>
      </c>
      <c r="E46" s="1561">
        <v>1</v>
      </c>
      <c r="F46" s="1557">
        <v>3</v>
      </c>
      <c r="G46" s="1561"/>
      <c r="H46" s="1557"/>
      <c r="I46" s="1584"/>
      <c r="J46" s="1557"/>
      <c r="K46" s="1583"/>
      <c r="L46" s="1557"/>
      <c r="M46" s="1561"/>
      <c r="N46" s="1562">
        <f t="shared" si="0"/>
        <v>6</v>
      </c>
      <c r="O46" s="1563"/>
      <c r="P46" s="1371"/>
      <c r="Q46" s="1561"/>
      <c r="R46" s="1557"/>
      <c r="S46" s="1561"/>
      <c r="T46" s="1557"/>
      <c r="U46" s="1561"/>
      <c r="V46" s="1557"/>
      <c r="W46" s="1561"/>
      <c r="X46" s="1568"/>
      <c r="Y46" s="1584"/>
      <c r="Z46" s="1569">
        <f t="shared" si="1"/>
        <v>0</v>
      </c>
      <c r="AA46" s="1570">
        <v>10</v>
      </c>
      <c r="AB46" s="1570">
        <v>10</v>
      </c>
      <c r="AC46" s="1571" t="s">
        <v>29</v>
      </c>
      <c r="AD46" s="1371">
        <f t="shared" si="2"/>
        <v>39</v>
      </c>
    </row>
    <row r="47" spans="1:30" ht="30" customHeight="1" x14ac:dyDescent="0.3">
      <c r="A47" s="1010">
        <v>38</v>
      </c>
      <c r="B47" s="1556">
        <v>5191421038</v>
      </c>
      <c r="C47" s="1563">
        <v>2</v>
      </c>
      <c r="D47" s="1371"/>
      <c r="E47" s="1561">
        <v>1</v>
      </c>
      <c r="F47" s="1557">
        <v>4</v>
      </c>
      <c r="G47" s="1561"/>
      <c r="H47" s="1557"/>
      <c r="I47" s="1584"/>
      <c r="J47" s="1557"/>
      <c r="K47" s="1583"/>
      <c r="L47" s="1557">
        <v>5</v>
      </c>
      <c r="M47" s="1561"/>
      <c r="N47" s="1562">
        <f t="shared" si="0"/>
        <v>12</v>
      </c>
      <c r="O47" s="1563">
        <v>1</v>
      </c>
      <c r="P47" s="1371">
        <v>2</v>
      </c>
      <c r="Q47" s="1561">
        <v>1</v>
      </c>
      <c r="R47" s="1557">
        <v>4</v>
      </c>
      <c r="S47" s="1561">
        <v>5</v>
      </c>
      <c r="T47" s="1557"/>
      <c r="U47" s="1561"/>
      <c r="V47" s="1557"/>
      <c r="W47" s="1561"/>
      <c r="X47" s="1568"/>
      <c r="Y47" s="1584"/>
      <c r="Z47" s="1569">
        <f t="shared" si="1"/>
        <v>13</v>
      </c>
      <c r="AA47" s="1570">
        <v>8</v>
      </c>
      <c r="AB47" s="1570">
        <v>8</v>
      </c>
      <c r="AC47" s="1571" t="s">
        <v>32</v>
      </c>
      <c r="AD47" s="1371">
        <f t="shared" si="2"/>
        <v>70</v>
      </c>
    </row>
    <row r="48" spans="1:30" ht="30" customHeight="1" x14ac:dyDescent="0.3">
      <c r="A48" s="1010">
        <v>39</v>
      </c>
      <c r="B48" s="1556">
        <v>5191421039</v>
      </c>
      <c r="C48" s="1563">
        <v>2</v>
      </c>
      <c r="D48" s="1371">
        <v>1</v>
      </c>
      <c r="E48" s="1561"/>
      <c r="F48" s="1557">
        <v>6</v>
      </c>
      <c r="G48" s="1561">
        <v>4</v>
      </c>
      <c r="H48" s="1557"/>
      <c r="I48" s="1584"/>
      <c r="J48" s="1557">
        <v>5</v>
      </c>
      <c r="K48" s="1583">
        <v>5</v>
      </c>
      <c r="L48" s="1557"/>
      <c r="M48" s="1561"/>
      <c r="N48" s="1562">
        <f t="shared" si="0"/>
        <v>23</v>
      </c>
      <c r="O48" s="1563">
        <v>1</v>
      </c>
      <c r="P48" s="1371">
        <v>2</v>
      </c>
      <c r="Q48" s="1561">
        <v>2</v>
      </c>
      <c r="R48" s="1557">
        <v>6</v>
      </c>
      <c r="S48" s="1561">
        <v>2</v>
      </c>
      <c r="T48" s="1557"/>
      <c r="U48" s="1561"/>
      <c r="V48" s="1557">
        <v>5</v>
      </c>
      <c r="W48" s="1561"/>
      <c r="X48" s="1568"/>
      <c r="Y48" s="1584"/>
      <c r="Z48" s="1569">
        <f t="shared" si="1"/>
        <v>18</v>
      </c>
      <c r="AA48" s="1570">
        <v>10</v>
      </c>
      <c r="AB48" s="1570">
        <v>10</v>
      </c>
      <c r="AC48" s="1571" t="s">
        <v>32</v>
      </c>
      <c r="AD48" s="1371">
        <f t="shared" si="2"/>
        <v>70</v>
      </c>
    </row>
    <row r="49" spans="1:30" ht="30" customHeight="1" x14ac:dyDescent="0.3">
      <c r="A49" s="1010">
        <v>40</v>
      </c>
      <c r="B49" s="1556">
        <v>5191421040</v>
      </c>
      <c r="C49" s="1557">
        <v>2</v>
      </c>
      <c r="D49" s="1371">
        <v>1</v>
      </c>
      <c r="E49" s="1561">
        <v>2</v>
      </c>
      <c r="F49" s="1557"/>
      <c r="G49" s="1561"/>
      <c r="H49" s="1557">
        <v>6</v>
      </c>
      <c r="I49" s="1584">
        <v>6</v>
      </c>
      <c r="J49" s="1557">
        <v>5</v>
      </c>
      <c r="K49" s="1583">
        <v>6</v>
      </c>
      <c r="L49" s="1557"/>
      <c r="M49" s="1561"/>
      <c r="N49" s="1562">
        <f t="shared" si="0"/>
        <v>28</v>
      </c>
      <c r="O49" s="1563">
        <v>1</v>
      </c>
      <c r="P49" s="1371">
        <v>2</v>
      </c>
      <c r="Q49" s="1561">
        <v>2</v>
      </c>
      <c r="R49" s="1557">
        <v>3</v>
      </c>
      <c r="S49" s="1561">
        <v>6</v>
      </c>
      <c r="T49" s="1557"/>
      <c r="U49" s="1561"/>
      <c r="V49" s="1557">
        <v>6</v>
      </c>
      <c r="W49" s="1561">
        <v>5</v>
      </c>
      <c r="X49" s="1568"/>
      <c r="Y49" s="1584"/>
      <c r="Z49" s="1569">
        <f t="shared" si="1"/>
        <v>25</v>
      </c>
      <c r="AA49" s="1570">
        <v>9</v>
      </c>
      <c r="AB49" s="1570">
        <v>9</v>
      </c>
      <c r="AC49" s="1571" t="s">
        <v>32</v>
      </c>
      <c r="AD49" s="1371">
        <f t="shared" si="2"/>
        <v>70</v>
      </c>
    </row>
    <row r="50" spans="1:30" ht="30" customHeight="1" x14ac:dyDescent="0.3">
      <c r="A50" s="1010">
        <v>41</v>
      </c>
      <c r="B50" s="1556">
        <v>5191421041</v>
      </c>
      <c r="C50" s="1563"/>
      <c r="D50" s="1371"/>
      <c r="E50" s="1561"/>
      <c r="F50" s="1557"/>
      <c r="G50" s="1561"/>
      <c r="H50" s="1557"/>
      <c r="I50" s="1584"/>
      <c r="J50" s="1557"/>
      <c r="K50" s="1583"/>
      <c r="L50" s="1557"/>
      <c r="M50" s="1561"/>
      <c r="N50" s="1562">
        <f t="shared" si="0"/>
        <v>0</v>
      </c>
      <c r="O50" s="1563">
        <v>1</v>
      </c>
      <c r="P50" s="1371">
        <v>2</v>
      </c>
      <c r="Q50" s="1561"/>
      <c r="R50" s="1557">
        <v>3</v>
      </c>
      <c r="S50" s="1561">
        <v>6</v>
      </c>
      <c r="T50" s="1557"/>
      <c r="U50" s="1561"/>
      <c r="V50" s="1557"/>
      <c r="W50" s="1561"/>
      <c r="X50" s="1568">
        <v>4</v>
      </c>
      <c r="Y50" s="1584"/>
      <c r="Z50" s="1569">
        <f t="shared" si="1"/>
        <v>16</v>
      </c>
      <c r="AA50" s="1570">
        <v>8</v>
      </c>
      <c r="AB50" s="1570">
        <v>8</v>
      </c>
      <c r="AC50" s="1571" t="s">
        <v>28</v>
      </c>
      <c r="AD50" s="1371">
        <f t="shared" si="2"/>
        <v>50</v>
      </c>
    </row>
    <row r="51" spans="1:30" ht="30" customHeight="1" x14ac:dyDescent="0.3">
      <c r="A51" s="1010">
        <v>42</v>
      </c>
      <c r="B51" s="1556">
        <v>5191421042</v>
      </c>
      <c r="C51" s="1563">
        <v>2</v>
      </c>
      <c r="D51" s="1371">
        <v>1</v>
      </c>
      <c r="E51" s="1561">
        <v>1</v>
      </c>
      <c r="F51" s="1557">
        <v>4</v>
      </c>
      <c r="G51" s="1561">
        <v>5</v>
      </c>
      <c r="H51" s="1557"/>
      <c r="I51" s="1584"/>
      <c r="J51" s="1557"/>
      <c r="K51" s="1583"/>
      <c r="L51" s="1557"/>
      <c r="M51" s="1561"/>
      <c r="N51" s="1562">
        <f t="shared" si="0"/>
        <v>13</v>
      </c>
      <c r="O51" s="1563">
        <v>1</v>
      </c>
      <c r="P51" s="1371">
        <v>1</v>
      </c>
      <c r="Q51" s="1561">
        <v>0</v>
      </c>
      <c r="R51" s="1557">
        <v>4</v>
      </c>
      <c r="S51" s="1561">
        <v>0</v>
      </c>
      <c r="T51" s="1557"/>
      <c r="U51" s="1561"/>
      <c r="V51" s="1557"/>
      <c r="W51" s="1561">
        <v>0</v>
      </c>
      <c r="X51" s="1568"/>
      <c r="Y51" s="1584"/>
      <c r="Z51" s="1569">
        <f t="shared" si="1"/>
        <v>6</v>
      </c>
      <c r="AA51" s="1570">
        <v>8</v>
      </c>
      <c r="AB51" s="1570">
        <v>8</v>
      </c>
      <c r="AC51" s="1571" t="s">
        <v>28</v>
      </c>
      <c r="AD51" s="1371">
        <f t="shared" si="2"/>
        <v>50</v>
      </c>
    </row>
    <row r="52" spans="1:30" ht="30" customHeight="1" x14ac:dyDescent="0.3">
      <c r="A52" s="1010">
        <v>43</v>
      </c>
      <c r="B52" s="1556">
        <v>5191421043</v>
      </c>
      <c r="C52" s="1563">
        <v>2</v>
      </c>
      <c r="D52" s="1371">
        <v>2</v>
      </c>
      <c r="E52" s="1561">
        <v>2</v>
      </c>
      <c r="F52" s="1557"/>
      <c r="G52" s="1561"/>
      <c r="H52" s="1557">
        <v>5</v>
      </c>
      <c r="I52" s="1584">
        <v>6</v>
      </c>
      <c r="J52" s="1557">
        <v>5</v>
      </c>
      <c r="K52" s="1583">
        <v>6</v>
      </c>
      <c r="L52" s="1557"/>
      <c r="M52" s="1561"/>
      <c r="N52" s="1562">
        <f t="shared" si="0"/>
        <v>28</v>
      </c>
      <c r="O52" s="1563">
        <v>2</v>
      </c>
      <c r="P52" s="1371">
        <v>2</v>
      </c>
      <c r="Q52" s="1561">
        <v>2</v>
      </c>
      <c r="R52" s="1557">
        <v>6</v>
      </c>
      <c r="S52" s="1561">
        <v>6</v>
      </c>
      <c r="T52" s="1557"/>
      <c r="U52" s="1561"/>
      <c r="V52" s="1557">
        <v>6</v>
      </c>
      <c r="W52" s="1561">
        <v>1</v>
      </c>
      <c r="X52" s="1568"/>
      <c r="Y52" s="1584"/>
      <c r="Z52" s="1569">
        <f t="shared" si="1"/>
        <v>25</v>
      </c>
      <c r="AA52" s="1570">
        <v>10</v>
      </c>
      <c r="AB52" s="1570">
        <v>10</v>
      </c>
      <c r="AC52" s="1571" t="s">
        <v>30</v>
      </c>
      <c r="AD52" s="1371">
        <f t="shared" si="2"/>
        <v>90</v>
      </c>
    </row>
    <row r="53" spans="1:30" ht="30" customHeight="1" x14ac:dyDescent="0.3">
      <c r="A53" s="1010">
        <v>44</v>
      </c>
      <c r="B53" s="1556">
        <v>5191421044</v>
      </c>
      <c r="C53" s="1563">
        <v>2</v>
      </c>
      <c r="D53" s="1371">
        <v>2</v>
      </c>
      <c r="E53" s="1561">
        <v>1</v>
      </c>
      <c r="F53" s="1557">
        <v>6</v>
      </c>
      <c r="G53" s="1561">
        <v>5</v>
      </c>
      <c r="H53" s="1557"/>
      <c r="I53" s="1584"/>
      <c r="J53" s="1557">
        <v>5</v>
      </c>
      <c r="K53" s="1583">
        <v>6</v>
      </c>
      <c r="L53" s="1557"/>
      <c r="M53" s="1561"/>
      <c r="N53" s="1562">
        <f t="shared" si="0"/>
        <v>27</v>
      </c>
      <c r="O53" s="1563">
        <v>2</v>
      </c>
      <c r="P53" s="1371">
        <v>2</v>
      </c>
      <c r="Q53" s="1561"/>
      <c r="R53" s="1557">
        <v>6</v>
      </c>
      <c r="S53" s="1561">
        <v>6</v>
      </c>
      <c r="T53" s="1557"/>
      <c r="U53" s="1561"/>
      <c r="V53" s="1557">
        <v>6</v>
      </c>
      <c r="W53" s="1561">
        <v>4</v>
      </c>
      <c r="X53" s="1568"/>
      <c r="Y53" s="1584"/>
      <c r="Z53" s="1569">
        <f t="shared" si="1"/>
        <v>26</v>
      </c>
      <c r="AA53" s="1570">
        <v>10</v>
      </c>
      <c r="AB53" s="1570">
        <v>10</v>
      </c>
      <c r="AC53" s="1571" t="s">
        <v>27</v>
      </c>
      <c r="AD53" s="1371">
        <f t="shared" si="2"/>
        <v>80</v>
      </c>
    </row>
    <row r="54" spans="1:30" ht="30" customHeight="1" x14ac:dyDescent="0.3">
      <c r="A54" s="1010">
        <v>45</v>
      </c>
      <c r="B54" s="1556">
        <v>5191421045</v>
      </c>
      <c r="C54" s="1557">
        <v>1</v>
      </c>
      <c r="D54" s="1371">
        <v>1</v>
      </c>
      <c r="E54" s="1561">
        <v>1</v>
      </c>
      <c r="F54" s="1557"/>
      <c r="G54" s="1561">
        <v>5</v>
      </c>
      <c r="H54" s="1557"/>
      <c r="I54" s="1584"/>
      <c r="J54" s="1557">
        <v>1</v>
      </c>
      <c r="K54" s="1583">
        <v>4</v>
      </c>
      <c r="L54" s="1557"/>
      <c r="M54" s="1561"/>
      <c r="N54" s="1562">
        <f t="shared" si="0"/>
        <v>13</v>
      </c>
      <c r="O54" s="1563"/>
      <c r="P54" s="1371">
        <v>2</v>
      </c>
      <c r="Q54" s="1561">
        <v>1</v>
      </c>
      <c r="R54" s="1557"/>
      <c r="S54" s="1561"/>
      <c r="T54" s="1557">
        <v>5</v>
      </c>
      <c r="U54" s="1561">
        <v>0</v>
      </c>
      <c r="V54" s="1557">
        <v>4</v>
      </c>
      <c r="W54" s="1561"/>
      <c r="X54" s="1568"/>
      <c r="Y54" s="1584"/>
      <c r="Z54" s="1569">
        <f t="shared" si="1"/>
        <v>12</v>
      </c>
      <c r="AA54" s="1570">
        <v>8</v>
      </c>
      <c r="AB54" s="1570">
        <v>8</v>
      </c>
      <c r="AC54" s="1571" t="s">
        <v>28</v>
      </c>
      <c r="AD54" s="1371">
        <f t="shared" si="2"/>
        <v>50</v>
      </c>
    </row>
    <row r="55" spans="1:30" ht="30" customHeight="1" x14ac:dyDescent="0.3">
      <c r="A55" s="1010">
        <v>46</v>
      </c>
      <c r="B55" s="1556">
        <v>5191421046</v>
      </c>
      <c r="C55" s="1563">
        <v>2</v>
      </c>
      <c r="D55" s="1371">
        <v>1</v>
      </c>
      <c r="E55" s="1561">
        <v>1</v>
      </c>
      <c r="F55" s="1557">
        <v>5</v>
      </c>
      <c r="G55" s="1561">
        <v>5</v>
      </c>
      <c r="H55" s="1557"/>
      <c r="I55" s="1584"/>
      <c r="J55" s="1557"/>
      <c r="K55" s="1583"/>
      <c r="L55" s="1557">
        <v>5</v>
      </c>
      <c r="M55" s="1561">
        <v>5</v>
      </c>
      <c r="N55" s="1562">
        <f t="shared" si="0"/>
        <v>24</v>
      </c>
      <c r="O55" s="1563">
        <v>1</v>
      </c>
      <c r="P55" s="1371">
        <v>2</v>
      </c>
      <c r="Q55" s="1561">
        <v>2</v>
      </c>
      <c r="R55" s="1557">
        <v>6</v>
      </c>
      <c r="S55" s="1561">
        <v>0</v>
      </c>
      <c r="T55" s="1557"/>
      <c r="U55" s="1561"/>
      <c r="V55" s="1557"/>
      <c r="W55" s="1561">
        <v>6</v>
      </c>
      <c r="X55" s="1568"/>
      <c r="Y55" s="1584"/>
      <c r="Z55" s="1569">
        <f t="shared" si="1"/>
        <v>17</v>
      </c>
      <c r="AA55" s="1570">
        <v>8</v>
      </c>
      <c r="AB55" s="1570">
        <v>8</v>
      </c>
      <c r="AC55" s="1571" t="s">
        <v>32</v>
      </c>
      <c r="AD55" s="1371">
        <f t="shared" si="2"/>
        <v>70</v>
      </c>
    </row>
    <row r="56" spans="1:30" ht="30" customHeight="1" x14ac:dyDescent="0.3">
      <c r="A56" s="1010">
        <v>47</v>
      </c>
      <c r="B56" s="1556">
        <v>5191421047</v>
      </c>
      <c r="C56" s="1563"/>
      <c r="D56" s="1371"/>
      <c r="E56" s="1561"/>
      <c r="F56" s="1557"/>
      <c r="G56" s="1561"/>
      <c r="H56" s="1557"/>
      <c r="I56" s="1584"/>
      <c r="J56" s="1557"/>
      <c r="K56" s="1583"/>
      <c r="L56" s="1557"/>
      <c r="M56" s="1561"/>
      <c r="N56" s="1562">
        <f t="shared" si="0"/>
        <v>0</v>
      </c>
      <c r="O56" s="1563">
        <v>0</v>
      </c>
      <c r="P56" s="1371">
        <v>0</v>
      </c>
      <c r="Q56" s="1561"/>
      <c r="R56" s="1557"/>
      <c r="S56" s="1561"/>
      <c r="T56" s="1557">
        <v>0</v>
      </c>
      <c r="U56" s="1561">
        <v>0</v>
      </c>
      <c r="V56" s="1557"/>
      <c r="W56" s="1561"/>
      <c r="X56" s="1568"/>
      <c r="Y56" s="1584"/>
      <c r="Z56" s="1569">
        <f t="shared" si="1"/>
        <v>0</v>
      </c>
      <c r="AA56" s="1570">
        <v>10</v>
      </c>
      <c r="AB56" s="1570">
        <v>10</v>
      </c>
      <c r="AC56" s="1571" t="s">
        <v>154</v>
      </c>
      <c r="AD56" s="1371" t="b">
        <f t="shared" si="2"/>
        <v>0</v>
      </c>
    </row>
    <row r="57" spans="1:30" ht="30" customHeight="1" x14ac:dyDescent="0.3">
      <c r="A57" s="1010">
        <v>48</v>
      </c>
      <c r="B57" s="1556">
        <v>5191421048</v>
      </c>
      <c r="C57" s="1563">
        <v>2</v>
      </c>
      <c r="D57" s="1371">
        <v>0</v>
      </c>
      <c r="E57" s="1561"/>
      <c r="F57" s="1557">
        <v>6</v>
      </c>
      <c r="G57" s="1561">
        <v>4</v>
      </c>
      <c r="H57" s="1557"/>
      <c r="I57" s="1584"/>
      <c r="J57" s="1557">
        <v>5</v>
      </c>
      <c r="K57" s="1583">
        <v>5</v>
      </c>
      <c r="L57" s="1557"/>
      <c r="M57" s="1561"/>
      <c r="N57" s="1562">
        <f t="shared" si="0"/>
        <v>22</v>
      </c>
      <c r="O57" s="1563">
        <v>1</v>
      </c>
      <c r="P57" s="1371">
        <v>2</v>
      </c>
      <c r="Q57" s="1561"/>
      <c r="R57" s="1557">
        <v>3</v>
      </c>
      <c r="S57" s="1561">
        <v>6</v>
      </c>
      <c r="T57" s="1557"/>
      <c r="U57" s="1561"/>
      <c r="V57" s="1557">
        <v>6</v>
      </c>
      <c r="W57" s="1561"/>
      <c r="X57" s="1568"/>
      <c r="Y57" s="1584"/>
      <c r="Z57" s="1569">
        <f t="shared" si="1"/>
        <v>18</v>
      </c>
      <c r="AA57" s="1570">
        <v>9</v>
      </c>
      <c r="AB57" s="1570">
        <v>9</v>
      </c>
      <c r="AC57" s="1571" t="s">
        <v>32</v>
      </c>
      <c r="AD57" s="1371">
        <f t="shared" si="2"/>
        <v>70</v>
      </c>
    </row>
    <row r="58" spans="1:30" ht="30" customHeight="1" x14ac:dyDescent="0.3">
      <c r="A58" s="1010">
        <v>49</v>
      </c>
      <c r="B58" s="1556">
        <v>5191421049</v>
      </c>
      <c r="C58" s="1563">
        <v>2</v>
      </c>
      <c r="D58" s="1371">
        <v>1</v>
      </c>
      <c r="E58" s="1561">
        <v>0</v>
      </c>
      <c r="F58" s="1557">
        <v>4</v>
      </c>
      <c r="G58" s="1561">
        <v>0</v>
      </c>
      <c r="H58" s="1557"/>
      <c r="I58" s="1584"/>
      <c r="J58" s="1557">
        <v>4</v>
      </c>
      <c r="K58" s="1583">
        <v>3</v>
      </c>
      <c r="L58" s="1557"/>
      <c r="M58" s="1561"/>
      <c r="N58" s="1562">
        <f t="shared" si="0"/>
        <v>14</v>
      </c>
      <c r="O58" s="1563"/>
      <c r="P58" s="1371"/>
      <c r="Q58" s="1561"/>
      <c r="R58" s="1557"/>
      <c r="S58" s="1561"/>
      <c r="T58" s="1557"/>
      <c r="U58" s="1561"/>
      <c r="V58" s="1557"/>
      <c r="W58" s="1561"/>
      <c r="X58" s="1568"/>
      <c r="Y58" s="1584"/>
      <c r="Z58" s="1569">
        <f t="shared" si="1"/>
        <v>0</v>
      </c>
      <c r="AA58" s="1570">
        <v>8</v>
      </c>
      <c r="AB58" s="1570">
        <v>8</v>
      </c>
      <c r="AC58" s="1571" t="s">
        <v>28</v>
      </c>
      <c r="AD58" s="1371">
        <f t="shared" si="2"/>
        <v>50</v>
      </c>
    </row>
    <row r="59" spans="1:30" ht="30" customHeight="1" x14ac:dyDescent="0.3">
      <c r="A59" s="1010">
        <v>50</v>
      </c>
      <c r="B59" s="1556">
        <v>5191421050</v>
      </c>
      <c r="C59" s="1563">
        <v>2</v>
      </c>
      <c r="D59" s="1371">
        <v>1</v>
      </c>
      <c r="E59" s="1561"/>
      <c r="F59" s="1557">
        <v>5</v>
      </c>
      <c r="G59" s="1561"/>
      <c r="H59" s="1557"/>
      <c r="I59" s="1584"/>
      <c r="J59" s="1557">
        <v>4</v>
      </c>
      <c r="K59" s="1583">
        <v>3</v>
      </c>
      <c r="L59" s="1557"/>
      <c r="M59" s="1561"/>
      <c r="N59" s="1562">
        <f t="shared" si="0"/>
        <v>15</v>
      </c>
      <c r="O59" s="1563">
        <v>1</v>
      </c>
      <c r="P59" s="1371">
        <v>2</v>
      </c>
      <c r="Q59" s="1561">
        <v>1</v>
      </c>
      <c r="R59" s="1557"/>
      <c r="S59" s="1561"/>
      <c r="T59" s="1557">
        <v>2</v>
      </c>
      <c r="U59" s="1561">
        <v>4</v>
      </c>
      <c r="V59" s="1557">
        <v>4</v>
      </c>
      <c r="W59" s="1561"/>
      <c r="X59" s="1568"/>
      <c r="Y59" s="1584"/>
      <c r="Z59" s="1569">
        <f t="shared" si="1"/>
        <v>14</v>
      </c>
      <c r="AA59" s="1570">
        <v>9</v>
      </c>
      <c r="AB59" s="1570">
        <v>9</v>
      </c>
      <c r="AC59" s="1571" t="s">
        <v>31</v>
      </c>
      <c r="AD59" s="1371">
        <f t="shared" si="2"/>
        <v>55</v>
      </c>
    </row>
    <row r="60" spans="1:30" ht="30" customHeight="1" x14ac:dyDescent="0.3">
      <c r="A60" s="1010">
        <v>51</v>
      </c>
      <c r="B60" s="1556">
        <v>5191421051</v>
      </c>
      <c r="C60" s="1579">
        <v>2</v>
      </c>
      <c r="D60" s="1575">
        <v>1</v>
      </c>
      <c r="E60" s="1576">
        <v>1</v>
      </c>
      <c r="F60" s="1574"/>
      <c r="G60" s="1561"/>
      <c r="H60" s="1574">
        <v>4</v>
      </c>
      <c r="I60" s="1577">
        <v>5</v>
      </c>
      <c r="J60" s="1574">
        <v>5</v>
      </c>
      <c r="K60" s="1578">
        <v>3</v>
      </c>
      <c r="L60" s="1557"/>
      <c r="M60" s="1561"/>
      <c r="N60" s="1562">
        <f t="shared" si="0"/>
        <v>21</v>
      </c>
      <c r="O60" s="1579">
        <v>2</v>
      </c>
      <c r="P60" s="1575">
        <v>2</v>
      </c>
      <c r="Q60" s="1576">
        <v>1</v>
      </c>
      <c r="R60" s="1557"/>
      <c r="S60" s="1561"/>
      <c r="T60" s="1557">
        <v>5</v>
      </c>
      <c r="U60" s="1561">
        <v>4</v>
      </c>
      <c r="V60" s="1557"/>
      <c r="W60" s="1561"/>
      <c r="X60" s="1582">
        <v>4</v>
      </c>
      <c r="Y60" s="1584"/>
      <c r="Z60" s="1569">
        <f t="shared" si="1"/>
        <v>18</v>
      </c>
      <c r="AA60" s="1570">
        <v>10</v>
      </c>
      <c r="AB60" s="1570">
        <v>10</v>
      </c>
      <c r="AC60" s="1571" t="s">
        <v>32</v>
      </c>
      <c r="AD60" s="1371">
        <f t="shared" si="2"/>
        <v>70</v>
      </c>
    </row>
    <row r="61" spans="1:30" ht="30" customHeight="1" x14ac:dyDescent="0.3">
      <c r="A61" s="1010">
        <v>52</v>
      </c>
      <c r="B61" s="1556">
        <v>5191421052</v>
      </c>
      <c r="C61" s="1579">
        <v>2</v>
      </c>
      <c r="D61" s="1575">
        <v>1</v>
      </c>
      <c r="E61" s="1576">
        <v>1</v>
      </c>
      <c r="F61" s="1574">
        <v>6</v>
      </c>
      <c r="G61" s="1561">
        <v>5</v>
      </c>
      <c r="H61" s="1574"/>
      <c r="I61" s="1577"/>
      <c r="J61" s="1574">
        <v>5</v>
      </c>
      <c r="K61" s="1578">
        <v>6</v>
      </c>
      <c r="L61" s="1557"/>
      <c r="M61" s="1561"/>
      <c r="N61" s="1562">
        <f t="shared" si="0"/>
        <v>26</v>
      </c>
      <c r="O61" s="1579">
        <v>1</v>
      </c>
      <c r="P61" s="1575">
        <v>2</v>
      </c>
      <c r="Q61" s="1576">
        <v>2</v>
      </c>
      <c r="R61" s="1557"/>
      <c r="S61" s="1561"/>
      <c r="T61" s="1557">
        <v>6</v>
      </c>
      <c r="U61" s="1561">
        <v>2</v>
      </c>
      <c r="V61" s="1557">
        <v>6</v>
      </c>
      <c r="W61" s="1561"/>
      <c r="X61" s="1582"/>
      <c r="Y61" s="1584"/>
      <c r="Z61" s="1569">
        <f t="shared" si="1"/>
        <v>19</v>
      </c>
      <c r="AA61" s="1570">
        <v>10</v>
      </c>
      <c r="AB61" s="1570">
        <v>10</v>
      </c>
      <c r="AC61" s="1571" t="s">
        <v>32</v>
      </c>
      <c r="AD61" s="1371">
        <f>IF(AC61="O",100,IF(AC61="A+",90,IF(AC61="A",80,IF(AC61="B+",70,IF(AC61="B",60,IF(AC61="C",55,IF(AC61="P",50,IF(AC61="F",39))))))))</f>
        <v>70</v>
      </c>
    </row>
    <row r="62" spans="1:30" ht="30" customHeight="1" x14ac:dyDescent="0.3">
      <c r="A62" s="1010">
        <v>53</v>
      </c>
      <c r="B62" s="1556">
        <v>5191421053</v>
      </c>
      <c r="C62" s="1579">
        <v>2</v>
      </c>
      <c r="D62" s="1575">
        <v>2</v>
      </c>
      <c r="E62" s="1576">
        <v>2</v>
      </c>
      <c r="F62" s="1574">
        <v>4</v>
      </c>
      <c r="G62" s="1561">
        <v>4</v>
      </c>
      <c r="H62" s="1574"/>
      <c r="I62" s="1577"/>
      <c r="J62" s="1574">
        <v>5</v>
      </c>
      <c r="K62" s="1578">
        <v>6</v>
      </c>
      <c r="L62" s="1557"/>
      <c r="M62" s="1561"/>
      <c r="N62" s="1562">
        <f t="shared" si="0"/>
        <v>25</v>
      </c>
      <c r="O62" s="1579">
        <v>1</v>
      </c>
      <c r="P62" s="1575">
        <v>2</v>
      </c>
      <c r="Q62" s="1576"/>
      <c r="R62" s="1557"/>
      <c r="S62" s="1561"/>
      <c r="T62" s="1557">
        <v>6</v>
      </c>
      <c r="U62" s="1561">
        <v>1</v>
      </c>
      <c r="V62" s="1557">
        <v>6</v>
      </c>
      <c r="W62" s="1561">
        <v>0</v>
      </c>
      <c r="X62" s="1582"/>
      <c r="Y62" s="1584"/>
      <c r="Z62" s="1569">
        <f t="shared" si="1"/>
        <v>16</v>
      </c>
      <c r="AA62" s="1570">
        <v>10</v>
      </c>
      <c r="AB62" s="1570">
        <v>10</v>
      </c>
      <c r="AC62" s="1571" t="s">
        <v>31</v>
      </c>
      <c r="AD62" s="1371">
        <f t="shared" si="2"/>
        <v>55</v>
      </c>
    </row>
    <row r="63" spans="1:30" ht="30" customHeight="1" x14ac:dyDescent="0.3">
      <c r="A63" s="1010">
        <v>54</v>
      </c>
      <c r="B63" s="1556">
        <v>5191421054</v>
      </c>
      <c r="C63" s="1579">
        <v>2</v>
      </c>
      <c r="D63" s="1575">
        <v>1</v>
      </c>
      <c r="E63" s="1576">
        <v>1</v>
      </c>
      <c r="F63" s="1574">
        <v>4</v>
      </c>
      <c r="G63" s="1561"/>
      <c r="H63" s="1574"/>
      <c r="I63" s="1577"/>
      <c r="J63" s="1574">
        <v>5</v>
      </c>
      <c r="K63" s="1578">
        <v>6</v>
      </c>
      <c r="L63" s="1557"/>
      <c r="M63" s="1561"/>
      <c r="N63" s="1562">
        <f t="shared" si="0"/>
        <v>19</v>
      </c>
      <c r="O63" s="1579">
        <v>1</v>
      </c>
      <c r="P63" s="1575">
        <v>2</v>
      </c>
      <c r="Q63" s="1576">
        <v>1</v>
      </c>
      <c r="R63" s="1557"/>
      <c r="S63" s="1561"/>
      <c r="T63" s="1557">
        <v>6</v>
      </c>
      <c r="U63" s="1561"/>
      <c r="V63" s="1557">
        <v>6</v>
      </c>
      <c r="W63" s="1561"/>
      <c r="X63" s="1582"/>
      <c r="Y63" s="1584"/>
      <c r="Z63" s="1569">
        <f t="shared" si="1"/>
        <v>16</v>
      </c>
      <c r="AA63" s="1570">
        <v>9</v>
      </c>
      <c r="AB63" s="1570">
        <v>9</v>
      </c>
      <c r="AC63" s="1571" t="s">
        <v>32</v>
      </c>
      <c r="AD63" s="1371">
        <f t="shared" si="2"/>
        <v>70</v>
      </c>
    </row>
    <row r="64" spans="1:30" ht="30" customHeight="1" x14ac:dyDescent="0.3">
      <c r="A64" s="1010">
        <v>55</v>
      </c>
      <c r="B64" s="1556">
        <v>5191421055</v>
      </c>
      <c r="C64" s="1579">
        <v>2</v>
      </c>
      <c r="D64" s="1575">
        <v>1</v>
      </c>
      <c r="E64" s="1576">
        <v>1</v>
      </c>
      <c r="F64" s="1574">
        <v>3</v>
      </c>
      <c r="G64" s="1561"/>
      <c r="H64" s="1574"/>
      <c r="I64" s="1577"/>
      <c r="J64" s="1574">
        <v>2</v>
      </c>
      <c r="K64" s="1578">
        <v>5</v>
      </c>
      <c r="L64" s="1557"/>
      <c r="M64" s="1561"/>
      <c r="N64" s="1562">
        <f t="shared" si="0"/>
        <v>14</v>
      </c>
      <c r="O64" s="1579">
        <v>1</v>
      </c>
      <c r="P64" s="1575">
        <v>2</v>
      </c>
      <c r="Q64" s="1576"/>
      <c r="R64" s="1557">
        <v>1</v>
      </c>
      <c r="S64" s="1561">
        <v>0</v>
      </c>
      <c r="T64" s="1557"/>
      <c r="U64" s="1561"/>
      <c r="V64" s="1557">
        <v>5</v>
      </c>
      <c r="W64" s="1561">
        <v>0</v>
      </c>
      <c r="X64" s="1582"/>
      <c r="Y64" s="1584"/>
      <c r="Z64" s="1569">
        <f t="shared" si="1"/>
        <v>9</v>
      </c>
      <c r="AA64" s="1570">
        <v>8</v>
      </c>
      <c r="AB64" s="1570">
        <v>8</v>
      </c>
      <c r="AC64" s="1571" t="s">
        <v>28</v>
      </c>
      <c r="AD64" s="1371">
        <f t="shared" si="2"/>
        <v>50</v>
      </c>
    </row>
    <row r="65" spans="1:30" ht="30" customHeight="1" x14ac:dyDescent="0.3">
      <c r="A65" s="1010">
        <v>56</v>
      </c>
      <c r="B65" s="1556">
        <v>5191421056</v>
      </c>
      <c r="C65" s="1579">
        <v>2</v>
      </c>
      <c r="D65" s="1575">
        <v>1</v>
      </c>
      <c r="E65" s="1576">
        <v>1</v>
      </c>
      <c r="F65" s="1574">
        <v>5</v>
      </c>
      <c r="G65" s="1561"/>
      <c r="H65" s="1574"/>
      <c r="I65" s="1577"/>
      <c r="J65" s="1574">
        <v>5</v>
      </c>
      <c r="K65" s="1578">
        <v>5</v>
      </c>
      <c r="L65" s="1557"/>
      <c r="M65" s="1561"/>
      <c r="N65" s="1562">
        <f t="shared" si="0"/>
        <v>19</v>
      </c>
      <c r="O65" s="1579">
        <v>2</v>
      </c>
      <c r="P65" s="1575">
        <v>2</v>
      </c>
      <c r="Q65" s="1576"/>
      <c r="R65" s="1557"/>
      <c r="S65" s="1561"/>
      <c r="T65" s="1557">
        <v>2</v>
      </c>
      <c r="U65" s="1561">
        <v>3</v>
      </c>
      <c r="V65" s="1557">
        <v>6</v>
      </c>
      <c r="W65" s="1561">
        <v>1</v>
      </c>
      <c r="X65" s="1582"/>
      <c r="Y65" s="1584"/>
      <c r="Z65" s="1569">
        <f t="shared" si="1"/>
        <v>16</v>
      </c>
      <c r="AA65" s="1570">
        <v>9</v>
      </c>
      <c r="AB65" s="1570">
        <v>9</v>
      </c>
      <c r="AC65" s="1571" t="s">
        <v>31</v>
      </c>
      <c r="AD65" s="1371">
        <f t="shared" si="2"/>
        <v>55</v>
      </c>
    </row>
    <row r="66" spans="1:30" ht="30" customHeight="1" x14ac:dyDescent="0.3">
      <c r="A66" s="1010">
        <v>57</v>
      </c>
      <c r="B66" s="1556">
        <v>5191421057</v>
      </c>
      <c r="C66" s="1579">
        <v>2</v>
      </c>
      <c r="D66" s="1575">
        <v>1</v>
      </c>
      <c r="E66" s="1576"/>
      <c r="F66" s="1574"/>
      <c r="G66" s="1561"/>
      <c r="H66" s="1574">
        <v>6</v>
      </c>
      <c r="I66" s="1577">
        <v>3</v>
      </c>
      <c r="J66" s="1574"/>
      <c r="K66" s="1578"/>
      <c r="L66" s="1557">
        <v>5</v>
      </c>
      <c r="M66" s="1561">
        <v>6</v>
      </c>
      <c r="N66" s="1562">
        <f t="shared" si="0"/>
        <v>23</v>
      </c>
      <c r="O66" s="1579">
        <v>2</v>
      </c>
      <c r="P66" s="1575">
        <v>2</v>
      </c>
      <c r="Q66" s="1576">
        <v>1</v>
      </c>
      <c r="R66" s="1557">
        <v>6</v>
      </c>
      <c r="S66" s="1561"/>
      <c r="T66" s="1557"/>
      <c r="U66" s="1561"/>
      <c r="V66" s="1557">
        <v>6</v>
      </c>
      <c r="W66" s="1561"/>
      <c r="X66" s="1582"/>
      <c r="Y66" s="1577"/>
      <c r="Z66" s="1569">
        <f t="shared" si="1"/>
        <v>17</v>
      </c>
      <c r="AA66" s="1570">
        <v>10</v>
      </c>
      <c r="AB66" s="1570">
        <v>10</v>
      </c>
      <c r="AC66" s="1599" t="s">
        <v>27</v>
      </c>
      <c r="AD66" s="1371">
        <f t="shared" si="2"/>
        <v>80</v>
      </c>
    </row>
    <row r="67" spans="1:30" ht="30" customHeight="1" thickBot="1" x14ac:dyDescent="0.35">
      <c r="A67" s="1010">
        <v>58</v>
      </c>
      <c r="B67" s="1556">
        <v>5191421058</v>
      </c>
      <c r="C67" s="1600">
        <v>1</v>
      </c>
      <c r="D67" s="1601"/>
      <c r="E67" s="1602"/>
      <c r="F67" s="1603"/>
      <c r="G67" s="1602"/>
      <c r="H67" s="1603"/>
      <c r="I67" s="1604">
        <v>0</v>
      </c>
      <c r="J67" s="1603"/>
      <c r="K67" s="1605"/>
      <c r="L67" s="1603"/>
      <c r="M67" s="1602"/>
      <c r="N67" s="1562">
        <f t="shared" si="0"/>
        <v>1</v>
      </c>
      <c r="O67" s="1600">
        <v>1</v>
      </c>
      <c r="P67" s="1601">
        <v>2</v>
      </c>
      <c r="Q67" s="1602"/>
      <c r="R67" s="1603">
        <v>0</v>
      </c>
      <c r="S67" s="1602">
        <v>0</v>
      </c>
      <c r="T67" s="1603">
        <v>2</v>
      </c>
      <c r="U67" s="1602"/>
      <c r="V67" s="1603">
        <v>2</v>
      </c>
      <c r="W67" s="1602"/>
      <c r="X67" s="1606"/>
      <c r="Y67" s="1602"/>
      <c r="Z67" s="1569">
        <f t="shared" si="1"/>
        <v>7</v>
      </c>
      <c r="AA67" s="1570">
        <v>10</v>
      </c>
      <c r="AB67" s="1570">
        <v>10</v>
      </c>
      <c r="AC67" s="1607" t="s">
        <v>29</v>
      </c>
      <c r="AD67" s="1371">
        <f t="shared" si="2"/>
        <v>39</v>
      </c>
    </row>
    <row r="68" spans="1:30" ht="30" customHeight="1" x14ac:dyDescent="0.3">
      <c r="C68" s="1394">
        <f t="shared" ref="C68:M68" si="3">COUNT(C11:C67)</f>
        <v>53</v>
      </c>
      <c r="D68" s="1394">
        <f t="shared" si="3"/>
        <v>45</v>
      </c>
      <c r="E68" s="1394">
        <f t="shared" si="3"/>
        <v>45</v>
      </c>
      <c r="F68" s="1394">
        <f t="shared" si="3"/>
        <v>36</v>
      </c>
      <c r="G68" s="1394">
        <f t="shared" si="3"/>
        <v>29</v>
      </c>
      <c r="H68" s="1394">
        <f t="shared" si="3"/>
        <v>14</v>
      </c>
      <c r="I68" s="1394">
        <f t="shared" si="3"/>
        <v>16</v>
      </c>
      <c r="J68" s="1394">
        <f t="shared" si="3"/>
        <v>34</v>
      </c>
      <c r="K68" s="1394">
        <f t="shared" si="3"/>
        <v>33</v>
      </c>
      <c r="L68" s="1394">
        <f t="shared" si="3"/>
        <v>15</v>
      </c>
      <c r="M68" s="1394">
        <f t="shared" si="3"/>
        <v>14</v>
      </c>
      <c r="N68" s="1394"/>
      <c r="O68" s="1394">
        <f t="shared" ref="O68:U68" si="4">COUNT(O10:O67)</f>
        <v>52</v>
      </c>
      <c r="P68" s="1394">
        <f t="shared" si="4"/>
        <v>54</v>
      </c>
      <c r="Q68" s="1394">
        <f t="shared" si="4"/>
        <v>35</v>
      </c>
      <c r="R68" s="1394">
        <f t="shared" si="4"/>
        <v>41</v>
      </c>
      <c r="S68" s="1394">
        <f t="shared" si="4"/>
        <v>42</v>
      </c>
      <c r="T68" s="1394">
        <f t="shared" si="4"/>
        <v>12</v>
      </c>
      <c r="U68" s="1394">
        <f t="shared" si="4"/>
        <v>7</v>
      </c>
      <c r="V68" s="1394">
        <f>COUNT(V10:V67)</f>
        <v>36</v>
      </c>
      <c r="W68" s="1394">
        <f>COUNT(W10:W67)</f>
        <v>24</v>
      </c>
      <c r="X68" s="1394">
        <f t="shared" ref="X68:Y68" si="5">COUNT(X10:X67)</f>
        <v>14</v>
      </c>
      <c r="Y68" s="1394">
        <f t="shared" si="5"/>
        <v>2</v>
      </c>
      <c r="AA68" s="1095">
        <f>COUNT(AA10:AA67)</f>
        <v>58</v>
      </c>
      <c r="AB68" s="1095">
        <f>COUNT(AB10:AB67)</f>
        <v>58</v>
      </c>
    </row>
    <row r="69" spans="1:30" ht="30" customHeight="1" x14ac:dyDescent="0.3">
      <c r="A69" s="1608" t="s">
        <v>34</v>
      </c>
      <c r="B69" s="1011">
        <v>55</v>
      </c>
      <c r="C69" s="1609">
        <f>C9*(B69/100)</f>
        <v>1.1000000000000001</v>
      </c>
      <c r="D69" s="1609">
        <f>D9*(B69/100)</f>
        <v>1.1000000000000001</v>
      </c>
      <c r="E69" s="1609">
        <f>E9*(B69/100)</f>
        <v>1.1000000000000001</v>
      </c>
      <c r="F69" s="1609">
        <f t="shared" ref="F69" si="6">F9*(B69/100)</f>
        <v>3.3000000000000003</v>
      </c>
      <c r="G69" s="1609">
        <v>3</v>
      </c>
      <c r="H69" s="1609">
        <v>3</v>
      </c>
      <c r="I69" s="1609">
        <v>3</v>
      </c>
      <c r="J69" s="1609">
        <v>3</v>
      </c>
      <c r="K69" s="1609">
        <v>3</v>
      </c>
      <c r="L69" s="1609">
        <v>3</v>
      </c>
      <c r="M69" s="1609">
        <v>3</v>
      </c>
      <c r="N69" s="1394"/>
      <c r="O69" s="1609">
        <f>O9*(B69/100)</f>
        <v>1.1000000000000001</v>
      </c>
      <c r="P69" s="1609">
        <f>P9*(B69/100)</f>
        <v>1.1000000000000001</v>
      </c>
      <c r="Q69" s="1609">
        <f>Q9*(B69/100)</f>
        <v>1.1000000000000001</v>
      </c>
      <c r="R69" s="1609">
        <f>R9*(B69/100)</f>
        <v>3.3000000000000003</v>
      </c>
      <c r="S69" s="1609">
        <f>S9*(B69/100)</f>
        <v>3.3000000000000003</v>
      </c>
      <c r="T69" s="1609">
        <v>3</v>
      </c>
      <c r="U69" s="1609">
        <f>U9*(B69/100)</f>
        <v>3.3000000000000003</v>
      </c>
      <c r="V69" s="1609">
        <v>3</v>
      </c>
      <c r="W69" s="1609">
        <v>3</v>
      </c>
      <c r="X69" s="1609">
        <v>3</v>
      </c>
      <c r="Y69" s="1609">
        <v>3</v>
      </c>
      <c r="AA69" s="1095">
        <v>3</v>
      </c>
      <c r="AB69" s="1095">
        <v>3</v>
      </c>
    </row>
    <row r="70" spans="1:30" ht="30" customHeight="1" x14ac:dyDescent="0.3">
      <c r="A70" s="2853" t="s">
        <v>35</v>
      </c>
      <c r="B70" s="2853"/>
      <c r="C70" s="1394">
        <f t="shared" ref="C70:M70" si="7">COUNTIF(C11:C67,"&gt;=" &amp;C69)</f>
        <v>48</v>
      </c>
      <c r="D70" s="1394">
        <f t="shared" si="7"/>
        <v>14</v>
      </c>
      <c r="E70" s="1394">
        <f t="shared" si="7"/>
        <v>21</v>
      </c>
      <c r="F70" s="1394">
        <f t="shared" si="7"/>
        <v>31</v>
      </c>
      <c r="G70" s="1394">
        <f t="shared" si="7"/>
        <v>24</v>
      </c>
      <c r="H70" s="1394">
        <f t="shared" si="7"/>
        <v>14</v>
      </c>
      <c r="I70" s="1394">
        <f t="shared" si="7"/>
        <v>13</v>
      </c>
      <c r="J70" s="1394">
        <f t="shared" si="7"/>
        <v>32</v>
      </c>
      <c r="K70" s="1394">
        <f t="shared" si="7"/>
        <v>31</v>
      </c>
      <c r="L70" s="1394">
        <f t="shared" si="7"/>
        <v>14</v>
      </c>
      <c r="M70" s="1394">
        <f t="shared" si="7"/>
        <v>8</v>
      </c>
      <c r="N70" s="1394"/>
      <c r="O70" s="1394">
        <f t="shared" ref="O70:U70" si="8">COUNTIF(O10:O60,"&gt;=" &amp;O69)</f>
        <v>20</v>
      </c>
      <c r="P70" s="1394">
        <f t="shared" si="8"/>
        <v>34</v>
      </c>
      <c r="Q70" s="1394">
        <f t="shared" si="8"/>
        <v>9</v>
      </c>
      <c r="R70" s="1394">
        <f t="shared" si="8"/>
        <v>29</v>
      </c>
      <c r="S70" s="1394">
        <f t="shared" si="8"/>
        <v>30</v>
      </c>
      <c r="T70" s="1394">
        <f t="shared" si="8"/>
        <v>4</v>
      </c>
      <c r="U70" s="1394">
        <f t="shared" si="8"/>
        <v>2</v>
      </c>
      <c r="V70" s="1394">
        <f>COUNTIF(V10:V60,"&gt;"&amp;V69)</f>
        <v>25</v>
      </c>
      <c r="W70" s="1394">
        <f>COUNTIF(W10:W60,"&gt;="&amp;W69)</f>
        <v>8</v>
      </c>
      <c r="X70" s="1394">
        <f t="shared" ref="X70:Y70" si="9">COUNTIF(X10:X60,"&gt;=" &amp;X69)</f>
        <v>14</v>
      </c>
      <c r="Y70" s="1394">
        <f t="shared" si="9"/>
        <v>0</v>
      </c>
      <c r="AA70" s="1095">
        <f>COUNTIF(AA10:AA60,"&gt;="&amp;AA69)</f>
        <v>51</v>
      </c>
      <c r="AB70" s="1095">
        <f>COUNTIF(AB10:AB60,"&gt;="&amp;AB69)</f>
        <v>51</v>
      </c>
      <c r="AD70" s="1394">
        <f>COUNTIF(AD10:AD67,"&gt;="&amp;B69)</f>
        <v>43</v>
      </c>
    </row>
    <row r="71" spans="1:30" ht="30" customHeight="1" thickBot="1" x14ac:dyDescent="0.35">
      <c r="A71" s="2863" t="s">
        <v>36</v>
      </c>
      <c r="B71" s="2863"/>
      <c r="C71" s="1394">
        <f t="shared" ref="C71:U71" si="10">C70/C68</f>
        <v>0.90566037735849059</v>
      </c>
      <c r="D71" s="1394">
        <f t="shared" si="10"/>
        <v>0.31111111111111112</v>
      </c>
      <c r="E71" s="1394">
        <f t="shared" si="10"/>
        <v>0.46666666666666667</v>
      </c>
      <c r="F71" s="1394">
        <f t="shared" si="10"/>
        <v>0.86111111111111116</v>
      </c>
      <c r="G71" s="1394">
        <f t="shared" si="10"/>
        <v>0.82758620689655171</v>
      </c>
      <c r="H71" s="1394">
        <f t="shared" si="10"/>
        <v>1</v>
      </c>
      <c r="I71" s="1394">
        <f t="shared" si="10"/>
        <v>0.8125</v>
      </c>
      <c r="J71" s="1394">
        <f t="shared" si="10"/>
        <v>0.94117647058823528</v>
      </c>
      <c r="K71" s="1394">
        <f t="shared" si="10"/>
        <v>0.93939393939393945</v>
      </c>
      <c r="L71" s="1394">
        <f t="shared" si="10"/>
        <v>0.93333333333333335</v>
      </c>
      <c r="M71" s="1394">
        <f t="shared" si="10"/>
        <v>0.5714285714285714</v>
      </c>
      <c r="N71" s="1394"/>
      <c r="O71" s="1394">
        <f t="shared" si="10"/>
        <v>0.38461538461538464</v>
      </c>
      <c r="P71" s="1394">
        <f t="shared" si="10"/>
        <v>0.62962962962962965</v>
      </c>
      <c r="Q71" s="1394">
        <f t="shared" si="10"/>
        <v>0.25714285714285712</v>
      </c>
      <c r="R71" s="1394">
        <f t="shared" si="10"/>
        <v>0.70731707317073167</v>
      </c>
      <c r="S71" s="1394">
        <f t="shared" si="10"/>
        <v>0.7142857142857143</v>
      </c>
      <c r="T71" s="1394">
        <f t="shared" si="10"/>
        <v>0.33333333333333331</v>
      </c>
      <c r="U71" s="1394">
        <f t="shared" si="10"/>
        <v>0.2857142857142857</v>
      </c>
      <c r="V71" s="1394">
        <f>V70/V68</f>
        <v>0.69444444444444442</v>
      </c>
      <c r="W71" s="1394">
        <f>W70/W68</f>
        <v>0.33333333333333331</v>
      </c>
      <c r="X71" s="1394">
        <f t="shared" ref="X71:Y71" si="11">X70/X68</f>
        <v>1</v>
      </c>
      <c r="Y71" s="1394">
        <f t="shared" si="11"/>
        <v>0</v>
      </c>
      <c r="AA71" s="1095">
        <f>AA70/AA68</f>
        <v>0.87931034482758619</v>
      </c>
      <c r="AB71" s="1095">
        <f>AB70/AB68</f>
        <v>0.87931034482758619</v>
      </c>
      <c r="AD71" s="1394">
        <f>(AD70/58)*100</f>
        <v>74.137931034482762</v>
      </c>
    </row>
    <row r="72" spans="1:30" ht="30" customHeight="1" thickBot="1" x14ac:dyDescent="0.35">
      <c r="C72" s="1610" t="s">
        <v>22</v>
      </c>
      <c r="D72" s="1611" t="s">
        <v>23</v>
      </c>
      <c r="E72" s="1611" t="s">
        <v>23</v>
      </c>
      <c r="F72" s="1612" t="s">
        <v>20</v>
      </c>
      <c r="G72" s="1612" t="s">
        <v>20</v>
      </c>
      <c r="H72" s="1612" t="s">
        <v>20</v>
      </c>
      <c r="I72" s="1612" t="s">
        <v>20</v>
      </c>
      <c r="J72" s="1613" t="s">
        <v>23</v>
      </c>
      <c r="K72" s="1612" t="s">
        <v>41</v>
      </c>
      <c r="L72" s="1612" t="s">
        <v>41</v>
      </c>
      <c r="M72" s="1614" t="s">
        <v>41</v>
      </c>
      <c r="N72" s="1394"/>
      <c r="O72" s="1610" t="s">
        <v>40</v>
      </c>
      <c r="P72" s="1611" t="s">
        <v>42</v>
      </c>
      <c r="Q72" s="1615" t="s">
        <v>43</v>
      </c>
      <c r="R72" s="1610" t="s">
        <v>40</v>
      </c>
      <c r="S72" s="1611" t="s">
        <v>40</v>
      </c>
      <c r="T72" s="1615" t="s">
        <v>42</v>
      </c>
      <c r="U72" s="1610" t="s">
        <v>42</v>
      </c>
      <c r="V72" s="1610" t="s">
        <v>42</v>
      </c>
      <c r="W72" s="1610" t="s">
        <v>42</v>
      </c>
      <c r="X72" s="1616" t="s">
        <v>43</v>
      </c>
      <c r="Y72" s="1617" t="s">
        <v>43</v>
      </c>
      <c r="Z72" s="1394"/>
      <c r="AA72" s="1394"/>
    </row>
    <row r="74" spans="1:30" ht="30" customHeight="1" x14ac:dyDescent="0.3">
      <c r="D74" s="1011" t="s">
        <v>38</v>
      </c>
      <c r="E74" s="2635" t="s">
        <v>39</v>
      </c>
      <c r="F74" s="2635"/>
      <c r="G74" s="2635" t="s">
        <v>37</v>
      </c>
      <c r="H74" s="2635"/>
      <c r="I74" s="2635"/>
      <c r="J74" s="1114"/>
      <c r="K74" s="1011"/>
    </row>
    <row r="75" spans="1:30" ht="30" customHeight="1" x14ac:dyDescent="0.3">
      <c r="B75" s="1011" t="s">
        <v>22</v>
      </c>
      <c r="C75" s="1394">
        <f>AVERAGE(C71,F71,G71,H71,I71)*100</f>
        <v>88.137153907323068</v>
      </c>
      <c r="D75" s="1394">
        <f t="shared" ref="D75:D79" si="12">IF(C75&gt;=70,3,IF(AND(C75&gt;=60,C75&lt;70),2,IF(AND(C75&gt;=50,C75&lt;60),1)))</f>
        <v>3</v>
      </c>
      <c r="E75" s="3561">
        <f>IF(AD71&gt;=70,3,IF(AND(AD71&gt;=60,AD71&lt;70),2,IF(AND(AD71&gt;=50,AD71&lt;60),1)))</f>
        <v>3</v>
      </c>
      <c r="F75" s="3561"/>
      <c r="G75" s="1373">
        <f>(70/100)*E75+(30/100)*D75</f>
        <v>2.9999999999999996</v>
      </c>
      <c r="H75" s="1373"/>
      <c r="I75" s="1373"/>
      <c r="J75" s="1373"/>
      <c r="K75" s="1373"/>
    </row>
    <row r="76" spans="1:30" ht="30" customHeight="1" x14ac:dyDescent="0.3">
      <c r="B76" s="1011" t="s">
        <v>40</v>
      </c>
      <c r="C76" s="1394">
        <f>AVERAGE(O71,R71,S71)*100</f>
        <v>60.207272402394352</v>
      </c>
      <c r="D76" s="1394">
        <f t="shared" si="12"/>
        <v>2</v>
      </c>
      <c r="E76" s="3561">
        <f>IF(AD71&gt;=70,3,IF(AND(AD71&gt;=60,AD71&lt;70),2,IF(AND(AD71&gt;=50,AD71&lt;60),1)))</f>
        <v>3</v>
      </c>
      <c r="F76" s="3561"/>
      <c r="G76" s="1373">
        <f t="shared" ref="G76:G78" si="13">(70/100)*E76+(30/100)*D76</f>
        <v>2.6999999999999997</v>
      </c>
      <c r="H76" s="1373"/>
      <c r="I76" s="1373"/>
      <c r="J76" s="1373"/>
      <c r="K76" s="1373"/>
    </row>
    <row r="77" spans="1:30" ht="30" customHeight="1" x14ac:dyDescent="0.3">
      <c r="B77" s="1011" t="s">
        <v>41</v>
      </c>
      <c r="C77" s="1394">
        <f>AVERAGE(D71,E71,J71,K71,L71,M71)*100</f>
        <v>69.385168208697621</v>
      </c>
      <c r="D77" s="1394">
        <f t="shared" si="12"/>
        <v>2</v>
      </c>
      <c r="E77" s="3561">
        <f>IF(AD71&gt;=70,3,IF(AND(AD71&gt;=60,AD71&lt;70),2,IF(AND(AD71&gt;=50,AD71&lt;60),1)))</f>
        <v>3</v>
      </c>
      <c r="F77" s="3561"/>
      <c r="G77" s="1373">
        <f t="shared" si="13"/>
        <v>2.6999999999999997</v>
      </c>
      <c r="H77" s="1373"/>
      <c r="I77" s="1373"/>
      <c r="J77" s="1373"/>
      <c r="K77" s="1373"/>
    </row>
    <row r="78" spans="1:30" ht="30" customHeight="1" x14ac:dyDescent="0.3">
      <c r="B78" s="1011" t="s">
        <v>42</v>
      </c>
      <c r="C78" s="1394">
        <f>AVERAGE(P71,T71,U71,V71,W71)*100</f>
        <v>45.529100529100532</v>
      </c>
      <c r="D78" s="1394" t="b">
        <f t="shared" si="12"/>
        <v>0</v>
      </c>
      <c r="E78" s="3561">
        <f>IF(AD71&gt;=70,3,IF(AND(AD71&gt;=60,AD71&lt;70),2,IF(AND(AD71&gt;=50,AD71&lt;60),1)))</f>
        <v>3</v>
      </c>
      <c r="F78" s="3561"/>
      <c r="G78" s="1373">
        <f t="shared" si="13"/>
        <v>2.0999999999999996</v>
      </c>
      <c r="H78" s="1373"/>
      <c r="I78" s="1373"/>
      <c r="J78" s="1373"/>
      <c r="K78" s="1373"/>
    </row>
    <row r="79" spans="1:30" ht="30" customHeight="1" x14ac:dyDescent="0.3">
      <c r="B79" s="1011" t="s">
        <v>43</v>
      </c>
      <c r="C79" s="1394">
        <f>AVERAGE(Q71,X71,Y71)*100</f>
        <v>41.904761904761905</v>
      </c>
      <c r="D79" s="1394" t="b">
        <f t="shared" si="12"/>
        <v>0</v>
      </c>
      <c r="E79" s="3561">
        <f>IF(AD71&gt;=70,3,IF(AND(AD71&gt;=60,AD71&lt;70),2,IF(AND(AD71&gt;=50,AD71&lt;60),1)))</f>
        <v>3</v>
      </c>
      <c r="F79" s="3561"/>
      <c r="G79" s="1373">
        <f>(70/100)*E79+(30/100)*D79</f>
        <v>2.0999999999999996</v>
      </c>
      <c r="H79" s="1373"/>
      <c r="I79" s="1373"/>
      <c r="J79" s="1373"/>
      <c r="K79" s="1373"/>
    </row>
    <row r="80" spans="1:30" ht="30" customHeight="1" x14ac:dyDescent="0.3">
      <c r="B80" s="2862" t="s">
        <v>44</v>
      </c>
      <c r="C80" s="2862"/>
      <c r="D80" s="2862"/>
      <c r="E80" s="2862"/>
      <c r="F80" s="2862"/>
      <c r="G80" s="1375">
        <f>AVERAGE(G75:G78)</f>
        <v>2.6249999999999996</v>
      </c>
      <c r="H80" s="1375"/>
      <c r="I80" s="1375"/>
      <c r="J80" s="1375"/>
      <c r="K80" s="1375"/>
    </row>
    <row r="82" spans="1:27" ht="30" customHeight="1" x14ac:dyDescent="0.3">
      <c r="A82" s="2862" t="s">
        <v>134</v>
      </c>
      <c r="B82" s="2862"/>
    </row>
    <row r="84" spans="1:27" ht="30" customHeight="1" x14ac:dyDescent="0.3">
      <c r="B84" s="1376" t="s">
        <v>45</v>
      </c>
      <c r="C84" s="1618" t="s">
        <v>68</v>
      </c>
      <c r="D84" s="1618" t="s">
        <v>69</v>
      </c>
      <c r="E84" s="1618" t="s">
        <v>70</v>
      </c>
      <c r="F84" s="1618" t="s">
        <v>71</v>
      </c>
      <c r="G84" s="1618" t="s">
        <v>72</v>
      </c>
      <c r="H84" s="1618" t="s">
        <v>73</v>
      </c>
      <c r="I84" s="1618" t="s">
        <v>74</v>
      </c>
      <c r="J84" s="1619" t="s">
        <v>75</v>
      </c>
      <c r="K84" s="1618" t="s">
        <v>76</v>
      </c>
      <c r="L84" s="1618" t="s">
        <v>77</v>
      </c>
      <c r="M84" s="1618" t="s">
        <v>78</v>
      </c>
      <c r="N84" s="1618" t="s">
        <v>79</v>
      </c>
      <c r="T84" s="1387"/>
      <c r="AA84" s="1095"/>
    </row>
    <row r="85" spans="1:27" ht="30" customHeight="1" x14ac:dyDescent="0.3">
      <c r="B85" s="1379" t="s">
        <v>20</v>
      </c>
      <c r="C85" s="1380">
        <v>3</v>
      </c>
      <c r="D85" s="1380">
        <v>3</v>
      </c>
      <c r="E85" s="1380">
        <v>2</v>
      </c>
      <c r="F85" s="1380">
        <v>1</v>
      </c>
      <c r="G85" s="1380">
        <v>2</v>
      </c>
      <c r="H85" s="1380"/>
      <c r="I85" s="1380"/>
      <c r="J85" s="1380"/>
      <c r="K85" s="1380"/>
      <c r="L85" s="1380"/>
      <c r="M85" s="1380"/>
      <c r="N85" s="1380">
        <v>2</v>
      </c>
      <c r="T85" s="1387"/>
      <c r="AA85" s="1095"/>
    </row>
    <row r="86" spans="1:27" ht="30" customHeight="1" x14ac:dyDescent="0.3">
      <c r="B86" s="1379" t="s">
        <v>21</v>
      </c>
      <c r="C86" s="1380">
        <v>3</v>
      </c>
      <c r="D86" s="1380">
        <v>3</v>
      </c>
      <c r="E86" s="1380">
        <v>2</v>
      </c>
      <c r="F86" s="1380">
        <v>1</v>
      </c>
      <c r="G86" s="1380">
        <v>2</v>
      </c>
      <c r="H86" s="1380">
        <v>1</v>
      </c>
      <c r="I86" s="1380"/>
      <c r="J86" s="1380"/>
      <c r="K86" s="1380"/>
      <c r="L86" s="1380"/>
      <c r="M86" s="1380"/>
      <c r="N86" s="1380">
        <v>2</v>
      </c>
      <c r="T86" s="1387"/>
      <c r="AA86" s="1095"/>
    </row>
    <row r="87" spans="1:27" ht="30" customHeight="1" x14ac:dyDescent="0.3">
      <c r="B87" s="1379" t="s">
        <v>23</v>
      </c>
      <c r="C87" s="1380">
        <v>3</v>
      </c>
      <c r="D87" s="1380">
        <v>3</v>
      </c>
      <c r="E87" s="1380">
        <v>3</v>
      </c>
      <c r="F87" s="1380">
        <v>1</v>
      </c>
      <c r="G87" s="1380">
        <v>3</v>
      </c>
      <c r="H87" s="1380">
        <v>2</v>
      </c>
      <c r="I87" s="1380"/>
      <c r="J87" s="1380"/>
      <c r="K87" s="1380"/>
      <c r="L87" s="1380"/>
      <c r="M87" s="1380"/>
      <c r="N87" s="1380">
        <v>2</v>
      </c>
      <c r="T87" s="1387"/>
      <c r="AA87" s="1095"/>
    </row>
    <row r="88" spans="1:27" ht="30" customHeight="1" x14ac:dyDescent="0.3">
      <c r="B88" s="1379" t="s">
        <v>25</v>
      </c>
      <c r="C88" s="1380">
        <v>2</v>
      </c>
      <c r="D88" s="1380">
        <v>2</v>
      </c>
      <c r="E88" s="1380">
        <v>3</v>
      </c>
      <c r="F88" s="1380">
        <v>1</v>
      </c>
      <c r="G88" s="1380">
        <v>1</v>
      </c>
      <c r="H88" s="1380"/>
      <c r="I88" s="1380"/>
      <c r="J88" s="1380"/>
      <c r="K88" s="1380"/>
      <c r="L88" s="1380"/>
      <c r="M88" s="1380"/>
      <c r="N88" s="1380">
        <v>2</v>
      </c>
      <c r="T88" s="1387"/>
      <c r="AA88" s="1095"/>
    </row>
    <row r="89" spans="1:27" ht="30" customHeight="1" x14ac:dyDescent="0.3">
      <c r="B89" s="1379" t="s">
        <v>24</v>
      </c>
      <c r="C89" s="1380">
        <v>3</v>
      </c>
      <c r="D89" s="1380">
        <v>3</v>
      </c>
      <c r="E89" s="1380">
        <v>3</v>
      </c>
      <c r="F89" s="1380">
        <v>3</v>
      </c>
      <c r="G89" s="1380">
        <v>3</v>
      </c>
      <c r="H89" s="1380"/>
      <c r="I89" s="1380"/>
      <c r="J89" s="1380"/>
      <c r="K89" s="1380"/>
      <c r="L89" s="1380"/>
      <c r="M89" s="1380"/>
      <c r="N89" s="1380"/>
      <c r="T89" s="1387"/>
      <c r="AA89" s="1095"/>
    </row>
    <row r="90" spans="1:27" ht="30" customHeight="1" x14ac:dyDescent="0.3">
      <c r="B90" s="1620" t="s">
        <v>10</v>
      </c>
      <c r="C90" s="1371">
        <f>AVERAGE(C85:C89)</f>
        <v>2.8</v>
      </c>
      <c r="D90" s="1371">
        <f t="shared" ref="D90:H90" si="14">AVERAGE(D85:D88)</f>
        <v>2.75</v>
      </c>
      <c r="E90" s="1371">
        <f t="shared" si="14"/>
        <v>2.5</v>
      </c>
      <c r="F90" s="1371">
        <f t="shared" si="14"/>
        <v>1</v>
      </c>
      <c r="G90" s="1371">
        <f t="shared" si="14"/>
        <v>2</v>
      </c>
      <c r="H90" s="1371">
        <f t="shared" si="14"/>
        <v>1.5</v>
      </c>
      <c r="I90" s="1371"/>
      <c r="J90" s="1371"/>
      <c r="K90" s="1371"/>
      <c r="L90" s="1371"/>
      <c r="M90" s="1371"/>
      <c r="N90" s="1371">
        <f>AVERAGE(N85:N88)</f>
        <v>2</v>
      </c>
      <c r="T90" s="1387"/>
      <c r="AA90" s="1095"/>
    </row>
    <row r="91" spans="1:27" ht="30" customHeight="1" x14ac:dyDescent="0.3">
      <c r="B91" s="1381" t="s">
        <v>58</v>
      </c>
      <c r="C91" s="2805">
        <f>AVERAGE(C90:N90)</f>
        <v>2.0785714285714287</v>
      </c>
      <c r="D91" s="2805"/>
      <c r="E91" s="2805"/>
      <c r="F91" s="2805"/>
      <c r="G91" s="2805"/>
      <c r="H91" s="2805"/>
      <c r="I91" s="2805"/>
      <c r="J91" s="2805"/>
      <c r="K91" s="2805"/>
      <c r="L91" s="2805"/>
      <c r="M91" s="2805"/>
      <c r="N91" s="2805"/>
      <c r="O91" s="1072"/>
      <c r="P91" s="1072"/>
      <c r="Q91" s="1072"/>
      <c r="R91" s="1072"/>
    </row>
    <row r="92" spans="1:27" ht="30" customHeight="1" x14ac:dyDescent="0.3">
      <c r="C92" s="1383"/>
    </row>
    <row r="94" spans="1:27" ht="30" customHeight="1" x14ac:dyDescent="0.3">
      <c r="A94" s="2862" t="s">
        <v>148</v>
      </c>
      <c r="B94" s="2862"/>
    </row>
    <row r="96" spans="1:27" ht="30" customHeight="1" x14ac:dyDescent="0.3">
      <c r="B96" s="1376" t="s">
        <v>45</v>
      </c>
      <c r="C96" s="1618" t="s">
        <v>68</v>
      </c>
      <c r="D96" s="1618" t="s">
        <v>69</v>
      </c>
      <c r="E96" s="1618" t="s">
        <v>70</v>
      </c>
      <c r="F96" s="1618" t="s">
        <v>71</v>
      </c>
      <c r="G96" s="1618" t="s">
        <v>72</v>
      </c>
      <c r="H96" s="1618" t="s">
        <v>73</v>
      </c>
      <c r="I96" s="1618" t="s">
        <v>74</v>
      </c>
      <c r="J96" s="1619" t="s">
        <v>75</v>
      </c>
      <c r="K96" s="1618" t="s">
        <v>76</v>
      </c>
      <c r="L96" s="1618" t="s">
        <v>77</v>
      </c>
      <c r="M96" s="1618" t="s">
        <v>78</v>
      </c>
      <c r="N96" s="1618" t="s">
        <v>79</v>
      </c>
      <c r="S96" s="1386"/>
      <c r="T96" s="1370"/>
      <c r="AA96" s="1095"/>
    </row>
    <row r="97" spans="1:27" ht="30" customHeight="1" x14ac:dyDescent="0.3">
      <c r="B97" s="1379" t="s">
        <v>20</v>
      </c>
      <c r="C97" s="1384">
        <f>G75*C85/3</f>
        <v>2.9999999999999996</v>
      </c>
      <c r="D97" s="1384">
        <f>G75*D85/3</f>
        <v>2.9999999999999996</v>
      </c>
      <c r="E97" s="1384">
        <f>G75*E85/3</f>
        <v>1.9999999999999998</v>
      </c>
      <c r="F97" s="1384">
        <f>G75*F85/3</f>
        <v>0.99999999999999989</v>
      </c>
      <c r="G97" s="1384">
        <f>G75*G85/3</f>
        <v>1.9999999999999998</v>
      </c>
      <c r="H97" s="1384"/>
      <c r="I97" s="1384"/>
      <c r="J97" s="1384"/>
      <c r="K97" s="1384"/>
      <c r="L97" s="1384"/>
      <c r="M97" s="1384"/>
      <c r="N97" s="1384">
        <f>G75*N85/3</f>
        <v>1.9999999999999998</v>
      </c>
      <c r="S97" s="1386"/>
      <c r="T97" s="1370"/>
      <c r="AA97" s="1095"/>
    </row>
    <row r="98" spans="1:27" ht="30" customHeight="1" x14ac:dyDescent="0.3">
      <c r="B98" s="1379" t="s">
        <v>21</v>
      </c>
      <c r="C98" s="1384">
        <f>G76*C86/3</f>
        <v>2.6999999999999997</v>
      </c>
      <c r="D98" s="1384">
        <f>G76*D86/3</f>
        <v>2.6999999999999997</v>
      </c>
      <c r="E98" s="1384">
        <f>G76*E86/3</f>
        <v>1.7999999999999998</v>
      </c>
      <c r="F98" s="1384">
        <f>G76*F86/3</f>
        <v>0.89999999999999991</v>
      </c>
      <c r="G98" s="1384">
        <f>G76*G86/3</f>
        <v>1.7999999999999998</v>
      </c>
      <c r="H98" s="1384">
        <f>G76*H86/3</f>
        <v>0.89999999999999991</v>
      </c>
      <c r="I98" s="1384"/>
      <c r="J98" s="1384"/>
      <c r="K98" s="1384"/>
      <c r="L98" s="1384"/>
      <c r="M98" s="1384"/>
      <c r="N98" s="1384">
        <f>G76*N86/3</f>
        <v>1.7999999999999998</v>
      </c>
      <c r="S98" s="1386"/>
      <c r="T98" s="1370"/>
      <c r="AA98" s="1095"/>
    </row>
    <row r="99" spans="1:27" ht="30" customHeight="1" x14ac:dyDescent="0.3">
      <c r="B99" s="1379" t="s">
        <v>23</v>
      </c>
      <c r="C99" s="1384">
        <f>G77*C87/3</f>
        <v>2.6999999999999997</v>
      </c>
      <c r="D99" s="1384">
        <f>G77*D87/3</f>
        <v>2.6999999999999997</v>
      </c>
      <c r="E99" s="1384">
        <f>G77*E87/3</f>
        <v>2.6999999999999997</v>
      </c>
      <c r="F99" s="1384">
        <f>G77*F87/3</f>
        <v>0.89999999999999991</v>
      </c>
      <c r="G99" s="1384">
        <f>G77*G87/3</f>
        <v>2.6999999999999997</v>
      </c>
      <c r="H99" s="1384">
        <f>G77*H87/3</f>
        <v>1.7999999999999998</v>
      </c>
      <c r="I99" s="1384"/>
      <c r="J99" s="1384"/>
      <c r="K99" s="1384"/>
      <c r="L99" s="1384"/>
      <c r="M99" s="1384"/>
      <c r="N99" s="1384">
        <f>G77*N87/3</f>
        <v>1.7999999999999998</v>
      </c>
      <c r="S99" s="1386"/>
      <c r="T99" s="1370"/>
      <c r="AA99" s="1095"/>
    </row>
    <row r="100" spans="1:27" ht="30" customHeight="1" x14ac:dyDescent="0.3">
      <c r="B100" s="1379" t="s">
        <v>25</v>
      </c>
      <c r="C100" s="1384">
        <f>G78*C88/3</f>
        <v>1.3999999999999997</v>
      </c>
      <c r="D100" s="1384">
        <f>G78*D88/3</f>
        <v>1.3999999999999997</v>
      </c>
      <c r="E100" s="1384">
        <f>G78*E88/3</f>
        <v>2.0999999999999996</v>
      </c>
      <c r="F100" s="1384">
        <f>G78*F88/3</f>
        <v>0.69999999999999984</v>
      </c>
      <c r="G100" s="1384">
        <f>G78*G88/3</f>
        <v>0.69999999999999984</v>
      </c>
      <c r="H100" s="1384"/>
      <c r="I100" s="1384"/>
      <c r="J100" s="1384"/>
      <c r="K100" s="1384"/>
      <c r="L100" s="1384"/>
      <c r="M100" s="1384"/>
      <c r="N100" s="1384">
        <f>G78*N88/3</f>
        <v>1.3999999999999997</v>
      </c>
      <c r="S100" s="1386"/>
      <c r="T100" s="1370"/>
      <c r="AA100" s="1095"/>
    </row>
    <row r="101" spans="1:27" ht="30" customHeight="1" x14ac:dyDescent="0.3">
      <c r="B101" s="1379" t="s">
        <v>24</v>
      </c>
      <c r="C101" s="1384">
        <f>G79*C89/3</f>
        <v>2.0999999999999996</v>
      </c>
      <c r="D101" s="1384">
        <f>G79*D89/3</f>
        <v>2.0999999999999996</v>
      </c>
      <c r="E101" s="1384">
        <f>G79*E89/3</f>
        <v>2.0999999999999996</v>
      </c>
      <c r="F101" s="1384">
        <f>G79*F89/3</f>
        <v>2.0999999999999996</v>
      </c>
      <c r="G101" s="1384">
        <f>G79*G89/3</f>
        <v>2.0999999999999996</v>
      </c>
      <c r="H101" s="1384"/>
      <c r="I101" s="1384"/>
      <c r="J101" s="1384"/>
      <c r="K101" s="1384"/>
      <c r="L101" s="1384"/>
      <c r="M101" s="1384"/>
      <c r="N101" s="1384"/>
      <c r="S101" s="1386"/>
      <c r="T101" s="1370"/>
      <c r="AA101" s="1095"/>
    </row>
    <row r="102" spans="1:27" ht="30" customHeight="1" x14ac:dyDescent="0.3">
      <c r="B102" s="1620" t="s">
        <v>10</v>
      </c>
      <c r="C102" s="1621">
        <f>AVERAGE(C97:C101)</f>
        <v>2.38</v>
      </c>
      <c r="D102" s="1621">
        <f t="shared" ref="D102:H102" si="15">AVERAGE(D97:D101)</f>
        <v>2.38</v>
      </c>
      <c r="E102" s="1621">
        <f t="shared" si="15"/>
        <v>2.1399999999999997</v>
      </c>
      <c r="F102" s="1621">
        <f t="shared" si="15"/>
        <v>1.1199999999999999</v>
      </c>
      <c r="G102" s="1621">
        <f t="shared" si="15"/>
        <v>1.86</v>
      </c>
      <c r="H102" s="1621">
        <f t="shared" si="15"/>
        <v>1.3499999999999999</v>
      </c>
      <c r="I102" s="1621"/>
      <c r="J102" s="1621"/>
      <c r="K102" s="1621"/>
      <c r="L102" s="1621"/>
      <c r="M102" s="1621"/>
      <c r="N102" s="1621">
        <f t="shared" ref="N102" si="16">AVERAGE(N97:N101)</f>
        <v>1.7499999999999998</v>
      </c>
      <c r="S102" s="1386"/>
      <c r="T102" s="1370"/>
      <c r="AA102" s="1095"/>
    </row>
    <row r="103" spans="1:27" ht="30" customHeight="1" x14ac:dyDescent="0.3">
      <c r="B103" s="1381" t="s">
        <v>58</v>
      </c>
      <c r="C103" s="3414">
        <f>AVERAGE(C102:N102)</f>
        <v>1.8542857142857141</v>
      </c>
      <c r="D103" s="3414"/>
      <c r="E103" s="3414"/>
      <c r="F103" s="3414"/>
      <c r="G103" s="3414"/>
      <c r="H103" s="3414"/>
      <c r="I103" s="3414"/>
      <c r="J103" s="3414"/>
      <c r="K103" s="3414"/>
      <c r="L103" s="3414"/>
      <c r="M103" s="3414"/>
      <c r="N103" s="3414"/>
      <c r="O103" s="1069"/>
      <c r="P103" s="1069"/>
      <c r="Q103" s="1069"/>
      <c r="R103" s="1069"/>
    </row>
    <row r="105" spans="1:27" ht="30" customHeight="1" x14ac:dyDescent="0.3">
      <c r="A105" s="2862" t="s">
        <v>137</v>
      </c>
      <c r="B105" s="2862"/>
      <c r="C105" s="1375"/>
      <c r="D105" s="1375"/>
      <c r="L105" s="2862" t="s">
        <v>149</v>
      </c>
      <c r="M105" s="2862"/>
      <c r="N105" s="2862"/>
      <c r="O105" s="1375"/>
      <c r="P105" s="1375"/>
    </row>
    <row r="106" spans="1:27" ht="30" customHeight="1" x14ac:dyDescent="0.3">
      <c r="A106" s="1386"/>
      <c r="B106" s="1386"/>
      <c r="C106" s="1375"/>
      <c r="D106" s="1375"/>
      <c r="L106" s="1386"/>
      <c r="M106" s="1386"/>
      <c r="N106" s="1387"/>
      <c r="O106" s="1375"/>
      <c r="P106" s="1375"/>
    </row>
    <row r="107" spans="1:27" ht="30" customHeight="1" x14ac:dyDescent="0.3">
      <c r="B107" s="1376" t="s">
        <v>59</v>
      </c>
      <c r="C107" s="1618" t="s">
        <v>60</v>
      </c>
      <c r="D107" s="1618" t="s">
        <v>61</v>
      </c>
      <c r="E107" s="1618" t="s">
        <v>62</v>
      </c>
      <c r="N107" s="1388" t="s">
        <v>59</v>
      </c>
      <c r="O107" s="1618" t="s">
        <v>60</v>
      </c>
      <c r="P107" s="1618" t="s">
        <v>61</v>
      </c>
      <c r="Q107" s="1618" t="s">
        <v>62</v>
      </c>
    </row>
    <row r="108" spans="1:27" ht="30" customHeight="1" x14ac:dyDescent="0.3">
      <c r="B108" s="1389" t="s">
        <v>20</v>
      </c>
      <c r="C108" s="1380">
        <v>3</v>
      </c>
      <c r="D108" s="1380">
        <v>2</v>
      </c>
      <c r="E108" s="1380"/>
      <c r="N108" s="1390" t="s">
        <v>20</v>
      </c>
      <c r="O108" s="1384">
        <f>G75*C108/3</f>
        <v>2.9999999999999996</v>
      </c>
      <c r="P108" s="1384">
        <f>G75*D108/3</f>
        <v>1.9999999999999998</v>
      </c>
      <c r="Q108" s="1384"/>
    </row>
    <row r="109" spans="1:27" ht="30" customHeight="1" x14ac:dyDescent="0.3">
      <c r="B109" s="1379" t="s">
        <v>21</v>
      </c>
      <c r="C109" s="1380">
        <v>3</v>
      </c>
      <c r="D109" s="1380">
        <v>2</v>
      </c>
      <c r="E109" s="1380">
        <v>1</v>
      </c>
      <c r="N109" s="1391" t="s">
        <v>21</v>
      </c>
      <c r="O109" s="1384">
        <f>G76*C109/3</f>
        <v>2.6999999999999997</v>
      </c>
      <c r="P109" s="1384">
        <f>G76*D109/3</f>
        <v>1.7999999999999998</v>
      </c>
      <c r="Q109" s="1384">
        <f>G76*E109/3</f>
        <v>0.89999999999999991</v>
      </c>
    </row>
    <row r="110" spans="1:27" ht="30" customHeight="1" x14ac:dyDescent="0.3">
      <c r="B110" s="1379" t="s">
        <v>23</v>
      </c>
      <c r="C110" s="1380">
        <v>3</v>
      </c>
      <c r="D110" s="1380">
        <v>3</v>
      </c>
      <c r="E110" s="1380">
        <v>1</v>
      </c>
      <c r="N110" s="1391" t="s">
        <v>23</v>
      </c>
      <c r="O110" s="1384">
        <f>G77*C110/3</f>
        <v>2.6999999999999997</v>
      </c>
      <c r="P110" s="1384">
        <f>G77*D110/3</f>
        <v>2.6999999999999997</v>
      </c>
      <c r="Q110" s="1384">
        <f>G77*E110/3</f>
        <v>0.89999999999999991</v>
      </c>
    </row>
    <row r="111" spans="1:27" ht="30" customHeight="1" x14ac:dyDescent="0.3">
      <c r="B111" s="1379" t="s">
        <v>25</v>
      </c>
      <c r="C111" s="1380">
        <v>2</v>
      </c>
      <c r="D111" s="1380">
        <v>2</v>
      </c>
      <c r="E111" s="1380"/>
      <c r="N111" s="1391" t="s">
        <v>25</v>
      </c>
      <c r="O111" s="1384">
        <f>G78*C111/3</f>
        <v>1.3999999999999997</v>
      </c>
      <c r="P111" s="1384">
        <f>G78*D111/3</f>
        <v>1.3999999999999997</v>
      </c>
      <c r="Q111" s="1384"/>
    </row>
    <row r="112" spans="1:27" ht="30" customHeight="1" x14ac:dyDescent="0.3">
      <c r="B112" s="1389" t="s">
        <v>24</v>
      </c>
      <c r="C112" s="1622">
        <v>3</v>
      </c>
      <c r="D112" s="1622">
        <v>2</v>
      </c>
      <c r="E112" s="1622">
        <v>1</v>
      </c>
      <c r="N112" s="1390" t="s">
        <v>24</v>
      </c>
      <c r="O112" s="1384">
        <f>G79*C112/3</f>
        <v>2.0999999999999996</v>
      </c>
      <c r="P112" s="1384">
        <f>G79*D112/3</f>
        <v>1.3999999999999997</v>
      </c>
      <c r="Q112" s="1384">
        <f>G79*E112/3</f>
        <v>0.69999999999999984</v>
      </c>
    </row>
    <row r="113" spans="1:18" ht="30" customHeight="1" x14ac:dyDescent="0.3">
      <c r="B113" s="1392" t="s">
        <v>10</v>
      </c>
      <c r="C113" s="1393">
        <f>AVERAGE(C108:C112)</f>
        <v>2.8</v>
      </c>
      <c r="D113" s="1393">
        <f>AVERAGE(D108:D112)</f>
        <v>2.2000000000000002</v>
      </c>
      <c r="E113" s="1393">
        <f>AVERAGE(E108:E111)</f>
        <v>1</v>
      </c>
      <c r="N113" s="1623" t="s">
        <v>10</v>
      </c>
      <c r="O113" s="1384">
        <f>AVERAGE(O108:O111)</f>
        <v>2.4499999999999997</v>
      </c>
      <c r="P113" s="1384">
        <f>AVERAGE(P108:P111)</f>
        <v>1.9749999999999999</v>
      </c>
      <c r="Q113" s="1384">
        <f>AVERAGE(Q108:Q111)</f>
        <v>0.89999999999999991</v>
      </c>
    </row>
    <row r="114" spans="1:18" ht="30" customHeight="1" x14ac:dyDescent="0.3">
      <c r="A114" s="1394"/>
      <c r="B114" s="1395" t="s">
        <v>58</v>
      </c>
      <c r="C114" s="3679">
        <f>AVERAGE(C113:E113)</f>
        <v>2</v>
      </c>
      <c r="D114" s="3563"/>
      <c r="E114" s="3680"/>
      <c r="F114" s="1394"/>
      <c r="G114" s="1394"/>
      <c r="H114" s="1394"/>
      <c r="I114" s="1394"/>
      <c r="J114" s="1394"/>
      <c r="K114" s="1394"/>
      <c r="L114" s="1394"/>
      <c r="M114" s="1394"/>
      <c r="N114" s="1396" t="s">
        <v>58</v>
      </c>
      <c r="O114" s="3679">
        <f>AVERAGE(O113:Q113)</f>
        <v>1.7749999999999997</v>
      </c>
      <c r="P114" s="3563"/>
      <c r="Q114" s="3680"/>
      <c r="R114" s="1394"/>
    </row>
    <row r="117" spans="1:18" ht="30" customHeight="1" x14ac:dyDescent="0.3">
      <c r="A117" s="1624"/>
      <c r="B117" s="1624"/>
      <c r="C117" s="1624"/>
      <c r="D117" s="1624"/>
      <c r="E117" s="1624"/>
      <c r="F117" s="1624"/>
      <c r="G117" s="1624"/>
      <c r="H117" s="1624"/>
      <c r="I117" s="1624"/>
      <c r="J117" s="1624"/>
      <c r="K117" s="1624"/>
      <c r="L117" s="1624"/>
      <c r="M117" s="1624"/>
      <c r="N117" s="1624"/>
      <c r="O117" s="1624"/>
      <c r="P117" s="1624"/>
      <c r="Q117" s="1624"/>
      <c r="R117" s="1624"/>
    </row>
  </sheetData>
  <mergeCells count="45">
    <mergeCell ref="C103:N103"/>
    <mergeCell ref="A105:B105"/>
    <mergeCell ref="L105:N105"/>
    <mergeCell ref="C114:E114"/>
    <mergeCell ref="O114:Q114"/>
    <mergeCell ref="AC6:AC9"/>
    <mergeCell ref="AD6:AD9"/>
    <mergeCell ref="A94:B94"/>
    <mergeCell ref="A71:B71"/>
    <mergeCell ref="E74:F74"/>
    <mergeCell ref="G74:I74"/>
    <mergeCell ref="E75:F75"/>
    <mergeCell ref="E76:F76"/>
    <mergeCell ref="E77:F77"/>
    <mergeCell ref="E78:F78"/>
    <mergeCell ref="E79:F79"/>
    <mergeCell ref="B80:F80"/>
    <mergeCell ref="A82:B82"/>
    <mergeCell ref="C91:N91"/>
    <mergeCell ref="A70:B70"/>
    <mergeCell ref="J6:K6"/>
    <mergeCell ref="A5:B5"/>
    <mergeCell ref="C5:O5"/>
    <mergeCell ref="P5:AB5"/>
    <mergeCell ref="L6:M6"/>
    <mergeCell ref="O6:Q6"/>
    <mergeCell ref="R6:S6"/>
    <mergeCell ref="T6:U6"/>
    <mergeCell ref="V6:W6"/>
    <mergeCell ref="X6:Y6"/>
    <mergeCell ref="AA6:AA8"/>
    <mergeCell ref="AB6:AB8"/>
    <mergeCell ref="A6:A8"/>
    <mergeCell ref="B6:B7"/>
    <mergeCell ref="C6:E6"/>
    <mergeCell ref="F6:G6"/>
    <mergeCell ref="H6:I6"/>
    <mergeCell ref="C4:N4"/>
    <mergeCell ref="P4:AA4"/>
    <mergeCell ref="A2:B2"/>
    <mergeCell ref="C2:N2"/>
    <mergeCell ref="P2:AA2"/>
    <mergeCell ref="A3:B3"/>
    <mergeCell ref="C3:N3"/>
    <mergeCell ref="P3:AA3"/>
  </mergeCells>
  <conditionalFormatting sqref="AA10:AB67">
    <cfRule type="containsText" dxfId="56" priority="2" operator="containsText" text="F">
      <formula>NOT(ISERROR(SEARCH("F",AA10)))</formula>
    </cfRule>
  </conditionalFormatting>
  <conditionalFormatting sqref="AC10:AC67">
    <cfRule type="containsText" dxfId="55" priority="1" operator="containsText" text="F">
      <formula>NOT(ISERROR(SEARCH("F",AC10)))</formula>
    </cfRule>
  </conditionalFormatting>
  <pageMargins left="0.7" right="0.7" top="0.75" bottom="0.75" header="0.3" footer="0.3"/>
  <pageSetup paperSize="8" scale="3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AF117"/>
  <sheetViews>
    <sheetView topLeftCell="A103" zoomScale="87" zoomScaleNormal="87" workbookViewId="0">
      <selection activeCell="G74" sqref="G74:I74"/>
    </sheetView>
  </sheetViews>
  <sheetFormatPr defaultColWidth="9.140625" defaultRowHeight="27.75" customHeight="1" x14ac:dyDescent="0.3"/>
  <cols>
    <col min="1" max="1" width="15.140625" style="1038" bestFit="1" customWidth="1"/>
    <col min="2" max="2" width="18.28515625" style="1038" bestFit="1" customWidth="1"/>
    <col min="3" max="3" width="13.7109375" style="1038" bestFit="1" customWidth="1"/>
    <col min="4" max="6" width="9.140625" style="1038"/>
    <col min="7" max="7" width="11.140625" style="1038" bestFit="1" customWidth="1"/>
    <col min="8" max="8" width="11.140625" style="1038" customWidth="1"/>
    <col min="9" max="9" width="11.42578125" style="1038" customWidth="1"/>
    <col min="10" max="11" width="9.85546875" style="1038" customWidth="1"/>
    <col min="12" max="13" width="10.5703125" style="1038" customWidth="1"/>
    <col min="14" max="14" width="10.5703125" style="1626" customWidth="1"/>
    <col min="15" max="15" width="10.5703125" style="1038" customWidth="1"/>
    <col min="16" max="18" width="11.140625" style="1038" bestFit="1" customWidth="1"/>
    <col min="19" max="19" width="9.140625" style="1038"/>
    <col min="20" max="20" width="16.28515625" style="1039" customWidth="1"/>
    <col min="21" max="21" width="15.5703125" style="1038" customWidth="1"/>
    <col min="22" max="24" width="10.5703125" style="1038" customWidth="1"/>
    <col min="25" max="25" width="10.85546875" style="1626" customWidth="1"/>
    <col min="26" max="26" width="10.28515625" style="1038" customWidth="1"/>
    <col min="27" max="27" width="11.85546875" style="1038" customWidth="1"/>
    <col min="28" max="28" width="11" style="1038" customWidth="1"/>
    <col min="29" max="31" width="8" style="1038" customWidth="1"/>
    <col min="32" max="32" width="17.7109375" style="1038" bestFit="1" customWidth="1"/>
    <col min="33" max="33" width="17.140625" style="1038" bestFit="1" customWidth="1"/>
    <col min="34" max="16384" width="9.140625" style="1038"/>
  </cols>
  <sheetData>
    <row r="1" spans="1:32" ht="27.75" customHeight="1" x14ac:dyDescent="0.3">
      <c r="A1" s="1625"/>
    </row>
    <row r="2" spans="1:32" ht="27.75" customHeight="1" x14ac:dyDescent="0.3">
      <c r="A2" s="3708" t="s">
        <v>0</v>
      </c>
      <c r="B2" s="3709"/>
      <c r="C2" s="3710" t="s">
        <v>126</v>
      </c>
      <c r="D2" s="3711"/>
      <c r="E2" s="3711"/>
      <c r="F2" s="3711"/>
      <c r="G2" s="3711"/>
      <c r="H2" s="3711"/>
      <c r="I2" s="3711"/>
      <c r="J2" s="3711"/>
      <c r="K2" s="3711"/>
      <c r="L2" s="3711"/>
      <c r="M2" s="3711"/>
      <c r="N2" s="3712"/>
      <c r="O2" s="1627" t="s">
        <v>63</v>
      </c>
      <c r="P2" s="3706" t="s">
        <v>271</v>
      </c>
      <c r="Q2" s="3707"/>
      <c r="R2" s="3707"/>
      <c r="S2" s="3707"/>
      <c r="T2" s="3707"/>
      <c r="U2" s="3707"/>
      <c r="V2" s="3707"/>
      <c r="W2" s="3707"/>
      <c r="X2" s="3707"/>
      <c r="Y2" s="3707"/>
      <c r="Z2" s="1015"/>
      <c r="AA2" s="1015"/>
      <c r="AB2" s="1015"/>
      <c r="AC2" s="1015"/>
      <c r="AD2" s="1015"/>
      <c r="AE2" s="1015"/>
      <c r="AF2" s="1015"/>
    </row>
    <row r="3" spans="1:32" ht="27.75" customHeight="1" x14ac:dyDescent="0.3">
      <c r="A3" s="3708" t="s">
        <v>1</v>
      </c>
      <c r="B3" s="3709"/>
      <c r="C3" s="3710" t="s">
        <v>266</v>
      </c>
      <c r="D3" s="3711"/>
      <c r="E3" s="3711"/>
      <c r="F3" s="3711"/>
      <c r="G3" s="3711"/>
      <c r="H3" s="3711"/>
      <c r="I3" s="3711"/>
      <c r="J3" s="3711"/>
      <c r="K3" s="3711"/>
      <c r="L3" s="3711"/>
      <c r="M3" s="3711"/>
      <c r="N3" s="3712"/>
      <c r="O3" s="1628" t="s">
        <v>64</v>
      </c>
      <c r="P3" s="3706" t="s">
        <v>232</v>
      </c>
      <c r="Q3" s="3707"/>
      <c r="R3" s="3707"/>
      <c r="S3" s="3707"/>
      <c r="T3" s="3707"/>
      <c r="U3" s="3707"/>
      <c r="V3" s="3707"/>
      <c r="W3" s="3707"/>
      <c r="X3" s="3707"/>
      <c r="Y3" s="3707"/>
      <c r="Z3" s="1015"/>
      <c r="AA3" s="1015"/>
      <c r="AB3" s="1015"/>
      <c r="AC3" s="1015"/>
      <c r="AD3" s="1015"/>
      <c r="AE3" s="1015"/>
      <c r="AF3" s="1015"/>
    </row>
    <row r="4" spans="1:32" ht="27.75" customHeight="1" thickBot="1" x14ac:dyDescent="0.35">
      <c r="A4" s="1743"/>
      <c r="B4" s="1744" t="s">
        <v>2</v>
      </c>
      <c r="C4" s="3714" t="s">
        <v>288</v>
      </c>
      <c r="D4" s="3715"/>
      <c r="E4" s="3715"/>
      <c r="F4" s="3715"/>
      <c r="G4" s="3715"/>
      <c r="H4" s="3715"/>
      <c r="I4" s="3715"/>
      <c r="J4" s="3715"/>
      <c r="K4" s="3715"/>
      <c r="L4" s="3715"/>
      <c r="M4" s="3715"/>
      <c r="N4" s="3716"/>
      <c r="O4" s="1744" t="s">
        <v>65</v>
      </c>
      <c r="P4" s="3717" t="s">
        <v>66</v>
      </c>
      <c r="Q4" s="3718"/>
      <c r="R4" s="3718"/>
      <c r="S4" s="3718"/>
      <c r="T4" s="3718"/>
      <c r="U4" s="3718"/>
      <c r="V4" s="3718"/>
      <c r="W4" s="3718"/>
      <c r="X4" s="3718"/>
      <c r="Y4" s="3718"/>
      <c r="Z4" s="1015"/>
      <c r="AA4" s="1015"/>
      <c r="AB4" s="1015"/>
      <c r="AC4" s="1015"/>
      <c r="AD4" s="1015"/>
      <c r="AE4" s="1015"/>
      <c r="AF4" s="1015"/>
    </row>
    <row r="5" spans="1:32" ht="27.75" customHeight="1" thickBot="1" x14ac:dyDescent="0.35">
      <c r="A5" s="3719"/>
      <c r="B5" s="3720"/>
      <c r="C5" s="3721" t="s">
        <v>3</v>
      </c>
      <c r="D5" s="3722"/>
      <c r="E5" s="3722"/>
      <c r="F5" s="3722"/>
      <c r="G5" s="3722"/>
      <c r="H5" s="3722"/>
      <c r="I5" s="3722"/>
      <c r="J5" s="3722"/>
      <c r="K5" s="3722"/>
      <c r="L5" s="3722"/>
      <c r="M5" s="3722"/>
      <c r="N5" s="3722"/>
      <c r="O5" s="3723"/>
      <c r="P5" s="3724" t="s">
        <v>4</v>
      </c>
      <c r="Q5" s="3725"/>
      <c r="R5" s="3725"/>
      <c r="S5" s="3725"/>
      <c r="T5" s="3725"/>
      <c r="U5" s="3725"/>
      <c r="V5" s="3725"/>
      <c r="W5" s="3725"/>
      <c r="X5" s="3725"/>
      <c r="Y5" s="3725"/>
      <c r="Z5" s="3725"/>
      <c r="AA5" s="1745"/>
      <c r="AB5" s="1746"/>
      <c r="AC5" s="1632"/>
      <c r="AD5" s="1632"/>
      <c r="AE5" s="1632"/>
      <c r="AF5" s="1633"/>
    </row>
    <row r="6" spans="1:32" ht="27.75" customHeight="1" thickBot="1" x14ac:dyDescent="0.35">
      <c r="A6" s="3701"/>
      <c r="B6" s="3704" t="s">
        <v>5</v>
      </c>
      <c r="C6" s="3697" t="s">
        <v>6</v>
      </c>
      <c r="D6" s="3698"/>
      <c r="E6" s="3713"/>
      <c r="F6" s="3699" t="s">
        <v>7</v>
      </c>
      <c r="G6" s="3700"/>
      <c r="H6" s="3699" t="s">
        <v>8</v>
      </c>
      <c r="I6" s="3700"/>
      <c r="J6" s="3695" t="s">
        <v>9</v>
      </c>
      <c r="K6" s="3696"/>
      <c r="L6" s="3695" t="s">
        <v>236</v>
      </c>
      <c r="M6" s="3696"/>
      <c r="N6" s="1747" t="s">
        <v>146</v>
      </c>
      <c r="O6" s="3697" t="s">
        <v>6</v>
      </c>
      <c r="P6" s="3698"/>
      <c r="Q6" s="3698"/>
      <c r="R6" s="3699" t="s">
        <v>7</v>
      </c>
      <c r="S6" s="3700"/>
      <c r="T6" s="1748" t="s">
        <v>8</v>
      </c>
      <c r="U6" s="1749" t="s">
        <v>9</v>
      </c>
      <c r="V6" s="3699" t="s">
        <v>236</v>
      </c>
      <c r="W6" s="3700"/>
      <c r="X6" s="1750" t="s">
        <v>147</v>
      </c>
      <c r="Y6" s="3688" t="s">
        <v>151</v>
      </c>
      <c r="Z6" s="3688" t="s">
        <v>152</v>
      </c>
      <c r="AA6" s="3691" t="s">
        <v>11</v>
      </c>
      <c r="AB6" s="3691" t="s">
        <v>12</v>
      </c>
    </row>
    <row r="7" spans="1:32" ht="27.75" customHeight="1" x14ac:dyDescent="0.3">
      <c r="A7" s="3702"/>
      <c r="B7" s="3705"/>
      <c r="C7" s="1637" t="s">
        <v>13</v>
      </c>
      <c r="D7" s="1638" t="s">
        <v>14</v>
      </c>
      <c r="E7" s="1639" t="s">
        <v>15</v>
      </c>
      <c r="F7" s="1637" t="s">
        <v>13</v>
      </c>
      <c r="G7" s="1639" t="s">
        <v>14</v>
      </c>
      <c r="H7" s="1637" t="s">
        <v>13</v>
      </c>
      <c r="I7" s="1639" t="s">
        <v>14</v>
      </c>
      <c r="J7" s="1637" t="s">
        <v>13</v>
      </c>
      <c r="K7" s="1639" t="s">
        <v>14</v>
      </c>
      <c r="L7" s="1640" t="s">
        <v>13</v>
      </c>
      <c r="M7" s="1639" t="s">
        <v>14</v>
      </c>
      <c r="N7" s="1751"/>
      <c r="O7" s="1637" t="s">
        <v>13</v>
      </c>
      <c r="P7" s="1638" t="s">
        <v>14</v>
      </c>
      <c r="Q7" s="1752" t="s">
        <v>67</v>
      </c>
      <c r="R7" s="1637" t="s">
        <v>13</v>
      </c>
      <c r="S7" s="1639" t="s">
        <v>14</v>
      </c>
      <c r="T7" s="1753"/>
      <c r="U7" s="1646"/>
      <c r="V7" s="1637" t="s">
        <v>13</v>
      </c>
      <c r="W7" s="1639" t="s">
        <v>14</v>
      </c>
      <c r="X7" s="1754"/>
      <c r="Y7" s="3689"/>
      <c r="Z7" s="3689"/>
      <c r="AA7" s="3691"/>
      <c r="AB7" s="3691"/>
      <c r="AC7" s="1755"/>
      <c r="AD7" s="1644"/>
    </row>
    <row r="8" spans="1:32" ht="27.75" customHeight="1" x14ac:dyDescent="0.3">
      <c r="A8" s="3703"/>
      <c r="B8" s="1756" t="s">
        <v>19</v>
      </c>
      <c r="C8" s="1637" t="s">
        <v>22</v>
      </c>
      <c r="D8" s="1637" t="s">
        <v>21</v>
      </c>
      <c r="E8" s="1646" t="s">
        <v>23</v>
      </c>
      <c r="F8" s="1647" t="s">
        <v>20</v>
      </c>
      <c r="G8" s="1646" t="s">
        <v>20</v>
      </c>
      <c r="H8" s="1647" t="s">
        <v>20</v>
      </c>
      <c r="I8" s="1639" t="s">
        <v>21</v>
      </c>
      <c r="J8" s="1757" t="s">
        <v>21</v>
      </c>
      <c r="K8" s="1758" t="s">
        <v>40</v>
      </c>
      <c r="L8" s="1759" t="s">
        <v>40</v>
      </c>
      <c r="M8" s="1760" t="s">
        <v>41</v>
      </c>
      <c r="N8" s="1642"/>
      <c r="O8" s="1637" t="s">
        <v>41</v>
      </c>
      <c r="P8" s="1638" t="s">
        <v>42</v>
      </c>
      <c r="Q8" s="1752" t="s">
        <v>43</v>
      </c>
      <c r="R8" s="1637" t="s">
        <v>41</v>
      </c>
      <c r="S8" s="1639" t="s">
        <v>43</v>
      </c>
      <c r="T8" s="1753" t="s">
        <v>41</v>
      </c>
      <c r="U8" s="1646" t="s">
        <v>42</v>
      </c>
      <c r="V8" s="1637" t="s">
        <v>43</v>
      </c>
      <c r="W8" s="1639" t="s">
        <v>41</v>
      </c>
      <c r="X8" s="1754" t="s">
        <v>237</v>
      </c>
      <c r="Y8" s="3690"/>
      <c r="Z8" s="3690"/>
      <c r="AA8" s="3691"/>
      <c r="AB8" s="3691"/>
      <c r="AC8" s="1755"/>
      <c r="AD8" s="1644"/>
    </row>
    <row r="9" spans="1:32" ht="27.75" customHeight="1" x14ac:dyDescent="0.3">
      <c r="A9" s="1638" t="s">
        <v>18</v>
      </c>
      <c r="B9" s="1752" t="s">
        <v>26</v>
      </c>
      <c r="C9" s="1637">
        <v>2</v>
      </c>
      <c r="D9" s="1638">
        <v>2</v>
      </c>
      <c r="E9" s="1639">
        <v>2</v>
      </c>
      <c r="F9" s="1637">
        <v>6</v>
      </c>
      <c r="G9" s="1639">
        <v>6</v>
      </c>
      <c r="H9" s="1637">
        <v>6</v>
      </c>
      <c r="I9" s="1639">
        <v>6</v>
      </c>
      <c r="J9" s="1637">
        <v>6</v>
      </c>
      <c r="K9" s="1649">
        <v>6</v>
      </c>
      <c r="L9" s="1637">
        <v>6</v>
      </c>
      <c r="M9" s="1639">
        <v>6</v>
      </c>
      <c r="N9" s="1642">
        <v>30</v>
      </c>
      <c r="O9" s="1637">
        <v>2</v>
      </c>
      <c r="P9" s="1638">
        <v>2</v>
      </c>
      <c r="Q9" s="1752">
        <v>2</v>
      </c>
      <c r="R9" s="1637">
        <v>6</v>
      </c>
      <c r="S9" s="1639">
        <v>6</v>
      </c>
      <c r="T9" s="1753">
        <v>12</v>
      </c>
      <c r="U9" s="1646">
        <v>12</v>
      </c>
      <c r="V9" s="1637">
        <v>6</v>
      </c>
      <c r="W9" s="1639">
        <v>6</v>
      </c>
      <c r="X9" s="1754">
        <v>30</v>
      </c>
      <c r="Y9" s="1638">
        <v>10</v>
      </c>
      <c r="Z9" s="1638">
        <v>10</v>
      </c>
      <c r="AA9" s="3691"/>
      <c r="AB9" s="3691"/>
      <c r="AC9" s="1650"/>
      <c r="AD9" s="1651"/>
    </row>
    <row r="10" spans="1:32" ht="27.75" customHeight="1" x14ac:dyDescent="0.3">
      <c r="A10" s="1638">
        <v>1</v>
      </c>
      <c r="B10" s="1761">
        <v>5191421001</v>
      </c>
      <c r="C10" s="1684"/>
      <c r="D10" s="1654">
        <v>1</v>
      </c>
      <c r="E10" s="1655">
        <v>1</v>
      </c>
      <c r="F10" s="1656"/>
      <c r="G10" s="1655"/>
      <c r="H10" s="1656">
        <v>4</v>
      </c>
      <c r="I10" s="1657">
        <v>2</v>
      </c>
      <c r="J10" s="1656"/>
      <c r="K10" s="1658"/>
      <c r="L10" s="1666">
        <v>4</v>
      </c>
      <c r="M10" s="1665">
        <v>5</v>
      </c>
      <c r="N10" s="1661">
        <v>17</v>
      </c>
      <c r="O10" s="1662">
        <v>1</v>
      </c>
      <c r="P10" s="1663">
        <v>2</v>
      </c>
      <c r="Q10" s="1762">
        <v>1</v>
      </c>
      <c r="R10" s="1662"/>
      <c r="S10" s="1665"/>
      <c r="T10" s="1763">
        <v>8</v>
      </c>
      <c r="U10" s="1698">
        <v>11</v>
      </c>
      <c r="V10" s="1666"/>
      <c r="W10" s="1661"/>
      <c r="X10" s="1764">
        <v>23</v>
      </c>
      <c r="Y10" s="1669">
        <v>9</v>
      </c>
      <c r="Z10" s="1669">
        <v>9</v>
      </c>
      <c r="AA10" s="1670" t="s">
        <v>32</v>
      </c>
      <c r="AB10" s="1671">
        <f>IF(AA10="O",100,IF(AA10="A+",90,IF(AA10="A",80,IF(AA10="B+",70,IF(AA10="B",60,IF(AA10="C",55,IF(AA10="P",50,IF(AA10="F",39))))))))</f>
        <v>70</v>
      </c>
    </row>
    <row r="11" spans="1:32" ht="27.75" customHeight="1" x14ac:dyDescent="0.3">
      <c r="A11" s="1765">
        <v>2</v>
      </c>
      <c r="B11" s="1766">
        <v>5191421002</v>
      </c>
      <c r="C11" s="1767">
        <v>1</v>
      </c>
      <c r="D11" s="1768">
        <v>2</v>
      </c>
      <c r="E11" s="1769">
        <v>2</v>
      </c>
      <c r="F11" s="1767">
        <v>0</v>
      </c>
      <c r="G11" s="1769">
        <v>4</v>
      </c>
      <c r="H11" s="1767"/>
      <c r="I11" s="1770"/>
      <c r="J11" s="1767"/>
      <c r="K11" s="1769"/>
      <c r="L11" s="1666">
        <v>2</v>
      </c>
      <c r="M11" s="1665">
        <v>1</v>
      </c>
      <c r="N11" s="1661">
        <v>12</v>
      </c>
      <c r="O11" s="1771">
        <v>2</v>
      </c>
      <c r="P11" s="1772">
        <v>2</v>
      </c>
      <c r="Q11" s="1773">
        <v>2</v>
      </c>
      <c r="R11" s="1771"/>
      <c r="S11" s="1665"/>
      <c r="T11" s="1774"/>
      <c r="U11" s="1775">
        <v>11</v>
      </c>
      <c r="V11" s="1767">
        <v>2</v>
      </c>
      <c r="W11" s="1770"/>
      <c r="X11" s="1776">
        <v>19</v>
      </c>
      <c r="Y11" s="1669">
        <v>10</v>
      </c>
      <c r="Z11" s="1669">
        <v>10</v>
      </c>
      <c r="AA11" s="1670" t="s">
        <v>32</v>
      </c>
      <c r="AB11" s="1671">
        <f t="shared" ref="AB11:AB67" si="0">IF(AA11="O",100,IF(AA11="A+",90,IF(AA11="A",80,IF(AA11="B+",70,IF(AA11="B",60,IF(AA11="C",55,IF(AA11="P",50,IF(AA11="F",39))))))))</f>
        <v>70</v>
      </c>
    </row>
    <row r="12" spans="1:32" s="1683" customFormat="1" ht="27.75" customHeight="1" x14ac:dyDescent="0.3">
      <c r="A12" s="1638">
        <v>3</v>
      </c>
      <c r="B12" s="1761">
        <v>5191421003</v>
      </c>
      <c r="C12" s="1662">
        <v>2</v>
      </c>
      <c r="D12" s="1663">
        <v>2</v>
      </c>
      <c r="E12" s="1682">
        <v>1</v>
      </c>
      <c r="F12" s="1662">
        <v>6</v>
      </c>
      <c r="G12" s="1665">
        <v>5</v>
      </c>
      <c r="H12" s="1666"/>
      <c r="I12" s="1665"/>
      <c r="J12" s="1666">
        <v>4</v>
      </c>
      <c r="K12" s="1665">
        <v>6</v>
      </c>
      <c r="L12" s="1666"/>
      <c r="M12" s="1665"/>
      <c r="N12" s="1661">
        <v>26</v>
      </c>
      <c r="O12" s="1663"/>
      <c r="P12" s="1663"/>
      <c r="Q12" s="1762"/>
      <c r="R12" s="1662"/>
      <c r="S12" s="1665"/>
      <c r="T12" s="1774"/>
      <c r="U12" s="1698"/>
      <c r="V12" s="1666"/>
      <c r="W12" s="1667"/>
      <c r="X12" s="1764"/>
      <c r="Y12" s="1669">
        <v>10</v>
      </c>
      <c r="Z12" s="1669">
        <v>10</v>
      </c>
      <c r="AA12" s="1670" t="s">
        <v>27</v>
      </c>
      <c r="AB12" s="1671">
        <f t="shared" si="0"/>
        <v>80</v>
      </c>
    </row>
    <row r="13" spans="1:32" s="1683" customFormat="1" ht="27.75" customHeight="1" x14ac:dyDescent="0.3">
      <c r="A13" s="1638">
        <v>4</v>
      </c>
      <c r="B13" s="1761">
        <v>5191421004</v>
      </c>
      <c r="C13" s="1684">
        <v>1</v>
      </c>
      <c r="D13" s="1663"/>
      <c r="E13" s="1682"/>
      <c r="F13" s="1662"/>
      <c r="G13" s="1665"/>
      <c r="H13" s="1666">
        <v>4</v>
      </c>
      <c r="I13" s="1665"/>
      <c r="J13" s="1666">
        <v>2</v>
      </c>
      <c r="K13" s="1665">
        <v>3</v>
      </c>
      <c r="L13" s="1666"/>
      <c r="M13" s="1665"/>
      <c r="N13" s="1661">
        <v>10</v>
      </c>
      <c r="O13" s="1663"/>
      <c r="P13" s="1663"/>
      <c r="Q13" s="1762">
        <v>1</v>
      </c>
      <c r="R13" s="1662"/>
      <c r="S13" s="1665"/>
      <c r="T13" s="1774">
        <v>4</v>
      </c>
      <c r="U13" s="1698"/>
      <c r="V13" s="1666"/>
      <c r="W13" s="1667"/>
      <c r="X13" s="1764">
        <v>5</v>
      </c>
      <c r="Y13" s="1669">
        <v>8</v>
      </c>
      <c r="Z13" s="1669">
        <v>8</v>
      </c>
      <c r="AA13" s="1670" t="s">
        <v>31</v>
      </c>
      <c r="AB13" s="1671">
        <f t="shared" si="0"/>
        <v>55</v>
      </c>
    </row>
    <row r="14" spans="1:32" ht="27.75" customHeight="1" x14ac:dyDescent="0.3">
      <c r="A14" s="1685">
        <v>5</v>
      </c>
      <c r="B14" s="1686">
        <v>5191421005</v>
      </c>
      <c r="C14" s="1687">
        <v>2</v>
      </c>
      <c r="D14" s="1688">
        <v>0</v>
      </c>
      <c r="E14" s="1689">
        <v>2</v>
      </c>
      <c r="F14" s="1687"/>
      <c r="G14" s="1690"/>
      <c r="H14" s="1691">
        <v>2</v>
      </c>
      <c r="I14" s="1692">
        <v>1</v>
      </c>
      <c r="J14" s="1691"/>
      <c r="K14" s="1690">
        <v>6</v>
      </c>
      <c r="L14" s="1666"/>
      <c r="M14" s="1665"/>
      <c r="N14" s="1661">
        <v>13</v>
      </c>
      <c r="O14" s="1687">
        <v>1</v>
      </c>
      <c r="P14" s="1688"/>
      <c r="Q14" s="1693">
        <v>2</v>
      </c>
      <c r="R14" s="1687">
        <v>6</v>
      </c>
      <c r="S14" s="1665">
        <v>3</v>
      </c>
      <c r="T14" s="1774"/>
      <c r="U14" s="1777"/>
      <c r="V14" s="1691">
        <v>3</v>
      </c>
      <c r="W14" s="1692">
        <v>5</v>
      </c>
      <c r="X14" s="1778">
        <v>20</v>
      </c>
      <c r="Y14" s="1669">
        <v>9</v>
      </c>
      <c r="Z14" s="1669">
        <v>9</v>
      </c>
      <c r="AA14" s="1695" t="s">
        <v>32</v>
      </c>
      <c r="AB14" s="1671">
        <f t="shared" si="0"/>
        <v>70</v>
      </c>
    </row>
    <row r="15" spans="1:32" ht="27.75" customHeight="1" x14ac:dyDescent="0.3">
      <c r="A15" s="1638">
        <v>6</v>
      </c>
      <c r="B15" s="1761">
        <v>5191421006</v>
      </c>
      <c r="C15" s="1662">
        <v>2</v>
      </c>
      <c r="D15" s="1663">
        <v>2</v>
      </c>
      <c r="E15" s="1682">
        <v>1</v>
      </c>
      <c r="F15" s="1662"/>
      <c r="G15" s="1665"/>
      <c r="H15" s="1666">
        <v>6</v>
      </c>
      <c r="I15" s="1667">
        <v>2</v>
      </c>
      <c r="J15" s="1666">
        <v>5</v>
      </c>
      <c r="K15" s="1665">
        <v>4</v>
      </c>
      <c r="L15" s="1666"/>
      <c r="M15" s="1665"/>
      <c r="N15" s="1661">
        <v>22</v>
      </c>
      <c r="O15" s="1662">
        <v>1</v>
      </c>
      <c r="P15" s="1663">
        <v>2</v>
      </c>
      <c r="Q15" s="1762">
        <v>1</v>
      </c>
      <c r="R15" s="1662"/>
      <c r="S15" s="1665"/>
      <c r="T15" s="1774">
        <v>7</v>
      </c>
      <c r="U15" s="1698"/>
      <c r="V15" s="1666">
        <v>4</v>
      </c>
      <c r="W15" s="1667">
        <v>4</v>
      </c>
      <c r="X15" s="1764">
        <v>19</v>
      </c>
      <c r="Y15" s="1669">
        <v>9</v>
      </c>
      <c r="Z15" s="1669">
        <v>9</v>
      </c>
      <c r="AA15" s="1670" t="s">
        <v>32</v>
      </c>
      <c r="AB15" s="1671">
        <f t="shared" si="0"/>
        <v>70</v>
      </c>
    </row>
    <row r="16" spans="1:32" ht="27.75" customHeight="1" x14ac:dyDescent="0.3">
      <c r="A16" s="1638">
        <v>7</v>
      </c>
      <c r="B16" s="1761">
        <v>5191421007</v>
      </c>
      <c r="C16" s="1662">
        <v>1</v>
      </c>
      <c r="D16" s="1663">
        <v>2</v>
      </c>
      <c r="E16" s="1682">
        <v>1</v>
      </c>
      <c r="F16" s="1662">
        <v>4</v>
      </c>
      <c r="G16" s="1665">
        <v>4</v>
      </c>
      <c r="H16" s="1666"/>
      <c r="I16" s="1667"/>
      <c r="J16" s="1666">
        <v>5</v>
      </c>
      <c r="K16" s="1665">
        <v>6</v>
      </c>
      <c r="L16" s="1666">
        <v>6</v>
      </c>
      <c r="M16" s="1665"/>
      <c r="N16" s="1661">
        <v>23</v>
      </c>
      <c r="O16" s="1662">
        <v>0</v>
      </c>
      <c r="P16" s="1663">
        <v>2</v>
      </c>
      <c r="Q16" s="1762">
        <v>2</v>
      </c>
      <c r="R16" s="1662"/>
      <c r="S16" s="1665"/>
      <c r="T16" s="1774">
        <v>7</v>
      </c>
      <c r="U16" s="1698">
        <v>10</v>
      </c>
      <c r="V16" s="1666"/>
      <c r="W16" s="1667"/>
      <c r="X16" s="1764">
        <v>21</v>
      </c>
      <c r="Y16" s="1669">
        <v>9</v>
      </c>
      <c r="Z16" s="1669">
        <v>9</v>
      </c>
      <c r="AA16" s="1695" t="s">
        <v>32</v>
      </c>
      <c r="AB16" s="1671">
        <f t="shared" si="0"/>
        <v>70</v>
      </c>
    </row>
    <row r="17" spans="1:28" ht="27.75" customHeight="1" x14ac:dyDescent="0.3">
      <c r="A17" s="1638">
        <v>8</v>
      </c>
      <c r="B17" s="1761">
        <v>5191421008</v>
      </c>
      <c r="C17" s="1662"/>
      <c r="D17" s="1663"/>
      <c r="E17" s="1682"/>
      <c r="F17" s="1662"/>
      <c r="G17" s="1665"/>
      <c r="H17" s="1666">
        <v>2</v>
      </c>
      <c r="I17" s="1667"/>
      <c r="J17" s="1666">
        <v>3</v>
      </c>
      <c r="K17" s="1665">
        <v>4</v>
      </c>
      <c r="L17" s="1666"/>
      <c r="M17" s="1665"/>
      <c r="N17" s="1661">
        <v>9</v>
      </c>
      <c r="O17" s="1662">
        <v>1</v>
      </c>
      <c r="P17" s="1663"/>
      <c r="Q17" s="1762">
        <v>2</v>
      </c>
      <c r="R17" s="1662"/>
      <c r="S17" s="1665"/>
      <c r="T17" s="1774">
        <v>2</v>
      </c>
      <c r="U17" s="1698"/>
      <c r="V17" s="1666">
        <v>3</v>
      </c>
      <c r="W17" s="1667">
        <v>1</v>
      </c>
      <c r="X17" s="1764">
        <v>9</v>
      </c>
      <c r="Y17" s="1669">
        <v>8</v>
      </c>
      <c r="Z17" s="1669">
        <v>8</v>
      </c>
      <c r="AA17" s="1670" t="s">
        <v>33</v>
      </c>
      <c r="AB17" s="1671">
        <f t="shared" si="0"/>
        <v>60</v>
      </c>
    </row>
    <row r="18" spans="1:28" ht="27.75" customHeight="1" x14ac:dyDescent="0.3">
      <c r="A18" s="1638">
        <v>9</v>
      </c>
      <c r="B18" s="1761">
        <v>5191421009</v>
      </c>
      <c r="C18" s="1666">
        <v>1</v>
      </c>
      <c r="D18" s="1666">
        <v>2</v>
      </c>
      <c r="E18" s="1698">
        <v>1</v>
      </c>
      <c r="F18" s="1666">
        <v>6</v>
      </c>
      <c r="G18" s="1665">
        <v>6</v>
      </c>
      <c r="H18" s="1666"/>
      <c r="I18" s="1667"/>
      <c r="J18" s="1666">
        <v>5</v>
      </c>
      <c r="K18" s="1665">
        <v>6</v>
      </c>
      <c r="L18" s="1666"/>
      <c r="M18" s="1665"/>
      <c r="N18" s="1661">
        <v>27</v>
      </c>
      <c r="O18" s="1662">
        <v>2</v>
      </c>
      <c r="P18" s="1663">
        <v>2</v>
      </c>
      <c r="Q18" s="1762">
        <v>2</v>
      </c>
      <c r="R18" s="1662">
        <v>3</v>
      </c>
      <c r="S18" s="1665"/>
      <c r="T18" s="1774">
        <v>6</v>
      </c>
      <c r="U18" s="1698">
        <v>7</v>
      </c>
      <c r="V18" s="1666"/>
      <c r="W18" s="1667"/>
      <c r="X18" s="1764">
        <v>19</v>
      </c>
      <c r="Y18" s="1669">
        <v>10</v>
      </c>
      <c r="Z18" s="1669">
        <v>10</v>
      </c>
      <c r="AA18" s="1670" t="s">
        <v>27</v>
      </c>
      <c r="AB18" s="1671">
        <f t="shared" si="0"/>
        <v>80</v>
      </c>
    </row>
    <row r="19" spans="1:28" ht="27.75" customHeight="1" x14ac:dyDescent="0.3">
      <c r="A19" s="1638">
        <v>10</v>
      </c>
      <c r="B19" s="1761">
        <v>5191421010</v>
      </c>
      <c r="C19" s="1662">
        <v>1</v>
      </c>
      <c r="D19" s="1663"/>
      <c r="E19" s="1682">
        <v>1</v>
      </c>
      <c r="F19" s="1662">
        <v>4</v>
      </c>
      <c r="G19" s="1665">
        <v>5</v>
      </c>
      <c r="H19" s="1666"/>
      <c r="I19" s="1667"/>
      <c r="J19" s="1666">
        <v>4</v>
      </c>
      <c r="K19" s="1665">
        <v>4</v>
      </c>
      <c r="L19" s="1666">
        <v>3</v>
      </c>
      <c r="M19" s="1665">
        <v>2</v>
      </c>
      <c r="N19" s="1661">
        <v>19</v>
      </c>
      <c r="O19" s="1662">
        <v>2</v>
      </c>
      <c r="P19" s="1663">
        <v>2</v>
      </c>
      <c r="Q19" s="1762">
        <v>1</v>
      </c>
      <c r="R19" s="1662">
        <v>4</v>
      </c>
      <c r="S19" s="1665"/>
      <c r="T19" s="1774">
        <v>7</v>
      </c>
      <c r="U19" s="1698">
        <v>10</v>
      </c>
      <c r="V19" s="1666"/>
      <c r="W19" s="1667"/>
      <c r="X19" s="1764">
        <v>22</v>
      </c>
      <c r="Y19" s="1669">
        <v>10</v>
      </c>
      <c r="Z19" s="1669">
        <v>10</v>
      </c>
      <c r="AA19" s="1670" t="s">
        <v>27</v>
      </c>
      <c r="AB19" s="1671">
        <f t="shared" si="0"/>
        <v>80</v>
      </c>
    </row>
    <row r="20" spans="1:28" ht="27.75" customHeight="1" x14ac:dyDescent="0.3">
      <c r="A20" s="1638">
        <v>11</v>
      </c>
      <c r="B20" s="1761">
        <v>5191421011</v>
      </c>
      <c r="C20" s="1662">
        <v>2</v>
      </c>
      <c r="D20" s="1663">
        <v>2</v>
      </c>
      <c r="E20" s="1682">
        <v>2</v>
      </c>
      <c r="F20" s="1662">
        <v>6</v>
      </c>
      <c r="G20" s="1665">
        <v>6</v>
      </c>
      <c r="H20" s="1666"/>
      <c r="I20" s="1667"/>
      <c r="J20" s="1666">
        <v>4</v>
      </c>
      <c r="K20" s="1665">
        <v>6</v>
      </c>
      <c r="L20" s="1666"/>
      <c r="M20" s="1665"/>
      <c r="N20" s="1661">
        <v>28</v>
      </c>
      <c r="O20" s="1662">
        <v>1</v>
      </c>
      <c r="P20" s="1663">
        <v>2</v>
      </c>
      <c r="Q20" s="1762">
        <v>2</v>
      </c>
      <c r="R20" s="1662"/>
      <c r="S20" s="1665"/>
      <c r="T20" s="1774">
        <v>11</v>
      </c>
      <c r="U20" s="1698">
        <v>10</v>
      </c>
      <c r="V20" s="1666"/>
      <c r="W20" s="1667"/>
      <c r="X20" s="1764">
        <v>26</v>
      </c>
      <c r="Y20" s="1669">
        <v>10</v>
      </c>
      <c r="Z20" s="1669">
        <v>10</v>
      </c>
      <c r="AA20" s="1670" t="s">
        <v>30</v>
      </c>
      <c r="AB20" s="1671">
        <f t="shared" si="0"/>
        <v>90</v>
      </c>
    </row>
    <row r="21" spans="1:28" ht="27.75" customHeight="1" x14ac:dyDescent="0.3">
      <c r="A21" s="1638">
        <v>12</v>
      </c>
      <c r="B21" s="1761">
        <v>5191421012</v>
      </c>
      <c r="C21" s="1662"/>
      <c r="D21" s="1663">
        <v>0</v>
      </c>
      <c r="E21" s="1682">
        <v>1</v>
      </c>
      <c r="F21" s="1662"/>
      <c r="G21" s="1665">
        <v>3</v>
      </c>
      <c r="H21" s="1666"/>
      <c r="I21" s="1667"/>
      <c r="J21" s="1666">
        <v>4</v>
      </c>
      <c r="K21" s="1665">
        <v>4</v>
      </c>
      <c r="L21" s="1666"/>
      <c r="M21" s="1665"/>
      <c r="N21" s="1661">
        <v>12</v>
      </c>
      <c r="O21" s="1662"/>
      <c r="P21" s="1663">
        <v>2</v>
      </c>
      <c r="Q21" s="1762">
        <v>1</v>
      </c>
      <c r="R21" s="1662">
        <v>2</v>
      </c>
      <c r="S21" s="1665"/>
      <c r="T21" s="1774"/>
      <c r="U21" s="1698">
        <v>7</v>
      </c>
      <c r="V21" s="1666"/>
      <c r="W21" s="1667"/>
      <c r="X21" s="1764">
        <v>12</v>
      </c>
      <c r="Y21" s="1669">
        <v>8</v>
      </c>
      <c r="Z21" s="1669">
        <v>8</v>
      </c>
      <c r="AA21" s="1670" t="s">
        <v>33</v>
      </c>
      <c r="AB21" s="1671">
        <f t="shared" si="0"/>
        <v>60</v>
      </c>
    </row>
    <row r="22" spans="1:28" ht="27.75" customHeight="1" x14ac:dyDescent="0.3">
      <c r="A22" s="1638">
        <v>13</v>
      </c>
      <c r="B22" s="1761">
        <v>5191421013</v>
      </c>
      <c r="C22" s="1662">
        <v>2</v>
      </c>
      <c r="D22" s="1663">
        <v>2</v>
      </c>
      <c r="E22" s="1682">
        <v>1</v>
      </c>
      <c r="F22" s="1662">
        <v>1</v>
      </c>
      <c r="G22" s="1665">
        <v>6</v>
      </c>
      <c r="H22" s="1666"/>
      <c r="I22" s="1667"/>
      <c r="J22" s="1666">
        <v>2</v>
      </c>
      <c r="K22" s="1665"/>
      <c r="L22" s="1666">
        <v>6</v>
      </c>
      <c r="M22" s="1665">
        <v>3</v>
      </c>
      <c r="N22" s="1661">
        <v>21</v>
      </c>
      <c r="O22" s="1662">
        <v>1</v>
      </c>
      <c r="P22" s="1663">
        <v>2</v>
      </c>
      <c r="Q22" s="1762">
        <v>1</v>
      </c>
      <c r="R22" s="1662">
        <v>6</v>
      </c>
      <c r="S22" s="1665">
        <v>3</v>
      </c>
      <c r="T22" s="1774"/>
      <c r="U22" s="1698">
        <v>12</v>
      </c>
      <c r="V22" s="1666"/>
      <c r="W22" s="1667"/>
      <c r="X22" s="1764">
        <v>25</v>
      </c>
      <c r="Y22" s="1669">
        <v>9</v>
      </c>
      <c r="Z22" s="1669">
        <v>9</v>
      </c>
      <c r="AA22" s="1670" t="s">
        <v>27</v>
      </c>
      <c r="AB22" s="1671">
        <f t="shared" si="0"/>
        <v>80</v>
      </c>
    </row>
    <row r="23" spans="1:28" ht="27.75" customHeight="1" x14ac:dyDescent="0.3">
      <c r="A23" s="1638">
        <v>14</v>
      </c>
      <c r="B23" s="1761">
        <v>5191421014</v>
      </c>
      <c r="C23" s="1662"/>
      <c r="D23" s="1663">
        <v>2</v>
      </c>
      <c r="E23" s="1682"/>
      <c r="F23" s="1662">
        <v>3</v>
      </c>
      <c r="G23" s="1665">
        <v>3</v>
      </c>
      <c r="H23" s="1666"/>
      <c r="I23" s="1667"/>
      <c r="J23" s="1666">
        <v>4</v>
      </c>
      <c r="K23" s="1665">
        <v>6</v>
      </c>
      <c r="L23" s="1666"/>
      <c r="M23" s="1665"/>
      <c r="N23" s="1661">
        <v>18</v>
      </c>
      <c r="O23" s="1662">
        <v>1</v>
      </c>
      <c r="P23" s="1663"/>
      <c r="Q23" s="1762">
        <v>1</v>
      </c>
      <c r="R23" s="1662">
        <v>4</v>
      </c>
      <c r="S23" s="1665">
        <v>3</v>
      </c>
      <c r="T23" s="1774"/>
      <c r="U23" s="1698"/>
      <c r="V23" s="1666">
        <v>5</v>
      </c>
      <c r="W23" s="1667"/>
      <c r="X23" s="1764">
        <v>14</v>
      </c>
      <c r="Y23" s="1669">
        <v>9</v>
      </c>
      <c r="Z23" s="1669">
        <v>9</v>
      </c>
      <c r="AA23" s="1670" t="s">
        <v>31</v>
      </c>
      <c r="AB23" s="1671">
        <f t="shared" si="0"/>
        <v>55</v>
      </c>
    </row>
    <row r="24" spans="1:28" ht="27.75" customHeight="1" x14ac:dyDescent="0.3">
      <c r="A24" s="1638">
        <v>15</v>
      </c>
      <c r="B24" s="1761">
        <v>5191421015</v>
      </c>
      <c r="C24" s="1662"/>
      <c r="D24" s="1663"/>
      <c r="E24" s="1682">
        <v>1</v>
      </c>
      <c r="F24" s="1662">
        <v>3</v>
      </c>
      <c r="G24" s="1665"/>
      <c r="H24" s="1666">
        <v>4</v>
      </c>
      <c r="I24" s="1667"/>
      <c r="J24" s="1666">
        <v>5</v>
      </c>
      <c r="K24" s="1665">
        <v>4</v>
      </c>
      <c r="L24" s="1666"/>
      <c r="M24" s="1665"/>
      <c r="N24" s="1661">
        <v>14</v>
      </c>
      <c r="O24" s="1662">
        <v>1</v>
      </c>
      <c r="P24" s="1663">
        <v>2</v>
      </c>
      <c r="Q24" s="1762">
        <v>1</v>
      </c>
      <c r="R24" s="1662"/>
      <c r="S24" s="1665"/>
      <c r="T24" s="1774">
        <v>5</v>
      </c>
      <c r="U24" s="1698"/>
      <c r="V24" s="1666">
        <v>4</v>
      </c>
      <c r="W24" s="1667"/>
      <c r="X24" s="1764">
        <v>13</v>
      </c>
      <c r="Y24" s="1669">
        <v>9</v>
      </c>
      <c r="Z24" s="1669">
        <v>9</v>
      </c>
      <c r="AA24" s="1670" t="s">
        <v>33</v>
      </c>
      <c r="AB24" s="1671">
        <f t="shared" si="0"/>
        <v>60</v>
      </c>
    </row>
    <row r="25" spans="1:28" ht="27.75" customHeight="1" x14ac:dyDescent="0.3">
      <c r="A25" s="1638">
        <v>16</v>
      </c>
      <c r="B25" s="1761">
        <v>5191421016</v>
      </c>
      <c r="C25" s="1662"/>
      <c r="D25" s="1663">
        <v>2</v>
      </c>
      <c r="E25" s="1682"/>
      <c r="F25" s="1662"/>
      <c r="G25" s="1697"/>
      <c r="H25" s="1684"/>
      <c r="I25" s="1667"/>
      <c r="J25" s="1666"/>
      <c r="K25" s="1665"/>
      <c r="L25" s="1666"/>
      <c r="M25" s="1665"/>
      <c r="N25" s="1661">
        <v>2</v>
      </c>
      <c r="O25" s="1662"/>
      <c r="P25" s="1663"/>
      <c r="Q25" s="1762"/>
      <c r="R25" s="1662"/>
      <c r="S25" s="1665"/>
      <c r="T25" s="1774"/>
      <c r="U25" s="1698"/>
      <c r="V25" s="1666"/>
      <c r="W25" s="1667"/>
      <c r="X25" s="1764">
        <v>11</v>
      </c>
      <c r="Y25" s="1669">
        <v>9</v>
      </c>
      <c r="Z25" s="1669">
        <v>9</v>
      </c>
      <c r="AA25" s="1670" t="s">
        <v>29</v>
      </c>
      <c r="AB25" s="1671">
        <f t="shared" si="0"/>
        <v>39</v>
      </c>
    </row>
    <row r="26" spans="1:28" ht="27.75" customHeight="1" x14ac:dyDescent="0.3">
      <c r="A26" s="1638">
        <v>17</v>
      </c>
      <c r="B26" s="1761">
        <v>5191421017</v>
      </c>
      <c r="C26" s="1662"/>
      <c r="D26" s="1663">
        <v>2</v>
      </c>
      <c r="E26" s="1682">
        <v>1</v>
      </c>
      <c r="F26" s="1662"/>
      <c r="G26" s="1665"/>
      <c r="H26" s="1666">
        <v>2</v>
      </c>
      <c r="I26" s="1667"/>
      <c r="J26" s="1666">
        <v>6</v>
      </c>
      <c r="K26" s="1665">
        <v>6</v>
      </c>
      <c r="L26" s="1666"/>
      <c r="M26" s="1665"/>
      <c r="N26" s="1661">
        <v>17</v>
      </c>
      <c r="O26" s="1662">
        <v>2</v>
      </c>
      <c r="P26" s="1663"/>
      <c r="Q26" s="1762"/>
      <c r="R26" s="1662">
        <v>3</v>
      </c>
      <c r="S26" s="1665">
        <v>2</v>
      </c>
      <c r="T26" s="1774"/>
      <c r="U26" s="1698">
        <v>8</v>
      </c>
      <c r="V26" s="1666"/>
      <c r="W26" s="1667"/>
      <c r="X26" s="1764">
        <v>15</v>
      </c>
      <c r="Y26" s="1669">
        <v>9</v>
      </c>
      <c r="Z26" s="1669">
        <v>9</v>
      </c>
      <c r="AA26" s="1670" t="s">
        <v>32</v>
      </c>
      <c r="AB26" s="1671">
        <f t="shared" si="0"/>
        <v>70</v>
      </c>
    </row>
    <row r="27" spans="1:28" ht="27.75" customHeight="1" x14ac:dyDescent="0.3">
      <c r="A27" s="1638">
        <v>18</v>
      </c>
      <c r="B27" s="1761">
        <v>5191421018</v>
      </c>
      <c r="C27" s="1684">
        <v>1</v>
      </c>
      <c r="D27" s="1663"/>
      <c r="E27" s="1682"/>
      <c r="F27" s="1662"/>
      <c r="G27" s="1665">
        <v>2</v>
      </c>
      <c r="H27" s="1666"/>
      <c r="I27" s="1667"/>
      <c r="J27" s="1666"/>
      <c r="K27" s="1665"/>
      <c r="L27" s="1666"/>
      <c r="M27" s="1665"/>
      <c r="N27" s="1661">
        <v>3</v>
      </c>
      <c r="O27" s="1662"/>
      <c r="P27" s="1663"/>
      <c r="Q27" s="1762"/>
      <c r="R27" s="1662">
        <v>2</v>
      </c>
      <c r="S27" s="1665"/>
      <c r="T27" s="1774">
        <v>3</v>
      </c>
      <c r="U27" s="1698"/>
      <c r="V27" s="1666"/>
      <c r="W27" s="1667"/>
      <c r="X27" s="1764">
        <v>3</v>
      </c>
      <c r="Y27" s="1669">
        <v>10</v>
      </c>
      <c r="Z27" s="1669">
        <v>10</v>
      </c>
      <c r="AA27" s="1670" t="s">
        <v>28</v>
      </c>
      <c r="AB27" s="1671">
        <f t="shared" si="0"/>
        <v>50</v>
      </c>
    </row>
    <row r="28" spans="1:28" ht="27.75" customHeight="1" x14ac:dyDescent="0.3">
      <c r="A28" s="1638">
        <v>19</v>
      </c>
      <c r="B28" s="1761">
        <v>5191421019</v>
      </c>
      <c r="C28" s="1662">
        <v>1</v>
      </c>
      <c r="D28" s="1671">
        <v>2</v>
      </c>
      <c r="E28" s="1665">
        <v>2</v>
      </c>
      <c r="F28" s="1666">
        <v>3</v>
      </c>
      <c r="G28" s="1665">
        <v>6</v>
      </c>
      <c r="H28" s="1666"/>
      <c r="I28" s="1667"/>
      <c r="J28" s="1666"/>
      <c r="K28" s="1665"/>
      <c r="L28" s="1666">
        <v>6</v>
      </c>
      <c r="M28" s="1665">
        <v>5</v>
      </c>
      <c r="N28" s="1661">
        <v>25</v>
      </c>
      <c r="O28" s="1662">
        <v>2</v>
      </c>
      <c r="P28" s="1671">
        <v>2</v>
      </c>
      <c r="Q28" s="1779">
        <v>2</v>
      </c>
      <c r="R28" s="1666"/>
      <c r="S28" s="1665"/>
      <c r="T28" s="1774">
        <v>12</v>
      </c>
      <c r="U28" s="1698">
        <v>12</v>
      </c>
      <c r="V28" s="1666"/>
      <c r="W28" s="1667"/>
      <c r="X28" s="1764">
        <v>30</v>
      </c>
      <c r="Y28" s="1669">
        <v>10</v>
      </c>
      <c r="Z28" s="1669">
        <v>10</v>
      </c>
      <c r="AA28" s="1670" t="s">
        <v>30</v>
      </c>
      <c r="AB28" s="1671">
        <f t="shared" si="0"/>
        <v>90</v>
      </c>
    </row>
    <row r="29" spans="1:28" ht="27.75" customHeight="1" x14ac:dyDescent="0.3">
      <c r="A29" s="1638">
        <v>20</v>
      </c>
      <c r="B29" s="1761">
        <v>5191421020</v>
      </c>
      <c r="C29" s="1666"/>
      <c r="D29" s="1671"/>
      <c r="E29" s="1665">
        <v>1</v>
      </c>
      <c r="F29" s="1666">
        <v>1</v>
      </c>
      <c r="G29" s="1665"/>
      <c r="H29" s="1666">
        <v>6</v>
      </c>
      <c r="I29" s="1667">
        <v>4</v>
      </c>
      <c r="J29" s="1666"/>
      <c r="K29" s="1665"/>
      <c r="L29" s="1666">
        <v>5</v>
      </c>
      <c r="M29" s="1665">
        <v>3</v>
      </c>
      <c r="N29" s="1661">
        <v>20</v>
      </c>
      <c r="O29" s="1666">
        <v>2</v>
      </c>
      <c r="P29" s="1671">
        <v>2</v>
      </c>
      <c r="Q29" s="1779">
        <v>2</v>
      </c>
      <c r="R29" s="1666">
        <v>6</v>
      </c>
      <c r="S29" s="1665"/>
      <c r="T29" s="1774"/>
      <c r="U29" s="1698">
        <v>12</v>
      </c>
      <c r="V29" s="1666"/>
      <c r="W29" s="1667"/>
      <c r="X29" s="1764">
        <v>24</v>
      </c>
      <c r="Y29" s="1669">
        <v>10</v>
      </c>
      <c r="Z29" s="1669">
        <v>10</v>
      </c>
      <c r="AA29" s="1670" t="s">
        <v>27</v>
      </c>
      <c r="AB29" s="1671">
        <f t="shared" si="0"/>
        <v>80</v>
      </c>
    </row>
    <row r="30" spans="1:28" ht="27.75" customHeight="1" x14ac:dyDescent="0.3">
      <c r="A30" s="1638">
        <v>21</v>
      </c>
      <c r="B30" s="1761">
        <v>5191421021</v>
      </c>
      <c r="C30" s="1662">
        <v>1</v>
      </c>
      <c r="D30" s="1671">
        <v>2</v>
      </c>
      <c r="E30" s="1665"/>
      <c r="F30" s="1666">
        <v>6</v>
      </c>
      <c r="G30" s="1665">
        <v>5</v>
      </c>
      <c r="H30" s="1666"/>
      <c r="I30" s="1667"/>
      <c r="J30" s="1666">
        <v>6</v>
      </c>
      <c r="K30" s="1665">
        <v>6</v>
      </c>
      <c r="L30" s="1666"/>
      <c r="M30" s="1665"/>
      <c r="N30" s="1661">
        <v>26</v>
      </c>
      <c r="O30" s="1662">
        <v>2</v>
      </c>
      <c r="P30" s="1671">
        <v>2</v>
      </c>
      <c r="Q30" s="1779">
        <v>1</v>
      </c>
      <c r="R30" s="1666"/>
      <c r="S30" s="1665"/>
      <c r="T30" s="1774">
        <v>9</v>
      </c>
      <c r="U30" s="1698">
        <v>6</v>
      </c>
      <c r="V30" s="1666"/>
      <c r="W30" s="1667"/>
      <c r="X30" s="1764">
        <v>20</v>
      </c>
      <c r="Y30" s="1669">
        <v>10</v>
      </c>
      <c r="Z30" s="1669">
        <v>10</v>
      </c>
      <c r="AA30" s="1670" t="s">
        <v>32</v>
      </c>
      <c r="AB30" s="1671">
        <f t="shared" si="0"/>
        <v>70</v>
      </c>
    </row>
    <row r="31" spans="1:28" ht="27.75" customHeight="1" x14ac:dyDescent="0.3">
      <c r="A31" s="1638">
        <v>22</v>
      </c>
      <c r="B31" s="1761">
        <v>5191421022</v>
      </c>
      <c r="C31" s="1700"/>
      <c r="D31" s="1701"/>
      <c r="E31" s="1702">
        <v>1</v>
      </c>
      <c r="F31" s="1700">
        <v>1</v>
      </c>
      <c r="G31" s="1702"/>
      <c r="H31" s="1700">
        <v>2</v>
      </c>
      <c r="I31" s="1702"/>
      <c r="J31" s="1700"/>
      <c r="K31" s="1702">
        <v>6</v>
      </c>
      <c r="L31" s="1666"/>
      <c r="M31" s="1665"/>
      <c r="N31" s="1661">
        <v>9</v>
      </c>
      <c r="O31" s="1662">
        <v>1</v>
      </c>
      <c r="P31" s="1671">
        <v>1</v>
      </c>
      <c r="Q31" s="1779"/>
      <c r="R31" s="1666">
        <v>4</v>
      </c>
      <c r="S31" s="1665"/>
      <c r="T31" s="1774"/>
      <c r="U31" s="1698"/>
      <c r="V31" s="1666">
        <v>4</v>
      </c>
      <c r="W31" s="1667">
        <v>5</v>
      </c>
      <c r="X31" s="1764">
        <v>15</v>
      </c>
      <c r="Y31" s="1669">
        <v>8</v>
      </c>
      <c r="Z31" s="1669">
        <v>8</v>
      </c>
      <c r="AA31" s="1670" t="s">
        <v>31</v>
      </c>
      <c r="AB31" s="1671">
        <f t="shared" si="0"/>
        <v>55</v>
      </c>
    </row>
    <row r="32" spans="1:28" ht="27.75" customHeight="1" x14ac:dyDescent="0.3">
      <c r="A32" s="1638">
        <v>23</v>
      </c>
      <c r="B32" s="1761">
        <v>5191421023</v>
      </c>
      <c r="C32" s="1662">
        <v>0</v>
      </c>
      <c r="D32" s="1671">
        <v>2</v>
      </c>
      <c r="E32" s="1665">
        <v>1</v>
      </c>
      <c r="F32" s="1666"/>
      <c r="G32" s="1665"/>
      <c r="H32" s="1666">
        <v>2</v>
      </c>
      <c r="I32" s="1667"/>
      <c r="J32" s="1666"/>
      <c r="K32" s="1665">
        <v>4</v>
      </c>
      <c r="L32" s="1666"/>
      <c r="M32" s="1665"/>
      <c r="N32" s="1661">
        <v>9</v>
      </c>
      <c r="O32" s="1662">
        <v>1</v>
      </c>
      <c r="P32" s="1671">
        <v>2</v>
      </c>
      <c r="Q32" s="1779">
        <v>1</v>
      </c>
      <c r="R32" s="1666"/>
      <c r="S32" s="1665"/>
      <c r="T32" s="1774"/>
      <c r="U32" s="1698">
        <v>3</v>
      </c>
      <c r="V32" s="1666">
        <v>2</v>
      </c>
      <c r="W32" s="1667">
        <v>5</v>
      </c>
      <c r="X32" s="1764">
        <v>11</v>
      </c>
      <c r="Y32" s="1669">
        <v>8</v>
      </c>
      <c r="Z32" s="1669">
        <v>8</v>
      </c>
      <c r="AA32" s="1670" t="s">
        <v>29</v>
      </c>
      <c r="AB32" s="1671">
        <f t="shared" si="0"/>
        <v>39</v>
      </c>
    </row>
    <row r="33" spans="1:28" ht="27.75" customHeight="1" x14ac:dyDescent="0.3">
      <c r="A33" s="1638">
        <v>24</v>
      </c>
      <c r="B33" s="1761">
        <v>5191421024</v>
      </c>
      <c r="C33" s="1662"/>
      <c r="D33" s="1671"/>
      <c r="E33" s="1665"/>
      <c r="F33" s="1666">
        <v>5</v>
      </c>
      <c r="G33" s="1665">
        <v>4</v>
      </c>
      <c r="H33" s="1666"/>
      <c r="I33" s="1667"/>
      <c r="J33" s="1666"/>
      <c r="K33" s="1665">
        <v>3</v>
      </c>
      <c r="L33" s="1666"/>
      <c r="M33" s="1665"/>
      <c r="N33" s="1661">
        <v>12</v>
      </c>
      <c r="O33" s="1662"/>
      <c r="P33" s="1671"/>
      <c r="Q33" s="1779">
        <v>1</v>
      </c>
      <c r="R33" s="1666"/>
      <c r="S33" s="1665"/>
      <c r="T33" s="1774"/>
      <c r="U33" s="1698"/>
      <c r="V33" s="1666">
        <v>3</v>
      </c>
      <c r="W33" s="1667">
        <v>3</v>
      </c>
      <c r="X33" s="1764">
        <v>7</v>
      </c>
      <c r="Y33" s="1669">
        <v>7</v>
      </c>
      <c r="Z33" s="1669">
        <v>7</v>
      </c>
      <c r="AA33" s="1670" t="s">
        <v>29</v>
      </c>
      <c r="AB33" s="1671">
        <f t="shared" si="0"/>
        <v>39</v>
      </c>
    </row>
    <row r="34" spans="1:28" ht="27.75" customHeight="1" x14ac:dyDescent="0.3">
      <c r="A34" s="1638">
        <v>25</v>
      </c>
      <c r="B34" s="1761">
        <v>5191421025</v>
      </c>
      <c r="C34" s="1662">
        <v>2</v>
      </c>
      <c r="D34" s="1671">
        <v>1</v>
      </c>
      <c r="E34" s="1665">
        <v>2</v>
      </c>
      <c r="F34" s="1666"/>
      <c r="G34" s="1665"/>
      <c r="H34" s="1666">
        <v>6</v>
      </c>
      <c r="I34" s="1667">
        <v>6</v>
      </c>
      <c r="J34" s="1666">
        <v>6</v>
      </c>
      <c r="K34" s="1665">
        <v>6</v>
      </c>
      <c r="L34" s="1666"/>
      <c r="M34" s="1665"/>
      <c r="N34" s="1661">
        <v>29</v>
      </c>
      <c r="O34" s="1662">
        <v>2</v>
      </c>
      <c r="P34" s="1671">
        <v>2</v>
      </c>
      <c r="Q34" s="1779">
        <v>2</v>
      </c>
      <c r="R34" s="1666"/>
      <c r="S34" s="1665"/>
      <c r="T34" s="1774">
        <v>12</v>
      </c>
      <c r="U34" s="1698"/>
      <c r="V34" s="1666">
        <v>6</v>
      </c>
      <c r="W34" s="1667">
        <v>5</v>
      </c>
      <c r="X34" s="1764">
        <v>29</v>
      </c>
      <c r="Y34" s="1669">
        <v>10</v>
      </c>
      <c r="Z34" s="1669">
        <v>10</v>
      </c>
      <c r="AA34" s="1670" t="s">
        <v>27</v>
      </c>
      <c r="AB34" s="1671">
        <f t="shared" si="0"/>
        <v>80</v>
      </c>
    </row>
    <row r="35" spans="1:28" ht="27.75" customHeight="1" x14ac:dyDescent="0.3">
      <c r="A35" s="1638">
        <v>26</v>
      </c>
      <c r="B35" s="1761">
        <v>5191421026</v>
      </c>
      <c r="C35" s="1662"/>
      <c r="D35" s="1671">
        <v>2</v>
      </c>
      <c r="E35" s="1665">
        <v>2</v>
      </c>
      <c r="F35" s="1666">
        <v>6</v>
      </c>
      <c r="G35" s="1665"/>
      <c r="H35" s="1666"/>
      <c r="I35" s="1667"/>
      <c r="J35" s="1666">
        <v>5</v>
      </c>
      <c r="K35" s="1665">
        <v>6</v>
      </c>
      <c r="L35" s="1666"/>
      <c r="M35" s="1665"/>
      <c r="N35" s="1661">
        <v>21</v>
      </c>
      <c r="O35" s="1662">
        <v>1</v>
      </c>
      <c r="P35" s="1671">
        <v>2</v>
      </c>
      <c r="Q35" s="1779">
        <v>1</v>
      </c>
      <c r="R35" s="1666">
        <v>5</v>
      </c>
      <c r="S35" s="1665"/>
      <c r="T35" s="1774"/>
      <c r="U35" s="1698">
        <v>10</v>
      </c>
      <c r="V35" s="1666"/>
      <c r="W35" s="1667"/>
      <c r="X35" s="1764">
        <v>19</v>
      </c>
      <c r="Y35" s="1669">
        <v>9</v>
      </c>
      <c r="Z35" s="1669">
        <v>9</v>
      </c>
      <c r="AA35" s="1670" t="s">
        <v>32</v>
      </c>
      <c r="AB35" s="1671">
        <f t="shared" si="0"/>
        <v>70</v>
      </c>
    </row>
    <row r="36" spans="1:28" ht="27.75" customHeight="1" x14ac:dyDescent="0.3">
      <c r="A36" s="1638">
        <v>27</v>
      </c>
      <c r="B36" s="1761">
        <v>5191421027</v>
      </c>
      <c r="C36" s="1662">
        <v>2</v>
      </c>
      <c r="D36" s="1671">
        <v>1</v>
      </c>
      <c r="E36" s="1665">
        <v>2</v>
      </c>
      <c r="F36" s="1666">
        <v>5</v>
      </c>
      <c r="G36" s="1665">
        <v>6</v>
      </c>
      <c r="H36" s="1666"/>
      <c r="I36" s="1667"/>
      <c r="J36" s="1666">
        <v>3</v>
      </c>
      <c r="K36" s="1665">
        <v>6</v>
      </c>
      <c r="L36" s="1666"/>
      <c r="M36" s="1665"/>
      <c r="N36" s="1661">
        <v>25</v>
      </c>
      <c r="O36" s="1662">
        <v>2</v>
      </c>
      <c r="P36" s="1671">
        <v>2</v>
      </c>
      <c r="Q36" s="1779">
        <v>2</v>
      </c>
      <c r="R36" s="1666"/>
      <c r="S36" s="1665"/>
      <c r="T36" s="1774">
        <v>11</v>
      </c>
      <c r="U36" s="1698"/>
      <c r="V36" s="1666">
        <v>4</v>
      </c>
      <c r="W36" s="1667">
        <v>4</v>
      </c>
      <c r="X36" s="1764">
        <v>25</v>
      </c>
      <c r="Y36" s="1669">
        <v>10</v>
      </c>
      <c r="Z36" s="1669">
        <v>10</v>
      </c>
      <c r="AA36" s="1670" t="s">
        <v>27</v>
      </c>
      <c r="AB36" s="1671">
        <f t="shared" si="0"/>
        <v>80</v>
      </c>
    </row>
    <row r="37" spans="1:28" ht="27.75" customHeight="1" x14ac:dyDescent="0.3">
      <c r="A37" s="1638">
        <v>28</v>
      </c>
      <c r="B37" s="1761">
        <v>5191421028</v>
      </c>
      <c r="C37" s="1662"/>
      <c r="D37" s="1671">
        <v>2</v>
      </c>
      <c r="E37" s="1665">
        <v>2</v>
      </c>
      <c r="F37" s="1666"/>
      <c r="G37" s="1665"/>
      <c r="H37" s="1666">
        <v>5</v>
      </c>
      <c r="I37" s="1667"/>
      <c r="J37" s="1666">
        <v>2</v>
      </c>
      <c r="K37" s="1665"/>
      <c r="L37" s="1666">
        <v>4</v>
      </c>
      <c r="M37" s="1665">
        <v>5</v>
      </c>
      <c r="N37" s="1661">
        <v>19</v>
      </c>
      <c r="O37" s="1662">
        <v>2</v>
      </c>
      <c r="P37" s="1671">
        <v>2</v>
      </c>
      <c r="Q37" s="1779">
        <v>1</v>
      </c>
      <c r="R37" s="1666"/>
      <c r="S37" s="1665"/>
      <c r="T37" s="1774">
        <v>8</v>
      </c>
      <c r="U37" s="1698"/>
      <c r="V37" s="1666">
        <v>5</v>
      </c>
      <c r="W37" s="1667">
        <v>5</v>
      </c>
      <c r="X37" s="1764">
        <v>23</v>
      </c>
      <c r="Y37" s="1669">
        <v>9</v>
      </c>
      <c r="Z37" s="1669">
        <v>9</v>
      </c>
      <c r="AA37" s="1703" t="s">
        <v>32</v>
      </c>
      <c r="AB37" s="1671">
        <f t="shared" si="0"/>
        <v>70</v>
      </c>
    </row>
    <row r="38" spans="1:28" ht="27.75" customHeight="1" x14ac:dyDescent="0.3">
      <c r="A38" s="1638">
        <v>29</v>
      </c>
      <c r="B38" s="1761">
        <v>5191421029</v>
      </c>
      <c r="C38" s="1662">
        <v>2</v>
      </c>
      <c r="D38" s="1671">
        <v>2</v>
      </c>
      <c r="E38" s="1665">
        <v>1</v>
      </c>
      <c r="F38" s="1666">
        <v>4</v>
      </c>
      <c r="G38" s="1665">
        <v>6</v>
      </c>
      <c r="H38" s="1666"/>
      <c r="I38" s="1667"/>
      <c r="J38" s="1666"/>
      <c r="K38" s="1665"/>
      <c r="L38" s="1666">
        <v>5</v>
      </c>
      <c r="M38" s="1665">
        <v>3</v>
      </c>
      <c r="N38" s="1661">
        <v>23</v>
      </c>
      <c r="O38" s="1662">
        <v>2</v>
      </c>
      <c r="P38" s="1671">
        <v>1</v>
      </c>
      <c r="Q38" s="1779">
        <v>2</v>
      </c>
      <c r="R38" s="1666"/>
      <c r="S38" s="1665"/>
      <c r="T38" s="1774">
        <v>9</v>
      </c>
      <c r="U38" s="1698">
        <v>6</v>
      </c>
      <c r="V38" s="1666"/>
      <c r="W38" s="1667"/>
      <c r="X38" s="1764">
        <v>20</v>
      </c>
      <c r="Y38" s="1669">
        <v>10</v>
      </c>
      <c r="Z38" s="1669">
        <v>10</v>
      </c>
      <c r="AA38" s="1670" t="s">
        <v>27</v>
      </c>
      <c r="AB38" s="1671">
        <f t="shared" si="0"/>
        <v>80</v>
      </c>
    </row>
    <row r="39" spans="1:28" ht="27.75" customHeight="1" x14ac:dyDescent="0.3">
      <c r="A39" s="1638">
        <v>30</v>
      </c>
      <c r="B39" s="1761">
        <v>5191421030</v>
      </c>
      <c r="C39" s="1684"/>
      <c r="D39" s="1671"/>
      <c r="E39" s="1665"/>
      <c r="F39" s="1666"/>
      <c r="G39" s="1665"/>
      <c r="H39" s="1666"/>
      <c r="I39" s="1667"/>
      <c r="J39" s="1666">
        <v>2</v>
      </c>
      <c r="K39" s="1665">
        <v>6</v>
      </c>
      <c r="L39" s="1666"/>
      <c r="M39" s="1665"/>
      <c r="N39" s="1661">
        <v>8</v>
      </c>
      <c r="O39" s="1662"/>
      <c r="P39" s="1671"/>
      <c r="Q39" s="1779">
        <v>1</v>
      </c>
      <c r="R39" s="1666">
        <v>6</v>
      </c>
      <c r="S39" s="1665">
        <v>3</v>
      </c>
      <c r="T39" s="1774"/>
      <c r="U39" s="1698"/>
      <c r="V39" s="1666">
        <v>3</v>
      </c>
      <c r="W39" s="1667"/>
      <c r="X39" s="1764">
        <v>13</v>
      </c>
      <c r="Y39" s="1669">
        <v>7</v>
      </c>
      <c r="Z39" s="1669">
        <v>7</v>
      </c>
      <c r="AA39" s="1670" t="s">
        <v>28</v>
      </c>
      <c r="AB39" s="1671">
        <f t="shared" si="0"/>
        <v>50</v>
      </c>
    </row>
    <row r="40" spans="1:28" ht="27.75" customHeight="1" x14ac:dyDescent="0.3">
      <c r="A40" s="1638">
        <v>31</v>
      </c>
      <c r="B40" s="1761">
        <v>5191421031</v>
      </c>
      <c r="C40" s="1666">
        <v>2</v>
      </c>
      <c r="D40" s="1671"/>
      <c r="E40" s="1665">
        <v>1</v>
      </c>
      <c r="F40" s="1666">
        <v>3</v>
      </c>
      <c r="G40" s="1665"/>
      <c r="H40" s="1666"/>
      <c r="I40" s="1667"/>
      <c r="J40" s="1666">
        <v>5</v>
      </c>
      <c r="K40" s="1665">
        <v>2</v>
      </c>
      <c r="L40" s="1666"/>
      <c r="M40" s="1665"/>
      <c r="N40" s="1661">
        <v>13</v>
      </c>
      <c r="O40" s="1662">
        <v>1</v>
      </c>
      <c r="P40" s="1671">
        <v>2</v>
      </c>
      <c r="Q40" s="1779">
        <v>1</v>
      </c>
      <c r="R40" s="1666"/>
      <c r="S40" s="1665"/>
      <c r="T40" s="1774">
        <v>10</v>
      </c>
      <c r="U40" s="1698"/>
      <c r="V40" s="1666">
        <v>5</v>
      </c>
      <c r="W40" s="1667">
        <v>2</v>
      </c>
      <c r="X40" s="1764">
        <v>21</v>
      </c>
      <c r="Y40" s="1669">
        <v>10</v>
      </c>
      <c r="Z40" s="1669">
        <v>10</v>
      </c>
      <c r="AA40" s="1670" t="s">
        <v>32</v>
      </c>
      <c r="AB40" s="1671">
        <f t="shared" si="0"/>
        <v>70</v>
      </c>
    </row>
    <row r="41" spans="1:28" ht="27.75" customHeight="1" x14ac:dyDescent="0.3">
      <c r="A41" s="1638">
        <v>32</v>
      </c>
      <c r="B41" s="1761">
        <v>5191421032</v>
      </c>
      <c r="C41" s="1656"/>
      <c r="D41" s="1654"/>
      <c r="E41" s="1655"/>
      <c r="F41" s="1700"/>
      <c r="G41" s="1702"/>
      <c r="H41" s="1700"/>
      <c r="I41" s="1702"/>
      <c r="J41" s="1700">
        <v>2</v>
      </c>
      <c r="K41" s="1702">
        <v>6</v>
      </c>
      <c r="L41" s="1666"/>
      <c r="M41" s="1665"/>
      <c r="N41" s="1661">
        <v>8</v>
      </c>
      <c r="O41" s="1666">
        <v>1</v>
      </c>
      <c r="P41" s="1671">
        <v>5</v>
      </c>
      <c r="Q41" s="1779"/>
      <c r="R41" s="1666"/>
      <c r="S41" s="1665"/>
      <c r="T41" s="1774"/>
      <c r="U41" s="1698"/>
      <c r="V41" s="1666">
        <v>2</v>
      </c>
      <c r="W41" s="1667"/>
      <c r="X41" s="1764">
        <v>8</v>
      </c>
      <c r="Y41" s="1669">
        <v>8</v>
      </c>
      <c r="Z41" s="1669">
        <v>8</v>
      </c>
      <c r="AA41" s="1670" t="s">
        <v>28</v>
      </c>
      <c r="AB41" s="1671">
        <f t="shared" si="0"/>
        <v>50</v>
      </c>
    </row>
    <row r="42" spans="1:28" ht="27.75" customHeight="1" x14ac:dyDescent="0.3">
      <c r="A42" s="1638">
        <v>33</v>
      </c>
      <c r="B42" s="1761">
        <v>5191421033</v>
      </c>
      <c r="C42" s="1662">
        <v>2</v>
      </c>
      <c r="D42" s="1671">
        <v>2</v>
      </c>
      <c r="E42" s="1665"/>
      <c r="F42" s="1666">
        <v>6</v>
      </c>
      <c r="G42" s="1665">
        <v>6</v>
      </c>
      <c r="H42" s="1666"/>
      <c r="I42" s="1667"/>
      <c r="J42" s="1666">
        <v>5</v>
      </c>
      <c r="K42" s="1665">
        <v>6</v>
      </c>
      <c r="L42" s="1666"/>
      <c r="M42" s="1665"/>
      <c r="N42" s="1661">
        <v>27</v>
      </c>
      <c r="O42" s="1662">
        <v>2</v>
      </c>
      <c r="P42" s="1671">
        <v>2</v>
      </c>
      <c r="Q42" s="1779">
        <v>2</v>
      </c>
      <c r="R42" s="1666"/>
      <c r="S42" s="1665"/>
      <c r="T42" s="1774">
        <v>10</v>
      </c>
      <c r="U42" s="1698">
        <v>12</v>
      </c>
      <c r="V42" s="1666"/>
      <c r="W42" s="1667"/>
      <c r="X42" s="1764">
        <v>28</v>
      </c>
      <c r="Y42" s="1669">
        <v>10</v>
      </c>
      <c r="Z42" s="1669">
        <v>10</v>
      </c>
      <c r="AA42" s="1695" t="s">
        <v>27</v>
      </c>
      <c r="AB42" s="1671">
        <f t="shared" si="0"/>
        <v>80</v>
      </c>
    </row>
    <row r="43" spans="1:28" ht="27.75" customHeight="1" x14ac:dyDescent="0.3">
      <c r="A43" s="1638">
        <v>34</v>
      </c>
      <c r="B43" s="1761">
        <v>5191421034</v>
      </c>
      <c r="C43" s="1662">
        <v>2</v>
      </c>
      <c r="D43" s="1671">
        <v>2</v>
      </c>
      <c r="E43" s="1665">
        <v>1</v>
      </c>
      <c r="F43" s="1666"/>
      <c r="G43" s="1665"/>
      <c r="H43" s="1666">
        <v>6</v>
      </c>
      <c r="I43" s="1667">
        <v>2</v>
      </c>
      <c r="J43" s="1666"/>
      <c r="K43" s="1665"/>
      <c r="L43" s="1666">
        <v>6</v>
      </c>
      <c r="M43" s="1665">
        <v>5</v>
      </c>
      <c r="N43" s="1661">
        <v>24</v>
      </c>
      <c r="O43" s="1666">
        <v>1</v>
      </c>
      <c r="P43" s="1671">
        <v>2</v>
      </c>
      <c r="Q43" s="1779">
        <v>2</v>
      </c>
      <c r="R43" s="1666"/>
      <c r="S43" s="1665"/>
      <c r="T43" s="1774">
        <v>10</v>
      </c>
      <c r="U43" s="1698">
        <v>10</v>
      </c>
      <c r="V43" s="1666"/>
      <c r="W43" s="1667"/>
      <c r="X43" s="1764">
        <v>25</v>
      </c>
      <c r="Y43" s="1669">
        <v>10</v>
      </c>
      <c r="Z43" s="1669">
        <v>10</v>
      </c>
      <c r="AA43" s="1670" t="s">
        <v>27</v>
      </c>
      <c r="AB43" s="1671">
        <f t="shared" si="0"/>
        <v>80</v>
      </c>
    </row>
    <row r="44" spans="1:28" ht="27.75" customHeight="1" x14ac:dyDescent="0.3">
      <c r="A44" s="1638">
        <v>35</v>
      </c>
      <c r="B44" s="1761">
        <v>5191421035</v>
      </c>
      <c r="C44" s="1662"/>
      <c r="D44" s="1671"/>
      <c r="E44" s="1665">
        <v>1</v>
      </c>
      <c r="F44" s="1666"/>
      <c r="G44" s="1665"/>
      <c r="H44" s="1666"/>
      <c r="I44" s="1667"/>
      <c r="J44" s="1666">
        <v>3</v>
      </c>
      <c r="K44" s="1665"/>
      <c r="L44" s="1666"/>
      <c r="M44" s="1665"/>
      <c r="N44" s="1661">
        <v>4</v>
      </c>
      <c r="O44" s="1662"/>
      <c r="P44" s="1671">
        <v>1</v>
      </c>
      <c r="Q44" s="1779">
        <v>1</v>
      </c>
      <c r="R44" s="1666">
        <v>4</v>
      </c>
      <c r="S44" s="1665"/>
      <c r="T44" s="1774">
        <v>3</v>
      </c>
      <c r="U44" s="1698"/>
      <c r="V44" s="1666">
        <v>3</v>
      </c>
      <c r="W44" s="1667"/>
      <c r="X44" s="1764">
        <v>7</v>
      </c>
      <c r="Y44" s="1669">
        <v>8</v>
      </c>
      <c r="Z44" s="1669">
        <v>8</v>
      </c>
      <c r="AA44" s="1670" t="s">
        <v>28</v>
      </c>
      <c r="AB44" s="1671">
        <f t="shared" si="0"/>
        <v>50</v>
      </c>
    </row>
    <row r="45" spans="1:28" ht="27.75" customHeight="1" x14ac:dyDescent="0.3">
      <c r="A45" s="1638">
        <v>36</v>
      </c>
      <c r="B45" s="1761">
        <v>5191421036</v>
      </c>
      <c r="C45" s="1662">
        <v>2</v>
      </c>
      <c r="D45" s="1671">
        <v>1</v>
      </c>
      <c r="E45" s="1665"/>
      <c r="F45" s="1666">
        <v>3</v>
      </c>
      <c r="G45" s="1665">
        <v>6</v>
      </c>
      <c r="H45" s="1666"/>
      <c r="I45" s="1667"/>
      <c r="J45" s="1666">
        <v>5</v>
      </c>
      <c r="K45" s="1665">
        <v>6</v>
      </c>
      <c r="L45" s="1666"/>
      <c r="M45" s="1665"/>
      <c r="N45" s="1661">
        <v>23</v>
      </c>
      <c r="O45" s="1662">
        <v>1</v>
      </c>
      <c r="P45" s="1671">
        <v>2</v>
      </c>
      <c r="Q45" s="1779">
        <v>1</v>
      </c>
      <c r="R45" s="1666"/>
      <c r="S45" s="1665"/>
      <c r="T45" s="1774">
        <v>8</v>
      </c>
      <c r="U45" s="1698">
        <v>8</v>
      </c>
      <c r="V45" s="1666"/>
      <c r="W45" s="1667"/>
      <c r="X45" s="1764">
        <v>21</v>
      </c>
      <c r="Y45" s="1669">
        <v>10</v>
      </c>
      <c r="Z45" s="1669">
        <v>10</v>
      </c>
      <c r="AA45" s="1670" t="s">
        <v>27</v>
      </c>
      <c r="AB45" s="1671">
        <f t="shared" si="0"/>
        <v>80</v>
      </c>
    </row>
    <row r="46" spans="1:28" ht="27.75" customHeight="1" x14ac:dyDescent="0.3">
      <c r="A46" s="1638">
        <v>37</v>
      </c>
      <c r="B46" s="1761">
        <v>5191421037</v>
      </c>
      <c r="C46" s="1662"/>
      <c r="D46" s="1671"/>
      <c r="E46" s="1665"/>
      <c r="F46" s="1666"/>
      <c r="G46" s="1665"/>
      <c r="H46" s="1666"/>
      <c r="I46" s="1667"/>
      <c r="J46" s="1666">
        <v>2</v>
      </c>
      <c r="K46" s="1665">
        <v>3</v>
      </c>
      <c r="L46" s="1666"/>
      <c r="M46" s="1665"/>
      <c r="N46" s="1661">
        <v>5</v>
      </c>
      <c r="O46" s="1662"/>
      <c r="P46" s="1671"/>
      <c r="Q46" s="1779"/>
      <c r="R46" s="1666"/>
      <c r="S46" s="1665"/>
      <c r="T46" s="1774"/>
      <c r="U46" s="1698"/>
      <c r="V46" s="1666"/>
      <c r="W46" s="1667"/>
      <c r="X46" s="1764"/>
      <c r="Y46" s="1669">
        <v>10</v>
      </c>
      <c r="Z46" s="1669">
        <v>10</v>
      </c>
      <c r="AA46" s="1695" t="s">
        <v>154</v>
      </c>
      <c r="AB46" s="1671" t="b">
        <f t="shared" si="0"/>
        <v>0</v>
      </c>
    </row>
    <row r="47" spans="1:28" ht="27.75" customHeight="1" x14ac:dyDescent="0.3">
      <c r="A47" s="1638">
        <v>38</v>
      </c>
      <c r="B47" s="1761">
        <v>5191421038</v>
      </c>
      <c r="C47" s="1662"/>
      <c r="D47" s="1671">
        <v>1</v>
      </c>
      <c r="E47" s="1665"/>
      <c r="F47" s="1666">
        <v>0</v>
      </c>
      <c r="G47" s="1665">
        <v>2</v>
      </c>
      <c r="H47" s="1666"/>
      <c r="I47" s="1667"/>
      <c r="J47" s="1666">
        <v>5</v>
      </c>
      <c r="K47" s="1665">
        <v>3</v>
      </c>
      <c r="L47" s="1666"/>
      <c r="M47" s="1665"/>
      <c r="N47" s="1661">
        <v>11</v>
      </c>
      <c r="O47" s="1662">
        <v>1</v>
      </c>
      <c r="P47" s="1671">
        <v>0</v>
      </c>
      <c r="Q47" s="1779">
        <v>1</v>
      </c>
      <c r="R47" s="1666">
        <v>5</v>
      </c>
      <c r="S47" s="1665"/>
      <c r="T47" s="1774"/>
      <c r="U47" s="1698"/>
      <c r="V47" s="1666">
        <v>5</v>
      </c>
      <c r="W47" s="1667">
        <v>3</v>
      </c>
      <c r="X47" s="1764">
        <v>15</v>
      </c>
      <c r="Y47" s="1669">
        <v>8</v>
      </c>
      <c r="Z47" s="1669">
        <v>8</v>
      </c>
      <c r="AA47" s="1670" t="s">
        <v>33</v>
      </c>
      <c r="AB47" s="1671">
        <f t="shared" si="0"/>
        <v>60</v>
      </c>
    </row>
    <row r="48" spans="1:28" ht="27.75" customHeight="1" x14ac:dyDescent="0.3">
      <c r="A48" s="1638">
        <v>39</v>
      </c>
      <c r="B48" s="1761">
        <v>5191421039</v>
      </c>
      <c r="C48" s="1662">
        <v>1</v>
      </c>
      <c r="D48" s="1671">
        <v>1</v>
      </c>
      <c r="E48" s="1665"/>
      <c r="F48" s="1666"/>
      <c r="G48" s="1665"/>
      <c r="H48" s="1666"/>
      <c r="I48" s="1667">
        <v>2</v>
      </c>
      <c r="J48" s="1666">
        <v>2</v>
      </c>
      <c r="K48" s="1665">
        <v>6</v>
      </c>
      <c r="L48" s="1666">
        <v>3</v>
      </c>
      <c r="M48" s="1665">
        <v>1</v>
      </c>
      <c r="N48" s="1661">
        <v>12</v>
      </c>
      <c r="O48" s="1662">
        <v>2</v>
      </c>
      <c r="P48" s="1671">
        <v>1</v>
      </c>
      <c r="Q48" s="1779">
        <v>2</v>
      </c>
      <c r="R48" s="1666"/>
      <c r="S48" s="1665"/>
      <c r="T48" s="1774">
        <v>12</v>
      </c>
      <c r="U48" s="1698">
        <v>9</v>
      </c>
      <c r="V48" s="1666"/>
      <c r="W48" s="1667"/>
      <c r="X48" s="1764">
        <v>26</v>
      </c>
      <c r="Y48" s="1669">
        <v>10</v>
      </c>
      <c r="Z48" s="1669">
        <v>10</v>
      </c>
      <c r="AA48" s="1670" t="s">
        <v>32</v>
      </c>
      <c r="AB48" s="1671">
        <f t="shared" si="0"/>
        <v>70</v>
      </c>
    </row>
    <row r="49" spans="1:28" ht="27.75" customHeight="1" x14ac:dyDescent="0.3">
      <c r="A49" s="1638">
        <v>40</v>
      </c>
      <c r="B49" s="1761">
        <v>5191421040</v>
      </c>
      <c r="C49" s="1684">
        <v>2</v>
      </c>
      <c r="D49" s="1671">
        <v>2</v>
      </c>
      <c r="E49" s="1665">
        <v>2</v>
      </c>
      <c r="F49" s="1666"/>
      <c r="G49" s="1665"/>
      <c r="H49" s="1666">
        <v>6</v>
      </c>
      <c r="I49" s="1667">
        <v>3</v>
      </c>
      <c r="J49" s="1666">
        <v>5</v>
      </c>
      <c r="K49" s="1665">
        <v>6</v>
      </c>
      <c r="L49" s="1666"/>
      <c r="M49" s="1665"/>
      <c r="N49" s="1661">
        <v>26</v>
      </c>
      <c r="O49" s="1662">
        <v>1</v>
      </c>
      <c r="P49" s="1671">
        <v>0</v>
      </c>
      <c r="Q49" s="1779">
        <v>1</v>
      </c>
      <c r="R49" s="1666"/>
      <c r="S49" s="1665"/>
      <c r="T49" s="1774">
        <v>9</v>
      </c>
      <c r="U49" s="1698"/>
      <c r="V49" s="1666">
        <v>3</v>
      </c>
      <c r="W49" s="1667"/>
      <c r="X49" s="1764">
        <v>14</v>
      </c>
      <c r="Y49" s="1669">
        <v>9</v>
      </c>
      <c r="Z49" s="1669">
        <v>9</v>
      </c>
      <c r="AA49" s="1670" t="s">
        <v>32</v>
      </c>
      <c r="AB49" s="1671">
        <f t="shared" si="0"/>
        <v>70</v>
      </c>
    </row>
    <row r="50" spans="1:28" ht="27.75" customHeight="1" x14ac:dyDescent="0.3">
      <c r="A50" s="1638">
        <v>41</v>
      </c>
      <c r="B50" s="1761">
        <v>5191421041</v>
      </c>
      <c r="C50" s="1662"/>
      <c r="D50" s="1671"/>
      <c r="E50" s="1665"/>
      <c r="F50" s="1666"/>
      <c r="G50" s="1665"/>
      <c r="H50" s="1666"/>
      <c r="I50" s="1667"/>
      <c r="J50" s="1666"/>
      <c r="K50" s="1665"/>
      <c r="L50" s="1666"/>
      <c r="M50" s="1665"/>
      <c r="N50" s="1661"/>
      <c r="O50" s="1662">
        <v>1</v>
      </c>
      <c r="P50" s="1671">
        <v>0</v>
      </c>
      <c r="Q50" s="1779">
        <v>1</v>
      </c>
      <c r="R50" s="1666">
        <v>3</v>
      </c>
      <c r="S50" s="1665"/>
      <c r="T50" s="1774">
        <v>4</v>
      </c>
      <c r="U50" s="1698"/>
      <c r="V50" s="1666"/>
      <c r="W50" s="1667"/>
      <c r="X50" s="1764">
        <v>6</v>
      </c>
      <c r="Y50" s="1669">
        <v>10</v>
      </c>
      <c r="Z50" s="1669">
        <v>10</v>
      </c>
      <c r="AA50" s="1670" t="s">
        <v>28</v>
      </c>
      <c r="AB50" s="1671">
        <f t="shared" si="0"/>
        <v>50</v>
      </c>
    </row>
    <row r="51" spans="1:28" ht="27.75" customHeight="1" x14ac:dyDescent="0.3">
      <c r="A51" s="1638">
        <v>42</v>
      </c>
      <c r="B51" s="1761">
        <v>5191421042</v>
      </c>
      <c r="C51" s="1662"/>
      <c r="D51" s="1671"/>
      <c r="E51" s="1665"/>
      <c r="F51" s="1666"/>
      <c r="G51" s="1665"/>
      <c r="H51" s="1666">
        <v>1</v>
      </c>
      <c r="I51" s="1667"/>
      <c r="J51" s="1666"/>
      <c r="K51" s="1665">
        <v>3</v>
      </c>
      <c r="L51" s="1666"/>
      <c r="M51" s="1665"/>
      <c r="N51" s="1661">
        <v>4</v>
      </c>
      <c r="O51" s="1662"/>
      <c r="P51" s="1671"/>
      <c r="Q51" s="1779">
        <v>2</v>
      </c>
      <c r="R51" s="1666"/>
      <c r="S51" s="1665"/>
      <c r="T51" s="1774">
        <v>6</v>
      </c>
      <c r="U51" s="1698"/>
      <c r="V51" s="1666"/>
      <c r="W51" s="1667">
        <v>3</v>
      </c>
      <c r="X51" s="1764">
        <v>11</v>
      </c>
      <c r="Y51" s="1669">
        <v>8</v>
      </c>
      <c r="Z51" s="1669">
        <v>8</v>
      </c>
      <c r="AA51" s="1695" t="s">
        <v>28</v>
      </c>
      <c r="AB51" s="1671">
        <f t="shared" si="0"/>
        <v>50</v>
      </c>
    </row>
    <row r="52" spans="1:28" ht="27.75" customHeight="1" x14ac:dyDescent="0.3">
      <c r="A52" s="1638">
        <v>43</v>
      </c>
      <c r="B52" s="1761">
        <v>5191421043</v>
      </c>
      <c r="C52" s="1662"/>
      <c r="D52" s="1671">
        <v>2</v>
      </c>
      <c r="E52" s="1665">
        <v>2</v>
      </c>
      <c r="F52" s="1666">
        <v>4</v>
      </c>
      <c r="G52" s="1665">
        <v>4</v>
      </c>
      <c r="H52" s="1666"/>
      <c r="I52" s="1667"/>
      <c r="J52" s="1666"/>
      <c r="K52" s="1665"/>
      <c r="L52" s="1666">
        <v>4</v>
      </c>
      <c r="M52" s="1665">
        <v>6</v>
      </c>
      <c r="N52" s="1661">
        <v>22</v>
      </c>
      <c r="O52" s="1662">
        <v>2</v>
      </c>
      <c r="P52" s="1671">
        <v>2</v>
      </c>
      <c r="Q52" s="1779">
        <v>2</v>
      </c>
      <c r="R52" s="1666">
        <v>6</v>
      </c>
      <c r="S52" s="1665">
        <v>5</v>
      </c>
      <c r="T52" s="1774"/>
      <c r="U52" s="1698">
        <v>10</v>
      </c>
      <c r="V52" s="1666"/>
      <c r="W52" s="1667"/>
      <c r="X52" s="1764">
        <v>27</v>
      </c>
      <c r="Y52" s="1669">
        <v>10</v>
      </c>
      <c r="Z52" s="1669">
        <v>10</v>
      </c>
      <c r="AA52" s="1670" t="s">
        <v>27</v>
      </c>
      <c r="AB52" s="1671">
        <f t="shared" si="0"/>
        <v>80</v>
      </c>
    </row>
    <row r="53" spans="1:28" ht="27.75" customHeight="1" x14ac:dyDescent="0.3">
      <c r="A53" s="1638">
        <v>44</v>
      </c>
      <c r="B53" s="1761">
        <v>5191421044</v>
      </c>
      <c r="C53" s="1662">
        <v>2</v>
      </c>
      <c r="D53" s="1671">
        <v>2</v>
      </c>
      <c r="E53" s="1665">
        <v>1</v>
      </c>
      <c r="F53" s="1666">
        <v>3</v>
      </c>
      <c r="G53" s="1665">
        <v>6</v>
      </c>
      <c r="H53" s="1666"/>
      <c r="I53" s="1667"/>
      <c r="J53" s="1666">
        <v>5</v>
      </c>
      <c r="K53" s="1665">
        <v>6</v>
      </c>
      <c r="L53" s="1666"/>
      <c r="M53" s="1665"/>
      <c r="N53" s="1661">
        <v>25</v>
      </c>
      <c r="O53" s="1662">
        <v>2</v>
      </c>
      <c r="P53" s="1671">
        <v>2</v>
      </c>
      <c r="Q53" s="1779">
        <v>2</v>
      </c>
      <c r="R53" s="1666"/>
      <c r="S53" s="1665"/>
      <c r="T53" s="1774">
        <v>8</v>
      </c>
      <c r="U53" s="1698">
        <v>9</v>
      </c>
      <c r="V53" s="1666"/>
      <c r="W53" s="1667"/>
      <c r="X53" s="1764">
        <v>23</v>
      </c>
      <c r="Y53" s="1669">
        <v>10</v>
      </c>
      <c r="Z53" s="1669">
        <v>10</v>
      </c>
      <c r="AA53" s="1670" t="s">
        <v>27</v>
      </c>
      <c r="AB53" s="1671">
        <f t="shared" si="0"/>
        <v>80</v>
      </c>
    </row>
    <row r="54" spans="1:28" ht="27.75" customHeight="1" x14ac:dyDescent="0.3">
      <c r="A54" s="1638">
        <v>45</v>
      </c>
      <c r="B54" s="1761">
        <v>5191421045</v>
      </c>
      <c r="C54" s="1684"/>
      <c r="D54" s="1671"/>
      <c r="E54" s="1665"/>
      <c r="F54" s="1666"/>
      <c r="G54" s="1665">
        <v>3</v>
      </c>
      <c r="H54" s="1666"/>
      <c r="I54" s="1667"/>
      <c r="J54" s="1666">
        <v>2</v>
      </c>
      <c r="K54" s="1665"/>
      <c r="L54" s="1666"/>
      <c r="M54" s="1665"/>
      <c r="N54" s="1661">
        <v>5</v>
      </c>
      <c r="O54" s="1662">
        <v>1</v>
      </c>
      <c r="P54" s="1671"/>
      <c r="Q54" s="1779">
        <v>2</v>
      </c>
      <c r="R54" s="1666"/>
      <c r="S54" s="1665"/>
      <c r="T54" s="1774">
        <v>6</v>
      </c>
      <c r="U54" s="1698"/>
      <c r="V54" s="1666">
        <v>1</v>
      </c>
      <c r="W54" s="1667">
        <v>4</v>
      </c>
      <c r="X54" s="1764">
        <v>14</v>
      </c>
      <c r="Y54" s="1669">
        <v>8</v>
      </c>
      <c r="Z54" s="1669">
        <v>8</v>
      </c>
      <c r="AA54" s="1670" t="s">
        <v>28</v>
      </c>
      <c r="AB54" s="1671">
        <f t="shared" si="0"/>
        <v>50</v>
      </c>
    </row>
    <row r="55" spans="1:28" ht="27.75" customHeight="1" x14ac:dyDescent="0.3">
      <c r="A55" s="1638">
        <v>46</v>
      </c>
      <c r="B55" s="1761">
        <v>5191421046</v>
      </c>
      <c r="C55" s="1662"/>
      <c r="D55" s="1671"/>
      <c r="E55" s="1665"/>
      <c r="F55" s="1666"/>
      <c r="G55" s="1665"/>
      <c r="H55" s="1666">
        <v>5</v>
      </c>
      <c r="I55" s="1667"/>
      <c r="J55" s="1666">
        <v>1</v>
      </c>
      <c r="K55" s="1665">
        <v>3</v>
      </c>
      <c r="L55" s="1666">
        <v>2</v>
      </c>
      <c r="M55" s="1665">
        <v>3</v>
      </c>
      <c r="N55" s="1661">
        <v>10</v>
      </c>
      <c r="O55" s="1662">
        <v>2</v>
      </c>
      <c r="P55" s="1671">
        <v>1</v>
      </c>
      <c r="Q55" s="1779">
        <v>2</v>
      </c>
      <c r="R55" s="1666">
        <v>5</v>
      </c>
      <c r="S55" s="1665">
        <v>3</v>
      </c>
      <c r="T55" s="1774"/>
      <c r="U55" s="1698"/>
      <c r="V55" s="1666">
        <v>5</v>
      </c>
      <c r="W55" s="1667">
        <v>3</v>
      </c>
      <c r="X55" s="1764">
        <v>21</v>
      </c>
      <c r="Y55" s="1669">
        <v>8</v>
      </c>
      <c r="Z55" s="1669">
        <v>8</v>
      </c>
      <c r="AA55" s="1670" t="s">
        <v>32</v>
      </c>
      <c r="AB55" s="1671">
        <f t="shared" si="0"/>
        <v>70</v>
      </c>
    </row>
    <row r="56" spans="1:28" ht="27.75" customHeight="1" x14ac:dyDescent="0.3">
      <c r="A56" s="1638">
        <v>47</v>
      </c>
      <c r="B56" s="1761">
        <v>5191421047</v>
      </c>
      <c r="C56" s="1662"/>
      <c r="D56" s="1671"/>
      <c r="E56" s="1665"/>
      <c r="F56" s="1666"/>
      <c r="G56" s="1665"/>
      <c r="H56" s="1666"/>
      <c r="I56" s="1667"/>
      <c r="J56" s="1666"/>
      <c r="K56" s="1665">
        <v>6</v>
      </c>
      <c r="L56" s="1666"/>
      <c r="M56" s="1665"/>
      <c r="N56" s="1661">
        <v>6</v>
      </c>
      <c r="O56" s="1662"/>
      <c r="P56" s="1671"/>
      <c r="Q56" s="1779">
        <v>1</v>
      </c>
      <c r="R56" s="1666">
        <v>2</v>
      </c>
      <c r="S56" s="1665"/>
      <c r="T56" s="1774"/>
      <c r="U56" s="1698"/>
      <c r="V56" s="1666">
        <v>4</v>
      </c>
      <c r="W56" s="1667"/>
      <c r="X56" s="1764">
        <v>7</v>
      </c>
      <c r="Y56" s="1669">
        <v>8</v>
      </c>
      <c r="Z56" s="1669">
        <v>8</v>
      </c>
      <c r="AA56" s="1670" t="s">
        <v>29</v>
      </c>
      <c r="AB56" s="1671">
        <f t="shared" si="0"/>
        <v>39</v>
      </c>
    </row>
    <row r="57" spans="1:28" ht="27.75" customHeight="1" x14ac:dyDescent="0.3">
      <c r="A57" s="1638">
        <v>48</v>
      </c>
      <c r="B57" s="1761">
        <v>5191421048</v>
      </c>
      <c r="C57" s="1662"/>
      <c r="D57" s="1671">
        <v>2</v>
      </c>
      <c r="E57" s="1665">
        <v>2</v>
      </c>
      <c r="F57" s="1666"/>
      <c r="G57" s="1665"/>
      <c r="H57" s="1666">
        <v>3</v>
      </c>
      <c r="I57" s="1667"/>
      <c r="J57" s="1666"/>
      <c r="K57" s="1665"/>
      <c r="L57" s="1666">
        <v>3</v>
      </c>
      <c r="M57" s="1665">
        <v>5</v>
      </c>
      <c r="N57" s="1661">
        <v>15</v>
      </c>
      <c r="O57" s="1662">
        <v>2</v>
      </c>
      <c r="P57" s="1671"/>
      <c r="Q57" s="1779"/>
      <c r="R57" s="1666"/>
      <c r="S57" s="1665"/>
      <c r="T57" s="1774">
        <v>9</v>
      </c>
      <c r="U57" s="1698">
        <v>7</v>
      </c>
      <c r="V57" s="1666"/>
      <c r="W57" s="1667"/>
      <c r="X57" s="1764">
        <v>15</v>
      </c>
      <c r="Y57" s="1669">
        <v>9</v>
      </c>
      <c r="Z57" s="1669">
        <v>9</v>
      </c>
      <c r="AA57" s="1670" t="s">
        <v>31</v>
      </c>
      <c r="AB57" s="1671">
        <f t="shared" si="0"/>
        <v>55</v>
      </c>
    </row>
    <row r="58" spans="1:28" ht="27.75" customHeight="1" x14ac:dyDescent="0.3">
      <c r="A58" s="1638">
        <v>49</v>
      </c>
      <c r="B58" s="1761">
        <v>5191421049</v>
      </c>
      <c r="C58" s="1662"/>
      <c r="D58" s="1671"/>
      <c r="E58" s="1665"/>
      <c r="F58" s="1666"/>
      <c r="G58" s="1665">
        <v>2</v>
      </c>
      <c r="H58" s="1666"/>
      <c r="I58" s="1667"/>
      <c r="J58" s="1666">
        <v>4</v>
      </c>
      <c r="K58" s="1665">
        <v>4</v>
      </c>
      <c r="L58" s="1666"/>
      <c r="M58" s="1665"/>
      <c r="N58" s="1661">
        <v>10</v>
      </c>
      <c r="O58" s="1662">
        <v>1</v>
      </c>
      <c r="P58" s="1671"/>
      <c r="Q58" s="1779">
        <v>2</v>
      </c>
      <c r="R58" s="1666">
        <v>4</v>
      </c>
      <c r="S58" s="1665">
        <v>4</v>
      </c>
      <c r="T58" s="1774">
        <v>6</v>
      </c>
      <c r="U58" s="1698"/>
      <c r="V58" s="1666"/>
      <c r="W58" s="1667">
        <v>3</v>
      </c>
      <c r="X58" s="1764">
        <v>14</v>
      </c>
      <c r="Y58" s="1669">
        <v>8</v>
      </c>
      <c r="Z58" s="1669">
        <v>8</v>
      </c>
      <c r="AA58" s="1670" t="s">
        <v>28</v>
      </c>
      <c r="AB58" s="1671">
        <f t="shared" si="0"/>
        <v>50</v>
      </c>
    </row>
    <row r="59" spans="1:28" ht="27.75" customHeight="1" x14ac:dyDescent="0.3">
      <c r="A59" s="1638">
        <v>50</v>
      </c>
      <c r="B59" s="1761">
        <v>5191421050</v>
      </c>
      <c r="C59" s="1662"/>
      <c r="D59" s="1671"/>
      <c r="E59" s="1665"/>
      <c r="F59" s="1666"/>
      <c r="G59" s="1665"/>
      <c r="H59" s="1666">
        <v>3</v>
      </c>
      <c r="I59" s="1667">
        <v>2</v>
      </c>
      <c r="J59" s="1666">
        <v>5</v>
      </c>
      <c r="K59" s="1665">
        <v>6</v>
      </c>
      <c r="L59" s="1666"/>
      <c r="M59" s="1665"/>
      <c r="N59" s="1661">
        <v>16</v>
      </c>
      <c r="O59" s="1662">
        <v>1</v>
      </c>
      <c r="P59" s="1671"/>
      <c r="Q59" s="1779">
        <v>1</v>
      </c>
      <c r="R59" s="1666"/>
      <c r="S59" s="1665"/>
      <c r="T59" s="1774">
        <v>5</v>
      </c>
      <c r="U59" s="1698"/>
      <c r="V59" s="1666">
        <v>2</v>
      </c>
      <c r="W59" s="1667">
        <v>2</v>
      </c>
      <c r="X59" s="1764">
        <v>11</v>
      </c>
      <c r="Y59" s="1669">
        <v>9</v>
      </c>
      <c r="Z59" s="1669">
        <v>9</v>
      </c>
      <c r="AA59" s="1780" t="s">
        <v>31</v>
      </c>
      <c r="AB59" s="1671">
        <f t="shared" si="0"/>
        <v>55</v>
      </c>
    </row>
    <row r="60" spans="1:28" ht="27.75" customHeight="1" x14ac:dyDescent="0.3">
      <c r="A60" s="1638">
        <v>51</v>
      </c>
      <c r="B60" s="1761">
        <v>5191421051</v>
      </c>
      <c r="C60" s="1771">
        <v>2</v>
      </c>
      <c r="D60" s="1768">
        <v>2</v>
      </c>
      <c r="E60" s="1769">
        <v>2</v>
      </c>
      <c r="F60" s="1767"/>
      <c r="G60" s="1665"/>
      <c r="H60" s="1767">
        <v>6</v>
      </c>
      <c r="I60" s="1770">
        <v>2</v>
      </c>
      <c r="J60" s="1767">
        <v>2</v>
      </c>
      <c r="K60" s="1769">
        <v>6</v>
      </c>
      <c r="L60" s="1666"/>
      <c r="M60" s="1665"/>
      <c r="N60" s="1661">
        <v>22</v>
      </c>
      <c r="O60" s="1771">
        <v>2</v>
      </c>
      <c r="P60" s="1768">
        <v>1</v>
      </c>
      <c r="Q60" s="1781">
        <v>2</v>
      </c>
      <c r="R60" s="1767"/>
      <c r="S60" s="1665"/>
      <c r="T60" s="1774">
        <v>10</v>
      </c>
      <c r="U60" s="1775"/>
      <c r="V60" s="1767">
        <v>1</v>
      </c>
      <c r="W60" s="1667">
        <v>6</v>
      </c>
      <c r="X60" s="1764">
        <v>22</v>
      </c>
      <c r="Y60" s="1669">
        <v>10</v>
      </c>
      <c r="Z60" s="1669">
        <v>10</v>
      </c>
      <c r="AA60" s="1670" t="s">
        <v>32</v>
      </c>
      <c r="AB60" s="1671">
        <f t="shared" si="0"/>
        <v>70</v>
      </c>
    </row>
    <row r="61" spans="1:28" ht="27.75" customHeight="1" x14ac:dyDescent="0.3">
      <c r="A61" s="1638">
        <v>52</v>
      </c>
      <c r="B61" s="1761">
        <v>5191421052</v>
      </c>
      <c r="C61" s="1771">
        <v>0</v>
      </c>
      <c r="D61" s="1768">
        <v>2</v>
      </c>
      <c r="E61" s="1769">
        <v>2</v>
      </c>
      <c r="F61" s="1767">
        <v>5</v>
      </c>
      <c r="G61" s="1665">
        <v>6</v>
      </c>
      <c r="H61" s="1767"/>
      <c r="I61" s="1770"/>
      <c r="J61" s="1767">
        <v>3</v>
      </c>
      <c r="K61" s="1769">
        <v>6</v>
      </c>
      <c r="L61" s="1666"/>
      <c r="M61" s="1665"/>
      <c r="N61" s="1661">
        <v>24</v>
      </c>
      <c r="O61" s="1771">
        <v>2</v>
      </c>
      <c r="P61" s="1768">
        <v>2</v>
      </c>
      <c r="Q61" s="1781">
        <v>2</v>
      </c>
      <c r="R61" s="1767">
        <v>6</v>
      </c>
      <c r="S61" s="1665"/>
      <c r="T61" s="1774"/>
      <c r="U61" s="1775">
        <v>11</v>
      </c>
      <c r="V61" s="1767"/>
      <c r="W61" s="1667"/>
      <c r="X61" s="1764">
        <v>23</v>
      </c>
      <c r="Y61" s="1669">
        <v>10</v>
      </c>
      <c r="Z61" s="1669">
        <v>10</v>
      </c>
      <c r="AA61" s="1670" t="s">
        <v>27</v>
      </c>
      <c r="AB61" s="1671">
        <f>IF(AA61="O",100,IF(AA61="A+",90,IF(AA61="A",80,IF(AA61="B+",70,IF(AA61="B",60,IF(AA61="C",55,IF(AA61="P",50,IF(AA61="F",39))))))))</f>
        <v>80</v>
      </c>
    </row>
    <row r="62" spans="1:28" ht="27.75" customHeight="1" x14ac:dyDescent="0.3">
      <c r="A62" s="1638">
        <v>53</v>
      </c>
      <c r="B62" s="1761">
        <v>5191421053</v>
      </c>
      <c r="C62" s="1771">
        <v>1</v>
      </c>
      <c r="D62" s="1768">
        <v>0</v>
      </c>
      <c r="E62" s="1769"/>
      <c r="F62" s="1767"/>
      <c r="G62" s="1665">
        <v>4</v>
      </c>
      <c r="H62" s="1767"/>
      <c r="I62" s="1770"/>
      <c r="J62" s="1767">
        <v>4</v>
      </c>
      <c r="K62" s="1769">
        <v>3</v>
      </c>
      <c r="L62" s="1666"/>
      <c r="M62" s="1665"/>
      <c r="N62" s="1661">
        <v>12</v>
      </c>
      <c r="O62" s="1771">
        <v>2</v>
      </c>
      <c r="P62" s="1768">
        <v>2</v>
      </c>
      <c r="Q62" s="1781">
        <v>2</v>
      </c>
      <c r="R62" s="1767">
        <v>5</v>
      </c>
      <c r="S62" s="1665">
        <v>2</v>
      </c>
      <c r="T62" s="1774"/>
      <c r="U62" s="1775">
        <v>9</v>
      </c>
      <c r="V62" s="1767"/>
      <c r="W62" s="1667"/>
      <c r="X62" s="1764">
        <v>22</v>
      </c>
      <c r="Y62" s="1669">
        <v>10</v>
      </c>
      <c r="Z62" s="1669">
        <v>10</v>
      </c>
      <c r="AA62" s="1782" t="s">
        <v>31</v>
      </c>
      <c r="AB62" s="1671">
        <f t="shared" si="0"/>
        <v>55</v>
      </c>
    </row>
    <row r="63" spans="1:28" ht="27.75" customHeight="1" x14ac:dyDescent="0.3">
      <c r="A63" s="1638">
        <v>54</v>
      </c>
      <c r="B63" s="1761">
        <v>5191421054</v>
      </c>
      <c r="C63" s="1771"/>
      <c r="D63" s="1768"/>
      <c r="E63" s="1769"/>
      <c r="F63" s="1767"/>
      <c r="G63" s="1665">
        <v>4</v>
      </c>
      <c r="H63" s="1767"/>
      <c r="I63" s="1770"/>
      <c r="J63" s="1767">
        <v>4</v>
      </c>
      <c r="K63" s="1769">
        <v>2</v>
      </c>
      <c r="L63" s="1666"/>
      <c r="M63" s="1665"/>
      <c r="N63" s="1661">
        <v>10</v>
      </c>
      <c r="O63" s="1771"/>
      <c r="P63" s="1768"/>
      <c r="Q63" s="1781">
        <v>2</v>
      </c>
      <c r="R63" s="1767">
        <v>4</v>
      </c>
      <c r="S63" s="1665"/>
      <c r="T63" s="1774"/>
      <c r="U63" s="1775"/>
      <c r="V63" s="1767">
        <v>1</v>
      </c>
      <c r="W63" s="1667">
        <v>4</v>
      </c>
      <c r="X63" s="1764">
        <v>11</v>
      </c>
      <c r="Y63" s="1669">
        <v>9</v>
      </c>
      <c r="Z63" s="1669">
        <v>9</v>
      </c>
      <c r="AA63" s="1670" t="s">
        <v>33</v>
      </c>
      <c r="AB63" s="1671">
        <f t="shared" si="0"/>
        <v>60</v>
      </c>
    </row>
    <row r="64" spans="1:28" ht="27.75" customHeight="1" x14ac:dyDescent="0.3">
      <c r="A64" s="1638">
        <v>55</v>
      </c>
      <c r="B64" s="1761">
        <v>5191421055</v>
      </c>
      <c r="C64" s="1771">
        <v>1</v>
      </c>
      <c r="D64" s="1768"/>
      <c r="E64" s="1769"/>
      <c r="F64" s="1767"/>
      <c r="G64" s="1665">
        <v>2</v>
      </c>
      <c r="H64" s="1767"/>
      <c r="I64" s="1770"/>
      <c r="J64" s="1767"/>
      <c r="K64" s="1769"/>
      <c r="L64" s="1666">
        <v>4</v>
      </c>
      <c r="M64" s="1665"/>
      <c r="N64" s="1661">
        <v>7</v>
      </c>
      <c r="O64" s="1771">
        <v>1</v>
      </c>
      <c r="P64" s="1768">
        <v>0</v>
      </c>
      <c r="Q64" s="1781">
        <v>2</v>
      </c>
      <c r="R64" s="1767"/>
      <c r="S64" s="1665"/>
      <c r="T64" s="1774">
        <v>6</v>
      </c>
      <c r="U64" s="1775"/>
      <c r="V64" s="1767">
        <v>3</v>
      </c>
      <c r="W64" s="1667">
        <v>4</v>
      </c>
      <c r="X64" s="1764">
        <v>16</v>
      </c>
      <c r="Y64" s="1669">
        <v>8</v>
      </c>
      <c r="Z64" s="1669">
        <v>8</v>
      </c>
      <c r="AA64" s="1670" t="s">
        <v>28</v>
      </c>
      <c r="AB64" s="1671">
        <f t="shared" si="0"/>
        <v>50</v>
      </c>
    </row>
    <row r="65" spans="1:28" ht="27.75" customHeight="1" x14ac:dyDescent="0.3">
      <c r="A65" s="1638">
        <v>56</v>
      </c>
      <c r="B65" s="1761">
        <v>5191421056</v>
      </c>
      <c r="C65" s="1771"/>
      <c r="D65" s="1768">
        <v>1</v>
      </c>
      <c r="E65" s="1769"/>
      <c r="F65" s="1767"/>
      <c r="G65" s="1665"/>
      <c r="H65" s="1767">
        <v>3</v>
      </c>
      <c r="I65" s="1770"/>
      <c r="J65" s="1767">
        <v>5</v>
      </c>
      <c r="K65" s="1769">
        <v>6</v>
      </c>
      <c r="L65" s="1666"/>
      <c r="M65" s="1665"/>
      <c r="N65" s="1661">
        <v>15</v>
      </c>
      <c r="O65" s="1771">
        <v>1</v>
      </c>
      <c r="P65" s="1768"/>
      <c r="Q65" s="1781">
        <v>1</v>
      </c>
      <c r="R65" s="1767"/>
      <c r="S65" s="1665"/>
      <c r="T65" s="1774">
        <v>6</v>
      </c>
      <c r="U65" s="1775"/>
      <c r="V65" s="1767">
        <v>3</v>
      </c>
      <c r="W65" s="1667">
        <v>4</v>
      </c>
      <c r="X65" s="1764">
        <v>15</v>
      </c>
      <c r="Y65" s="1669">
        <v>9</v>
      </c>
      <c r="Z65" s="1669">
        <v>9</v>
      </c>
      <c r="AA65" s="1670" t="s">
        <v>33</v>
      </c>
      <c r="AB65" s="1671">
        <f t="shared" si="0"/>
        <v>60</v>
      </c>
    </row>
    <row r="66" spans="1:28" ht="27.75" customHeight="1" x14ac:dyDescent="0.3">
      <c r="A66" s="1638">
        <v>57</v>
      </c>
      <c r="B66" s="1761">
        <v>5191421057</v>
      </c>
      <c r="C66" s="1771"/>
      <c r="D66" s="1768">
        <v>2</v>
      </c>
      <c r="E66" s="1769">
        <v>2</v>
      </c>
      <c r="F66" s="1767"/>
      <c r="G66" s="1665"/>
      <c r="H66" s="1767">
        <v>6</v>
      </c>
      <c r="I66" s="1770">
        <v>5</v>
      </c>
      <c r="J66" s="1767"/>
      <c r="K66" s="1769"/>
      <c r="L66" s="1666">
        <v>5</v>
      </c>
      <c r="M66" s="1665">
        <v>3</v>
      </c>
      <c r="N66" s="1661">
        <v>23</v>
      </c>
      <c r="O66" s="1771">
        <v>2</v>
      </c>
      <c r="P66" s="1768">
        <v>1</v>
      </c>
      <c r="Q66" s="1781">
        <v>2</v>
      </c>
      <c r="R66" s="1767"/>
      <c r="S66" s="1665"/>
      <c r="T66" s="1774">
        <v>11</v>
      </c>
      <c r="U66" s="1775"/>
      <c r="V66" s="1767">
        <v>3</v>
      </c>
      <c r="W66" s="1770">
        <v>5</v>
      </c>
      <c r="X66" s="1764">
        <v>24</v>
      </c>
      <c r="Y66" s="1669">
        <v>10</v>
      </c>
      <c r="Z66" s="1669">
        <v>10</v>
      </c>
      <c r="AA66" s="1705" t="s">
        <v>27</v>
      </c>
      <c r="AB66" s="1671">
        <f t="shared" si="0"/>
        <v>80</v>
      </c>
    </row>
    <row r="67" spans="1:28" ht="27.75" customHeight="1" thickBot="1" x14ac:dyDescent="0.35">
      <c r="A67" s="1638">
        <v>58</v>
      </c>
      <c r="B67" s="1761">
        <v>5191421058</v>
      </c>
      <c r="C67" s="1706"/>
      <c r="D67" s="1707"/>
      <c r="E67" s="1708"/>
      <c r="F67" s="1709"/>
      <c r="G67" s="1708">
        <v>1</v>
      </c>
      <c r="H67" s="1709"/>
      <c r="I67" s="1710"/>
      <c r="J67" s="1709"/>
      <c r="K67" s="1708"/>
      <c r="L67" s="1709"/>
      <c r="M67" s="1708"/>
      <c r="N67" s="1661">
        <v>1</v>
      </c>
      <c r="O67" s="1706">
        <v>2</v>
      </c>
      <c r="P67" s="1707">
        <v>2</v>
      </c>
      <c r="Q67" s="1713">
        <v>2</v>
      </c>
      <c r="R67" s="1709"/>
      <c r="S67" s="1708">
        <v>1</v>
      </c>
      <c r="T67" s="1783">
        <v>3</v>
      </c>
      <c r="U67" s="1784"/>
      <c r="V67" s="1709">
        <v>1</v>
      </c>
      <c r="W67" s="1708">
        <v>3</v>
      </c>
      <c r="X67" s="1764">
        <v>13</v>
      </c>
      <c r="Y67" s="1669">
        <v>8</v>
      </c>
      <c r="Z67" s="1669">
        <v>8</v>
      </c>
      <c r="AA67" s="1715" t="s">
        <v>29</v>
      </c>
      <c r="AB67" s="1671">
        <f t="shared" si="0"/>
        <v>39</v>
      </c>
    </row>
    <row r="68" spans="1:28" ht="27.75" customHeight="1" x14ac:dyDescent="0.3">
      <c r="C68" s="1716">
        <f t="shared" ref="C68:M68" si="1">COUNT(C11:C67)</f>
        <v>28</v>
      </c>
      <c r="D68" s="1716">
        <f t="shared" si="1"/>
        <v>34</v>
      </c>
      <c r="E68" s="1716">
        <f t="shared" si="1"/>
        <v>31</v>
      </c>
      <c r="F68" s="1716">
        <f t="shared" si="1"/>
        <v>24</v>
      </c>
      <c r="G68" s="1716">
        <f t="shared" si="1"/>
        <v>27</v>
      </c>
      <c r="H68" s="1716">
        <f t="shared" si="1"/>
        <v>20</v>
      </c>
      <c r="I68" s="1716">
        <f t="shared" si="1"/>
        <v>10</v>
      </c>
      <c r="J68" s="1716">
        <f t="shared" si="1"/>
        <v>38</v>
      </c>
      <c r="K68" s="1716">
        <f t="shared" si="1"/>
        <v>40</v>
      </c>
      <c r="L68" s="1716">
        <f t="shared" si="1"/>
        <v>15</v>
      </c>
      <c r="M68" s="1716">
        <f t="shared" si="1"/>
        <v>13</v>
      </c>
      <c r="N68" s="1716"/>
      <c r="O68" s="1716">
        <f t="shared" ref="O68:W68" si="2">COUNT(O10:O67)</f>
        <v>46</v>
      </c>
      <c r="P68" s="1716">
        <f t="shared" si="2"/>
        <v>39</v>
      </c>
      <c r="Q68" s="1716">
        <f t="shared" si="2"/>
        <v>50</v>
      </c>
      <c r="R68" s="1716">
        <f t="shared" si="2"/>
        <v>22</v>
      </c>
      <c r="S68" s="1716">
        <f t="shared" si="2"/>
        <v>10</v>
      </c>
      <c r="T68" s="1716">
        <f t="shared" si="2"/>
        <v>35</v>
      </c>
      <c r="U68" s="1716">
        <f t="shared" si="2"/>
        <v>24</v>
      </c>
      <c r="V68" s="1716">
        <f t="shared" si="2"/>
        <v>28</v>
      </c>
      <c r="W68" s="1716">
        <f t="shared" si="2"/>
        <v>22</v>
      </c>
      <c r="X68" s="1716"/>
      <c r="Y68" s="1716">
        <f t="shared" ref="Y68:Z68" si="3">COUNT(Y10:Y67)</f>
        <v>58</v>
      </c>
      <c r="Z68" s="1716">
        <f t="shared" si="3"/>
        <v>58</v>
      </c>
    </row>
    <row r="69" spans="1:28" ht="27.75" customHeight="1" x14ac:dyDescent="0.3">
      <c r="A69" s="1717" t="s">
        <v>34</v>
      </c>
      <c r="B69" s="1650">
        <v>55</v>
      </c>
      <c r="C69" s="1718">
        <f>C9*(B69/100)</f>
        <v>1.1000000000000001</v>
      </c>
      <c r="D69" s="1718">
        <f>D9*(B69/100)</f>
        <v>1.1000000000000001</v>
      </c>
      <c r="E69" s="1718">
        <f>E9*(B69/100)</f>
        <v>1.1000000000000001</v>
      </c>
      <c r="F69" s="1718">
        <f t="shared" ref="F69" si="4">F9*(B69/100)</f>
        <v>3.3000000000000003</v>
      </c>
      <c r="G69" s="1718">
        <v>3</v>
      </c>
      <c r="H69" s="1718">
        <v>3</v>
      </c>
      <c r="I69" s="1718">
        <v>3</v>
      </c>
      <c r="J69" s="1718">
        <v>3</v>
      </c>
      <c r="K69" s="1718">
        <v>3</v>
      </c>
      <c r="L69" s="1718">
        <v>3</v>
      </c>
      <c r="M69" s="1718">
        <v>3</v>
      </c>
      <c r="N69" s="1716"/>
      <c r="O69" s="1718">
        <f>O9*(B69/100)</f>
        <v>1.1000000000000001</v>
      </c>
      <c r="P69" s="1718">
        <f>P9*(B69/100)</f>
        <v>1.1000000000000001</v>
      </c>
      <c r="Q69" s="1718">
        <f>Q9*(B69/100)</f>
        <v>1.1000000000000001</v>
      </c>
      <c r="R69" s="1718">
        <f>R9*(B69/100)</f>
        <v>3.3000000000000003</v>
      </c>
      <c r="S69" s="1718">
        <f>S9*(B69/100)</f>
        <v>3.3000000000000003</v>
      </c>
      <c r="T69" s="1718">
        <f t="shared" ref="T69" si="5">T9*(C69/100)</f>
        <v>0.13200000000000001</v>
      </c>
      <c r="U69" s="1718">
        <f>U9*(B69/100)</f>
        <v>6.6000000000000005</v>
      </c>
      <c r="V69" s="1718">
        <f>V9*(C69/100)</f>
        <v>6.6000000000000003E-2</v>
      </c>
      <c r="W69" s="1718">
        <f>W9*(D69/100)</f>
        <v>6.6000000000000003E-2</v>
      </c>
      <c r="X69" s="1718"/>
      <c r="Y69" s="1718">
        <f t="shared" ref="Y69:Z69" si="6">Y9*(F69/100)</f>
        <v>0.33</v>
      </c>
      <c r="Z69" s="1718">
        <f t="shared" si="6"/>
        <v>0.3</v>
      </c>
    </row>
    <row r="70" spans="1:28" ht="27.75" customHeight="1" x14ac:dyDescent="0.3">
      <c r="A70" s="3692" t="s">
        <v>35</v>
      </c>
      <c r="B70" s="3692"/>
      <c r="C70" s="1716">
        <f t="shared" ref="C70:M70" si="7">COUNTIF(C11:C67,"&gt;=" &amp;C69)</f>
        <v>15</v>
      </c>
      <c r="D70" s="1716">
        <f t="shared" si="7"/>
        <v>25</v>
      </c>
      <c r="E70" s="1716">
        <f t="shared" si="7"/>
        <v>14</v>
      </c>
      <c r="F70" s="1716">
        <f t="shared" si="7"/>
        <v>13</v>
      </c>
      <c r="G70" s="1716">
        <f t="shared" si="7"/>
        <v>22</v>
      </c>
      <c r="H70" s="1716">
        <f t="shared" si="7"/>
        <v>14</v>
      </c>
      <c r="I70" s="1716">
        <f t="shared" si="7"/>
        <v>4</v>
      </c>
      <c r="J70" s="1716">
        <f t="shared" si="7"/>
        <v>28</v>
      </c>
      <c r="K70" s="1716">
        <f t="shared" si="7"/>
        <v>38</v>
      </c>
      <c r="L70" s="1716">
        <f t="shared" si="7"/>
        <v>13</v>
      </c>
      <c r="M70" s="1716">
        <f t="shared" si="7"/>
        <v>10</v>
      </c>
      <c r="N70" s="1716"/>
      <c r="O70" s="1716">
        <f t="shared" ref="O70:W70" si="8">COUNTIF(O10:O60,"&gt;=" &amp;O69)</f>
        <v>18</v>
      </c>
      <c r="P70" s="1716">
        <f t="shared" si="8"/>
        <v>25</v>
      </c>
      <c r="Q70" s="1716">
        <f t="shared" si="8"/>
        <v>21</v>
      </c>
      <c r="R70" s="1716">
        <f t="shared" si="8"/>
        <v>13</v>
      </c>
      <c r="S70" s="1716">
        <f t="shared" si="8"/>
        <v>2</v>
      </c>
      <c r="T70" s="1716">
        <f t="shared" si="8"/>
        <v>31</v>
      </c>
      <c r="U70" s="1716">
        <f t="shared" si="8"/>
        <v>19</v>
      </c>
      <c r="V70" s="1716">
        <f t="shared" si="8"/>
        <v>23</v>
      </c>
      <c r="W70" s="1716">
        <f t="shared" si="8"/>
        <v>17</v>
      </c>
      <c r="X70" s="1716"/>
      <c r="Y70" s="1716">
        <f t="shared" ref="Y70:Z70" si="9">COUNTIF(Y10:Y60,"&gt;=" &amp;Y69)</f>
        <v>51</v>
      </c>
      <c r="Z70" s="1716">
        <f t="shared" si="9"/>
        <v>51</v>
      </c>
      <c r="AB70" s="1716">
        <f>COUNTIF(AB10:AB67,"&gt;="&amp;B69)</f>
        <v>43</v>
      </c>
    </row>
    <row r="71" spans="1:28" ht="27.75" customHeight="1" thickBot="1" x14ac:dyDescent="0.35">
      <c r="A71" s="3693" t="s">
        <v>36</v>
      </c>
      <c r="B71" s="3693"/>
      <c r="C71" s="1716">
        <f t="shared" ref="C71:W71" si="10">C70/C68</f>
        <v>0.5357142857142857</v>
      </c>
      <c r="D71" s="1716">
        <f t="shared" si="10"/>
        <v>0.73529411764705888</v>
      </c>
      <c r="E71" s="1716">
        <f t="shared" si="10"/>
        <v>0.45161290322580644</v>
      </c>
      <c r="F71" s="1716">
        <f t="shared" si="10"/>
        <v>0.54166666666666663</v>
      </c>
      <c r="G71" s="1716">
        <f t="shared" si="10"/>
        <v>0.81481481481481477</v>
      </c>
      <c r="H71" s="1716">
        <f t="shared" si="10"/>
        <v>0.7</v>
      </c>
      <c r="I71" s="1716">
        <f t="shared" si="10"/>
        <v>0.4</v>
      </c>
      <c r="J71" s="1716">
        <f t="shared" si="10"/>
        <v>0.73684210526315785</v>
      </c>
      <c r="K71" s="1716">
        <f t="shared" si="10"/>
        <v>0.95</v>
      </c>
      <c r="L71" s="1716">
        <f t="shared" si="10"/>
        <v>0.8666666666666667</v>
      </c>
      <c r="M71" s="1716">
        <f t="shared" si="10"/>
        <v>0.76923076923076927</v>
      </c>
      <c r="N71" s="1716"/>
      <c r="O71" s="1716">
        <f t="shared" si="10"/>
        <v>0.39130434782608697</v>
      </c>
      <c r="P71" s="1716">
        <f t="shared" si="10"/>
        <v>0.64102564102564108</v>
      </c>
      <c r="Q71" s="1716">
        <f t="shared" si="10"/>
        <v>0.42</v>
      </c>
      <c r="R71" s="1716">
        <f t="shared" si="10"/>
        <v>0.59090909090909094</v>
      </c>
      <c r="S71" s="1716">
        <f t="shared" si="10"/>
        <v>0.2</v>
      </c>
      <c r="T71" s="1716">
        <f t="shared" si="10"/>
        <v>0.88571428571428568</v>
      </c>
      <c r="U71" s="1716">
        <f t="shared" si="10"/>
        <v>0.79166666666666663</v>
      </c>
      <c r="V71" s="1716">
        <f t="shared" si="10"/>
        <v>0.8214285714285714</v>
      </c>
      <c r="W71" s="1716">
        <f t="shared" si="10"/>
        <v>0.77272727272727271</v>
      </c>
      <c r="X71" s="1716"/>
      <c r="Y71" s="1716">
        <f t="shared" ref="Y71:Z71" si="11">Y70/Y68</f>
        <v>0.87931034482758619</v>
      </c>
      <c r="Z71" s="1716">
        <f t="shared" si="11"/>
        <v>0.87931034482758619</v>
      </c>
      <c r="AB71" s="1716">
        <f>(AB70/A67)*100</f>
        <v>74.137931034482762</v>
      </c>
    </row>
    <row r="72" spans="1:28" ht="27.75" customHeight="1" thickBot="1" x14ac:dyDescent="0.35">
      <c r="C72" s="1785" t="s">
        <v>22</v>
      </c>
      <c r="D72" s="1786" t="s">
        <v>21</v>
      </c>
      <c r="E72" s="1786" t="s">
        <v>23</v>
      </c>
      <c r="F72" s="1787" t="s">
        <v>20</v>
      </c>
      <c r="G72" s="1787" t="s">
        <v>20</v>
      </c>
      <c r="H72" s="1787" t="s">
        <v>20</v>
      </c>
      <c r="I72" s="1787" t="s">
        <v>21</v>
      </c>
      <c r="J72" s="1788" t="s">
        <v>21</v>
      </c>
      <c r="K72" s="1787" t="s">
        <v>40</v>
      </c>
      <c r="L72" s="1787" t="s">
        <v>40</v>
      </c>
      <c r="M72" s="1789" t="s">
        <v>41</v>
      </c>
      <c r="N72" s="1716"/>
      <c r="O72" s="1785" t="s">
        <v>41</v>
      </c>
      <c r="P72" s="1786" t="s">
        <v>42</v>
      </c>
      <c r="Q72" s="1790" t="s">
        <v>43</v>
      </c>
      <c r="R72" s="1785" t="s">
        <v>41</v>
      </c>
      <c r="S72" s="1786" t="s">
        <v>43</v>
      </c>
      <c r="T72" s="1790" t="s">
        <v>41</v>
      </c>
      <c r="U72" s="1785" t="s">
        <v>42</v>
      </c>
      <c r="V72" s="1791" t="s">
        <v>43</v>
      </c>
      <c r="W72" s="1792" t="s">
        <v>41</v>
      </c>
      <c r="X72" s="1716"/>
      <c r="Y72" s="1791" t="s">
        <v>292</v>
      </c>
      <c r="Z72" s="1792" t="s">
        <v>293</v>
      </c>
    </row>
    <row r="74" spans="1:28" ht="27.75" customHeight="1" x14ac:dyDescent="0.3">
      <c r="D74" s="1650" t="s">
        <v>38</v>
      </c>
      <c r="E74" s="3694" t="s">
        <v>39</v>
      </c>
      <c r="F74" s="3694"/>
      <c r="G74" s="3694" t="s">
        <v>37</v>
      </c>
      <c r="H74" s="3694"/>
      <c r="I74" s="3694"/>
      <c r="J74" s="1719"/>
      <c r="K74" s="1650"/>
    </row>
    <row r="75" spans="1:28" ht="27.75" customHeight="1" x14ac:dyDescent="0.3">
      <c r="B75" s="1638" t="s">
        <v>22</v>
      </c>
      <c r="C75" s="1671">
        <f>AVERAGE(C71,F71,G71,H71,Y71)*100</f>
        <v>69.430122240467057</v>
      </c>
      <c r="D75" s="1671">
        <f t="shared" ref="D75:D79" si="12">IF(C75&gt;=70,3,IF(AND(C75&gt;=60,C75&lt;70),2,IF(AND(C75&gt;=50,C75&lt;60),1)))</f>
        <v>2</v>
      </c>
      <c r="E75" s="3686">
        <f>IF(AB71&gt;=70,3,IF(AND(AB71&gt;=60,AB71&lt;70),2,IF(AND(AB71&gt;=50,AB71&lt;60),1)))</f>
        <v>3</v>
      </c>
      <c r="F75" s="3686"/>
      <c r="G75" s="1793">
        <f>(70/100)*E75+(30/100)*D75</f>
        <v>2.6999999999999997</v>
      </c>
      <c r="H75" s="1720"/>
      <c r="I75" s="1720"/>
      <c r="J75" s="1720"/>
      <c r="K75" s="1720"/>
    </row>
    <row r="76" spans="1:28" ht="27.75" customHeight="1" x14ac:dyDescent="0.3">
      <c r="B76" s="1638" t="s">
        <v>40</v>
      </c>
      <c r="C76" s="1671">
        <f>AVERAGE(D71,I71,J71,K71,L71,Y71)*100</f>
        <v>76.135220573407821</v>
      </c>
      <c r="D76" s="1671">
        <f t="shared" si="12"/>
        <v>3</v>
      </c>
      <c r="E76" s="3686">
        <f>IF(AB71&gt;=70,3,IF(AND(AB71&gt;=60,AB71&lt;70),2,IF(AND(AB71&gt;=50,AB71&lt;60),1)))</f>
        <v>3</v>
      </c>
      <c r="F76" s="3686"/>
      <c r="G76" s="1793">
        <f t="shared" ref="G76:G78" si="13">(70/100)*E76+(30/100)*D76</f>
        <v>2.9999999999999996</v>
      </c>
      <c r="H76" s="1720"/>
      <c r="I76" s="1720"/>
      <c r="J76" s="1720"/>
      <c r="K76" s="1720"/>
    </row>
    <row r="77" spans="1:28" ht="27.75" customHeight="1" x14ac:dyDescent="0.3">
      <c r="B77" s="1638" t="s">
        <v>41</v>
      </c>
      <c r="C77" s="1671">
        <f>AVERAGE(M71,O71,R71,T71,W71,Z71)*100</f>
        <v>71.486601853918202</v>
      </c>
      <c r="D77" s="1671">
        <f t="shared" si="12"/>
        <v>3</v>
      </c>
      <c r="E77" s="3686">
        <f>IF(AB71&gt;=70,3,IF(AND(AB71&gt;=60,AB71&lt;70),2,IF(AND(AB71&gt;=50,AB71&lt;60),1)))</f>
        <v>3</v>
      </c>
      <c r="F77" s="3686"/>
      <c r="G77" s="1793">
        <f t="shared" si="13"/>
        <v>2.9999999999999996</v>
      </c>
      <c r="H77" s="1720"/>
      <c r="I77" s="1720"/>
      <c r="J77" s="1720"/>
      <c r="K77" s="1720"/>
    </row>
    <row r="78" spans="1:28" ht="27.75" customHeight="1" x14ac:dyDescent="0.3">
      <c r="B78" s="1638" t="s">
        <v>42</v>
      </c>
      <c r="C78" s="1671">
        <f>AVERAGE(P71,U71,Z71)*100</f>
        <v>77.066755083996469</v>
      </c>
      <c r="D78" s="1671">
        <f t="shared" si="12"/>
        <v>3</v>
      </c>
      <c r="E78" s="3686">
        <f>IF(AB71&gt;=70,3,IF(AND(AB71&gt;=60,AB71&lt;70),2,IF(AND(AB71&gt;=50,AB71&lt;60),1)))</f>
        <v>3</v>
      </c>
      <c r="F78" s="3686"/>
      <c r="G78" s="1793">
        <f t="shared" si="13"/>
        <v>2.9999999999999996</v>
      </c>
      <c r="H78" s="1720"/>
      <c r="I78" s="1720"/>
      <c r="J78" s="1720"/>
      <c r="K78" s="1720"/>
    </row>
    <row r="79" spans="1:28" ht="27.75" customHeight="1" x14ac:dyDescent="0.3">
      <c r="B79" s="1638" t="s">
        <v>43</v>
      </c>
      <c r="C79" s="1671">
        <f>AVERAGE(Q71,S71,V71,Z71)*100</f>
        <v>58.018472906403943</v>
      </c>
      <c r="D79" s="1671">
        <f t="shared" si="12"/>
        <v>1</v>
      </c>
      <c r="E79" s="3686">
        <f>IF(AB71&gt;=70,3,IF(AND(AB71&gt;=60,AB71&lt;70),2,IF(AND(AB71&gt;=50,AB71&lt;60),1)))</f>
        <v>3</v>
      </c>
      <c r="F79" s="3686"/>
      <c r="G79" s="1793">
        <f>(70/100)*E79+(30/100)*D79</f>
        <v>2.3999999999999995</v>
      </c>
      <c r="H79" s="1720"/>
      <c r="I79" s="1720"/>
      <c r="J79" s="1720"/>
      <c r="K79" s="1720"/>
    </row>
    <row r="80" spans="1:28" ht="27.75" customHeight="1" x14ac:dyDescent="0.3">
      <c r="B80" s="3687" t="s">
        <v>44</v>
      </c>
      <c r="C80" s="3687"/>
      <c r="D80" s="3687"/>
      <c r="E80" s="3687"/>
      <c r="F80" s="3687"/>
      <c r="G80" s="1794">
        <f>AVERAGE(G75:G78)</f>
        <v>2.9249999999999998</v>
      </c>
      <c r="H80" s="1721"/>
      <c r="I80" s="1721"/>
      <c r="J80" s="1721"/>
      <c r="K80" s="1721"/>
    </row>
    <row r="82" spans="1:25" ht="27.75" customHeight="1" x14ac:dyDescent="0.3">
      <c r="A82" s="2775" t="s">
        <v>134</v>
      </c>
      <c r="B82" s="2775"/>
    </row>
    <row r="84" spans="1:25" ht="27.75" customHeight="1" x14ac:dyDescent="0.3">
      <c r="B84" s="1654" t="s">
        <v>45</v>
      </c>
      <c r="C84" s="1795" t="s">
        <v>68</v>
      </c>
      <c r="D84" s="1795" t="s">
        <v>69</v>
      </c>
      <c r="E84" s="1795" t="s">
        <v>70</v>
      </c>
      <c r="F84" s="1795" t="s">
        <v>71</v>
      </c>
      <c r="G84" s="1795" t="s">
        <v>72</v>
      </c>
      <c r="H84" s="1795" t="s">
        <v>73</v>
      </c>
      <c r="I84" s="1795" t="s">
        <v>74</v>
      </c>
      <c r="J84" s="1796" t="s">
        <v>75</v>
      </c>
      <c r="K84" s="1795" t="s">
        <v>76</v>
      </c>
      <c r="L84" s="1795" t="s">
        <v>77</v>
      </c>
      <c r="M84" s="1795" t="s">
        <v>78</v>
      </c>
      <c r="N84" s="1795" t="s">
        <v>79</v>
      </c>
      <c r="T84" s="1724"/>
      <c r="Y84" s="1038"/>
    </row>
    <row r="85" spans="1:25" ht="27.75" customHeight="1" x14ac:dyDescent="0.3">
      <c r="B85" s="1797" t="s">
        <v>20</v>
      </c>
      <c r="C85" s="1726">
        <v>3</v>
      </c>
      <c r="D85" s="1726">
        <v>3</v>
      </c>
      <c r="E85" s="1726">
        <v>3</v>
      </c>
      <c r="F85" s="1726">
        <v>1</v>
      </c>
      <c r="G85" s="1726">
        <v>3</v>
      </c>
      <c r="H85" s="1726"/>
      <c r="I85" s="1726"/>
      <c r="J85" s="1726"/>
      <c r="K85" s="1726"/>
      <c r="L85" s="1726"/>
      <c r="M85" s="1726"/>
      <c r="N85" s="1726">
        <v>2</v>
      </c>
      <c r="T85" s="1724"/>
      <c r="Y85" s="1038"/>
    </row>
    <row r="86" spans="1:25" ht="27.75" customHeight="1" x14ac:dyDescent="0.3">
      <c r="B86" s="1797" t="s">
        <v>21</v>
      </c>
      <c r="C86" s="1726">
        <v>3</v>
      </c>
      <c r="D86" s="1726">
        <v>3</v>
      </c>
      <c r="E86" s="1726">
        <v>3</v>
      </c>
      <c r="F86" s="1726">
        <v>1</v>
      </c>
      <c r="G86" s="1726">
        <v>3</v>
      </c>
      <c r="H86" s="1726">
        <v>2</v>
      </c>
      <c r="I86" s="1726"/>
      <c r="J86" s="1726"/>
      <c r="K86" s="1726"/>
      <c r="L86" s="1726"/>
      <c r="M86" s="1726"/>
      <c r="N86" s="1726">
        <v>2</v>
      </c>
      <c r="T86" s="1724"/>
      <c r="Y86" s="1038"/>
    </row>
    <row r="87" spans="1:25" ht="27.75" customHeight="1" x14ac:dyDescent="0.3">
      <c r="B87" s="1797" t="s">
        <v>23</v>
      </c>
      <c r="C87" s="1726">
        <v>3</v>
      </c>
      <c r="D87" s="1726">
        <v>3</v>
      </c>
      <c r="E87" s="1726">
        <v>3</v>
      </c>
      <c r="F87" s="1726">
        <v>1</v>
      </c>
      <c r="G87" s="1726">
        <v>3</v>
      </c>
      <c r="H87" s="1726">
        <v>2</v>
      </c>
      <c r="I87" s="1726"/>
      <c r="J87" s="1726"/>
      <c r="K87" s="1726"/>
      <c r="L87" s="1726"/>
      <c r="M87" s="1726"/>
      <c r="N87" s="1726">
        <v>2</v>
      </c>
      <c r="T87" s="1724"/>
      <c r="Y87" s="1038"/>
    </row>
    <row r="88" spans="1:25" ht="27.75" customHeight="1" x14ac:dyDescent="0.3">
      <c r="B88" s="1797" t="s">
        <v>25</v>
      </c>
      <c r="C88" s="1726">
        <v>3</v>
      </c>
      <c r="D88" s="1726">
        <v>2</v>
      </c>
      <c r="E88" s="1726">
        <v>3</v>
      </c>
      <c r="F88" s="1726">
        <v>1</v>
      </c>
      <c r="G88" s="1726">
        <v>2</v>
      </c>
      <c r="H88" s="1726"/>
      <c r="I88" s="1726"/>
      <c r="J88" s="1726"/>
      <c r="K88" s="1726"/>
      <c r="L88" s="1726"/>
      <c r="M88" s="1726"/>
      <c r="N88" s="1726">
        <v>2</v>
      </c>
      <c r="T88" s="1724"/>
      <c r="Y88" s="1038"/>
    </row>
    <row r="89" spans="1:25" ht="27.75" customHeight="1" x14ac:dyDescent="0.3">
      <c r="B89" s="1797" t="s">
        <v>24</v>
      </c>
      <c r="C89" s="1726">
        <v>3</v>
      </c>
      <c r="D89" s="1726"/>
      <c r="E89" s="1726"/>
      <c r="F89" s="1726"/>
      <c r="G89" s="1726"/>
      <c r="H89" s="1726"/>
      <c r="I89" s="1726"/>
      <c r="J89" s="1726"/>
      <c r="K89" s="1726"/>
      <c r="L89" s="1726"/>
      <c r="M89" s="1726"/>
      <c r="N89" s="1726"/>
      <c r="T89" s="1724"/>
      <c r="Y89" s="1038"/>
    </row>
    <row r="90" spans="1:25" ht="27.75" customHeight="1" x14ac:dyDescent="0.3">
      <c r="B90" s="1798" t="s">
        <v>10</v>
      </c>
      <c r="C90" s="1671">
        <f t="shared" ref="C90:H90" si="14">AVERAGE(C85:C88)</f>
        <v>3</v>
      </c>
      <c r="D90" s="1671">
        <f t="shared" si="14"/>
        <v>2.75</v>
      </c>
      <c r="E90" s="1671">
        <f t="shared" si="14"/>
        <v>3</v>
      </c>
      <c r="F90" s="1671">
        <f t="shared" si="14"/>
        <v>1</v>
      </c>
      <c r="G90" s="1671">
        <f t="shared" si="14"/>
        <v>2.75</v>
      </c>
      <c r="H90" s="1671">
        <f t="shared" si="14"/>
        <v>2</v>
      </c>
      <c r="I90" s="1671"/>
      <c r="J90" s="1671"/>
      <c r="K90" s="1671"/>
      <c r="L90" s="1671"/>
      <c r="M90" s="1671"/>
      <c r="N90" s="1671">
        <f>AVERAGE(N85:N88)</f>
        <v>2</v>
      </c>
      <c r="T90" s="1724"/>
      <c r="Y90" s="1038"/>
    </row>
    <row r="91" spans="1:25" ht="27.75" customHeight="1" x14ac:dyDescent="0.3">
      <c r="B91" s="1729" t="s">
        <v>58</v>
      </c>
      <c r="C91" s="3684">
        <f>AVERAGE(C90:N90)</f>
        <v>2.3571428571428572</v>
      </c>
      <c r="D91" s="3684"/>
      <c r="E91" s="3684"/>
      <c r="F91" s="3684"/>
      <c r="G91" s="3684"/>
      <c r="H91" s="3684"/>
      <c r="I91" s="3684"/>
      <c r="J91" s="3684"/>
      <c r="K91" s="3684"/>
      <c r="L91" s="3684"/>
      <c r="M91" s="3684"/>
      <c r="N91" s="3684"/>
      <c r="O91" s="1730"/>
      <c r="P91" s="1730"/>
      <c r="Q91" s="1730"/>
      <c r="R91" s="1730"/>
    </row>
    <row r="92" spans="1:25" ht="27.75" customHeight="1" x14ac:dyDescent="0.3">
      <c r="C92" s="1731"/>
    </row>
    <row r="94" spans="1:25" ht="27.75" customHeight="1" x14ac:dyDescent="0.3">
      <c r="A94" s="2775" t="s">
        <v>148</v>
      </c>
      <c r="B94" s="2775"/>
    </row>
    <row r="96" spans="1:25" ht="27.75" customHeight="1" x14ac:dyDescent="0.3">
      <c r="B96" s="1654" t="s">
        <v>45</v>
      </c>
      <c r="C96" s="1795" t="s">
        <v>68</v>
      </c>
      <c r="D96" s="1795" t="s">
        <v>69</v>
      </c>
      <c r="E96" s="1795" t="s">
        <v>70</v>
      </c>
      <c r="F96" s="1795" t="s">
        <v>71</v>
      </c>
      <c r="G96" s="1795" t="s">
        <v>72</v>
      </c>
      <c r="H96" s="1795" t="s">
        <v>73</v>
      </c>
      <c r="I96" s="1795" t="s">
        <v>74</v>
      </c>
      <c r="J96" s="1796" t="s">
        <v>75</v>
      </c>
      <c r="K96" s="1795" t="s">
        <v>76</v>
      </c>
      <c r="L96" s="1795" t="s">
        <v>77</v>
      </c>
      <c r="M96" s="1795" t="s">
        <v>78</v>
      </c>
      <c r="N96" s="1795" t="s">
        <v>79</v>
      </c>
      <c r="S96" s="1039"/>
      <c r="T96" s="1626"/>
      <c r="Y96" s="1038"/>
    </row>
    <row r="97" spans="1:25" ht="27.75" customHeight="1" x14ac:dyDescent="0.3">
      <c r="B97" s="1797" t="s">
        <v>20</v>
      </c>
      <c r="C97" s="1732">
        <f>G75*C85/3</f>
        <v>2.6999999999999997</v>
      </c>
      <c r="D97" s="1732">
        <f>G75*D85/3</f>
        <v>2.6999999999999997</v>
      </c>
      <c r="E97" s="1732">
        <f>G75*E85/3</f>
        <v>2.6999999999999997</v>
      </c>
      <c r="F97" s="1732">
        <f>G75*F85/3</f>
        <v>0.89999999999999991</v>
      </c>
      <c r="G97" s="1732">
        <f>G75*G85/3</f>
        <v>2.6999999999999997</v>
      </c>
      <c r="H97" s="1732"/>
      <c r="I97" s="1732"/>
      <c r="J97" s="1732"/>
      <c r="K97" s="1732"/>
      <c r="L97" s="1732"/>
      <c r="M97" s="1732"/>
      <c r="N97" s="1732">
        <f>G75*N85/3</f>
        <v>1.7999999999999998</v>
      </c>
      <c r="S97" s="1039"/>
      <c r="T97" s="1626"/>
      <c r="Y97" s="1038"/>
    </row>
    <row r="98" spans="1:25" ht="27.75" customHeight="1" x14ac:dyDescent="0.3">
      <c r="B98" s="1797" t="s">
        <v>21</v>
      </c>
      <c r="C98" s="1732">
        <f>G76*C86/3</f>
        <v>2.9999999999999996</v>
      </c>
      <c r="D98" s="1732">
        <f>G76*D86/3</f>
        <v>2.9999999999999996</v>
      </c>
      <c r="E98" s="1732">
        <f>G76*E86/3</f>
        <v>2.9999999999999996</v>
      </c>
      <c r="F98" s="1732">
        <f>G76*F86/3</f>
        <v>0.99999999999999989</v>
      </c>
      <c r="G98" s="1732">
        <f>G76*G86/3</f>
        <v>2.9999999999999996</v>
      </c>
      <c r="H98" s="1732">
        <f>G76*H86/3</f>
        <v>1.9999999999999998</v>
      </c>
      <c r="I98" s="1732"/>
      <c r="J98" s="1732"/>
      <c r="K98" s="1732"/>
      <c r="L98" s="1732"/>
      <c r="M98" s="1732"/>
      <c r="N98" s="1732">
        <f>G76*N86/3</f>
        <v>1.9999999999999998</v>
      </c>
      <c r="S98" s="1039"/>
      <c r="T98" s="1626"/>
      <c r="Y98" s="1038"/>
    </row>
    <row r="99" spans="1:25" ht="27.75" customHeight="1" x14ac:dyDescent="0.3">
      <c r="B99" s="1797" t="s">
        <v>23</v>
      </c>
      <c r="C99" s="1732">
        <f>G77*C87/3</f>
        <v>2.9999999999999996</v>
      </c>
      <c r="D99" s="1732">
        <f>G77*D87/3</f>
        <v>2.9999999999999996</v>
      </c>
      <c r="E99" s="1732">
        <f>G77*E87/3</f>
        <v>2.9999999999999996</v>
      </c>
      <c r="F99" s="1732">
        <f>G77*F87/3</f>
        <v>0.99999999999999989</v>
      </c>
      <c r="G99" s="1732">
        <f>G77*G87/3</f>
        <v>2.9999999999999996</v>
      </c>
      <c r="H99" s="1732">
        <f>G77*H87/3</f>
        <v>1.9999999999999998</v>
      </c>
      <c r="I99" s="1732"/>
      <c r="J99" s="1732"/>
      <c r="K99" s="1732"/>
      <c r="L99" s="1732"/>
      <c r="M99" s="1732"/>
      <c r="N99" s="1732">
        <f>G77*N87/3</f>
        <v>1.9999999999999998</v>
      </c>
      <c r="S99" s="1039"/>
      <c r="T99" s="1626"/>
      <c r="Y99" s="1038"/>
    </row>
    <row r="100" spans="1:25" ht="27.75" customHeight="1" x14ac:dyDescent="0.3">
      <c r="B100" s="1797" t="s">
        <v>25</v>
      </c>
      <c r="C100" s="1732">
        <f>G78*C88/3</f>
        <v>2.9999999999999996</v>
      </c>
      <c r="D100" s="1732">
        <f>G78*D88/3</f>
        <v>1.9999999999999998</v>
      </c>
      <c r="E100" s="1732">
        <f>G78*E88/3</f>
        <v>2.9999999999999996</v>
      </c>
      <c r="F100" s="1732">
        <f>G78*F88/3</f>
        <v>0.99999999999999989</v>
      </c>
      <c r="G100" s="1732">
        <f>G78*G88/3</f>
        <v>1.9999999999999998</v>
      </c>
      <c r="H100" s="1732"/>
      <c r="I100" s="1732"/>
      <c r="J100" s="1732"/>
      <c r="K100" s="1732"/>
      <c r="L100" s="1732"/>
      <c r="M100" s="1732"/>
      <c r="N100" s="1732">
        <f>G78*N88/3</f>
        <v>1.9999999999999998</v>
      </c>
      <c r="S100" s="1039"/>
      <c r="T100" s="1626"/>
      <c r="Y100" s="1038"/>
    </row>
    <row r="101" spans="1:25" ht="27.75" customHeight="1" x14ac:dyDescent="0.3">
      <c r="B101" s="1797" t="s">
        <v>24</v>
      </c>
      <c r="C101" s="1732">
        <f>G79*C89/3</f>
        <v>2.3999999999999995</v>
      </c>
      <c r="D101" s="1732"/>
      <c r="E101" s="1732"/>
      <c r="F101" s="1732"/>
      <c r="G101" s="1732"/>
      <c r="H101" s="1732"/>
      <c r="I101" s="1732"/>
      <c r="J101" s="1732"/>
      <c r="K101" s="1732"/>
      <c r="L101" s="1732"/>
      <c r="M101" s="1732"/>
      <c r="N101" s="1732"/>
      <c r="S101" s="1039"/>
      <c r="T101" s="1626"/>
      <c r="Y101" s="1038"/>
    </row>
    <row r="102" spans="1:25" ht="27.75" customHeight="1" x14ac:dyDescent="0.3">
      <c r="B102" s="1798" t="s">
        <v>10</v>
      </c>
      <c r="C102" s="1799">
        <f t="shared" ref="C102:N102" si="15">AVERAGE(C97:C100)</f>
        <v>2.9249999999999998</v>
      </c>
      <c r="D102" s="1799">
        <f t="shared" si="15"/>
        <v>2.6749999999999998</v>
      </c>
      <c r="E102" s="1799">
        <f t="shared" si="15"/>
        <v>2.9249999999999998</v>
      </c>
      <c r="F102" s="1799">
        <f t="shared" si="15"/>
        <v>0.97499999999999998</v>
      </c>
      <c r="G102" s="1799">
        <f t="shared" si="15"/>
        <v>2.6749999999999998</v>
      </c>
      <c r="H102" s="1799">
        <f t="shared" si="15"/>
        <v>1.9999999999999998</v>
      </c>
      <c r="I102" s="1799"/>
      <c r="J102" s="1799"/>
      <c r="K102" s="1799"/>
      <c r="L102" s="1799"/>
      <c r="M102" s="1799"/>
      <c r="N102" s="1799">
        <f t="shared" si="15"/>
        <v>1.95</v>
      </c>
      <c r="S102" s="1039"/>
      <c r="T102" s="1626"/>
      <c r="Y102" s="1038"/>
    </row>
    <row r="103" spans="1:25" ht="27.75" customHeight="1" x14ac:dyDescent="0.3">
      <c r="B103" s="1729" t="s">
        <v>58</v>
      </c>
      <c r="C103" s="3685">
        <f>AVERAGE(C102:N102)</f>
        <v>2.3035714285714279</v>
      </c>
      <c r="D103" s="3685"/>
      <c r="E103" s="3685"/>
      <c r="F103" s="3685"/>
      <c r="G103" s="3685"/>
      <c r="H103" s="3685"/>
      <c r="I103" s="3685"/>
      <c r="J103" s="3685"/>
      <c r="K103" s="3685"/>
      <c r="L103" s="3685"/>
      <c r="M103" s="3685"/>
      <c r="N103" s="3685"/>
      <c r="O103" s="1733"/>
      <c r="P103" s="1733"/>
      <c r="Q103" s="1733"/>
      <c r="R103" s="1733"/>
    </row>
    <row r="105" spans="1:25" ht="27.75" customHeight="1" x14ac:dyDescent="0.3">
      <c r="A105" s="2775" t="s">
        <v>137</v>
      </c>
      <c r="B105" s="2775"/>
      <c r="C105" s="1721"/>
      <c r="D105" s="1721"/>
      <c r="L105" s="2775" t="s">
        <v>149</v>
      </c>
      <c r="M105" s="2775"/>
      <c r="N105" s="2775"/>
      <c r="O105" s="1721"/>
      <c r="P105" s="1721"/>
    </row>
    <row r="106" spans="1:25" ht="27.75" customHeight="1" x14ac:dyDescent="0.3">
      <c r="A106" s="1039"/>
      <c r="B106" s="1039"/>
      <c r="C106" s="1721"/>
      <c r="D106" s="1721"/>
      <c r="L106" s="1039"/>
      <c r="M106" s="1039"/>
      <c r="N106" s="1724"/>
      <c r="O106" s="1721"/>
      <c r="P106" s="1721"/>
    </row>
    <row r="107" spans="1:25" ht="27.75" customHeight="1" x14ac:dyDescent="0.3">
      <c r="B107" s="1654" t="s">
        <v>59</v>
      </c>
      <c r="C107" s="1795" t="s">
        <v>60</v>
      </c>
      <c r="D107" s="1795" t="s">
        <v>61</v>
      </c>
      <c r="E107" s="1795" t="s">
        <v>62</v>
      </c>
      <c r="N107" s="1734" t="s">
        <v>59</v>
      </c>
      <c r="O107" s="1795" t="s">
        <v>60</v>
      </c>
      <c r="P107" s="1795" t="s">
        <v>61</v>
      </c>
      <c r="Q107" s="1795" t="s">
        <v>62</v>
      </c>
    </row>
    <row r="108" spans="1:25" ht="27.75" customHeight="1" x14ac:dyDescent="0.3">
      <c r="B108" s="1735" t="s">
        <v>20</v>
      </c>
      <c r="C108" s="1726">
        <v>3</v>
      </c>
      <c r="D108" s="1726">
        <v>2</v>
      </c>
      <c r="E108" s="1726"/>
      <c r="N108" s="1736" t="s">
        <v>20</v>
      </c>
      <c r="O108" s="1732">
        <f>G75*C108/3</f>
        <v>2.6999999999999997</v>
      </c>
      <c r="P108" s="1732">
        <f>G75*D108/3</f>
        <v>1.7999999999999998</v>
      </c>
      <c r="Q108" s="1732"/>
    </row>
    <row r="109" spans="1:25" ht="27.75" customHeight="1" x14ac:dyDescent="0.3">
      <c r="B109" s="1797" t="s">
        <v>21</v>
      </c>
      <c r="C109" s="1726">
        <v>3</v>
      </c>
      <c r="D109" s="1726">
        <v>2</v>
      </c>
      <c r="E109" s="1726">
        <v>1</v>
      </c>
      <c r="N109" s="1800" t="s">
        <v>21</v>
      </c>
      <c r="O109" s="1732">
        <f>G76*C109/3</f>
        <v>2.9999999999999996</v>
      </c>
      <c r="P109" s="1732">
        <f>G76*D109/3</f>
        <v>1.9999999999999998</v>
      </c>
      <c r="Q109" s="1732">
        <f>G76*E109/3</f>
        <v>0.99999999999999989</v>
      </c>
    </row>
    <row r="110" spans="1:25" ht="27.75" customHeight="1" x14ac:dyDescent="0.3">
      <c r="B110" s="1797" t="s">
        <v>23</v>
      </c>
      <c r="C110" s="1726">
        <v>3</v>
      </c>
      <c r="D110" s="1726">
        <v>3</v>
      </c>
      <c r="E110" s="1726">
        <v>1</v>
      </c>
      <c r="N110" s="1800" t="s">
        <v>23</v>
      </c>
      <c r="O110" s="1732">
        <f>G77*C110/3</f>
        <v>2.9999999999999996</v>
      </c>
      <c r="P110" s="1732">
        <f>G77*D110/3</f>
        <v>2.9999999999999996</v>
      </c>
      <c r="Q110" s="1732">
        <f>G77*E110/3</f>
        <v>0.99999999999999989</v>
      </c>
    </row>
    <row r="111" spans="1:25" ht="27.75" customHeight="1" x14ac:dyDescent="0.3">
      <c r="B111" s="1797" t="s">
        <v>25</v>
      </c>
      <c r="C111" s="1726">
        <v>2</v>
      </c>
      <c r="D111" s="1726">
        <v>2</v>
      </c>
      <c r="E111" s="1726"/>
      <c r="N111" s="1800" t="s">
        <v>25</v>
      </c>
      <c r="O111" s="1732">
        <f>G78*C111/3</f>
        <v>1.9999999999999998</v>
      </c>
      <c r="P111" s="1732">
        <f>G78*D111/3</f>
        <v>1.9999999999999998</v>
      </c>
      <c r="Q111" s="1732"/>
    </row>
    <row r="112" spans="1:25" ht="27.75" customHeight="1" x14ac:dyDescent="0.3">
      <c r="B112" s="1735" t="s">
        <v>24</v>
      </c>
      <c r="C112" s="1738">
        <v>3</v>
      </c>
      <c r="D112" s="1738">
        <v>2</v>
      </c>
      <c r="E112" s="1738"/>
      <c r="N112" s="1736" t="s">
        <v>24</v>
      </c>
      <c r="O112" s="1732">
        <f>G79*C112/3</f>
        <v>2.3999999999999995</v>
      </c>
      <c r="P112" s="1732">
        <f>G79*D112/3</f>
        <v>1.5999999999999996</v>
      </c>
      <c r="Q112" s="1732"/>
    </row>
    <row r="113" spans="1:18" ht="27.75" customHeight="1" x14ac:dyDescent="0.3">
      <c r="B113" s="1756" t="s">
        <v>10</v>
      </c>
      <c r="C113" s="1739">
        <f>AVERAGE(C108:C112)</f>
        <v>2.8</v>
      </c>
      <c r="D113" s="1739">
        <f>AVERAGE(D108:D112)</f>
        <v>2.2000000000000002</v>
      </c>
      <c r="E113" s="1739">
        <f>AVERAGE(E108:E111)</f>
        <v>1</v>
      </c>
      <c r="N113" s="1801" t="s">
        <v>10</v>
      </c>
      <c r="O113" s="1732">
        <f>AVERAGE(O108:O112)</f>
        <v>2.6199999999999997</v>
      </c>
      <c r="P113" s="1732">
        <f t="shared" ref="P113:Q113" si="16">AVERAGE(P108:P112)</f>
        <v>2.0799999999999996</v>
      </c>
      <c r="Q113" s="1732">
        <f t="shared" si="16"/>
        <v>0.99999999999999989</v>
      </c>
    </row>
    <row r="114" spans="1:18" ht="27.75" customHeight="1" x14ac:dyDescent="0.3">
      <c r="A114" s="1716"/>
      <c r="B114" s="1752" t="s">
        <v>58</v>
      </c>
      <c r="C114" s="3681">
        <f>AVERAGE(C113:E113)</f>
        <v>2</v>
      </c>
      <c r="D114" s="3682"/>
      <c r="E114" s="3683"/>
      <c r="F114" s="1716"/>
      <c r="G114" s="1716"/>
      <c r="H114" s="1716"/>
      <c r="I114" s="1716"/>
      <c r="J114" s="1716"/>
      <c r="K114" s="1716"/>
      <c r="L114" s="1716"/>
      <c r="M114" s="1716"/>
      <c r="N114" s="1802" t="s">
        <v>58</v>
      </c>
      <c r="O114" s="3681">
        <f>AVERAGE(O113:Q113)</f>
        <v>1.8999999999999997</v>
      </c>
      <c r="P114" s="3682"/>
      <c r="Q114" s="3683"/>
      <c r="R114" s="1716"/>
    </row>
    <row r="117" spans="1:18" ht="27.75" customHeight="1" x14ac:dyDescent="0.3">
      <c r="A117" s="1742"/>
      <c r="B117" s="1742"/>
      <c r="C117" s="1742"/>
      <c r="D117" s="1742"/>
      <c r="E117" s="1742"/>
      <c r="F117" s="1742"/>
      <c r="G117" s="1742"/>
      <c r="H117" s="1742"/>
      <c r="I117" s="1742"/>
      <c r="J117" s="1742"/>
      <c r="K117" s="1742"/>
      <c r="L117" s="1742"/>
      <c r="M117" s="1742"/>
      <c r="N117" s="1742"/>
      <c r="O117" s="1742"/>
      <c r="P117" s="1742"/>
      <c r="Q117" s="1742"/>
      <c r="R117" s="1742"/>
    </row>
  </sheetData>
  <mergeCells count="43">
    <mergeCell ref="P2:Y2"/>
    <mergeCell ref="A3:B3"/>
    <mergeCell ref="C3:N3"/>
    <mergeCell ref="P3:Y3"/>
    <mergeCell ref="C6:E6"/>
    <mergeCell ref="F6:G6"/>
    <mergeCell ref="H6:I6"/>
    <mergeCell ref="A2:B2"/>
    <mergeCell ref="C2:N2"/>
    <mergeCell ref="C4:N4"/>
    <mergeCell ref="P4:Y4"/>
    <mergeCell ref="A5:B5"/>
    <mergeCell ref="C5:O5"/>
    <mergeCell ref="P5:Z5"/>
    <mergeCell ref="B80:F80"/>
    <mergeCell ref="Z6:Z8"/>
    <mergeCell ref="AA6:AA9"/>
    <mergeCell ref="AB6:AB9"/>
    <mergeCell ref="A70:B70"/>
    <mergeCell ref="A71:B71"/>
    <mergeCell ref="E74:F74"/>
    <mergeCell ref="G74:I74"/>
    <mergeCell ref="J6:K6"/>
    <mergeCell ref="L6:M6"/>
    <mergeCell ref="O6:Q6"/>
    <mergeCell ref="R6:S6"/>
    <mergeCell ref="V6:W6"/>
    <mergeCell ref="Y6:Y8"/>
    <mergeCell ref="A6:A8"/>
    <mergeCell ref="B6:B7"/>
    <mergeCell ref="E75:F75"/>
    <mergeCell ref="E76:F76"/>
    <mergeCell ref="E77:F77"/>
    <mergeCell ref="E78:F78"/>
    <mergeCell ref="E79:F79"/>
    <mergeCell ref="C114:E114"/>
    <mergeCell ref="O114:Q114"/>
    <mergeCell ref="A82:B82"/>
    <mergeCell ref="C91:N91"/>
    <mergeCell ref="A94:B94"/>
    <mergeCell ref="C103:N103"/>
    <mergeCell ref="A105:B105"/>
    <mergeCell ref="L105:N105"/>
  </mergeCells>
  <conditionalFormatting sqref="AA10:AA67">
    <cfRule type="containsText" dxfId="54" priority="1" operator="containsText" text="F">
      <formula>NOT(ISERROR(SEARCH("F",AA10)))</formula>
    </cfRule>
  </conditionalFormatting>
  <pageMargins left="0.7" right="0.7" top="0.75" bottom="0.75" header="0.3" footer="0.3"/>
  <pageSetup paperSize="8" scale="3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AH131"/>
  <sheetViews>
    <sheetView topLeftCell="A103" zoomScale="80" zoomScaleNormal="80" workbookViewId="0">
      <selection activeCell="A70" sqref="A70:B70"/>
    </sheetView>
  </sheetViews>
  <sheetFormatPr defaultColWidth="9.140625" defaultRowHeight="31.5" customHeight="1" x14ac:dyDescent="0.3"/>
  <cols>
    <col min="1" max="1" width="15.140625" style="1038" bestFit="1" customWidth="1"/>
    <col min="2" max="2" width="18.28515625" style="1038" bestFit="1" customWidth="1"/>
    <col min="3" max="3" width="13.7109375" style="1038" bestFit="1" customWidth="1"/>
    <col min="4" max="6" width="9.140625" style="1038"/>
    <col min="7" max="7" width="11.140625" style="1038" bestFit="1" customWidth="1"/>
    <col min="8" max="8" width="11.140625" style="1038" customWidth="1"/>
    <col min="9" max="9" width="11.42578125" style="1038" customWidth="1"/>
    <col min="10" max="11" width="9.85546875" style="1038" customWidth="1"/>
    <col min="12" max="13" width="10.5703125" style="1038" customWidth="1"/>
    <col min="14" max="14" width="10.5703125" style="1626" customWidth="1"/>
    <col min="15" max="15" width="10.5703125" style="1038" customWidth="1"/>
    <col min="16" max="18" width="11.140625" style="1038" bestFit="1" customWidth="1"/>
    <col min="19" max="20" width="9.140625" style="1038"/>
    <col min="21" max="21" width="12.5703125" style="1039" customWidth="1"/>
    <col min="22" max="22" width="10.7109375" style="1039" customWidth="1"/>
    <col min="23" max="23" width="9.7109375" style="1038" customWidth="1"/>
    <col min="24" max="26" width="10.5703125" style="1038" customWidth="1"/>
    <col min="27" max="27" width="16.5703125" style="1626" customWidth="1"/>
    <col min="28" max="28" width="16.5703125" style="1038" customWidth="1"/>
    <col min="29" max="30" width="9.140625" style="1038"/>
    <col min="31" max="33" width="8" style="1038" customWidth="1"/>
    <col min="34" max="34" width="17.7109375" style="1038" bestFit="1" customWidth="1"/>
    <col min="35" max="35" width="17.140625" style="1038" bestFit="1" customWidth="1"/>
    <col min="36" max="16384" width="9.140625" style="1038"/>
  </cols>
  <sheetData>
    <row r="1" spans="1:34" ht="31.5" customHeight="1" x14ac:dyDescent="0.3">
      <c r="A1" s="1625"/>
    </row>
    <row r="2" spans="1:34" ht="31.5" customHeight="1" x14ac:dyDescent="0.3">
      <c r="A2" s="3726" t="s">
        <v>0</v>
      </c>
      <c r="B2" s="3727"/>
      <c r="C2" s="3728" t="s">
        <v>128</v>
      </c>
      <c r="D2" s="3729"/>
      <c r="E2" s="3729"/>
      <c r="F2" s="3729"/>
      <c r="G2" s="3729"/>
      <c r="H2" s="3729"/>
      <c r="I2" s="3729"/>
      <c r="J2" s="3729"/>
      <c r="K2" s="3729"/>
      <c r="L2" s="3729"/>
      <c r="M2" s="3729"/>
      <c r="N2" s="3730"/>
      <c r="O2" s="1627" t="s">
        <v>63</v>
      </c>
      <c r="P2" s="3731" t="s">
        <v>271</v>
      </c>
      <c r="Q2" s="3732"/>
      <c r="R2" s="3732"/>
      <c r="S2" s="3732"/>
      <c r="T2" s="3732"/>
      <c r="U2" s="3732"/>
      <c r="V2" s="3732"/>
      <c r="W2" s="3732"/>
      <c r="X2" s="3732"/>
      <c r="Y2" s="3732"/>
      <c r="Z2" s="3732"/>
      <c r="AA2" s="3732"/>
      <c r="AB2" s="1015"/>
      <c r="AC2" s="1015"/>
      <c r="AD2" s="1015"/>
      <c r="AE2" s="1015"/>
      <c r="AF2" s="1015"/>
      <c r="AG2" s="1015"/>
      <c r="AH2" s="1015"/>
    </row>
    <row r="3" spans="1:34" ht="31.5" customHeight="1" x14ac:dyDescent="0.3">
      <c r="A3" s="3726" t="s">
        <v>1</v>
      </c>
      <c r="B3" s="3727"/>
      <c r="C3" s="3728" t="s">
        <v>287</v>
      </c>
      <c r="D3" s="3729"/>
      <c r="E3" s="3729"/>
      <c r="F3" s="3729"/>
      <c r="G3" s="3729"/>
      <c r="H3" s="3729"/>
      <c r="I3" s="3729"/>
      <c r="J3" s="3729"/>
      <c r="K3" s="3729"/>
      <c r="L3" s="3729"/>
      <c r="M3" s="3729"/>
      <c r="N3" s="3730"/>
      <c r="O3" s="1628" t="s">
        <v>64</v>
      </c>
      <c r="P3" s="3731" t="s">
        <v>232</v>
      </c>
      <c r="Q3" s="3732"/>
      <c r="R3" s="3732"/>
      <c r="S3" s="3732"/>
      <c r="T3" s="3732"/>
      <c r="U3" s="3732"/>
      <c r="V3" s="3732"/>
      <c r="W3" s="3732"/>
      <c r="X3" s="3732"/>
      <c r="Y3" s="3732"/>
      <c r="Z3" s="3732"/>
      <c r="AA3" s="3732"/>
      <c r="AB3" s="1015"/>
      <c r="AC3" s="1015"/>
      <c r="AD3" s="1015"/>
      <c r="AE3" s="1015"/>
      <c r="AF3" s="1015"/>
      <c r="AG3" s="1015"/>
      <c r="AH3" s="1015"/>
    </row>
    <row r="4" spans="1:34" ht="31.5" customHeight="1" thickBot="1" x14ac:dyDescent="0.35">
      <c r="A4" s="1629"/>
      <c r="B4" s="1630" t="s">
        <v>2</v>
      </c>
      <c r="C4" s="3714" t="s">
        <v>288</v>
      </c>
      <c r="D4" s="3715"/>
      <c r="E4" s="3715"/>
      <c r="F4" s="3715"/>
      <c r="G4" s="3715"/>
      <c r="H4" s="3715"/>
      <c r="I4" s="3715"/>
      <c r="J4" s="3715"/>
      <c r="K4" s="3715"/>
      <c r="L4" s="3715"/>
      <c r="M4" s="3715"/>
      <c r="N4" s="3716"/>
      <c r="O4" s="1630" t="s">
        <v>65</v>
      </c>
      <c r="P4" s="3717" t="s">
        <v>66</v>
      </c>
      <c r="Q4" s="3718"/>
      <c r="R4" s="3718"/>
      <c r="S4" s="3718"/>
      <c r="T4" s="3718"/>
      <c r="U4" s="3718"/>
      <c r="V4" s="3718"/>
      <c r="W4" s="3718"/>
      <c r="X4" s="3718"/>
      <c r="Y4" s="3718"/>
      <c r="Z4" s="3718"/>
      <c r="AA4" s="3718"/>
      <c r="AB4" s="1015"/>
      <c r="AC4" s="1015"/>
      <c r="AD4" s="1015"/>
      <c r="AE4" s="1015"/>
      <c r="AF4" s="1015"/>
      <c r="AG4" s="1015"/>
      <c r="AH4" s="1015"/>
    </row>
    <row r="5" spans="1:34" ht="31.5" customHeight="1" thickBot="1" x14ac:dyDescent="0.35">
      <c r="A5" s="3719"/>
      <c r="B5" s="3720"/>
      <c r="C5" s="3721" t="s">
        <v>3</v>
      </c>
      <c r="D5" s="3722"/>
      <c r="E5" s="3722"/>
      <c r="F5" s="3722"/>
      <c r="G5" s="3722"/>
      <c r="H5" s="3722"/>
      <c r="I5" s="3722"/>
      <c r="J5" s="3722"/>
      <c r="K5" s="3722"/>
      <c r="L5" s="3722"/>
      <c r="M5" s="3722"/>
      <c r="N5" s="3722"/>
      <c r="O5" s="3723"/>
      <c r="P5" s="3724" t="s">
        <v>4</v>
      </c>
      <c r="Q5" s="3725"/>
      <c r="R5" s="3725"/>
      <c r="S5" s="3725"/>
      <c r="T5" s="3733"/>
      <c r="U5" s="3733"/>
      <c r="V5" s="3733"/>
      <c r="W5" s="3733"/>
      <c r="X5" s="3725"/>
      <c r="Y5" s="3725"/>
      <c r="Z5" s="3725"/>
      <c r="AA5" s="3725"/>
      <c r="AB5" s="3725"/>
      <c r="AC5" s="1631"/>
      <c r="AD5" s="1632"/>
      <c r="AE5" s="1632"/>
      <c r="AF5" s="1632"/>
      <c r="AG5" s="1632"/>
      <c r="AH5" s="1633"/>
    </row>
    <row r="6" spans="1:34" ht="31.5" customHeight="1" x14ac:dyDescent="0.3">
      <c r="A6" s="3701"/>
      <c r="B6" s="3704" t="s">
        <v>5</v>
      </c>
      <c r="C6" s="3697" t="s">
        <v>6</v>
      </c>
      <c r="D6" s="3698"/>
      <c r="E6" s="3713"/>
      <c r="F6" s="3699" t="s">
        <v>7</v>
      </c>
      <c r="G6" s="3700"/>
      <c r="H6" s="3699" t="s">
        <v>8</v>
      </c>
      <c r="I6" s="3700"/>
      <c r="J6" s="3695" t="s">
        <v>9</v>
      </c>
      <c r="K6" s="3696"/>
      <c r="L6" s="3695" t="s">
        <v>236</v>
      </c>
      <c r="M6" s="3696"/>
      <c r="N6" s="3734" t="s">
        <v>289</v>
      </c>
      <c r="O6" s="3697" t="s">
        <v>6</v>
      </c>
      <c r="P6" s="3698"/>
      <c r="Q6" s="3698"/>
      <c r="R6" s="3699" t="s">
        <v>7</v>
      </c>
      <c r="S6" s="3700"/>
      <c r="T6" s="3699" t="s">
        <v>8</v>
      </c>
      <c r="U6" s="3700"/>
      <c r="V6" s="3695" t="s">
        <v>9</v>
      </c>
      <c r="W6" s="3696"/>
      <c r="X6" s="3699" t="s">
        <v>236</v>
      </c>
      <c r="Y6" s="3700"/>
      <c r="Z6" s="3734" t="s">
        <v>290</v>
      </c>
      <c r="AA6" s="3737" t="s">
        <v>151</v>
      </c>
      <c r="AB6" s="3688" t="s">
        <v>152</v>
      </c>
      <c r="AC6" s="1634"/>
      <c r="AD6" s="1635" t="s">
        <v>11</v>
      </c>
      <c r="AE6" s="1636" t="s">
        <v>12</v>
      </c>
    </row>
    <row r="7" spans="1:34" ht="31.5" customHeight="1" x14ac:dyDescent="0.3">
      <c r="A7" s="3702"/>
      <c r="B7" s="3705"/>
      <c r="C7" s="1637" t="s">
        <v>13</v>
      </c>
      <c r="D7" s="1638" t="s">
        <v>14</v>
      </c>
      <c r="E7" s="1639" t="s">
        <v>15</v>
      </c>
      <c r="F7" s="1637" t="s">
        <v>13</v>
      </c>
      <c r="G7" s="1639" t="s">
        <v>14</v>
      </c>
      <c r="H7" s="1637" t="s">
        <v>13</v>
      </c>
      <c r="I7" s="1639" t="s">
        <v>14</v>
      </c>
      <c r="J7" s="1637" t="s">
        <v>13</v>
      </c>
      <c r="K7" s="1639" t="s">
        <v>14</v>
      </c>
      <c r="L7" s="1640" t="s">
        <v>13</v>
      </c>
      <c r="M7" s="1639" t="s">
        <v>14</v>
      </c>
      <c r="N7" s="3735"/>
      <c r="O7" s="1637" t="s">
        <v>13</v>
      </c>
      <c r="P7" s="1638" t="s">
        <v>14</v>
      </c>
      <c r="Q7" s="1641" t="s">
        <v>15</v>
      </c>
      <c r="R7" s="1637" t="s">
        <v>13</v>
      </c>
      <c r="S7" s="1639" t="s">
        <v>14</v>
      </c>
      <c r="T7" s="1637" t="s">
        <v>13</v>
      </c>
      <c r="U7" s="1639" t="s">
        <v>14</v>
      </c>
      <c r="V7" s="1637" t="s">
        <v>13</v>
      </c>
      <c r="W7" s="1642" t="s">
        <v>14</v>
      </c>
      <c r="X7" s="1637" t="s">
        <v>13</v>
      </c>
      <c r="Y7" s="1639" t="s">
        <v>14</v>
      </c>
      <c r="Z7" s="3735"/>
      <c r="AA7" s="3738"/>
      <c r="AB7" s="3689"/>
      <c r="AC7" s="1635"/>
      <c r="AE7" s="1643"/>
      <c r="AF7" s="1644"/>
    </row>
    <row r="8" spans="1:34" ht="31.5" customHeight="1" x14ac:dyDescent="0.3">
      <c r="A8" s="3703"/>
      <c r="B8" s="1645" t="s">
        <v>19</v>
      </c>
      <c r="C8" s="1637" t="s">
        <v>22</v>
      </c>
      <c r="D8" s="1637" t="s">
        <v>21</v>
      </c>
      <c r="E8" s="1646" t="s">
        <v>23</v>
      </c>
      <c r="F8" s="1647" t="s">
        <v>20</v>
      </c>
      <c r="G8" s="1646" t="s">
        <v>20</v>
      </c>
      <c r="H8" s="1647" t="s">
        <v>20</v>
      </c>
      <c r="I8" s="1639" t="s">
        <v>21</v>
      </c>
      <c r="J8" s="1640" t="s">
        <v>21</v>
      </c>
      <c r="K8" s="1639" t="s">
        <v>40</v>
      </c>
      <c r="L8" s="1637" t="s">
        <v>40</v>
      </c>
      <c r="M8" s="1639" t="s">
        <v>41</v>
      </c>
      <c r="N8" s="3736"/>
      <c r="O8" s="1637" t="s">
        <v>41</v>
      </c>
      <c r="P8" s="1638" t="s">
        <v>42</v>
      </c>
      <c r="Q8" s="1641" t="s">
        <v>43</v>
      </c>
      <c r="R8" s="1637" t="s">
        <v>41</v>
      </c>
      <c r="S8" s="1639" t="s">
        <v>43</v>
      </c>
      <c r="T8" s="1637" t="s">
        <v>42</v>
      </c>
      <c r="U8" s="1639" t="s">
        <v>41</v>
      </c>
      <c r="V8" s="1637" t="s">
        <v>43</v>
      </c>
      <c r="W8" s="1642" t="s">
        <v>42</v>
      </c>
      <c r="X8" s="1637" t="s">
        <v>43</v>
      </c>
      <c r="Y8" s="1639" t="s">
        <v>41</v>
      </c>
      <c r="Z8" s="3736"/>
      <c r="AA8" s="3739"/>
      <c r="AB8" s="3690"/>
      <c r="AC8" s="1648"/>
      <c r="AD8" s="1648"/>
      <c r="AE8" s="1643"/>
      <c r="AF8" s="1644"/>
    </row>
    <row r="9" spans="1:34" ht="31.5" customHeight="1" x14ac:dyDescent="0.3">
      <c r="A9" s="1638" t="s">
        <v>18</v>
      </c>
      <c r="B9" s="1641" t="s">
        <v>26</v>
      </c>
      <c r="C9" s="1637">
        <v>2</v>
      </c>
      <c r="D9" s="1638">
        <v>2</v>
      </c>
      <c r="E9" s="1639">
        <v>2</v>
      </c>
      <c r="F9" s="1637">
        <v>6</v>
      </c>
      <c r="G9" s="1639">
        <v>6</v>
      </c>
      <c r="H9" s="1637">
        <v>6</v>
      </c>
      <c r="I9" s="1639">
        <v>6</v>
      </c>
      <c r="J9" s="1637">
        <v>6</v>
      </c>
      <c r="K9" s="1649">
        <v>6</v>
      </c>
      <c r="L9" s="1637">
        <v>6</v>
      </c>
      <c r="M9" s="1639">
        <v>6</v>
      </c>
      <c r="N9" s="1642">
        <v>30</v>
      </c>
      <c r="O9" s="1637">
        <v>2</v>
      </c>
      <c r="P9" s="1638">
        <v>2</v>
      </c>
      <c r="Q9" s="1641">
        <v>2</v>
      </c>
      <c r="R9" s="1637">
        <v>6</v>
      </c>
      <c r="S9" s="1639">
        <v>6</v>
      </c>
      <c r="T9" s="1637">
        <v>6</v>
      </c>
      <c r="U9" s="1639">
        <v>6</v>
      </c>
      <c r="V9" s="1637">
        <v>6</v>
      </c>
      <c r="W9" s="1642">
        <v>6</v>
      </c>
      <c r="X9" s="1637">
        <v>6</v>
      </c>
      <c r="Y9" s="1639">
        <v>6</v>
      </c>
      <c r="Z9" s="1647">
        <v>30</v>
      </c>
      <c r="AA9" s="1638">
        <v>10</v>
      </c>
      <c r="AB9" s="1037">
        <v>10</v>
      </c>
      <c r="AC9" s="1037"/>
      <c r="AD9" s="1037"/>
      <c r="AE9" s="1650"/>
      <c r="AF9" s="1651"/>
    </row>
    <row r="10" spans="1:34" ht="31.5" customHeight="1" x14ac:dyDescent="0.3">
      <c r="A10" s="1638">
        <v>1</v>
      </c>
      <c r="B10" s="1652">
        <v>5191421001</v>
      </c>
      <c r="C10" s="1653">
        <v>2</v>
      </c>
      <c r="D10" s="1654">
        <v>2</v>
      </c>
      <c r="E10" s="1655">
        <v>1</v>
      </c>
      <c r="F10" s="1656">
        <v>6</v>
      </c>
      <c r="G10" s="1655">
        <v>6</v>
      </c>
      <c r="H10" s="1656"/>
      <c r="I10" s="1657"/>
      <c r="J10" s="1656"/>
      <c r="K10" s="1658"/>
      <c r="L10" s="1659">
        <v>0</v>
      </c>
      <c r="M10" s="1660"/>
      <c r="N10" s="1661">
        <f t="shared" ref="N10:N24" si="0">SUM(C10:M10)</f>
        <v>17</v>
      </c>
      <c r="O10" s="1662">
        <v>0</v>
      </c>
      <c r="P10" s="1663">
        <v>2</v>
      </c>
      <c r="Q10" s="1664">
        <v>2</v>
      </c>
      <c r="R10" s="1662">
        <v>4</v>
      </c>
      <c r="S10" s="1665"/>
      <c r="T10" s="1666"/>
      <c r="U10" s="1665"/>
      <c r="V10" s="1666">
        <v>5</v>
      </c>
      <c r="W10" s="1667">
        <v>3</v>
      </c>
      <c r="X10" s="1666"/>
      <c r="Y10" s="1661"/>
      <c r="Z10" s="1668">
        <f t="shared" ref="Z10:Z24" si="1">SUM(O10:Y10)</f>
        <v>16</v>
      </c>
      <c r="AA10" s="1669">
        <v>10</v>
      </c>
      <c r="AB10" s="1669">
        <v>10</v>
      </c>
      <c r="AC10" s="1670" t="s">
        <v>32</v>
      </c>
      <c r="AD10" s="1671">
        <f>IF(AC10="O",100,IF(AC10="A+",90,IF(AC10="A",80,IF(AC10="B+",70,IF(AC10="B",60,IF(AC10="C",55,IF(AC10="P",50,IF(AC10="F",39))))))))</f>
        <v>70</v>
      </c>
    </row>
    <row r="11" spans="1:34" ht="31.5" customHeight="1" x14ac:dyDescent="0.3">
      <c r="A11" s="1672">
        <v>2</v>
      </c>
      <c r="B11" s="1673">
        <v>5191421002</v>
      </c>
      <c r="C11" s="1674">
        <v>2</v>
      </c>
      <c r="D11" s="1675">
        <v>2</v>
      </c>
      <c r="E11" s="1676">
        <v>2</v>
      </c>
      <c r="F11" s="1674"/>
      <c r="G11" s="1676"/>
      <c r="H11" s="1674"/>
      <c r="I11" s="1677">
        <v>4</v>
      </c>
      <c r="J11" s="1674"/>
      <c r="K11" s="1676"/>
      <c r="L11" s="1659">
        <v>5</v>
      </c>
      <c r="M11" s="1660">
        <v>1</v>
      </c>
      <c r="N11" s="1661">
        <f t="shared" si="0"/>
        <v>16</v>
      </c>
      <c r="O11" s="1678">
        <v>2</v>
      </c>
      <c r="P11" s="1679">
        <v>2</v>
      </c>
      <c r="Q11" s="1680">
        <v>1</v>
      </c>
      <c r="R11" s="1678">
        <v>6</v>
      </c>
      <c r="S11" s="1665">
        <v>4</v>
      </c>
      <c r="T11" s="1666"/>
      <c r="U11" s="1665"/>
      <c r="V11" s="1666">
        <v>4</v>
      </c>
      <c r="W11" s="1677">
        <v>4</v>
      </c>
      <c r="X11" s="1674"/>
      <c r="Y11" s="1677"/>
      <c r="Z11" s="1681">
        <f t="shared" si="1"/>
        <v>23</v>
      </c>
      <c r="AA11" s="1669">
        <v>10</v>
      </c>
      <c r="AB11" s="1669">
        <v>10</v>
      </c>
      <c r="AC11" s="1670" t="s">
        <v>32</v>
      </c>
      <c r="AD11" s="1671">
        <f t="shared" ref="AD11:AD67" si="2">IF(AC11="O",100,IF(AC11="A+",90,IF(AC11="A",80,IF(AC11="B+",70,IF(AC11="B",60,IF(AC11="C",55,IF(AC11="P",50,IF(AC11="F",39))))))))</f>
        <v>70</v>
      </c>
    </row>
    <row r="12" spans="1:34" s="1683" customFormat="1" ht="31.5" customHeight="1" x14ac:dyDescent="0.3">
      <c r="A12" s="1638">
        <v>3</v>
      </c>
      <c r="B12" s="1652">
        <v>5191421003</v>
      </c>
      <c r="C12" s="1662">
        <v>2</v>
      </c>
      <c r="D12" s="1663">
        <v>2</v>
      </c>
      <c r="E12" s="1682">
        <v>2</v>
      </c>
      <c r="F12" s="1662"/>
      <c r="G12" s="1665"/>
      <c r="H12" s="1666">
        <v>6</v>
      </c>
      <c r="I12" s="1665">
        <v>5</v>
      </c>
      <c r="J12" s="1666"/>
      <c r="K12" s="1665"/>
      <c r="L12" s="1659">
        <v>5</v>
      </c>
      <c r="M12" s="1660">
        <v>5</v>
      </c>
      <c r="N12" s="1661">
        <f t="shared" si="0"/>
        <v>27</v>
      </c>
      <c r="O12" s="1663">
        <v>1</v>
      </c>
      <c r="P12" s="1663">
        <v>2</v>
      </c>
      <c r="Q12" s="1664">
        <v>2</v>
      </c>
      <c r="R12" s="1662">
        <v>6</v>
      </c>
      <c r="S12" s="1665">
        <v>6</v>
      </c>
      <c r="T12" s="1666"/>
      <c r="U12" s="1665"/>
      <c r="V12" s="1666">
        <v>6</v>
      </c>
      <c r="W12" s="1667">
        <v>6</v>
      </c>
      <c r="X12" s="1666"/>
      <c r="Y12" s="1667"/>
      <c r="Z12" s="1668">
        <f t="shared" si="1"/>
        <v>29</v>
      </c>
      <c r="AA12" s="1669">
        <v>10</v>
      </c>
      <c r="AB12" s="1669">
        <v>10</v>
      </c>
      <c r="AC12" s="1670" t="s">
        <v>27</v>
      </c>
      <c r="AD12" s="1671">
        <f t="shared" si="2"/>
        <v>80</v>
      </c>
    </row>
    <row r="13" spans="1:34" s="1683" customFormat="1" ht="31.5" customHeight="1" x14ac:dyDescent="0.3">
      <c r="A13" s="1638">
        <v>4</v>
      </c>
      <c r="B13" s="1652">
        <v>5191421004</v>
      </c>
      <c r="C13" s="1684">
        <v>2</v>
      </c>
      <c r="D13" s="1663">
        <v>2</v>
      </c>
      <c r="E13" s="1682">
        <v>0</v>
      </c>
      <c r="F13" s="1662">
        <v>4</v>
      </c>
      <c r="G13" s="1665"/>
      <c r="H13" s="1666"/>
      <c r="I13" s="1665"/>
      <c r="J13" s="1666">
        <v>5</v>
      </c>
      <c r="K13" s="1665"/>
      <c r="L13" s="1659"/>
      <c r="M13" s="1660"/>
      <c r="N13" s="1661">
        <f t="shared" si="0"/>
        <v>13</v>
      </c>
      <c r="O13" s="1663">
        <v>2</v>
      </c>
      <c r="P13" s="1663">
        <v>2</v>
      </c>
      <c r="Q13" s="1664">
        <v>0</v>
      </c>
      <c r="R13" s="1662">
        <v>4</v>
      </c>
      <c r="S13" s="1665">
        <v>5</v>
      </c>
      <c r="T13" s="1666"/>
      <c r="U13" s="1665"/>
      <c r="V13" s="1666"/>
      <c r="W13" s="1667"/>
      <c r="X13" s="1666">
        <v>5</v>
      </c>
      <c r="Y13" s="1667"/>
      <c r="Z13" s="1668">
        <f t="shared" si="1"/>
        <v>18</v>
      </c>
      <c r="AA13" s="1669">
        <v>9</v>
      </c>
      <c r="AB13" s="1669">
        <v>9</v>
      </c>
      <c r="AC13" s="1670" t="s">
        <v>31</v>
      </c>
      <c r="AD13" s="1671">
        <f t="shared" si="2"/>
        <v>55</v>
      </c>
    </row>
    <row r="14" spans="1:34" ht="31.5" customHeight="1" x14ac:dyDescent="0.3">
      <c r="A14" s="1685">
        <v>5</v>
      </c>
      <c r="B14" s="1686">
        <v>5191421005</v>
      </c>
      <c r="C14" s="1687">
        <v>2</v>
      </c>
      <c r="D14" s="1688">
        <v>2</v>
      </c>
      <c r="E14" s="1689">
        <v>1</v>
      </c>
      <c r="F14" s="1687">
        <v>5</v>
      </c>
      <c r="G14" s="1690">
        <v>5</v>
      </c>
      <c r="H14" s="1691"/>
      <c r="I14" s="1692"/>
      <c r="J14" s="1691">
        <v>4</v>
      </c>
      <c r="K14" s="1690"/>
      <c r="L14" s="1659"/>
      <c r="M14" s="1660"/>
      <c r="N14" s="1661">
        <f t="shared" si="0"/>
        <v>19</v>
      </c>
      <c r="O14" s="1687">
        <v>1</v>
      </c>
      <c r="P14" s="1688">
        <v>1</v>
      </c>
      <c r="Q14" s="1693">
        <v>2</v>
      </c>
      <c r="R14" s="1687">
        <v>5</v>
      </c>
      <c r="S14" s="1665">
        <v>5</v>
      </c>
      <c r="T14" s="1666"/>
      <c r="U14" s="1665"/>
      <c r="V14" s="1666">
        <v>6</v>
      </c>
      <c r="W14" s="1692"/>
      <c r="X14" s="1691"/>
      <c r="Y14" s="1692"/>
      <c r="Z14" s="1694">
        <f t="shared" si="1"/>
        <v>20</v>
      </c>
      <c r="AA14" s="1669">
        <v>9</v>
      </c>
      <c r="AB14" s="1669">
        <v>9</v>
      </c>
      <c r="AC14" s="1695" t="s">
        <v>32</v>
      </c>
      <c r="AD14" s="1671">
        <f t="shared" si="2"/>
        <v>70</v>
      </c>
    </row>
    <row r="15" spans="1:34" ht="31.5" customHeight="1" x14ac:dyDescent="0.3">
      <c r="A15" s="1638">
        <v>6</v>
      </c>
      <c r="B15" s="1652">
        <v>5191421006</v>
      </c>
      <c r="C15" s="1662">
        <v>1</v>
      </c>
      <c r="D15" s="1663">
        <v>1</v>
      </c>
      <c r="E15" s="1682">
        <v>1</v>
      </c>
      <c r="F15" s="1662">
        <v>6</v>
      </c>
      <c r="G15" s="1665"/>
      <c r="H15" s="1666"/>
      <c r="I15" s="1667"/>
      <c r="J15" s="1666"/>
      <c r="K15" s="1665">
        <v>6</v>
      </c>
      <c r="L15" s="1659"/>
      <c r="M15" s="1660"/>
      <c r="N15" s="1661">
        <f t="shared" si="0"/>
        <v>15</v>
      </c>
      <c r="O15" s="1662">
        <v>1</v>
      </c>
      <c r="P15" s="1663">
        <v>2</v>
      </c>
      <c r="Q15" s="1664">
        <v>2</v>
      </c>
      <c r="R15" s="1662"/>
      <c r="S15" s="1665">
        <v>6</v>
      </c>
      <c r="T15" s="1666"/>
      <c r="U15" s="1665"/>
      <c r="V15" s="1666">
        <v>6</v>
      </c>
      <c r="W15" s="1667">
        <v>3</v>
      </c>
      <c r="X15" s="1666"/>
      <c r="Y15" s="1667"/>
      <c r="Z15" s="1668">
        <f t="shared" si="1"/>
        <v>20</v>
      </c>
      <c r="AA15" s="1669">
        <v>9</v>
      </c>
      <c r="AB15" s="1669">
        <v>9</v>
      </c>
      <c r="AC15" s="1670" t="s">
        <v>33</v>
      </c>
      <c r="AD15" s="1671">
        <f t="shared" si="2"/>
        <v>60</v>
      </c>
    </row>
    <row r="16" spans="1:34" ht="31.5" customHeight="1" x14ac:dyDescent="0.3">
      <c r="A16" s="1638">
        <v>7</v>
      </c>
      <c r="B16" s="1652">
        <v>5191421007</v>
      </c>
      <c r="C16" s="1662">
        <v>2</v>
      </c>
      <c r="D16" s="1663">
        <v>2</v>
      </c>
      <c r="E16" s="1682">
        <v>0</v>
      </c>
      <c r="F16" s="1662">
        <v>6</v>
      </c>
      <c r="G16" s="1665">
        <v>2</v>
      </c>
      <c r="H16" s="1666"/>
      <c r="I16" s="1667"/>
      <c r="J16" s="1666"/>
      <c r="K16" s="1665">
        <v>0</v>
      </c>
      <c r="L16" s="1659">
        <v>0</v>
      </c>
      <c r="M16" s="1660"/>
      <c r="N16" s="1661">
        <f t="shared" si="0"/>
        <v>12</v>
      </c>
      <c r="O16" s="1662">
        <v>2</v>
      </c>
      <c r="P16" s="1663">
        <v>2</v>
      </c>
      <c r="Q16" s="1664">
        <v>2</v>
      </c>
      <c r="R16" s="1662">
        <v>6</v>
      </c>
      <c r="S16" s="1665">
        <v>6</v>
      </c>
      <c r="T16" s="1666"/>
      <c r="U16" s="1665"/>
      <c r="V16" s="1666">
        <v>6</v>
      </c>
      <c r="W16" s="1667">
        <v>6</v>
      </c>
      <c r="X16" s="1666"/>
      <c r="Y16" s="1667"/>
      <c r="Z16" s="1668">
        <f t="shared" si="1"/>
        <v>30</v>
      </c>
      <c r="AA16" s="1669">
        <v>9</v>
      </c>
      <c r="AB16" s="1669">
        <v>9</v>
      </c>
      <c r="AC16" s="1695" t="s">
        <v>32</v>
      </c>
      <c r="AD16" s="1671">
        <f t="shared" si="2"/>
        <v>70</v>
      </c>
    </row>
    <row r="17" spans="1:30" ht="31.5" customHeight="1" x14ac:dyDescent="0.3">
      <c r="A17" s="1638">
        <v>8</v>
      </c>
      <c r="B17" s="1652">
        <v>5191421008</v>
      </c>
      <c r="C17" s="1662">
        <v>2</v>
      </c>
      <c r="D17" s="1679">
        <v>0</v>
      </c>
      <c r="E17" s="1682">
        <v>0</v>
      </c>
      <c r="F17" s="1662">
        <v>6</v>
      </c>
      <c r="G17" s="1665">
        <v>4</v>
      </c>
      <c r="H17" s="1666"/>
      <c r="I17" s="1667"/>
      <c r="J17" s="1666"/>
      <c r="K17" s="1665"/>
      <c r="L17" s="1659"/>
      <c r="M17" s="1660"/>
      <c r="N17" s="1661">
        <f t="shared" si="0"/>
        <v>12</v>
      </c>
      <c r="O17" s="1662"/>
      <c r="P17" s="1663">
        <v>2</v>
      </c>
      <c r="Q17" s="1664">
        <v>1</v>
      </c>
      <c r="R17" s="1662">
        <v>3</v>
      </c>
      <c r="S17" s="1665">
        <v>3</v>
      </c>
      <c r="T17" s="1666"/>
      <c r="U17" s="1665"/>
      <c r="V17" s="1666">
        <v>5</v>
      </c>
      <c r="W17" s="1667">
        <v>3</v>
      </c>
      <c r="X17" s="1666"/>
      <c r="Y17" s="1667"/>
      <c r="Z17" s="1668">
        <f t="shared" si="1"/>
        <v>17</v>
      </c>
      <c r="AA17" s="1669">
        <v>8</v>
      </c>
      <c r="AB17" s="1669">
        <v>8</v>
      </c>
      <c r="AC17" s="1670" t="s">
        <v>31</v>
      </c>
      <c r="AD17" s="1671">
        <f t="shared" si="2"/>
        <v>55</v>
      </c>
    </row>
    <row r="18" spans="1:30" ht="31.5" customHeight="1" x14ac:dyDescent="0.3">
      <c r="A18" s="1638">
        <v>9</v>
      </c>
      <c r="B18" s="1652">
        <v>5191421009</v>
      </c>
      <c r="C18" s="1696">
        <v>0</v>
      </c>
      <c r="D18" s="1671">
        <v>0</v>
      </c>
      <c r="E18" s="1667">
        <v>0</v>
      </c>
      <c r="F18" s="1666"/>
      <c r="G18" s="1665"/>
      <c r="H18" s="1666">
        <v>0</v>
      </c>
      <c r="I18" s="1667">
        <v>4</v>
      </c>
      <c r="J18" s="1666"/>
      <c r="K18" s="1665"/>
      <c r="L18" s="1659">
        <v>4</v>
      </c>
      <c r="M18" s="1660">
        <v>4</v>
      </c>
      <c r="N18" s="1661">
        <f t="shared" si="0"/>
        <v>12</v>
      </c>
      <c r="O18" s="1662">
        <v>1</v>
      </c>
      <c r="P18" s="1663">
        <v>1</v>
      </c>
      <c r="Q18" s="1664">
        <v>2</v>
      </c>
      <c r="R18" s="1662">
        <v>6</v>
      </c>
      <c r="S18" s="1665">
        <v>6</v>
      </c>
      <c r="T18" s="1666"/>
      <c r="U18" s="1665"/>
      <c r="V18" s="1666"/>
      <c r="W18" s="1667"/>
      <c r="X18" s="1666">
        <v>5</v>
      </c>
      <c r="Y18" s="1667">
        <v>5</v>
      </c>
      <c r="Z18" s="1668">
        <f t="shared" si="1"/>
        <v>26</v>
      </c>
      <c r="AA18" s="1669">
        <v>10</v>
      </c>
      <c r="AB18" s="1669">
        <v>10</v>
      </c>
      <c r="AC18" s="1670" t="s">
        <v>32</v>
      </c>
      <c r="AD18" s="1671">
        <f t="shared" si="2"/>
        <v>70</v>
      </c>
    </row>
    <row r="19" spans="1:30" ht="31.5" customHeight="1" x14ac:dyDescent="0.3">
      <c r="A19" s="1638">
        <v>10</v>
      </c>
      <c r="B19" s="1652">
        <v>5191421010</v>
      </c>
      <c r="C19" s="1662">
        <v>2</v>
      </c>
      <c r="D19" s="1688">
        <v>2</v>
      </c>
      <c r="E19" s="1682">
        <v>2</v>
      </c>
      <c r="F19" s="1662">
        <v>6</v>
      </c>
      <c r="G19" s="1665">
        <v>0</v>
      </c>
      <c r="H19" s="1666"/>
      <c r="I19" s="1667"/>
      <c r="J19" s="1666"/>
      <c r="K19" s="1665">
        <v>6</v>
      </c>
      <c r="L19" s="1659"/>
      <c r="M19" s="1660">
        <v>0</v>
      </c>
      <c r="N19" s="1661">
        <f t="shared" si="0"/>
        <v>18</v>
      </c>
      <c r="O19" s="1662">
        <v>1</v>
      </c>
      <c r="P19" s="1663">
        <v>2</v>
      </c>
      <c r="Q19" s="1664">
        <v>1</v>
      </c>
      <c r="R19" s="1662"/>
      <c r="S19" s="1665"/>
      <c r="T19" s="1666">
        <v>4</v>
      </c>
      <c r="U19" s="1665">
        <v>3</v>
      </c>
      <c r="V19" s="1666"/>
      <c r="W19" s="1667"/>
      <c r="X19" s="1666"/>
      <c r="Y19" s="1667">
        <v>6</v>
      </c>
      <c r="Z19" s="1668">
        <f t="shared" si="1"/>
        <v>17</v>
      </c>
      <c r="AA19" s="1669">
        <v>10</v>
      </c>
      <c r="AB19" s="1669">
        <v>10</v>
      </c>
      <c r="AC19" s="1670" t="s">
        <v>31</v>
      </c>
      <c r="AD19" s="1671">
        <f t="shared" si="2"/>
        <v>55</v>
      </c>
    </row>
    <row r="20" spans="1:30" ht="31.5" customHeight="1" x14ac:dyDescent="0.3">
      <c r="A20" s="1638">
        <v>11</v>
      </c>
      <c r="B20" s="1652">
        <v>5191421011</v>
      </c>
      <c r="C20" s="1662">
        <v>2</v>
      </c>
      <c r="D20" s="1663">
        <v>1</v>
      </c>
      <c r="E20" s="1682">
        <v>1</v>
      </c>
      <c r="F20" s="1662">
        <v>6</v>
      </c>
      <c r="G20" s="1665">
        <v>6</v>
      </c>
      <c r="H20" s="1666"/>
      <c r="I20" s="1667"/>
      <c r="J20" s="1666"/>
      <c r="K20" s="1665"/>
      <c r="L20" s="1659">
        <v>6</v>
      </c>
      <c r="M20" s="1660">
        <v>5</v>
      </c>
      <c r="N20" s="1661">
        <f t="shared" si="0"/>
        <v>27</v>
      </c>
      <c r="O20" s="1662">
        <v>1</v>
      </c>
      <c r="P20" s="1663">
        <v>2</v>
      </c>
      <c r="Q20" s="1664">
        <v>2</v>
      </c>
      <c r="R20" s="1662">
        <v>6</v>
      </c>
      <c r="S20" s="1665">
        <v>5</v>
      </c>
      <c r="T20" s="1666"/>
      <c r="U20" s="1665"/>
      <c r="V20" s="1666"/>
      <c r="W20" s="1667"/>
      <c r="X20" s="1666">
        <v>1</v>
      </c>
      <c r="Y20" s="1667">
        <v>6</v>
      </c>
      <c r="Z20" s="1668">
        <f t="shared" si="1"/>
        <v>23</v>
      </c>
      <c r="AA20" s="1669">
        <v>10</v>
      </c>
      <c r="AB20" s="1669">
        <v>10</v>
      </c>
      <c r="AC20" s="1670" t="s">
        <v>30</v>
      </c>
      <c r="AD20" s="1671">
        <f t="shared" si="2"/>
        <v>90</v>
      </c>
    </row>
    <row r="21" spans="1:30" ht="31.5" customHeight="1" x14ac:dyDescent="0.3">
      <c r="A21" s="1638">
        <v>12</v>
      </c>
      <c r="B21" s="1652">
        <v>5191421012</v>
      </c>
      <c r="C21" s="1662">
        <v>0</v>
      </c>
      <c r="D21" s="1663">
        <v>0</v>
      </c>
      <c r="E21" s="1682">
        <v>0</v>
      </c>
      <c r="F21" s="1662">
        <v>5</v>
      </c>
      <c r="G21" s="1665">
        <v>2</v>
      </c>
      <c r="H21" s="1666"/>
      <c r="I21" s="1667"/>
      <c r="J21" s="1666"/>
      <c r="K21" s="1665"/>
      <c r="L21" s="1659">
        <v>0</v>
      </c>
      <c r="M21" s="1660">
        <v>0</v>
      </c>
      <c r="N21" s="1661">
        <f t="shared" si="0"/>
        <v>7</v>
      </c>
      <c r="O21" s="1662"/>
      <c r="P21" s="1663">
        <v>2</v>
      </c>
      <c r="Q21" s="1664">
        <v>2</v>
      </c>
      <c r="R21" s="1662">
        <v>5</v>
      </c>
      <c r="S21" s="1665"/>
      <c r="T21" s="1666"/>
      <c r="U21" s="1665"/>
      <c r="V21" s="1666">
        <v>6</v>
      </c>
      <c r="W21" s="1667">
        <v>3</v>
      </c>
      <c r="X21" s="1666"/>
      <c r="Y21" s="1667"/>
      <c r="Z21" s="1668">
        <f t="shared" si="1"/>
        <v>18</v>
      </c>
      <c r="AA21" s="1669">
        <v>8</v>
      </c>
      <c r="AB21" s="1669">
        <v>8</v>
      </c>
      <c r="AC21" s="1670" t="s">
        <v>31</v>
      </c>
      <c r="AD21" s="1671">
        <f t="shared" si="2"/>
        <v>55</v>
      </c>
    </row>
    <row r="22" spans="1:30" ht="31.5" customHeight="1" x14ac:dyDescent="0.3">
      <c r="A22" s="1638">
        <v>13</v>
      </c>
      <c r="B22" s="1652">
        <v>5191421013</v>
      </c>
      <c r="C22" s="1662">
        <v>2</v>
      </c>
      <c r="D22" s="1663">
        <v>2</v>
      </c>
      <c r="E22" s="1682">
        <v>2</v>
      </c>
      <c r="F22" s="1662">
        <v>6</v>
      </c>
      <c r="G22" s="1665">
        <v>2</v>
      </c>
      <c r="H22" s="1666"/>
      <c r="I22" s="1667"/>
      <c r="J22" s="1666">
        <v>6</v>
      </c>
      <c r="K22" s="1665">
        <v>1</v>
      </c>
      <c r="L22" s="1659"/>
      <c r="M22" s="1660"/>
      <c r="N22" s="1661">
        <f t="shared" si="0"/>
        <v>21</v>
      </c>
      <c r="O22" s="1662">
        <v>1</v>
      </c>
      <c r="P22" s="1663">
        <v>2</v>
      </c>
      <c r="Q22" s="1664">
        <v>2</v>
      </c>
      <c r="R22" s="1662">
        <v>6</v>
      </c>
      <c r="S22" s="1665">
        <v>6</v>
      </c>
      <c r="T22" s="1666"/>
      <c r="U22" s="1665"/>
      <c r="V22" s="1666">
        <v>6</v>
      </c>
      <c r="W22" s="1667">
        <v>5</v>
      </c>
      <c r="X22" s="1666"/>
      <c r="Y22" s="1667"/>
      <c r="Z22" s="1668">
        <f t="shared" si="1"/>
        <v>28</v>
      </c>
      <c r="AA22" s="1669">
        <v>9</v>
      </c>
      <c r="AB22" s="1669">
        <v>9</v>
      </c>
      <c r="AC22" s="1670" t="s">
        <v>32</v>
      </c>
      <c r="AD22" s="1671">
        <f t="shared" si="2"/>
        <v>70</v>
      </c>
    </row>
    <row r="23" spans="1:30" ht="31.5" customHeight="1" x14ac:dyDescent="0.3">
      <c r="A23" s="1638">
        <v>14</v>
      </c>
      <c r="B23" s="1652">
        <v>5191421014</v>
      </c>
      <c r="C23" s="1662">
        <v>0</v>
      </c>
      <c r="D23" s="1663">
        <v>1</v>
      </c>
      <c r="E23" s="1682">
        <v>2</v>
      </c>
      <c r="F23" s="1662">
        <v>5</v>
      </c>
      <c r="G23" s="1665">
        <v>2</v>
      </c>
      <c r="H23" s="1666"/>
      <c r="I23" s="1667"/>
      <c r="J23" s="1666"/>
      <c r="K23" s="1665"/>
      <c r="L23" s="1659">
        <v>6</v>
      </c>
      <c r="M23" s="1660">
        <v>1</v>
      </c>
      <c r="N23" s="1661">
        <f t="shared" si="0"/>
        <v>17</v>
      </c>
      <c r="O23" s="1662"/>
      <c r="P23" s="1663">
        <v>2</v>
      </c>
      <c r="Q23" s="1664">
        <v>2</v>
      </c>
      <c r="R23" s="1662"/>
      <c r="S23" s="1665">
        <v>5</v>
      </c>
      <c r="T23" s="1666"/>
      <c r="U23" s="1665"/>
      <c r="V23" s="1666">
        <v>5</v>
      </c>
      <c r="W23" s="1667"/>
      <c r="X23" s="1666"/>
      <c r="Y23" s="1667"/>
      <c r="Z23" s="1668">
        <f t="shared" si="1"/>
        <v>14</v>
      </c>
      <c r="AA23" s="1669">
        <v>9</v>
      </c>
      <c r="AB23" s="1669">
        <v>9</v>
      </c>
      <c r="AC23" s="1670" t="s">
        <v>31</v>
      </c>
      <c r="AD23" s="1671">
        <f t="shared" si="2"/>
        <v>55</v>
      </c>
    </row>
    <row r="24" spans="1:30" ht="31.5" customHeight="1" x14ac:dyDescent="0.3">
      <c r="A24" s="1638">
        <v>15</v>
      </c>
      <c r="B24" s="1652">
        <v>5191421015</v>
      </c>
      <c r="C24" s="1662">
        <v>2</v>
      </c>
      <c r="D24" s="1663">
        <v>0</v>
      </c>
      <c r="E24" s="1682">
        <v>0</v>
      </c>
      <c r="F24" s="1662"/>
      <c r="G24" s="1665"/>
      <c r="H24" s="1666">
        <v>4</v>
      </c>
      <c r="I24" s="1667">
        <v>0</v>
      </c>
      <c r="J24" s="1666"/>
      <c r="K24" s="1665">
        <v>5</v>
      </c>
      <c r="L24" s="1659">
        <v>0</v>
      </c>
      <c r="M24" s="1660"/>
      <c r="N24" s="1661">
        <f t="shared" si="0"/>
        <v>11</v>
      </c>
      <c r="O24" s="1662">
        <v>2</v>
      </c>
      <c r="P24" s="1663">
        <v>2</v>
      </c>
      <c r="Q24" s="1664">
        <v>2</v>
      </c>
      <c r="R24" s="1662"/>
      <c r="S24" s="1665">
        <v>5</v>
      </c>
      <c r="T24" s="1666"/>
      <c r="U24" s="1665"/>
      <c r="V24" s="1666">
        <v>5</v>
      </c>
      <c r="W24" s="1667">
        <v>4</v>
      </c>
      <c r="X24" s="1666"/>
      <c r="Y24" s="1667"/>
      <c r="Z24" s="1668">
        <f t="shared" si="1"/>
        <v>20</v>
      </c>
      <c r="AA24" s="1669">
        <v>9</v>
      </c>
      <c r="AB24" s="1669">
        <v>9</v>
      </c>
      <c r="AC24" s="1670" t="s">
        <v>28</v>
      </c>
      <c r="AD24" s="1671">
        <f t="shared" si="2"/>
        <v>50</v>
      </c>
    </row>
    <row r="25" spans="1:30" ht="31.5" customHeight="1" x14ac:dyDescent="0.3">
      <c r="A25" s="1638">
        <v>16</v>
      </c>
      <c r="B25" s="1652">
        <v>5191421016</v>
      </c>
      <c r="C25" s="1662"/>
      <c r="D25" s="1663">
        <v>0</v>
      </c>
      <c r="E25" s="1682"/>
      <c r="F25" s="1662">
        <v>0</v>
      </c>
      <c r="G25" s="1697"/>
      <c r="H25" s="1684"/>
      <c r="I25" s="1667"/>
      <c r="J25" s="1666"/>
      <c r="K25" s="1665"/>
      <c r="L25" s="1659"/>
      <c r="M25" s="1660"/>
      <c r="N25" s="1661">
        <v>0</v>
      </c>
      <c r="O25" s="1662"/>
      <c r="P25" s="1663"/>
      <c r="Q25" s="1664"/>
      <c r="R25" s="1662"/>
      <c r="S25" s="1665"/>
      <c r="T25" s="1666"/>
      <c r="U25" s="1665"/>
      <c r="V25" s="1666"/>
      <c r="W25" s="1667"/>
      <c r="X25" s="1666"/>
      <c r="Y25" s="1667"/>
      <c r="Z25" s="1668" t="s">
        <v>154</v>
      </c>
      <c r="AA25" s="1669">
        <v>10</v>
      </c>
      <c r="AB25" s="1669">
        <v>10</v>
      </c>
      <c r="AC25" s="1670" t="s">
        <v>28</v>
      </c>
      <c r="AD25" s="1671">
        <f t="shared" si="2"/>
        <v>50</v>
      </c>
    </row>
    <row r="26" spans="1:30" ht="31.5" customHeight="1" x14ac:dyDescent="0.3">
      <c r="A26" s="1638">
        <v>17</v>
      </c>
      <c r="B26" s="1652">
        <v>5191421017</v>
      </c>
      <c r="C26" s="1662"/>
      <c r="D26" s="1663"/>
      <c r="E26" s="1682"/>
      <c r="F26" s="1662">
        <v>6</v>
      </c>
      <c r="G26" s="1665">
        <v>6</v>
      </c>
      <c r="H26" s="1666"/>
      <c r="I26" s="1667"/>
      <c r="J26" s="1666"/>
      <c r="K26" s="1665"/>
      <c r="L26" s="1659"/>
      <c r="M26" s="1660"/>
      <c r="N26" s="1661">
        <f t="shared" ref="N26:N49" si="3">SUM(C26:M26)</f>
        <v>12</v>
      </c>
      <c r="O26" s="1662"/>
      <c r="P26" s="1663">
        <v>2</v>
      </c>
      <c r="Q26" s="1664">
        <v>2</v>
      </c>
      <c r="R26" s="1662">
        <v>6</v>
      </c>
      <c r="S26" s="1665"/>
      <c r="T26" s="1666"/>
      <c r="U26" s="1665"/>
      <c r="V26" s="1666">
        <v>6</v>
      </c>
      <c r="W26" s="1667">
        <v>6</v>
      </c>
      <c r="X26" s="1666"/>
      <c r="Y26" s="1667"/>
      <c r="Z26" s="1698">
        <f t="shared" ref="Z26:Z45" si="4">SUM(O26:Y26)</f>
        <v>22</v>
      </c>
      <c r="AA26" s="1669">
        <v>10</v>
      </c>
      <c r="AB26" s="1669">
        <v>10</v>
      </c>
      <c r="AC26" s="1670" t="s">
        <v>27</v>
      </c>
      <c r="AD26" s="1671">
        <f t="shared" si="2"/>
        <v>80</v>
      </c>
    </row>
    <row r="27" spans="1:30" ht="31.5" customHeight="1" x14ac:dyDescent="0.3">
      <c r="A27" s="1638">
        <v>18</v>
      </c>
      <c r="B27" s="1652">
        <v>5191421018</v>
      </c>
      <c r="C27" s="1684"/>
      <c r="D27" s="1663"/>
      <c r="E27" s="1682"/>
      <c r="F27" s="1662"/>
      <c r="G27" s="1665">
        <v>0</v>
      </c>
      <c r="H27" s="1666"/>
      <c r="I27" s="1667"/>
      <c r="J27" s="1666"/>
      <c r="K27" s="1665"/>
      <c r="L27" s="1659"/>
      <c r="M27" s="1660"/>
      <c r="N27" s="1661">
        <f t="shared" si="3"/>
        <v>0</v>
      </c>
      <c r="O27" s="1662">
        <v>0</v>
      </c>
      <c r="P27" s="1663">
        <v>0</v>
      </c>
      <c r="Q27" s="1664">
        <v>1</v>
      </c>
      <c r="R27" s="1662">
        <v>3</v>
      </c>
      <c r="S27" s="1665">
        <v>3</v>
      </c>
      <c r="T27" s="1666"/>
      <c r="U27" s="1665"/>
      <c r="V27" s="1666">
        <v>2</v>
      </c>
      <c r="W27" s="1667">
        <v>2</v>
      </c>
      <c r="X27" s="1666"/>
      <c r="Y27" s="1667"/>
      <c r="Z27" s="1668">
        <f t="shared" si="4"/>
        <v>11</v>
      </c>
      <c r="AA27" s="1669">
        <v>8</v>
      </c>
      <c r="AB27" s="1669">
        <v>8</v>
      </c>
      <c r="AC27" s="1670" t="s">
        <v>29</v>
      </c>
      <c r="AD27" s="1671">
        <f t="shared" si="2"/>
        <v>39</v>
      </c>
    </row>
    <row r="28" spans="1:30" ht="31.5" customHeight="1" x14ac:dyDescent="0.3">
      <c r="A28" s="1638">
        <v>19</v>
      </c>
      <c r="B28" s="1652">
        <v>5191421019</v>
      </c>
      <c r="C28" s="1662">
        <v>2</v>
      </c>
      <c r="D28" s="1671">
        <v>2</v>
      </c>
      <c r="E28" s="1665">
        <v>0</v>
      </c>
      <c r="F28" s="1666"/>
      <c r="G28" s="1665"/>
      <c r="H28" s="1666">
        <v>6</v>
      </c>
      <c r="I28" s="1667">
        <v>6</v>
      </c>
      <c r="J28" s="1666">
        <v>1</v>
      </c>
      <c r="K28" s="1665">
        <v>6</v>
      </c>
      <c r="L28" s="1659"/>
      <c r="M28" s="1660"/>
      <c r="N28" s="1661">
        <f t="shared" si="3"/>
        <v>23</v>
      </c>
      <c r="O28" s="1662">
        <v>2</v>
      </c>
      <c r="P28" s="1671">
        <v>2</v>
      </c>
      <c r="Q28" s="1699">
        <v>2</v>
      </c>
      <c r="R28" s="1666">
        <v>6</v>
      </c>
      <c r="S28" s="1665">
        <v>6</v>
      </c>
      <c r="T28" s="1666"/>
      <c r="U28" s="1665"/>
      <c r="V28" s="1666">
        <v>6</v>
      </c>
      <c r="W28" s="1667">
        <v>6</v>
      </c>
      <c r="X28" s="1666"/>
      <c r="Y28" s="1667"/>
      <c r="Z28" s="1698">
        <f t="shared" si="4"/>
        <v>30</v>
      </c>
      <c r="AA28" s="1669">
        <v>10</v>
      </c>
      <c r="AB28" s="1669">
        <v>10</v>
      </c>
      <c r="AC28" s="1670" t="s">
        <v>30</v>
      </c>
      <c r="AD28" s="1671">
        <f t="shared" si="2"/>
        <v>90</v>
      </c>
    </row>
    <row r="29" spans="1:30" ht="31.5" customHeight="1" x14ac:dyDescent="0.3">
      <c r="A29" s="1638">
        <v>20</v>
      </c>
      <c r="B29" s="1652">
        <v>5191421020</v>
      </c>
      <c r="C29" s="1666">
        <v>2</v>
      </c>
      <c r="D29" s="1671">
        <v>0</v>
      </c>
      <c r="E29" s="1665">
        <v>0</v>
      </c>
      <c r="F29" s="1666"/>
      <c r="G29" s="1665"/>
      <c r="H29" s="1666">
        <v>5</v>
      </c>
      <c r="I29" s="1667">
        <v>5</v>
      </c>
      <c r="J29" s="1666">
        <v>6</v>
      </c>
      <c r="K29" s="1665">
        <v>6</v>
      </c>
      <c r="L29" s="1659"/>
      <c r="M29" s="1660"/>
      <c r="N29" s="1661">
        <f t="shared" si="3"/>
        <v>24</v>
      </c>
      <c r="O29" s="1666">
        <v>1</v>
      </c>
      <c r="P29" s="1671">
        <v>2</v>
      </c>
      <c r="Q29" s="1699">
        <v>2</v>
      </c>
      <c r="R29" s="1666"/>
      <c r="S29" s="1665"/>
      <c r="T29" s="1666">
        <v>5</v>
      </c>
      <c r="U29" s="1665">
        <v>6</v>
      </c>
      <c r="V29" s="1666">
        <v>5</v>
      </c>
      <c r="W29" s="1667">
        <v>5</v>
      </c>
      <c r="X29" s="1666"/>
      <c r="Y29" s="1667"/>
      <c r="Z29" s="1698">
        <f t="shared" si="4"/>
        <v>26</v>
      </c>
      <c r="AA29" s="1669">
        <v>10</v>
      </c>
      <c r="AB29" s="1669">
        <v>10</v>
      </c>
      <c r="AC29" s="1670" t="s">
        <v>27</v>
      </c>
      <c r="AD29" s="1671">
        <f t="shared" si="2"/>
        <v>80</v>
      </c>
    </row>
    <row r="30" spans="1:30" ht="31.5" customHeight="1" x14ac:dyDescent="0.3">
      <c r="A30" s="1638">
        <v>21</v>
      </c>
      <c r="B30" s="1652">
        <v>5191421021</v>
      </c>
      <c r="C30" s="1662">
        <v>0</v>
      </c>
      <c r="D30" s="1671">
        <v>2</v>
      </c>
      <c r="E30" s="1665">
        <v>1</v>
      </c>
      <c r="F30" s="1666">
        <v>5</v>
      </c>
      <c r="G30" s="1665">
        <v>0</v>
      </c>
      <c r="H30" s="1666"/>
      <c r="I30" s="1667"/>
      <c r="J30" s="1666"/>
      <c r="K30" s="1665"/>
      <c r="L30" s="1659">
        <v>5</v>
      </c>
      <c r="M30" s="1660">
        <v>0</v>
      </c>
      <c r="N30" s="1661">
        <f t="shared" si="3"/>
        <v>13</v>
      </c>
      <c r="O30" s="1662"/>
      <c r="P30" s="1671">
        <v>2</v>
      </c>
      <c r="Q30" s="1699">
        <v>2</v>
      </c>
      <c r="R30" s="1666">
        <v>4</v>
      </c>
      <c r="S30" s="1665">
        <v>4</v>
      </c>
      <c r="T30" s="1666"/>
      <c r="U30" s="1665"/>
      <c r="V30" s="1666">
        <v>6</v>
      </c>
      <c r="W30" s="1667">
        <v>1</v>
      </c>
      <c r="X30" s="1666"/>
      <c r="Y30" s="1667"/>
      <c r="Z30" s="1668">
        <f t="shared" si="4"/>
        <v>19</v>
      </c>
      <c r="AA30" s="1669">
        <v>10</v>
      </c>
      <c r="AB30" s="1669">
        <v>10</v>
      </c>
      <c r="AC30" s="1670" t="s">
        <v>27</v>
      </c>
      <c r="AD30" s="1671">
        <f t="shared" si="2"/>
        <v>80</v>
      </c>
    </row>
    <row r="31" spans="1:30" ht="31.5" customHeight="1" x14ac:dyDescent="0.3">
      <c r="A31" s="1638">
        <v>22</v>
      </c>
      <c r="B31" s="1652">
        <v>5191421022</v>
      </c>
      <c r="C31" s="1700">
        <v>1</v>
      </c>
      <c r="D31" s="1701">
        <v>2</v>
      </c>
      <c r="E31" s="1702">
        <v>0</v>
      </c>
      <c r="F31" s="1700">
        <v>6</v>
      </c>
      <c r="G31" s="1702">
        <v>0</v>
      </c>
      <c r="H31" s="1700"/>
      <c r="I31" s="1702"/>
      <c r="J31" s="1700">
        <v>4</v>
      </c>
      <c r="K31" s="1702">
        <v>0</v>
      </c>
      <c r="L31" s="1659"/>
      <c r="M31" s="1660"/>
      <c r="N31" s="1661">
        <f t="shared" si="3"/>
        <v>13</v>
      </c>
      <c r="O31" s="1662">
        <v>1</v>
      </c>
      <c r="P31" s="1671">
        <v>2</v>
      </c>
      <c r="Q31" s="1699">
        <v>0</v>
      </c>
      <c r="R31" s="1666">
        <v>0</v>
      </c>
      <c r="S31" s="1665">
        <v>3</v>
      </c>
      <c r="T31" s="1666"/>
      <c r="U31" s="1665"/>
      <c r="V31" s="1666"/>
      <c r="W31" s="1667"/>
      <c r="X31" s="1666">
        <v>2</v>
      </c>
      <c r="Y31" s="1667">
        <v>5</v>
      </c>
      <c r="Z31" s="1668">
        <f t="shared" si="4"/>
        <v>13</v>
      </c>
      <c r="AA31" s="1669">
        <v>9</v>
      </c>
      <c r="AB31" s="1669">
        <v>9</v>
      </c>
      <c r="AC31" s="1670" t="s">
        <v>32</v>
      </c>
      <c r="AD31" s="1671">
        <f t="shared" si="2"/>
        <v>70</v>
      </c>
    </row>
    <row r="32" spans="1:30" ht="31.5" customHeight="1" x14ac:dyDescent="0.3">
      <c r="A32" s="1638">
        <v>23</v>
      </c>
      <c r="B32" s="1652">
        <v>5191421023</v>
      </c>
      <c r="C32" s="1662"/>
      <c r="D32" s="1671"/>
      <c r="E32" s="1665"/>
      <c r="F32" s="1666">
        <v>5</v>
      </c>
      <c r="G32" s="1665"/>
      <c r="H32" s="1666"/>
      <c r="I32" s="1667"/>
      <c r="J32" s="1666"/>
      <c r="K32" s="1665"/>
      <c r="L32" s="1659"/>
      <c r="M32" s="1660"/>
      <c r="N32" s="1661">
        <f t="shared" si="3"/>
        <v>5</v>
      </c>
      <c r="O32" s="1662">
        <v>2</v>
      </c>
      <c r="P32" s="1671">
        <v>2</v>
      </c>
      <c r="Q32" s="1699"/>
      <c r="R32" s="1666">
        <v>5</v>
      </c>
      <c r="S32" s="1665"/>
      <c r="T32" s="1666"/>
      <c r="U32" s="1665"/>
      <c r="V32" s="1666">
        <v>3</v>
      </c>
      <c r="W32" s="1667">
        <v>2</v>
      </c>
      <c r="X32" s="1666"/>
      <c r="Y32" s="1667"/>
      <c r="Z32" s="1668">
        <f t="shared" si="4"/>
        <v>14</v>
      </c>
      <c r="AA32" s="1669">
        <v>8</v>
      </c>
      <c r="AB32" s="1669">
        <v>8</v>
      </c>
      <c r="AC32" s="1670" t="s">
        <v>31</v>
      </c>
      <c r="AD32" s="1671">
        <f t="shared" si="2"/>
        <v>55</v>
      </c>
    </row>
    <row r="33" spans="1:30" ht="31.5" customHeight="1" x14ac:dyDescent="0.3">
      <c r="A33" s="1638">
        <v>24</v>
      </c>
      <c r="B33" s="1652">
        <v>5191421024</v>
      </c>
      <c r="C33" s="1662"/>
      <c r="D33" s="1671"/>
      <c r="E33" s="1665"/>
      <c r="F33" s="1666"/>
      <c r="G33" s="1665">
        <v>1</v>
      </c>
      <c r="H33" s="1666"/>
      <c r="I33" s="1667"/>
      <c r="J33" s="1666"/>
      <c r="K33" s="1665"/>
      <c r="L33" s="1659"/>
      <c r="M33" s="1660">
        <v>1</v>
      </c>
      <c r="N33" s="1661">
        <f t="shared" si="3"/>
        <v>2</v>
      </c>
      <c r="O33" s="1662">
        <v>2</v>
      </c>
      <c r="P33" s="1671">
        <v>2</v>
      </c>
      <c r="Q33" s="1699">
        <v>2</v>
      </c>
      <c r="R33" s="1666">
        <v>5</v>
      </c>
      <c r="S33" s="1665">
        <v>2</v>
      </c>
      <c r="T33" s="1666"/>
      <c r="U33" s="1665"/>
      <c r="V33" s="1666"/>
      <c r="W33" s="1667"/>
      <c r="X33" s="1666">
        <v>3</v>
      </c>
      <c r="Y33" s="1667">
        <v>4</v>
      </c>
      <c r="Z33" s="1668">
        <f t="shared" si="4"/>
        <v>20</v>
      </c>
      <c r="AA33" s="1669">
        <v>8</v>
      </c>
      <c r="AB33" s="1669">
        <v>8</v>
      </c>
      <c r="AC33" s="1670" t="s">
        <v>29</v>
      </c>
      <c r="AD33" s="1671">
        <f t="shared" si="2"/>
        <v>39</v>
      </c>
    </row>
    <row r="34" spans="1:30" ht="31.5" customHeight="1" x14ac:dyDescent="0.3">
      <c r="A34" s="1638">
        <v>25</v>
      </c>
      <c r="B34" s="1652">
        <v>5191421025</v>
      </c>
      <c r="C34" s="1662">
        <v>2</v>
      </c>
      <c r="D34" s="1671">
        <v>2</v>
      </c>
      <c r="E34" s="1665">
        <v>2</v>
      </c>
      <c r="F34" s="1666"/>
      <c r="G34" s="1665"/>
      <c r="H34" s="1666">
        <v>6</v>
      </c>
      <c r="I34" s="1667">
        <v>4</v>
      </c>
      <c r="J34" s="1666"/>
      <c r="K34" s="1665"/>
      <c r="L34" s="1659">
        <v>6</v>
      </c>
      <c r="M34" s="1660">
        <v>5</v>
      </c>
      <c r="N34" s="1661">
        <f t="shared" si="3"/>
        <v>27</v>
      </c>
      <c r="O34" s="1662">
        <v>2</v>
      </c>
      <c r="P34" s="1671">
        <v>2</v>
      </c>
      <c r="Q34" s="1699">
        <v>2</v>
      </c>
      <c r="R34" s="1666">
        <v>6</v>
      </c>
      <c r="S34" s="1665">
        <v>6</v>
      </c>
      <c r="T34" s="1666"/>
      <c r="U34" s="1665"/>
      <c r="V34" s="1666">
        <v>6</v>
      </c>
      <c r="W34" s="1667">
        <v>6</v>
      </c>
      <c r="X34" s="1666"/>
      <c r="Y34" s="1667"/>
      <c r="Z34" s="1668">
        <f t="shared" si="4"/>
        <v>30</v>
      </c>
      <c r="AA34" s="1669">
        <v>10</v>
      </c>
      <c r="AB34" s="1669">
        <v>10</v>
      </c>
      <c r="AC34" s="1670" t="s">
        <v>30</v>
      </c>
      <c r="AD34" s="1671">
        <f t="shared" si="2"/>
        <v>90</v>
      </c>
    </row>
    <row r="35" spans="1:30" ht="31.5" customHeight="1" x14ac:dyDescent="0.3">
      <c r="A35" s="1638">
        <v>26</v>
      </c>
      <c r="B35" s="1652">
        <v>5191421026</v>
      </c>
      <c r="C35" s="1662">
        <v>2</v>
      </c>
      <c r="D35" s="1671">
        <v>2</v>
      </c>
      <c r="E35" s="1665">
        <v>1</v>
      </c>
      <c r="F35" s="1666">
        <v>6</v>
      </c>
      <c r="G35" s="1665">
        <v>0</v>
      </c>
      <c r="H35" s="1666"/>
      <c r="I35" s="1667"/>
      <c r="J35" s="1666"/>
      <c r="K35" s="1665"/>
      <c r="L35" s="1659"/>
      <c r="M35" s="1660"/>
      <c r="N35" s="1661">
        <f t="shared" si="3"/>
        <v>11</v>
      </c>
      <c r="O35" s="1662">
        <v>2</v>
      </c>
      <c r="P35" s="1671">
        <v>2</v>
      </c>
      <c r="Q35" s="1699">
        <v>2</v>
      </c>
      <c r="R35" s="1666">
        <v>6</v>
      </c>
      <c r="S35" s="1665">
        <v>2</v>
      </c>
      <c r="T35" s="1666"/>
      <c r="U35" s="1665"/>
      <c r="V35" s="1666">
        <v>4</v>
      </c>
      <c r="W35" s="1667">
        <v>4</v>
      </c>
      <c r="X35" s="1666"/>
      <c r="Y35" s="1667"/>
      <c r="Z35" s="1698">
        <f t="shared" si="4"/>
        <v>22</v>
      </c>
      <c r="AA35" s="1669">
        <v>9</v>
      </c>
      <c r="AB35" s="1669">
        <v>9</v>
      </c>
      <c r="AC35" s="1670" t="s">
        <v>27</v>
      </c>
      <c r="AD35" s="1671">
        <f t="shared" si="2"/>
        <v>80</v>
      </c>
    </row>
    <row r="36" spans="1:30" ht="31.5" customHeight="1" x14ac:dyDescent="0.3">
      <c r="A36" s="1638">
        <v>27</v>
      </c>
      <c r="B36" s="1652">
        <v>5191421027</v>
      </c>
      <c r="C36" s="1662">
        <v>2</v>
      </c>
      <c r="D36" s="1671"/>
      <c r="E36" s="1665">
        <v>2</v>
      </c>
      <c r="F36" s="1666">
        <v>6</v>
      </c>
      <c r="G36" s="1665">
        <v>0</v>
      </c>
      <c r="H36" s="1666"/>
      <c r="I36" s="1667"/>
      <c r="J36" s="1666">
        <v>3</v>
      </c>
      <c r="K36" s="1665">
        <v>6</v>
      </c>
      <c r="L36" s="1659"/>
      <c r="M36" s="1660"/>
      <c r="N36" s="1661">
        <f t="shared" si="3"/>
        <v>19</v>
      </c>
      <c r="O36" s="1662">
        <v>0</v>
      </c>
      <c r="P36" s="1671">
        <v>2</v>
      </c>
      <c r="Q36" s="1699">
        <v>2</v>
      </c>
      <c r="R36" s="1666"/>
      <c r="S36" s="1665"/>
      <c r="T36" s="1666">
        <v>5</v>
      </c>
      <c r="U36" s="1665"/>
      <c r="V36" s="1666">
        <v>6</v>
      </c>
      <c r="W36" s="1667">
        <v>5</v>
      </c>
      <c r="X36" s="1666"/>
      <c r="Y36" s="1667"/>
      <c r="Z36" s="1668">
        <f t="shared" si="4"/>
        <v>20</v>
      </c>
      <c r="AA36" s="1669">
        <v>10</v>
      </c>
      <c r="AB36" s="1669">
        <v>10</v>
      </c>
      <c r="AC36" s="1670" t="s">
        <v>27</v>
      </c>
      <c r="AD36" s="1671">
        <f t="shared" si="2"/>
        <v>80</v>
      </c>
    </row>
    <row r="37" spans="1:30" ht="31.5" customHeight="1" x14ac:dyDescent="0.3">
      <c r="A37" s="1638">
        <v>28</v>
      </c>
      <c r="B37" s="1652">
        <v>5191421028</v>
      </c>
      <c r="C37" s="1662">
        <v>2</v>
      </c>
      <c r="D37" s="1671">
        <v>2</v>
      </c>
      <c r="E37" s="1665">
        <v>2</v>
      </c>
      <c r="F37" s="1666"/>
      <c r="G37" s="1665"/>
      <c r="H37" s="1666">
        <v>6</v>
      </c>
      <c r="I37" s="1667">
        <v>3</v>
      </c>
      <c r="J37" s="1666"/>
      <c r="K37" s="1665"/>
      <c r="L37" s="1659">
        <v>6</v>
      </c>
      <c r="M37" s="1660">
        <v>0</v>
      </c>
      <c r="N37" s="1661">
        <f t="shared" si="3"/>
        <v>21</v>
      </c>
      <c r="O37" s="1662">
        <v>1</v>
      </c>
      <c r="P37" s="1671">
        <v>2</v>
      </c>
      <c r="Q37" s="1699">
        <v>2</v>
      </c>
      <c r="R37" s="1666"/>
      <c r="S37" s="1665">
        <v>6</v>
      </c>
      <c r="T37" s="1666"/>
      <c r="U37" s="1665"/>
      <c r="V37" s="1666">
        <v>6</v>
      </c>
      <c r="W37" s="1667">
        <v>6</v>
      </c>
      <c r="X37" s="1666"/>
      <c r="Y37" s="1667"/>
      <c r="Z37" s="1668">
        <f t="shared" si="4"/>
        <v>23</v>
      </c>
      <c r="AA37" s="1669">
        <v>9</v>
      </c>
      <c r="AB37" s="1669">
        <v>9</v>
      </c>
      <c r="AC37" s="1703" t="s">
        <v>30</v>
      </c>
      <c r="AD37" s="1671">
        <f t="shared" si="2"/>
        <v>90</v>
      </c>
    </row>
    <row r="38" spans="1:30" ht="31.5" customHeight="1" x14ac:dyDescent="0.3">
      <c r="A38" s="1638">
        <v>29</v>
      </c>
      <c r="B38" s="1652">
        <v>5191421029</v>
      </c>
      <c r="C38" s="1662">
        <v>2</v>
      </c>
      <c r="D38" s="1671">
        <v>2</v>
      </c>
      <c r="E38" s="1665">
        <v>2</v>
      </c>
      <c r="F38" s="1666">
        <v>6</v>
      </c>
      <c r="G38" s="1665">
        <v>6</v>
      </c>
      <c r="H38" s="1666"/>
      <c r="I38" s="1667"/>
      <c r="J38" s="1666"/>
      <c r="K38" s="1665">
        <v>0</v>
      </c>
      <c r="L38" s="1659">
        <v>3</v>
      </c>
      <c r="M38" s="1660">
        <v>2</v>
      </c>
      <c r="N38" s="1661">
        <f t="shared" si="3"/>
        <v>23</v>
      </c>
      <c r="O38" s="1662">
        <v>2</v>
      </c>
      <c r="P38" s="1671">
        <v>2</v>
      </c>
      <c r="Q38" s="1699">
        <v>2</v>
      </c>
      <c r="R38" s="1666"/>
      <c r="S38" s="1665">
        <v>6</v>
      </c>
      <c r="T38" s="1666"/>
      <c r="U38" s="1665"/>
      <c r="V38" s="1666">
        <v>6</v>
      </c>
      <c r="W38" s="1667">
        <v>6</v>
      </c>
      <c r="X38" s="1666"/>
      <c r="Y38" s="1667"/>
      <c r="Z38" s="1698">
        <f t="shared" si="4"/>
        <v>24</v>
      </c>
      <c r="AA38" s="1669">
        <v>10</v>
      </c>
      <c r="AB38" s="1669">
        <v>10</v>
      </c>
      <c r="AC38" s="1670" t="s">
        <v>30</v>
      </c>
      <c r="AD38" s="1671">
        <f t="shared" si="2"/>
        <v>90</v>
      </c>
    </row>
    <row r="39" spans="1:30" ht="31.5" customHeight="1" x14ac:dyDescent="0.3">
      <c r="A39" s="1638">
        <v>30</v>
      </c>
      <c r="B39" s="1652">
        <v>5191421030</v>
      </c>
      <c r="C39" s="1684">
        <v>1</v>
      </c>
      <c r="D39" s="1671">
        <v>2</v>
      </c>
      <c r="E39" s="1665">
        <v>1</v>
      </c>
      <c r="F39" s="1666">
        <v>0</v>
      </c>
      <c r="G39" s="1665"/>
      <c r="H39" s="1666"/>
      <c r="I39" s="1667"/>
      <c r="J39" s="1666"/>
      <c r="K39" s="1665"/>
      <c r="L39" s="1659"/>
      <c r="M39" s="1660"/>
      <c r="N39" s="1661">
        <f t="shared" si="3"/>
        <v>4</v>
      </c>
      <c r="O39" s="1662"/>
      <c r="P39" s="1671">
        <v>2</v>
      </c>
      <c r="Q39" s="1699"/>
      <c r="R39" s="1666">
        <v>1</v>
      </c>
      <c r="S39" s="1665">
        <v>4</v>
      </c>
      <c r="T39" s="1666"/>
      <c r="U39" s="1665"/>
      <c r="V39" s="1666"/>
      <c r="W39" s="1667"/>
      <c r="X39" s="1666"/>
      <c r="Y39" s="1667"/>
      <c r="Z39" s="1668">
        <f t="shared" si="4"/>
        <v>7</v>
      </c>
      <c r="AA39" s="1669">
        <v>9</v>
      </c>
      <c r="AB39" s="1669">
        <v>9</v>
      </c>
      <c r="AC39" s="1670" t="s">
        <v>29</v>
      </c>
      <c r="AD39" s="1671">
        <f t="shared" si="2"/>
        <v>39</v>
      </c>
    </row>
    <row r="40" spans="1:30" ht="31.5" customHeight="1" x14ac:dyDescent="0.3">
      <c r="A40" s="1638">
        <v>31</v>
      </c>
      <c r="B40" s="1652">
        <v>5191421031</v>
      </c>
      <c r="C40" s="1666"/>
      <c r="D40" s="1671">
        <v>2</v>
      </c>
      <c r="E40" s="1665">
        <v>2</v>
      </c>
      <c r="F40" s="1666"/>
      <c r="G40" s="1665">
        <v>6</v>
      </c>
      <c r="H40" s="1666"/>
      <c r="I40" s="1667"/>
      <c r="J40" s="1666">
        <v>0</v>
      </c>
      <c r="K40" s="1665">
        <v>6</v>
      </c>
      <c r="L40" s="1659"/>
      <c r="M40" s="1660"/>
      <c r="N40" s="1661">
        <f t="shared" si="3"/>
        <v>16</v>
      </c>
      <c r="O40" s="1662"/>
      <c r="P40" s="1671">
        <v>2</v>
      </c>
      <c r="Q40" s="1699">
        <v>2</v>
      </c>
      <c r="R40" s="1666"/>
      <c r="S40" s="1665">
        <v>2</v>
      </c>
      <c r="T40" s="1666"/>
      <c r="U40" s="1665"/>
      <c r="V40" s="1666">
        <v>4</v>
      </c>
      <c r="W40" s="1667">
        <v>3</v>
      </c>
      <c r="X40" s="1666"/>
      <c r="Y40" s="1667"/>
      <c r="Z40" s="1668">
        <f t="shared" si="4"/>
        <v>13</v>
      </c>
      <c r="AA40" s="1669">
        <v>10</v>
      </c>
      <c r="AB40" s="1669">
        <v>10</v>
      </c>
      <c r="AC40" s="1670" t="s">
        <v>27</v>
      </c>
      <c r="AD40" s="1671">
        <f t="shared" si="2"/>
        <v>80</v>
      </c>
    </row>
    <row r="41" spans="1:30" ht="31.5" customHeight="1" x14ac:dyDescent="0.3">
      <c r="A41" s="1638">
        <v>32</v>
      </c>
      <c r="B41" s="1652">
        <v>5191421032</v>
      </c>
      <c r="C41" s="1656">
        <v>0</v>
      </c>
      <c r="D41" s="1654">
        <v>0</v>
      </c>
      <c r="E41" s="1655">
        <v>0</v>
      </c>
      <c r="F41" s="1700">
        <v>3</v>
      </c>
      <c r="G41" s="1702">
        <v>0</v>
      </c>
      <c r="H41" s="1700"/>
      <c r="I41" s="1702"/>
      <c r="J41" s="1700">
        <v>0</v>
      </c>
      <c r="K41" s="1702"/>
      <c r="L41" s="1659"/>
      <c r="M41" s="1660"/>
      <c r="N41" s="1661">
        <f t="shared" si="3"/>
        <v>3</v>
      </c>
      <c r="O41" s="1666">
        <v>0</v>
      </c>
      <c r="P41" s="1671">
        <v>0</v>
      </c>
      <c r="Q41" s="1699">
        <v>1</v>
      </c>
      <c r="R41" s="1666">
        <v>2</v>
      </c>
      <c r="S41" s="1665">
        <v>3</v>
      </c>
      <c r="T41" s="1666"/>
      <c r="U41" s="1665"/>
      <c r="V41" s="1666">
        <v>3</v>
      </c>
      <c r="W41" s="1667">
        <v>3</v>
      </c>
      <c r="X41" s="1666"/>
      <c r="Y41" s="1667"/>
      <c r="Z41" s="1698">
        <f t="shared" si="4"/>
        <v>12</v>
      </c>
      <c r="AA41" s="1669">
        <v>8</v>
      </c>
      <c r="AB41" s="1669">
        <v>8</v>
      </c>
      <c r="AC41" s="1670" t="s">
        <v>28</v>
      </c>
      <c r="AD41" s="1671">
        <f t="shared" si="2"/>
        <v>50</v>
      </c>
    </row>
    <row r="42" spans="1:30" ht="31.5" customHeight="1" x14ac:dyDescent="0.3">
      <c r="A42" s="1638">
        <v>33</v>
      </c>
      <c r="B42" s="1652">
        <v>5191421033</v>
      </c>
      <c r="C42" s="1662">
        <v>2</v>
      </c>
      <c r="D42" s="1671">
        <v>2</v>
      </c>
      <c r="E42" s="1665">
        <v>2</v>
      </c>
      <c r="F42" s="1666">
        <v>6</v>
      </c>
      <c r="G42" s="1665">
        <v>5</v>
      </c>
      <c r="H42" s="1666"/>
      <c r="I42" s="1667"/>
      <c r="J42" s="1666"/>
      <c r="K42" s="1665"/>
      <c r="L42" s="1659">
        <v>6</v>
      </c>
      <c r="M42" s="1660">
        <v>6</v>
      </c>
      <c r="N42" s="1661">
        <f t="shared" si="3"/>
        <v>29</v>
      </c>
      <c r="O42" s="1662">
        <v>2</v>
      </c>
      <c r="P42" s="1671">
        <v>2</v>
      </c>
      <c r="Q42" s="1699">
        <v>2</v>
      </c>
      <c r="R42" s="1666">
        <v>6</v>
      </c>
      <c r="S42" s="1665">
        <v>5</v>
      </c>
      <c r="T42" s="1666"/>
      <c r="U42" s="1665"/>
      <c r="V42" s="1666"/>
      <c r="W42" s="1667"/>
      <c r="X42" s="1666">
        <v>3</v>
      </c>
      <c r="Y42" s="1667">
        <v>6</v>
      </c>
      <c r="Z42" s="1668">
        <f t="shared" si="4"/>
        <v>26</v>
      </c>
      <c r="AA42" s="1669">
        <v>10</v>
      </c>
      <c r="AB42" s="1669">
        <v>10</v>
      </c>
      <c r="AC42" s="1695" t="s">
        <v>30</v>
      </c>
      <c r="AD42" s="1671">
        <f t="shared" si="2"/>
        <v>90</v>
      </c>
    </row>
    <row r="43" spans="1:30" ht="31.5" customHeight="1" x14ac:dyDescent="0.3">
      <c r="A43" s="1638">
        <v>34</v>
      </c>
      <c r="B43" s="1652">
        <v>5191421034</v>
      </c>
      <c r="C43" s="1662">
        <v>2</v>
      </c>
      <c r="D43" s="1671">
        <v>2</v>
      </c>
      <c r="E43" s="1665">
        <v>2</v>
      </c>
      <c r="F43" s="1666">
        <v>6</v>
      </c>
      <c r="G43" s="1665">
        <v>5</v>
      </c>
      <c r="H43" s="1666"/>
      <c r="I43" s="1667"/>
      <c r="J43" s="1666">
        <v>6</v>
      </c>
      <c r="K43" s="1665"/>
      <c r="L43" s="1659"/>
      <c r="M43" s="1660"/>
      <c r="N43" s="1661">
        <f t="shared" si="3"/>
        <v>23</v>
      </c>
      <c r="O43" s="1666">
        <v>2</v>
      </c>
      <c r="P43" s="1671">
        <v>2</v>
      </c>
      <c r="Q43" s="1699">
        <v>2</v>
      </c>
      <c r="R43" s="1666">
        <v>4</v>
      </c>
      <c r="S43" s="1665">
        <v>5</v>
      </c>
      <c r="T43" s="1666"/>
      <c r="U43" s="1665"/>
      <c r="V43" s="1666">
        <v>6</v>
      </c>
      <c r="W43" s="1667">
        <v>3</v>
      </c>
      <c r="X43" s="1666"/>
      <c r="Y43" s="1667"/>
      <c r="Z43" s="1698">
        <f t="shared" si="4"/>
        <v>24</v>
      </c>
      <c r="AA43" s="1669">
        <v>10</v>
      </c>
      <c r="AB43" s="1669">
        <v>10</v>
      </c>
      <c r="AC43" s="1670" t="s">
        <v>27</v>
      </c>
      <c r="AD43" s="1671">
        <f t="shared" si="2"/>
        <v>80</v>
      </c>
    </row>
    <row r="44" spans="1:30" ht="31.5" customHeight="1" x14ac:dyDescent="0.3">
      <c r="A44" s="1638">
        <v>35</v>
      </c>
      <c r="B44" s="1652">
        <v>5191421035</v>
      </c>
      <c r="C44" s="1662"/>
      <c r="D44" s="1671"/>
      <c r="E44" s="1665"/>
      <c r="F44" s="1666">
        <v>0</v>
      </c>
      <c r="G44" s="1665">
        <v>2</v>
      </c>
      <c r="H44" s="1666"/>
      <c r="I44" s="1667"/>
      <c r="J44" s="1666">
        <v>0</v>
      </c>
      <c r="K44" s="1665">
        <v>0</v>
      </c>
      <c r="L44" s="1659"/>
      <c r="M44" s="1660"/>
      <c r="N44" s="1661">
        <f t="shared" si="3"/>
        <v>2</v>
      </c>
      <c r="O44" s="1662"/>
      <c r="P44" s="1671"/>
      <c r="Q44" s="1699">
        <v>2</v>
      </c>
      <c r="R44" s="1666">
        <v>5</v>
      </c>
      <c r="S44" s="1665"/>
      <c r="T44" s="1666"/>
      <c r="U44" s="1665"/>
      <c r="V44" s="1666">
        <v>1</v>
      </c>
      <c r="W44" s="1667"/>
      <c r="X44" s="1666"/>
      <c r="Y44" s="1667"/>
      <c r="Z44" s="1668">
        <f t="shared" si="4"/>
        <v>8</v>
      </c>
      <c r="AA44" s="1669">
        <v>8</v>
      </c>
      <c r="AB44" s="1669">
        <v>8</v>
      </c>
      <c r="AC44" s="1670" t="s">
        <v>28</v>
      </c>
      <c r="AD44" s="1671">
        <f t="shared" si="2"/>
        <v>50</v>
      </c>
    </row>
    <row r="45" spans="1:30" ht="31.5" customHeight="1" x14ac:dyDescent="0.3">
      <c r="A45" s="1638">
        <v>36</v>
      </c>
      <c r="B45" s="1652">
        <v>5191421036</v>
      </c>
      <c r="C45" s="1662">
        <v>2</v>
      </c>
      <c r="D45" s="1671">
        <v>2</v>
      </c>
      <c r="E45" s="1665">
        <v>2</v>
      </c>
      <c r="F45" s="1666">
        <v>6</v>
      </c>
      <c r="G45" s="1665">
        <v>6</v>
      </c>
      <c r="H45" s="1666"/>
      <c r="I45" s="1667"/>
      <c r="J45" s="1666"/>
      <c r="K45" s="1665"/>
      <c r="L45" s="1659">
        <v>6</v>
      </c>
      <c r="M45" s="1660">
        <v>5</v>
      </c>
      <c r="N45" s="1661">
        <f t="shared" si="3"/>
        <v>29</v>
      </c>
      <c r="O45" s="1662">
        <v>2</v>
      </c>
      <c r="P45" s="1671">
        <v>2</v>
      </c>
      <c r="Q45" s="1699">
        <v>2</v>
      </c>
      <c r="R45" s="1666">
        <v>5</v>
      </c>
      <c r="S45" s="1665">
        <v>5</v>
      </c>
      <c r="T45" s="1666"/>
      <c r="U45" s="1665"/>
      <c r="V45" s="1666">
        <v>6</v>
      </c>
      <c r="W45" s="1667">
        <v>4</v>
      </c>
      <c r="X45" s="1666"/>
      <c r="Y45" s="1667"/>
      <c r="Z45" s="1668">
        <f t="shared" si="4"/>
        <v>26</v>
      </c>
      <c r="AA45" s="1669">
        <v>10</v>
      </c>
      <c r="AB45" s="1669">
        <v>10</v>
      </c>
      <c r="AC45" s="1670" t="s">
        <v>30</v>
      </c>
      <c r="AD45" s="1671">
        <f t="shared" si="2"/>
        <v>90</v>
      </c>
    </row>
    <row r="46" spans="1:30" ht="31.5" customHeight="1" x14ac:dyDescent="0.3">
      <c r="A46" s="1638">
        <v>37</v>
      </c>
      <c r="B46" s="1652">
        <v>5191421037</v>
      </c>
      <c r="C46" s="1662">
        <v>2</v>
      </c>
      <c r="D46" s="1671">
        <v>0</v>
      </c>
      <c r="E46" s="1665">
        <v>1</v>
      </c>
      <c r="F46" s="1666">
        <v>2</v>
      </c>
      <c r="G46" s="1665">
        <v>0</v>
      </c>
      <c r="H46" s="1666"/>
      <c r="I46" s="1667"/>
      <c r="J46" s="1666"/>
      <c r="K46" s="1665"/>
      <c r="L46" s="1659"/>
      <c r="M46" s="1660"/>
      <c r="N46" s="1661">
        <f t="shared" si="3"/>
        <v>5</v>
      </c>
      <c r="O46" s="1662"/>
      <c r="P46" s="1671"/>
      <c r="Q46" s="1699"/>
      <c r="R46" s="1666"/>
      <c r="S46" s="1665"/>
      <c r="T46" s="1666"/>
      <c r="U46" s="1665"/>
      <c r="V46" s="1666"/>
      <c r="W46" s="1667"/>
      <c r="X46" s="1666"/>
      <c r="Y46" s="1667"/>
      <c r="Z46" s="1698" t="s">
        <v>154</v>
      </c>
      <c r="AA46" s="1669">
        <v>10</v>
      </c>
      <c r="AB46" s="1669">
        <v>10</v>
      </c>
      <c r="AC46" s="1695" t="s">
        <v>29</v>
      </c>
      <c r="AD46" s="1671">
        <f t="shared" si="2"/>
        <v>39</v>
      </c>
    </row>
    <row r="47" spans="1:30" ht="31.5" customHeight="1" x14ac:dyDescent="0.3">
      <c r="A47" s="1638">
        <v>38</v>
      </c>
      <c r="B47" s="1652">
        <v>5191421038</v>
      </c>
      <c r="C47" s="1662">
        <v>2</v>
      </c>
      <c r="D47" s="1671"/>
      <c r="E47" s="1665">
        <v>2</v>
      </c>
      <c r="F47" s="1666">
        <v>6</v>
      </c>
      <c r="G47" s="1665">
        <v>6</v>
      </c>
      <c r="H47" s="1666"/>
      <c r="I47" s="1667"/>
      <c r="J47" s="1666">
        <v>3</v>
      </c>
      <c r="K47" s="1665">
        <v>0</v>
      </c>
      <c r="L47" s="1659"/>
      <c r="M47" s="1660"/>
      <c r="N47" s="1661">
        <f t="shared" si="3"/>
        <v>19</v>
      </c>
      <c r="O47" s="1662">
        <v>1</v>
      </c>
      <c r="P47" s="1671">
        <v>1</v>
      </c>
      <c r="Q47" s="1699"/>
      <c r="R47" s="1666">
        <v>4</v>
      </c>
      <c r="S47" s="1665">
        <v>3</v>
      </c>
      <c r="T47" s="1666"/>
      <c r="U47" s="1665"/>
      <c r="V47" s="1666"/>
      <c r="W47" s="1667"/>
      <c r="X47" s="1666"/>
      <c r="Y47" s="1667"/>
      <c r="Z47" s="1668">
        <f t="shared" ref="Z47:Z67" si="5">SUM(O47:Y47)</f>
        <v>9</v>
      </c>
      <c r="AA47" s="1669">
        <v>9</v>
      </c>
      <c r="AB47" s="1669">
        <v>9</v>
      </c>
      <c r="AC47" s="1670" t="s">
        <v>31</v>
      </c>
      <c r="AD47" s="1671">
        <f t="shared" si="2"/>
        <v>55</v>
      </c>
    </row>
    <row r="48" spans="1:30" ht="31.5" customHeight="1" x14ac:dyDescent="0.3">
      <c r="A48" s="1638">
        <v>39</v>
      </c>
      <c r="B48" s="1652">
        <v>5191421039</v>
      </c>
      <c r="C48" s="1662">
        <v>2</v>
      </c>
      <c r="D48" s="1671">
        <v>2</v>
      </c>
      <c r="E48" s="1665">
        <v>2</v>
      </c>
      <c r="F48" s="1666"/>
      <c r="G48" s="1665"/>
      <c r="H48" s="1666">
        <v>6</v>
      </c>
      <c r="I48" s="1667">
        <v>4</v>
      </c>
      <c r="J48" s="1666">
        <v>5</v>
      </c>
      <c r="K48" s="1665">
        <v>6</v>
      </c>
      <c r="L48" s="1659"/>
      <c r="M48" s="1660"/>
      <c r="N48" s="1661">
        <f t="shared" si="3"/>
        <v>27</v>
      </c>
      <c r="O48" s="1662"/>
      <c r="P48" s="1671">
        <v>0</v>
      </c>
      <c r="Q48" s="1699">
        <v>2</v>
      </c>
      <c r="R48" s="1666">
        <v>6</v>
      </c>
      <c r="S48" s="1665">
        <v>3</v>
      </c>
      <c r="T48" s="1666"/>
      <c r="U48" s="1665"/>
      <c r="V48" s="1666"/>
      <c r="W48" s="1667"/>
      <c r="X48" s="1666"/>
      <c r="Y48" s="1667">
        <v>4</v>
      </c>
      <c r="Z48" s="1668">
        <f t="shared" si="5"/>
        <v>15</v>
      </c>
      <c r="AA48" s="1669">
        <v>9</v>
      </c>
      <c r="AB48" s="1669">
        <v>9</v>
      </c>
      <c r="AC48" s="1670" t="s">
        <v>32</v>
      </c>
      <c r="AD48" s="1671">
        <f t="shared" si="2"/>
        <v>70</v>
      </c>
    </row>
    <row r="49" spans="1:30" ht="31.5" customHeight="1" x14ac:dyDescent="0.3">
      <c r="A49" s="1638">
        <v>40</v>
      </c>
      <c r="B49" s="1652">
        <v>5191421040</v>
      </c>
      <c r="C49" s="1684">
        <v>2</v>
      </c>
      <c r="D49" s="1671">
        <v>2</v>
      </c>
      <c r="E49" s="1665">
        <v>2</v>
      </c>
      <c r="F49" s="1666">
        <v>6</v>
      </c>
      <c r="G49" s="1665">
        <v>0</v>
      </c>
      <c r="H49" s="1666"/>
      <c r="I49" s="1667"/>
      <c r="J49" s="1666">
        <v>5</v>
      </c>
      <c r="K49" s="1665">
        <v>0</v>
      </c>
      <c r="L49" s="1659"/>
      <c r="M49" s="1660"/>
      <c r="N49" s="1661">
        <f t="shared" si="3"/>
        <v>17</v>
      </c>
      <c r="O49" s="1662">
        <v>2</v>
      </c>
      <c r="P49" s="1671">
        <v>2</v>
      </c>
      <c r="Q49" s="1699">
        <v>2</v>
      </c>
      <c r="R49" s="1666">
        <v>6</v>
      </c>
      <c r="S49" s="1665">
        <v>4</v>
      </c>
      <c r="T49" s="1666"/>
      <c r="U49" s="1665"/>
      <c r="V49" s="1666">
        <v>4</v>
      </c>
      <c r="W49" s="1667">
        <v>2</v>
      </c>
      <c r="X49" s="1666"/>
      <c r="Y49" s="1667"/>
      <c r="Z49" s="1668">
        <f t="shared" si="5"/>
        <v>22</v>
      </c>
      <c r="AA49" s="1669">
        <v>9</v>
      </c>
      <c r="AB49" s="1669">
        <v>9</v>
      </c>
      <c r="AC49" s="1670" t="s">
        <v>27</v>
      </c>
      <c r="AD49" s="1671">
        <f t="shared" si="2"/>
        <v>80</v>
      </c>
    </row>
    <row r="50" spans="1:30" ht="31.5" customHeight="1" x14ac:dyDescent="0.3">
      <c r="A50" s="1638">
        <v>41</v>
      </c>
      <c r="B50" s="1652">
        <v>5191421041</v>
      </c>
      <c r="C50" s="1662"/>
      <c r="D50" s="1671"/>
      <c r="E50" s="1665"/>
      <c r="F50" s="1666"/>
      <c r="G50" s="1665"/>
      <c r="H50" s="1666"/>
      <c r="I50" s="1667"/>
      <c r="J50" s="1666"/>
      <c r="K50" s="1665"/>
      <c r="L50" s="1659"/>
      <c r="M50" s="1660"/>
      <c r="N50" s="1661" t="s">
        <v>154</v>
      </c>
      <c r="O50" s="1662"/>
      <c r="P50" s="1671"/>
      <c r="Q50" s="1699">
        <v>1</v>
      </c>
      <c r="R50" s="1666"/>
      <c r="S50" s="1665">
        <v>2</v>
      </c>
      <c r="T50" s="1666"/>
      <c r="U50" s="1665"/>
      <c r="V50" s="1666"/>
      <c r="W50" s="1667"/>
      <c r="X50" s="1666">
        <v>4</v>
      </c>
      <c r="Y50" s="1667">
        <v>5</v>
      </c>
      <c r="Z50" s="1668">
        <f t="shared" si="5"/>
        <v>12</v>
      </c>
      <c r="AA50" s="1669">
        <v>8</v>
      </c>
      <c r="AB50" s="1669">
        <v>8</v>
      </c>
      <c r="AC50" s="1670" t="s">
        <v>28</v>
      </c>
      <c r="AD50" s="1671">
        <f t="shared" si="2"/>
        <v>50</v>
      </c>
    </row>
    <row r="51" spans="1:30" ht="31.5" customHeight="1" x14ac:dyDescent="0.3">
      <c r="A51" s="1638">
        <v>42</v>
      </c>
      <c r="B51" s="1652">
        <v>5191421042</v>
      </c>
      <c r="C51" s="1662"/>
      <c r="D51" s="1671">
        <v>2</v>
      </c>
      <c r="E51" s="1665">
        <v>1</v>
      </c>
      <c r="F51" s="1666">
        <v>4</v>
      </c>
      <c r="G51" s="1665"/>
      <c r="H51" s="1666"/>
      <c r="I51" s="1667"/>
      <c r="J51" s="1666"/>
      <c r="K51" s="1665">
        <v>6</v>
      </c>
      <c r="L51" s="1659"/>
      <c r="M51" s="1660"/>
      <c r="N51" s="1661">
        <f t="shared" ref="N51:N58" si="6">SUM(C51:M51)</f>
        <v>13</v>
      </c>
      <c r="O51" s="1662"/>
      <c r="P51" s="1671">
        <v>2</v>
      </c>
      <c r="Q51" s="1699"/>
      <c r="R51" s="1666">
        <v>1</v>
      </c>
      <c r="S51" s="1665">
        <v>3</v>
      </c>
      <c r="T51" s="1666"/>
      <c r="U51" s="1665"/>
      <c r="V51" s="1666"/>
      <c r="W51" s="1667">
        <v>4</v>
      </c>
      <c r="X51" s="1666"/>
      <c r="Y51" s="1667"/>
      <c r="Z51" s="1668">
        <f t="shared" si="5"/>
        <v>10</v>
      </c>
      <c r="AA51" s="1669">
        <v>8</v>
      </c>
      <c r="AB51" s="1669">
        <v>8</v>
      </c>
      <c r="AC51" s="1695" t="s">
        <v>28</v>
      </c>
      <c r="AD51" s="1671">
        <f t="shared" si="2"/>
        <v>50</v>
      </c>
    </row>
    <row r="52" spans="1:30" ht="31.5" customHeight="1" x14ac:dyDescent="0.3">
      <c r="A52" s="1638">
        <v>43</v>
      </c>
      <c r="B52" s="1652">
        <v>5191421043</v>
      </c>
      <c r="C52" s="1662">
        <v>2</v>
      </c>
      <c r="D52" s="1671">
        <v>1</v>
      </c>
      <c r="E52" s="1665">
        <v>2</v>
      </c>
      <c r="F52" s="1666">
        <v>2</v>
      </c>
      <c r="G52" s="1665">
        <v>6</v>
      </c>
      <c r="H52" s="1666"/>
      <c r="I52" s="1667"/>
      <c r="J52" s="1666"/>
      <c r="K52" s="1665">
        <v>6</v>
      </c>
      <c r="L52" s="1659"/>
      <c r="M52" s="1660"/>
      <c r="N52" s="1661">
        <f t="shared" si="6"/>
        <v>19</v>
      </c>
      <c r="O52" s="1662">
        <v>2</v>
      </c>
      <c r="P52" s="1671">
        <v>1</v>
      </c>
      <c r="Q52" s="1699">
        <v>2</v>
      </c>
      <c r="R52" s="1666">
        <v>4</v>
      </c>
      <c r="S52" s="1665">
        <v>4</v>
      </c>
      <c r="T52" s="1666"/>
      <c r="U52" s="1665"/>
      <c r="V52" s="1666"/>
      <c r="W52" s="1667"/>
      <c r="X52" s="1666">
        <v>4</v>
      </c>
      <c r="Y52" s="1667">
        <v>4</v>
      </c>
      <c r="Z52" s="1668">
        <f t="shared" si="5"/>
        <v>21</v>
      </c>
      <c r="AA52" s="1669">
        <v>10</v>
      </c>
      <c r="AB52" s="1669">
        <v>10</v>
      </c>
      <c r="AC52" s="1670" t="s">
        <v>27</v>
      </c>
      <c r="AD52" s="1671">
        <f t="shared" si="2"/>
        <v>80</v>
      </c>
    </row>
    <row r="53" spans="1:30" ht="31.5" customHeight="1" x14ac:dyDescent="0.3">
      <c r="A53" s="1638">
        <v>44</v>
      </c>
      <c r="B53" s="1652">
        <v>5191421044</v>
      </c>
      <c r="C53" s="1662">
        <v>2</v>
      </c>
      <c r="D53" s="1671">
        <v>2</v>
      </c>
      <c r="E53" s="1665">
        <v>1</v>
      </c>
      <c r="F53" s="1666">
        <v>6</v>
      </c>
      <c r="G53" s="1665">
        <v>6</v>
      </c>
      <c r="H53" s="1666"/>
      <c r="I53" s="1667"/>
      <c r="J53" s="1666">
        <v>4</v>
      </c>
      <c r="K53" s="1665">
        <v>5</v>
      </c>
      <c r="L53" s="1659"/>
      <c r="M53" s="1660"/>
      <c r="N53" s="1661">
        <f t="shared" si="6"/>
        <v>26</v>
      </c>
      <c r="O53" s="1662">
        <v>2</v>
      </c>
      <c r="P53" s="1671">
        <v>2</v>
      </c>
      <c r="Q53" s="1699">
        <v>2</v>
      </c>
      <c r="R53" s="1666"/>
      <c r="S53" s="1665"/>
      <c r="T53" s="1666">
        <v>6</v>
      </c>
      <c r="U53" s="1665">
        <v>5</v>
      </c>
      <c r="V53" s="1666"/>
      <c r="W53" s="1667"/>
      <c r="X53" s="1666">
        <v>4</v>
      </c>
      <c r="Y53" s="1667">
        <v>6</v>
      </c>
      <c r="Z53" s="1668">
        <f t="shared" si="5"/>
        <v>27</v>
      </c>
      <c r="AA53" s="1669">
        <v>10</v>
      </c>
      <c r="AB53" s="1669">
        <v>10</v>
      </c>
      <c r="AC53" s="1670" t="s">
        <v>27</v>
      </c>
      <c r="AD53" s="1671">
        <f t="shared" si="2"/>
        <v>80</v>
      </c>
    </row>
    <row r="54" spans="1:30" ht="31.5" customHeight="1" x14ac:dyDescent="0.3">
      <c r="A54" s="1638">
        <v>45</v>
      </c>
      <c r="B54" s="1652">
        <v>5191421045</v>
      </c>
      <c r="C54" s="1684">
        <v>2</v>
      </c>
      <c r="D54" s="1671">
        <v>1</v>
      </c>
      <c r="E54" s="1665">
        <v>2</v>
      </c>
      <c r="F54" s="1666">
        <v>6</v>
      </c>
      <c r="G54" s="1665"/>
      <c r="H54" s="1666"/>
      <c r="I54" s="1667"/>
      <c r="J54" s="1666"/>
      <c r="K54" s="1665">
        <v>6</v>
      </c>
      <c r="L54" s="1659"/>
      <c r="M54" s="1660"/>
      <c r="N54" s="1661">
        <f t="shared" si="6"/>
        <v>17</v>
      </c>
      <c r="O54" s="1662">
        <v>1</v>
      </c>
      <c r="P54" s="1671"/>
      <c r="Q54" s="1699"/>
      <c r="R54" s="1666">
        <v>5</v>
      </c>
      <c r="S54" s="1665">
        <v>4</v>
      </c>
      <c r="T54" s="1666"/>
      <c r="U54" s="1665"/>
      <c r="V54" s="1666"/>
      <c r="W54" s="1667"/>
      <c r="X54" s="1666"/>
      <c r="Y54" s="1667"/>
      <c r="Z54" s="1668">
        <f t="shared" si="5"/>
        <v>10</v>
      </c>
      <c r="AA54" s="1669">
        <v>8</v>
      </c>
      <c r="AB54" s="1669">
        <v>8</v>
      </c>
      <c r="AC54" s="1670" t="s">
        <v>28</v>
      </c>
      <c r="AD54" s="1671">
        <f t="shared" si="2"/>
        <v>50</v>
      </c>
    </row>
    <row r="55" spans="1:30" ht="31.5" customHeight="1" x14ac:dyDescent="0.3">
      <c r="A55" s="1638">
        <v>46</v>
      </c>
      <c r="B55" s="1652">
        <v>5191421046</v>
      </c>
      <c r="C55" s="1662">
        <v>2</v>
      </c>
      <c r="D55" s="1671">
        <v>2</v>
      </c>
      <c r="E55" s="1665">
        <v>2</v>
      </c>
      <c r="F55" s="1666">
        <v>6</v>
      </c>
      <c r="G55" s="1665"/>
      <c r="H55" s="1666"/>
      <c r="I55" s="1667"/>
      <c r="J55" s="1666">
        <v>0</v>
      </c>
      <c r="K55" s="1665">
        <v>6</v>
      </c>
      <c r="L55" s="1659"/>
      <c r="M55" s="1660"/>
      <c r="N55" s="1661">
        <f t="shared" si="6"/>
        <v>18</v>
      </c>
      <c r="O55" s="1662">
        <v>1</v>
      </c>
      <c r="P55" s="1671">
        <v>2</v>
      </c>
      <c r="Q55" s="1699">
        <v>2</v>
      </c>
      <c r="R55" s="1666">
        <v>5</v>
      </c>
      <c r="S55" s="1665">
        <v>5</v>
      </c>
      <c r="T55" s="1666"/>
      <c r="U55" s="1665"/>
      <c r="V55" s="1666"/>
      <c r="W55" s="1667"/>
      <c r="X55" s="1666">
        <v>3</v>
      </c>
      <c r="Y55" s="1667">
        <v>5</v>
      </c>
      <c r="Z55" s="1668">
        <f t="shared" si="5"/>
        <v>23</v>
      </c>
      <c r="AA55" s="1669">
        <v>8</v>
      </c>
      <c r="AB55" s="1669">
        <v>8</v>
      </c>
      <c r="AC55" s="1670" t="s">
        <v>27</v>
      </c>
      <c r="AD55" s="1671">
        <f t="shared" si="2"/>
        <v>80</v>
      </c>
    </row>
    <row r="56" spans="1:30" ht="31.5" customHeight="1" x14ac:dyDescent="0.3">
      <c r="A56" s="1638">
        <v>47</v>
      </c>
      <c r="B56" s="1652">
        <v>5191421047</v>
      </c>
      <c r="C56" s="1662">
        <v>1</v>
      </c>
      <c r="D56" s="1671"/>
      <c r="E56" s="1665">
        <v>1</v>
      </c>
      <c r="F56" s="1666">
        <v>2</v>
      </c>
      <c r="G56" s="1665">
        <v>0</v>
      </c>
      <c r="H56" s="1666"/>
      <c r="I56" s="1667"/>
      <c r="J56" s="1666"/>
      <c r="K56" s="1665"/>
      <c r="L56" s="1659"/>
      <c r="M56" s="1660"/>
      <c r="N56" s="1661">
        <f t="shared" si="6"/>
        <v>4</v>
      </c>
      <c r="O56" s="1662">
        <v>1</v>
      </c>
      <c r="P56" s="1671"/>
      <c r="Q56" s="1699"/>
      <c r="R56" s="1666"/>
      <c r="S56" s="1665">
        <v>3</v>
      </c>
      <c r="T56" s="1666"/>
      <c r="U56" s="1665"/>
      <c r="V56" s="1666"/>
      <c r="W56" s="1667"/>
      <c r="X56" s="1666"/>
      <c r="Y56" s="1667"/>
      <c r="Z56" s="1668">
        <f t="shared" si="5"/>
        <v>4</v>
      </c>
      <c r="AA56" s="1669">
        <v>9</v>
      </c>
      <c r="AB56" s="1669">
        <v>9</v>
      </c>
      <c r="AC56" s="1670" t="s">
        <v>29</v>
      </c>
      <c r="AD56" s="1671">
        <f t="shared" si="2"/>
        <v>39</v>
      </c>
    </row>
    <row r="57" spans="1:30" ht="31.5" customHeight="1" x14ac:dyDescent="0.3">
      <c r="A57" s="1638">
        <v>48</v>
      </c>
      <c r="B57" s="1652">
        <v>5191421048</v>
      </c>
      <c r="C57" s="1662">
        <v>2</v>
      </c>
      <c r="D57" s="1671">
        <v>2</v>
      </c>
      <c r="E57" s="1665">
        <v>1</v>
      </c>
      <c r="F57" s="1666">
        <v>6</v>
      </c>
      <c r="G57" s="1665">
        <v>0</v>
      </c>
      <c r="H57" s="1666"/>
      <c r="I57" s="1667"/>
      <c r="J57" s="1666"/>
      <c r="K57" s="1665"/>
      <c r="L57" s="1659"/>
      <c r="M57" s="1660"/>
      <c r="N57" s="1661">
        <f t="shared" si="6"/>
        <v>11</v>
      </c>
      <c r="O57" s="1662"/>
      <c r="P57" s="1671"/>
      <c r="Q57" s="1699">
        <v>1</v>
      </c>
      <c r="R57" s="1666">
        <v>6</v>
      </c>
      <c r="S57" s="1665">
        <v>3</v>
      </c>
      <c r="T57" s="1666"/>
      <c r="U57" s="1665"/>
      <c r="V57" s="1666"/>
      <c r="W57" s="1667"/>
      <c r="X57" s="1666"/>
      <c r="Y57" s="1667">
        <v>5</v>
      </c>
      <c r="Z57" s="1668">
        <f t="shared" si="5"/>
        <v>15</v>
      </c>
      <c r="AA57" s="1669">
        <v>9</v>
      </c>
      <c r="AB57" s="1669">
        <v>9</v>
      </c>
      <c r="AC57" s="1670" t="s">
        <v>32</v>
      </c>
      <c r="AD57" s="1671">
        <f t="shared" si="2"/>
        <v>70</v>
      </c>
    </row>
    <row r="58" spans="1:30" ht="31.5" customHeight="1" x14ac:dyDescent="0.3">
      <c r="A58" s="1638">
        <v>49</v>
      </c>
      <c r="B58" s="1652">
        <v>5191421049</v>
      </c>
      <c r="C58" s="1662">
        <v>0</v>
      </c>
      <c r="D58" s="1671">
        <v>0</v>
      </c>
      <c r="E58" s="1665">
        <v>0</v>
      </c>
      <c r="F58" s="1666">
        <v>0</v>
      </c>
      <c r="G58" s="1665">
        <v>0</v>
      </c>
      <c r="H58" s="1666"/>
      <c r="I58" s="1667"/>
      <c r="J58" s="1666"/>
      <c r="K58" s="1665">
        <v>0</v>
      </c>
      <c r="L58" s="1659"/>
      <c r="M58" s="1660"/>
      <c r="N58" s="1661">
        <f t="shared" si="6"/>
        <v>0</v>
      </c>
      <c r="O58" s="1662"/>
      <c r="P58" s="1671">
        <v>2</v>
      </c>
      <c r="Q58" s="1699">
        <v>2</v>
      </c>
      <c r="R58" s="1666"/>
      <c r="S58" s="1665">
        <v>4</v>
      </c>
      <c r="T58" s="1666"/>
      <c r="U58" s="1665"/>
      <c r="V58" s="1666">
        <v>4</v>
      </c>
      <c r="W58" s="1667"/>
      <c r="X58" s="1666"/>
      <c r="Y58" s="1667"/>
      <c r="Z58" s="1668">
        <f t="shared" si="5"/>
        <v>12</v>
      </c>
      <c r="AA58" s="1669">
        <v>8</v>
      </c>
      <c r="AB58" s="1669">
        <v>8</v>
      </c>
      <c r="AC58" s="1670" t="s">
        <v>32</v>
      </c>
      <c r="AD58" s="1671">
        <f t="shared" si="2"/>
        <v>70</v>
      </c>
    </row>
    <row r="59" spans="1:30" ht="31.5" customHeight="1" x14ac:dyDescent="0.3">
      <c r="A59" s="1638">
        <v>50</v>
      </c>
      <c r="B59" s="1652">
        <v>5191421050</v>
      </c>
      <c r="C59" s="1662"/>
      <c r="D59" s="1671"/>
      <c r="E59" s="1665"/>
      <c r="F59" s="1666"/>
      <c r="G59" s="1665"/>
      <c r="H59" s="1666"/>
      <c r="I59" s="1667"/>
      <c r="J59" s="1666"/>
      <c r="K59" s="1665"/>
      <c r="L59" s="1659"/>
      <c r="M59" s="1660"/>
      <c r="N59" s="1661" t="s">
        <v>154</v>
      </c>
      <c r="O59" s="1662">
        <v>1</v>
      </c>
      <c r="P59" s="1671">
        <v>2</v>
      </c>
      <c r="Q59" s="1699">
        <v>2</v>
      </c>
      <c r="R59" s="1666"/>
      <c r="S59" s="1665">
        <v>5</v>
      </c>
      <c r="T59" s="1666"/>
      <c r="U59" s="1665"/>
      <c r="V59" s="1666">
        <v>5</v>
      </c>
      <c r="W59" s="1667">
        <v>5</v>
      </c>
      <c r="X59" s="1666"/>
      <c r="Y59" s="1667"/>
      <c r="Z59" s="1668">
        <f t="shared" si="5"/>
        <v>20</v>
      </c>
      <c r="AA59" s="1669">
        <v>9</v>
      </c>
      <c r="AB59" s="1669">
        <v>9</v>
      </c>
      <c r="AC59" s="1670" t="s">
        <v>33</v>
      </c>
      <c r="AD59" s="1671">
        <f t="shared" si="2"/>
        <v>60</v>
      </c>
    </row>
    <row r="60" spans="1:30" ht="31.5" customHeight="1" x14ac:dyDescent="0.3">
      <c r="A60" s="1638">
        <v>51</v>
      </c>
      <c r="B60" s="1652">
        <v>5191421051</v>
      </c>
      <c r="C60" s="1678">
        <v>2</v>
      </c>
      <c r="D60" s="1675">
        <v>2</v>
      </c>
      <c r="E60" s="1676">
        <v>2</v>
      </c>
      <c r="F60" s="1674"/>
      <c r="G60" s="1665"/>
      <c r="H60" s="1674">
        <v>6</v>
      </c>
      <c r="I60" s="1677">
        <v>6</v>
      </c>
      <c r="J60" s="1674">
        <v>5</v>
      </c>
      <c r="K60" s="1676">
        <v>6</v>
      </c>
      <c r="L60" s="1659"/>
      <c r="M60" s="1660"/>
      <c r="N60" s="1661">
        <f t="shared" ref="N60:N67" si="7">SUM(C60:M60)</f>
        <v>29</v>
      </c>
      <c r="O60" s="1678">
        <v>2</v>
      </c>
      <c r="P60" s="1675">
        <v>2</v>
      </c>
      <c r="Q60" s="1704">
        <v>2</v>
      </c>
      <c r="R60" s="1674"/>
      <c r="S60" s="1665"/>
      <c r="T60" s="1666">
        <v>4</v>
      </c>
      <c r="U60" s="1665">
        <v>5</v>
      </c>
      <c r="V60" s="1666"/>
      <c r="W60" s="1677"/>
      <c r="X60" s="1674">
        <v>4</v>
      </c>
      <c r="Y60" s="1667">
        <v>6</v>
      </c>
      <c r="Z60" s="1668">
        <f t="shared" si="5"/>
        <v>25</v>
      </c>
      <c r="AA60" s="1669">
        <v>9</v>
      </c>
      <c r="AB60" s="1669">
        <v>9</v>
      </c>
      <c r="AC60" s="1670" t="s">
        <v>30</v>
      </c>
      <c r="AD60" s="1671">
        <f t="shared" si="2"/>
        <v>90</v>
      </c>
    </row>
    <row r="61" spans="1:30" ht="31.5" customHeight="1" x14ac:dyDescent="0.3">
      <c r="A61" s="1638">
        <v>52</v>
      </c>
      <c r="B61" s="1652">
        <v>5191421052</v>
      </c>
      <c r="C61" s="1678">
        <v>2</v>
      </c>
      <c r="D61" s="1675">
        <v>2</v>
      </c>
      <c r="E61" s="1676">
        <v>2</v>
      </c>
      <c r="F61" s="1674"/>
      <c r="G61" s="1665"/>
      <c r="H61" s="1674">
        <v>6</v>
      </c>
      <c r="I61" s="1677">
        <v>6</v>
      </c>
      <c r="J61" s="1674"/>
      <c r="K61" s="1676"/>
      <c r="L61" s="1659">
        <v>6</v>
      </c>
      <c r="M61" s="1660">
        <v>5</v>
      </c>
      <c r="N61" s="1661">
        <f t="shared" si="7"/>
        <v>29</v>
      </c>
      <c r="O61" s="1678">
        <v>2</v>
      </c>
      <c r="P61" s="1675">
        <v>2</v>
      </c>
      <c r="Q61" s="1704">
        <v>2</v>
      </c>
      <c r="R61" s="1674">
        <v>6</v>
      </c>
      <c r="S61" s="1665">
        <v>5</v>
      </c>
      <c r="T61" s="1666"/>
      <c r="U61" s="1665"/>
      <c r="V61" s="1666"/>
      <c r="W61" s="1677"/>
      <c r="X61" s="1674">
        <v>5</v>
      </c>
      <c r="Y61" s="1667">
        <v>5</v>
      </c>
      <c r="Z61" s="1668">
        <f t="shared" si="5"/>
        <v>27</v>
      </c>
      <c r="AA61" s="1669">
        <v>10</v>
      </c>
      <c r="AB61" s="1669">
        <v>10</v>
      </c>
      <c r="AC61" s="1670" t="s">
        <v>30</v>
      </c>
      <c r="AD61" s="1671">
        <f>IF(AC61="O",100,IF(AC61="A+",90,IF(AC61="A",80,IF(AC61="B+",70,IF(AC61="B",60,IF(AC61="C",55,IF(AC61="P",50,IF(AC61="F",39))))))))</f>
        <v>90</v>
      </c>
    </row>
    <row r="62" spans="1:30" ht="31.5" customHeight="1" x14ac:dyDescent="0.3">
      <c r="A62" s="1638">
        <v>53</v>
      </c>
      <c r="B62" s="1652">
        <v>5191421053</v>
      </c>
      <c r="C62" s="1678">
        <v>2</v>
      </c>
      <c r="D62" s="1675">
        <v>2</v>
      </c>
      <c r="E62" s="1676">
        <v>1</v>
      </c>
      <c r="F62" s="1674"/>
      <c r="G62" s="1665"/>
      <c r="H62" s="1674">
        <v>5</v>
      </c>
      <c r="I62" s="1677">
        <v>6</v>
      </c>
      <c r="J62" s="1674"/>
      <c r="K62" s="1676"/>
      <c r="L62" s="1659">
        <v>0</v>
      </c>
      <c r="M62" s="1660">
        <v>0</v>
      </c>
      <c r="N62" s="1661">
        <f t="shared" si="7"/>
        <v>16</v>
      </c>
      <c r="O62" s="1678">
        <v>1</v>
      </c>
      <c r="P62" s="1675">
        <v>2</v>
      </c>
      <c r="Q62" s="1704">
        <v>2</v>
      </c>
      <c r="R62" s="1674">
        <v>6</v>
      </c>
      <c r="S62" s="1665">
        <v>5</v>
      </c>
      <c r="T62" s="1666"/>
      <c r="U62" s="1665"/>
      <c r="V62" s="1666">
        <v>5</v>
      </c>
      <c r="W62" s="1677">
        <v>4</v>
      </c>
      <c r="X62" s="1674"/>
      <c r="Y62" s="1667"/>
      <c r="Z62" s="1668">
        <f t="shared" si="5"/>
        <v>25</v>
      </c>
      <c r="AA62" s="1669">
        <v>8</v>
      </c>
      <c r="AB62" s="1669">
        <v>8</v>
      </c>
      <c r="AC62" s="1670" t="s">
        <v>32</v>
      </c>
      <c r="AD62" s="1671">
        <f t="shared" si="2"/>
        <v>70</v>
      </c>
    </row>
    <row r="63" spans="1:30" ht="31.5" customHeight="1" x14ac:dyDescent="0.3">
      <c r="A63" s="1638">
        <v>54</v>
      </c>
      <c r="B63" s="1652">
        <v>5191421054</v>
      </c>
      <c r="C63" s="1678">
        <v>2</v>
      </c>
      <c r="D63" s="1675">
        <v>2</v>
      </c>
      <c r="E63" s="1676">
        <v>2</v>
      </c>
      <c r="F63" s="1674"/>
      <c r="G63" s="1665"/>
      <c r="H63" s="1674">
        <v>6</v>
      </c>
      <c r="I63" s="1677"/>
      <c r="J63" s="1674"/>
      <c r="K63" s="1676">
        <v>6</v>
      </c>
      <c r="L63" s="1659"/>
      <c r="M63" s="1660"/>
      <c r="N63" s="1661">
        <f t="shared" si="7"/>
        <v>18</v>
      </c>
      <c r="O63" s="1678"/>
      <c r="P63" s="1675">
        <v>2</v>
      </c>
      <c r="Q63" s="1704">
        <v>2</v>
      </c>
      <c r="R63" s="1674">
        <v>6</v>
      </c>
      <c r="S63" s="1665">
        <v>3</v>
      </c>
      <c r="T63" s="1666"/>
      <c r="U63" s="1665"/>
      <c r="V63" s="1666">
        <v>5</v>
      </c>
      <c r="W63" s="1677">
        <v>1</v>
      </c>
      <c r="X63" s="1674"/>
      <c r="Y63" s="1667"/>
      <c r="Z63" s="1668">
        <f t="shared" si="5"/>
        <v>19</v>
      </c>
      <c r="AA63" s="1669">
        <v>9</v>
      </c>
      <c r="AB63" s="1669">
        <v>9</v>
      </c>
      <c r="AC63" s="1670" t="s">
        <v>32</v>
      </c>
      <c r="AD63" s="1671">
        <f t="shared" si="2"/>
        <v>70</v>
      </c>
    </row>
    <row r="64" spans="1:30" ht="31.5" customHeight="1" x14ac:dyDescent="0.3">
      <c r="A64" s="1638">
        <v>55</v>
      </c>
      <c r="B64" s="1652">
        <v>5191421055</v>
      </c>
      <c r="C64" s="1678">
        <v>2</v>
      </c>
      <c r="D64" s="1675">
        <v>2</v>
      </c>
      <c r="E64" s="1676">
        <v>2</v>
      </c>
      <c r="F64" s="1674"/>
      <c r="G64" s="1665"/>
      <c r="H64" s="1674">
        <v>6</v>
      </c>
      <c r="I64" s="1677">
        <v>6</v>
      </c>
      <c r="J64" s="1674"/>
      <c r="K64" s="1676">
        <v>6</v>
      </c>
      <c r="L64" s="1659"/>
      <c r="M64" s="1660"/>
      <c r="N64" s="1661">
        <f t="shared" si="7"/>
        <v>24</v>
      </c>
      <c r="O64" s="1678">
        <v>1</v>
      </c>
      <c r="P64" s="1675">
        <v>2</v>
      </c>
      <c r="Q64" s="1704">
        <v>2</v>
      </c>
      <c r="R64" s="1674"/>
      <c r="S64" s="1665">
        <v>4</v>
      </c>
      <c r="T64" s="1666"/>
      <c r="U64" s="1665"/>
      <c r="V64" s="1666">
        <v>5</v>
      </c>
      <c r="W64" s="1677">
        <v>3</v>
      </c>
      <c r="X64" s="1674"/>
      <c r="Y64" s="1667"/>
      <c r="Z64" s="1668">
        <f t="shared" si="5"/>
        <v>17</v>
      </c>
      <c r="AA64" s="1669">
        <v>8</v>
      </c>
      <c r="AB64" s="1669">
        <v>8</v>
      </c>
      <c r="AC64" s="1670" t="s">
        <v>32</v>
      </c>
      <c r="AD64" s="1671">
        <f t="shared" si="2"/>
        <v>70</v>
      </c>
    </row>
    <row r="65" spans="1:30" ht="31.5" customHeight="1" x14ac:dyDescent="0.3">
      <c r="A65" s="1638">
        <v>56</v>
      </c>
      <c r="B65" s="1652">
        <v>5191421056</v>
      </c>
      <c r="C65" s="1678">
        <v>2</v>
      </c>
      <c r="D65" s="1675">
        <v>0</v>
      </c>
      <c r="E65" s="1676">
        <v>2</v>
      </c>
      <c r="F65" s="1674"/>
      <c r="G65" s="1665"/>
      <c r="H65" s="1674">
        <v>4</v>
      </c>
      <c r="I65" s="1677">
        <v>2</v>
      </c>
      <c r="J65" s="1674"/>
      <c r="K65" s="1676">
        <v>5</v>
      </c>
      <c r="L65" s="1659"/>
      <c r="M65" s="1660"/>
      <c r="N65" s="1661">
        <f t="shared" si="7"/>
        <v>15</v>
      </c>
      <c r="O65" s="1678"/>
      <c r="P65" s="1675">
        <v>2</v>
      </c>
      <c r="Q65" s="1704">
        <v>2</v>
      </c>
      <c r="R65" s="1674"/>
      <c r="S65" s="1665">
        <v>4</v>
      </c>
      <c r="T65" s="1666"/>
      <c r="U65" s="1665"/>
      <c r="V65" s="1666">
        <v>4</v>
      </c>
      <c r="W65" s="1677">
        <v>2</v>
      </c>
      <c r="X65" s="1674"/>
      <c r="Y65" s="1667"/>
      <c r="Z65" s="1668">
        <f t="shared" si="5"/>
        <v>14</v>
      </c>
      <c r="AA65" s="1669">
        <v>9</v>
      </c>
      <c r="AB65" s="1669">
        <v>9</v>
      </c>
      <c r="AC65" s="1670" t="s">
        <v>27</v>
      </c>
      <c r="AD65" s="1671">
        <f t="shared" si="2"/>
        <v>80</v>
      </c>
    </row>
    <row r="66" spans="1:30" ht="31.5" customHeight="1" x14ac:dyDescent="0.3">
      <c r="A66" s="1638">
        <v>57</v>
      </c>
      <c r="B66" s="1652">
        <v>5191421057</v>
      </c>
      <c r="C66" s="1678">
        <v>2</v>
      </c>
      <c r="D66" s="1675">
        <v>2</v>
      </c>
      <c r="E66" s="1676">
        <v>2</v>
      </c>
      <c r="F66" s="1674">
        <v>6</v>
      </c>
      <c r="G66" s="1665">
        <v>6</v>
      </c>
      <c r="H66" s="1674"/>
      <c r="I66" s="1677"/>
      <c r="J66" s="1674"/>
      <c r="K66" s="1676"/>
      <c r="L66" s="1659">
        <v>6</v>
      </c>
      <c r="M66" s="1660">
        <v>6</v>
      </c>
      <c r="N66" s="1661">
        <f t="shared" si="7"/>
        <v>30</v>
      </c>
      <c r="O66" s="1678">
        <v>2</v>
      </c>
      <c r="P66" s="1675">
        <v>2</v>
      </c>
      <c r="Q66" s="1704">
        <v>2</v>
      </c>
      <c r="R66" s="1674"/>
      <c r="S66" s="1665">
        <v>5</v>
      </c>
      <c r="T66" s="1666"/>
      <c r="U66" s="1665"/>
      <c r="V66" s="1666">
        <v>6</v>
      </c>
      <c r="W66" s="1677">
        <v>3</v>
      </c>
      <c r="X66" s="1674"/>
      <c r="Y66" s="1677"/>
      <c r="Z66" s="1668">
        <f t="shared" si="5"/>
        <v>20</v>
      </c>
      <c r="AA66" s="1669">
        <v>10</v>
      </c>
      <c r="AB66" s="1669">
        <v>10</v>
      </c>
      <c r="AC66" s="1705" t="s">
        <v>82</v>
      </c>
      <c r="AD66" s="1671">
        <f t="shared" si="2"/>
        <v>100</v>
      </c>
    </row>
    <row r="67" spans="1:30" ht="31.5" customHeight="1" thickBot="1" x14ac:dyDescent="0.35">
      <c r="A67" s="1638">
        <v>58</v>
      </c>
      <c r="B67" s="1652">
        <v>5191421058</v>
      </c>
      <c r="C67" s="1706"/>
      <c r="D67" s="1707">
        <v>2</v>
      </c>
      <c r="E67" s="1708">
        <v>0</v>
      </c>
      <c r="F67" s="1709"/>
      <c r="G67" s="1708">
        <v>0</v>
      </c>
      <c r="H67" s="1709"/>
      <c r="I67" s="1710"/>
      <c r="J67" s="1709"/>
      <c r="K67" s="1708"/>
      <c r="L67" s="1711"/>
      <c r="M67" s="1712"/>
      <c r="N67" s="1661">
        <f t="shared" si="7"/>
        <v>2</v>
      </c>
      <c r="O67" s="1706" t="s">
        <v>291</v>
      </c>
      <c r="P67" s="1707">
        <v>2</v>
      </c>
      <c r="Q67" s="1713">
        <v>2</v>
      </c>
      <c r="R67" s="1709"/>
      <c r="S67" s="1708">
        <v>3</v>
      </c>
      <c r="T67" s="1709"/>
      <c r="U67" s="1708"/>
      <c r="V67" s="1709">
        <v>4</v>
      </c>
      <c r="W67" s="1710">
        <v>2</v>
      </c>
      <c r="X67" s="1709"/>
      <c r="Y67" s="1708"/>
      <c r="Z67" s="1714">
        <f t="shared" si="5"/>
        <v>13</v>
      </c>
      <c r="AA67" s="1669">
        <v>8</v>
      </c>
      <c r="AB67" s="1669">
        <v>8</v>
      </c>
      <c r="AC67" s="1715" t="s">
        <v>31</v>
      </c>
      <c r="AD67" s="1671">
        <f t="shared" si="2"/>
        <v>55</v>
      </c>
    </row>
    <row r="68" spans="1:30" ht="31.5" customHeight="1" x14ac:dyDescent="0.3">
      <c r="C68" s="1716">
        <f t="shared" ref="C68:M68" si="8">COUNT(C11:C67)</f>
        <v>46</v>
      </c>
      <c r="D68" s="1716">
        <f t="shared" si="8"/>
        <v>47</v>
      </c>
      <c r="E68" s="1716">
        <f t="shared" si="8"/>
        <v>49</v>
      </c>
      <c r="F68" s="1716">
        <f t="shared" si="8"/>
        <v>36</v>
      </c>
      <c r="G68" s="1716">
        <f t="shared" si="8"/>
        <v>32</v>
      </c>
      <c r="H68" s="1716">
        <f t="shared" si="8"/>
        <v>14</v>
      </c>
      <c r="I68" s="1716">
        <f t="shared" si="8"/>
        <v>14</v>
      </c>
      <c r="J68" s="1716">
        <f t="shared" si="8"/>
        <v>17</v>
      </c>
      <c r="K68" s="1716">
        <f t="shared" si="8"/>
        <v>25</v>
      </c>
      <c r="L68" s="1716">
        <f t="shared" si="8"/>
        <v>17</v>
      </c>
      <c r="M68" s="1716">
        <f t="shared" si="8"/>
        <v>17</v>
      </c>
      <c r="N68" s="1716"/>
      <c r="O68" s="1716">
        <f t="shared" ref="O68:Y68" si="9">COUNT(O10:O67)</f>
        <v>40</v>
      </c>
      <c r="P68" s="1716">
        <f t="shared" si="9"/>
        <v>51</v>
      </c>
      <c r="Q68" s="1716">
        <f t="shared" si="9"/>
        <v>50</v>
      </c>
      <c r="R68" s="1716">
        <f t="shared" si="9"/>
        <v>37</v>
      </c>
      <c r="S68" s="1716">
        <f t="shared" si="9"/>
        <v>46</v>
      </c>
      <c r="T68" s="1716">
        <f t="shared" si="9"/>
        <v>5</v>
      </c>
      <c r="U68" s="1716">
        <f t="shared" si="9"/>
        <v>4</v>
      </c>
      <c r="V68" s="1716">
        <f t="shared" si="9"/>
        <v>36</v>
      </c>
      <c r="W68" s="1716">
        <f t="shared" si="9"/>
        <v>33</v>
      </c>
      <c r="X68" s="1716">
        <f t="shared" si="9"/>
        <v>12</v>
      </c>
      <c r="Y68" s="1716">
        <f t="shared" si="9"/>
        <v>14</v>
      </c>
      <c r="AA68" s="1716">
        <f t="shared" ref="AA68:AB68" si="10">COUNT(AA10:AA67)</f>
        <v>58</v>
      </c>
      <c r="AB68" s="1716">
        <f t="shared" si="10"/>
        <v>58</v>
      </c>
    </row>
    <row r="69" spans="1:30" ht="31.5" customHeight="1" x14ac:dyDescent="0.3">
      <c r="A69" s="1717" t="s">
        <v>34</v>
      </c>
      <c r="B69" s="1650">
        <v>55</v>
      </c>
      <c r="C69" s="1718">
        <f>C9*(B69/100)</f>
        <v>1.1000000000000001</v>
      </c>
      <c r="D69" s="1718">
        <f>D9*(B69/100)</f>
        <v>1.1000000000000001</v>
      </c>
      <c r="E69" s="1718">
        <f>E9*(B69/100)</f>
        <v>1.1000000000000001</v>
      </c>
      <c r="F69" s="1718">
        <f t="shared" ref="F69" si="11">F9*(B69/100)</f>
        <v>3.3000000000000003</v>
      </c>
      <c r="G69" s="1718">
        <v>3</v>
      </c>
      <c r="H69" s="1718">
        <v>3</v>
      </c>
      <c r="I69" s="1718">
        <v>3</v>
      </c>
      <c r="J69" s="1718">
        <v>3</v>
      </c>
      <c r="K69" s="1718">
        <v>3</v>
      </c>
      <c r="L69" s="1718">
        <v>3</v>
      </c>
      <c r="M69" s="1718">
        <v>3</v>
      </c>
      <c r="N69" s="1716"/>
      <c r="O69" s="1718">
        <f>O9*(B69/100)</f>
        <v>1.1000000000000001</v>
      </c>
      <c r="P69" s="1718">
        <f>P9*(B69/100)</f>
        <v>1.1000000000000001</v>
      </c>
      <c r="Q69" s="1718">
        <f>Q9*(B69/100)</f>
        <v>1.1000000000000001</v>
      </c>
      <c r="R69" s="1718">
        <f>R9*(B69/100)</f>
        <v>3.3000000000000003</v>
      </c>
      <c r="S69" s="1718">
        <f>S9*(B69/100)</f>
        <v>3.3000000000000003</v>
      </c>
      <c r="T69" s="1718">
        <v>3</v>
      </c>
      <c r="U69" s="1718">
        <v>3</v>
      </c>
      <c r="V69" s="1718">
        <v>3</v>
      </c>
      <c r="W69" s="1718">
        <v>3</v>
      </c>
      <c r="X69" s="1718">
        <v>3</v>
      </c>
      <c r="Y69" s="1718">
        <v>3</v>
      </c>
      <c r="AA69" s="1718">
        <v>3</v>
      </c>
      <c r="AB69" s="1718">
        <v>3</v>
      </c>
    </row>
    <row r="70" spans="1:30" ht="31.5" customHeight="1" x14ac:dyDescent="0.3">
      <c r="A70" s="3692" t="s">
        <v>35</v>
      </c>
      <c r="B70" s="3692"/>
      <c r="C70" s="1716">
        <f t="shared" ref="C70:M70" si="12">COUNTIF(C11:C67,"&gt;=" &amp;C69)</f>
        <v>36</v>
      </c>
      <c r="D70" s="1716">
        <f t="shared" si="12"/>
        <v>32</v>
      </c>
      <c r="E70" s="1716">
        <f t="shared" si="12"/>
        <v>25</v>
      </c>
      <c r="F70" s="1716">
        <f t="shared" si="12"/>
        <v>28</v>
      </c>
      <c r="G70" s="1716">
        <f t="shared" si="12"/>
        <v>13</v>
      </c>
      <c r="H70" s="1716">
        <f t="shared" si="12"/>
        <v>13</v>
      </c>
      <c r="I70" s="1716">
        <f t="shared" si="12"/>
        <v>12</v>
      </c>
      <c r="J70" s="1716">
        <f t="shared" si="12"/>
        <v>12</v>
      </c>
      <c r="K70" s="1716">
        <f t="shared" si="12"/>
        <v>17</v>
      </c>
      <c r="L70" s="1716">
        <f t="shared" si="12"/>
        <v>13</v>
      </c>
      <c r="M70" s="1716">
        <f t="shared" si="12"/>
        <v>8</v>
      </c>
      <c r="N70" s="1716"/>
      <c r="O70" s="1716">
        <f>COUNTIF(O10:O67,"&gt;=" &amp;O69)</f>
        <v>19</v>
      </c>
      <c r="P70" s="1716">
        <f t="shared" ref="P70:Y70" si="13">COUNTIF(P10:P60,"&gt;=" &amp;P69)</f>
        <v>37</v>
      </c>
      <c r="Q70" s="1716">
        <f t="shared" si="13"/>
        <v>34</v>
      </c>
      <c r="R70" s="1716">
        <f t="shared" si="13"/>
        <v>28</v>
      </c>
      <c r="S70" s="1716">
        <f t="shared" si="13"/>
        <v>26</v>
      </c>
      <c r="T70" s="1716">
        <f t="shared" si="13"/>
        <v>5</v>
      </c>
      <c r="U70" s="1716">
        <f t="shared" si="13"/>
        <v>4</v>
      </c>
      <c r="V70" s="1716">
        <f t="shared" si="13"/>
        <v>28</v>
      </c>
      <c r="W70" s="1716">
        <f t="shared" si="13"/>
        <v>23</v>
      </c>
      <c r="X70" s="1716">
        <f t="shared" si="13"/>
        <v>9</v>
      </c>
      <c r="Y70" s="1716">
        <f t="shared" si="13"/>
        <v>13</v>
      </c>
      <c r="AA70" s="1716">
        <f>COUNTIF(AA10:AA67,"&gt;=" &amp;AA69)</f>
        <v>58</v>
      </c>
      <c r="AB70" s="1716">
        <f>COUNTIF(AB10:AB67,"&gt;=" &amp;AB69)</f>
        <v>58</v>
      </c>
      <c r="AD70" s="1716">
        <f>COUNTIF(AD10:AD67,"&gt;="&amp;B69)</f>
        <v>46</v>
      </c>
    </row>
    <row r="71" spans="1:30" ht="31.5" customHeight="1" x14ac:dyDescent="0.3">
      <c r="A71" s="3693" t="s">
        <v>36</v>
      </c>
      <c r="B71" s="3693"/>
      <c r="C71" s="1716">
        <f t="shared" ref="C71:Y71" si="14">C70/C68</f>
        <v>0.78260869565217395</v>
      </c>
      <c r="D71" s="1716">
        <f t="shared" si="14"/>
        <v>0.68085106382978722</v>
      </c>
      <c r="E71" s="1716">
        <f t="shared" si="14"/>
        <v>0.51020408163265307</v>
      </c>
      <c r="F71" s="1716">
        <f t="shared" si="14"/>
        <v>0.77777777777777779</v>
      </c>
      <c r="G71" s="1716">
        <f t="shared" si="14"/>
        <v>0.40625</v>
      </c>
      <c r="H71" s="1716">
        <f t="shared" si="14"/>
        <v>0.9285714285714286</v>
      </c>
      <c r="I71" s="1716">
        <f t="shared" si="14"/>
        <v>0.8571428571428571</v>
      </c>
      <c r="J71" s="1716">
        <f t="shared" si="14"/>
        <v>0.70588235294117652</v>
      </c>
      <c r="K71" s="1716">
        <f t="shared" si="14"/>
        <v>0.68</v>
      </c>
      <c r="L71" s="1716">
        <f t="shared" si="14"/>
        <v>0.76470588235294112</v>
      </c>
      <c r="M71" s="1716">
        <f t="shared" si="14"/>
        <v>0.47058823529411764</v>
      </c>
      <c r="N71" s="1716"/>
      <c r="O71" s="1716">
        <f t="shared" si="14"/>
        <v>0.47499999999999998</v>
      </c>
      <c r="P71" s="1716">
        <f t="shared" si="14"/>
        <v>0.72549019607843135</v>
      </c>
      <c r="Q71" s="1716">
        <f t="shared" si="14"/>
        <v>0.68</v>
      </c>
      <c r="R71" s="1716">
        <f t="shared" si="14"/>
        <v>0.7567567567567568</v>
      </c>
      <c r="S71" s="1716">
        <f t="shared" si="14"/>
        <v>0.56521739130434778</v>
      </c>
      <c r="T71" s="1716">
        <f t="shared" si="14"/>
        <v>1</v>
      </c>
      <c r="U71" s="1716">
        <f t="shared" si="14"/>
        <v>1</v>
      </c>
      <c r="V71" s="1716">
        <f t="shared" si="14"/>
        <v>0.77777777777777779</v>
      </c>
      <c r="W71" s="1716">
        <f t="shared" si="14"/>
        <v>0.69696969696969702</v>
      </c>
      <c r="X71" s="1716">
        <f t="shared" si="14"/>
        <v>0.75</v>
      </c>
      <c r="Y71" s="1716">
        <f t="shared" si="14"/>
        <v>0.9285714285714286</v>
      </c>
      <c r="AA71" s="1716">
        <f t="shared" ref="AA71:AB71" si="15">AA70/AA68</f>
        <v>1</v>
      </c>
      <c r="AB71" s="1716">
        <f t="shared" si="15"/>
        <v>1</v>
      </c>
      <c r="AD71" s="1716">
        <f>(AD70/A67)*100</f>
        <v>79.310344827586206</v>
      </c>
    </row>
    <row r="72" spans="1:30" ht="31.5" customHeight="1" x14ac:dyDescent="0.3">
      <c r="C72" s="1637" t="s">
        <v>22</v>
      </c>
      <c r="D72" s="1637" t="s">
        <v>21</v>
      </c>
      <c r="E72" s="1646" t="s">
        <v>23</v>
      </c>
      <c r="F72" s="1647" t="s">
        <v>20</v>
      </c>
      <c r="G72" s="1646" t="s">
        <v>20</v>
      </c>
      <c r="H72" s="1647" t="s">
        <v>20</v>
      </c>
      <c r="I72" s="1639" t="s">
        <v>21</v>
      </c>
      <c r="J72" s="1640" t="s">
        <v>21</v>
      </c>
      <c r="K72" s="1639" t="s">
        <v>40</v>
      </c>
      <c r="L72" s="1637" t="s">
        <v>40</v>
      </c>
      <c r="M72" s="1639" t="s">
        <v>41</v>
      </c>
      <c r="N72" s="1716"/>
      <c r="O72" s="1637" t="s">
        <v>41</v>
      </c>
      <c r="P72" s="1638" t="s">
        <v>42</v>
      </c>
      <c r="Q72" s="1641" t="s">
        <v>43</v>
      </c>
      <c r="R72" s="1637" t="s">
        <v>41</v>
      </c>
      <c r="S72" s="1639" t="s">
        <v>43</v>
      </c>
      <c r="T72" s="1637" t="s">
        <v>42</v>
      </c>
      <c r="U72" s="1639" t="s">
        <v>41</v>
      </c>
      <c r="V72" s="1637" t="s">
        <v>43</v>
      </c>
      <c r="W72" s="1642" t="s">
        <v>42</v>
      </c>
      <c r="X72" s="1637" t="s">
        <v>43</v>
      </c>
      <c r="Y72" s="1639" t="s">
        <v>41</v>
      </c>
      <c r="Z72" s="1716"/>
      <c r="AA72" s="1716"/>
    </row>
    <row r="74" spans="1:30" ht="31.5" customHeight="1" x14ac:dyDescent="0.3">
      <c r="D74" s="1650" t="s">
        <v>38</v>
      </c>
      <c r="E74" s="3694" t="s">
        <v>39</v>
      </c>
      <c r="F74" s="3694"/>
      <c r="G74" s="3694" t="s">
        <v>37</v>
      </c>
      <c r="H74" s="3694"/>
      <c r="I74" s="3694"/>
      <c r="J74" s="1719"/>
      <c r="K74" s="1650"/>
    </row>
    <row r="75" spans="1:30" ht="31.5" customHeight="1" x14ac:dyDescent="0.3">
      <c r="B75" s="1650" t="s">
        <v>22</v>
      </c>
      <c r="C75" s="1716">
        <f>AVERAGE(C71,F71,G71,H71,AA71)*100</f>
        <v>77.90415804002761</v>
      </c>
      <c r="D75" s="1716">
        <f t="shared" ref="D75:D79" si="16">IF(C75&gt;=70,3,IF(AND(C75&gt;=60,C75&lt;70),2,IF(AND(C75&gt;=50,C75&lt;60),1)))</f>
        <v>3</v>
      </c>
      <c r="E75" s="3740">
        <f>IF(AD71&gt;=70,3,IF(AND(AD71&gt;=60,AD71&lt;70),2,IF(AND(AD71&gt;=50,AD71&lt;60),1)))</f>
        <v>3</v>
      </c>
      <c r="F75" s="3740"/>
      <c r="G75" s="1720">
        <f>(70/100)*E75+(30/100)*D75</f>
        <v>2.9999999999999996</v>
      </c>
      <c r="H75" s="1720"/>
      <c r="I75" s="1720"/>
      <c r="J75" s="1720"/>
      <c r="K75" s="1720"/>
    </row>
    <row r="76" spans="1:30" ht="31.5" customHeight="1" x14ac:dyDescent="0.3">
      <c r="B76" s="1650" t="s">
        <v>40</v>
      </c>
      <c r="C76" s="1716">
        <f>AVERAGE(D71,I71,J71,K71,L71,AA71)*100</f>
        <v>78.143035937779359</v>
      </c>
      <c r="D76" s="1716">
        <f t="shared" si="16"/>
        <v>3</v>
      </c>
      <c r="E76" s="3740">
        <f>IF(AD71&gt;=70,3,IF(AND(AD71&gt;=60,AD71&lt;70),2,IF(AND(AD71&gt;=50,AD71&lt;60),1)))</f>
        <v>3</v>
      </c>
      <c r="F76" s="3740"/>
      <c r="G76" s="1720">
        <f t="shared" ref="G76:G78" si="17">(70/100)*E76+(30/100)*D76</f>
        <v>2.9999999999999996</v>
      </c>
      <c r="H76" s="1720"/>
      <c r="I76" s="1720"/>
      <c r="J76" s="1720"/>
      <c r="K76" s="1720"/>
    </row>
    <row r="77" spans="1:30" ht="31.5" customHeight="1" x14ac:dyDescent="0.3">
      <c r="B77" s="1650" t="s">
        <v>41</v>
      </c>
      <c r="C77" s="1716">
        <f>AVERAGE(M71,O71,R71,U71,Y71,AB71)*100</f>
        <v>77.181940343705051</v>
      </c>
      <c r="D77" s="1716">
        <f t="shared" si="16"/>
        <v>3</v>
      </c>
      <c r="E77" s="3740">
        <f>IF(AD71&gt;=70,3,IF(AND(AD71&gt;=60,AD71&lt;70),2,IF(AND(AD71&gt;=50,AD71&lt;60),1)))</f>
        <v>3</v>
      </c>
      <c r="F77" s="3740"/>
      <c r="G77" s="1720">
        <f t="shared" si="17"/>
        <v>2.9999999999999996</v>
      </c>
      <c r="H77" s="1720"/>
      <c r="I77" s="1720"/>
      <c r="J77" s="1720"/>
      <c r="K77" s="1720"/>
    </row>
    <row r="78" spans="1:30" ht="31.5" customHeight="1" x14ac:dyDescent="0.3">
      <c r="B78" s="1650" t="s">
        <v>42</v>
      </c>
      <c r="C78" s="1716">
        <f>AVERAGE(P71,T71,W71,AB71)*100</f>
        <v>85.561497326203224</v>
      </c>
      <c r="D78" s="1716">
        <f t="shared" si="16"/>
        <v>3</v>
      </c>
      <c r="E78" s="3740">
        <f>IF(AD71&gt;=70,3,IF(AND(AD71&gt;=60,AD71&lt;70),2,IF(AND(AD71&gt;=50,AD71&lt;60),1)))</f>
        <v>3</v>
      </c>
      <c r="F78" s="3740"/>
      <c r="G78" s="1720">
        <f t="shared" si="17"/>
        <v>2.9999999999999996</v>
      </c>
      <c r="H78" s="1720"/>
      <c r="I78" s="1720"/>
      <c r="J78" s="1720"/>
      <c r="K78" s="1720"/>
    </row>
    <row r="79" spans="1:30" ht="31.5" customHeight="1" x14ac:dyDescent="0.3">
      <c r="B79" s="1650" t="s">
        <v>43</v>
      </c>
      <c r="C79" s="1716">
        <f>AVERAGE(Q71,S71,V71,X71,AB71)*100</f>
        <v>75.459903381642519</v>
      </c>
      <c r="D79" s="1716">
        <f t="shared" si="16"/>
        <v>3</v>
      </c>
      <c r="E79" s="3740">
        <f>IF(AD71&gt;=70,3,IF(AND(AD71&gt;=60,AD71&lt;70),2,IF(AND(AD71&gt;=50,AD71&lt;60),1)))</f>
        <v>3</v>
      </c>
      <c r="F79" s="3740"/>
      <c r="G79" s="1720">
        <f>(70/100)*E79+(30/100)*D79</f>
        <v>2.9999999999999996</v>
      </c>
      <c r="H79" s="1720"/>
      <c r="I79" s="1720"/>
      <c r="J79" s="1720"/>
      <c r="K79" s="1720"/>
    </row>
    <row r="80" spans="1:30" ht="31.5" customHeight="1" x14ac:dyDescent="0.3">
      <c r="B80" s="2775" t="s">
        <v>44</v>
      </c>
      <c r="C80" s="2775"/>
      <c r="D80" s="2775"/>
      <c r="E80" s="2775"/>
      <c r="F80" s="2775"/>
      <c r="G80" s="1721">
        <f>AVERAGE(G75:G78)</f>
        <v>2.9999999999999996</v>
      </c>
      <c r="H80" s="1721"/>
      <c r="I80" s="1721"/>
      <c r="J80" s="1721"/>
      <c r="K80" s="1721"/>
    </row>
    <row r="82" spans="1:27" ht="31.5" customHeight="1" x14ac:dyDescent="0.3">
      <c r="A82" s="2775" t="s">
        <v>134</v>
      </c>
      <c r="B82" s="2775"/>
    </row>
    <row r="84" spans="1:27" ht="31.5" customHeight="1" x14ac:dyDescent="0.3">
      <c r="B84" s="1654" t="s">
        <v>45</v>
      </c>
      <c r="C84" s="1722" t="s">
        <v>68</v>
      </c>
      <c r="D84" s="1722" t="s">
        <v>69</v>
      </c>
      <c r="E84" s="1722" t="s">
        <v>70</v>
      </c>
      <c r="F84" s="1722" t="s">
        <v>71</v>
      </c>
      <c r="G84" s="1722" t="s">
        <v>72</v>
      </c>
      <c r="H84" s="1722" t="s">
        <v>73</v>
      </c>
      <c r="I84" s="1722" t="s">
        <v>74</v>
      </c>
      <c r="J84" s="1723" t="s">
        <v>75</v>
      </c>
      <c r="K84" s="1722" t="s">
        <v>76</v>
      </c>
      <c r="L84" s="1722" t="s">
        <v>77</v>
      </c>
      <c r="M84" s="1722" t="s">
        <v>78</v>
      </c>
      <c r="N84" s="1722" t="s">
        <v>79</v>
      </c>
      <c r="U84" s="1724"/>
      <c r="V84" s="1724"/>
      <c r="AA84" s="1038"/>
    </row>
    <row r="85" spans="1:27" ht="31.5" customHeight="1" x14ac:dyDescent="0.3">
      <c r="B85" s="1725" t="s">
        <v>20</v>
      </c>
      <c r="C85" s="1726">
        <v>3</v>
      </c>
      <c r="D85" s="1726">
        <v>2</v>
      </c>
      <c r="E85" s="1726">
        <v>1</v>
      </c>
      <c r="F85" s="1726"/>
      <c r="G85" s="1726">
        <v>3</v>
      </c>
      <c r="H85" s="1726"/>
      <c r="I85" s="1726"/>
      <c r="J85" s="1726"/>
      <c r="K85" s="1726"/>
      <c r="L85" s="1726"/>
      <c r="M85" s="1726"/>
      <c r="N85" s="1726">
        <v>2</v>
      </c>
      <c r="U85" s="1724"/>
      <c r="V85" s="1724"/>
      <c r="AA85" s="1038"/>
    </row>
    <row r="86" spans="1:27" ht="31.5" customHeight="1" x14ac:dyDescent="0.3">
      <c r="B86" s="1725" t="s">
        <v>21</v>
      </c>
      <c r="C86" s="1726">
        <v>3</v>
      </c>
      <c r="D86" s="1726">
        <v>2</v>
      </c>
      <c r="E86" s="1726">
        <v>2</v>
      </c>
      <c r="F86" s="1726">
        <v>3</v>
      </c>
      <c r="G86" s="1726">
        <v>3</v>
      </c>
      <c r="H86" s="1726"/>
      <c r="I86" s="1726">
        <v>2</v>
      </c>
      <c r="J86" s="1726"/>
      <c r="K86" s="1726">
        <v>3</v>
      </c>
      <c r="L86" s="1726"/>
      <c r="M86" s="1726">
        <v>3</v>
      </c>
      <c r="N86" s="1726">
        <v>3</v>
      </c>
      <c r="U86" s="1724"/>
      <c r="V86" s="1724"/>
      <c r="AA86" s="1038"/>
    </row>
    <row r="87" spans="1:27" ht="31.5" customHeight="1" x14ac:dyDescent="0.3">
      <c r="B87" s="1725" t="s">
        <v>23</v>
      </c>
      <c r="C87" s="1726">
        <v>3</v>
      </c>
      <c r="D87" s="1726"/>
      <c r="E87" s="1726">
        <v>2</v>
      </c>
      <c r="F87" s="1726">
        <v>3</v>
      </c>
      <c r="G87" s="1726">
        <v>3</v>
      </c>
      <c r="H87" s="1726"/>
      <c r="I87" s="1726"/>
      <c r="J87" s="1726"/>
      <c r="K87" s="1726"/>
      <c r="L87" s="1726"/>
      <c r="M87" s="1726"/>
      <c r="N87" s="1726"/>
      <c r="U87" s="1724"/>
      <c r="V87" s="1724"/>
      <c r="AA87" s="1038"/>
    </row>
    <row r="88" spans="1:27" ht="31.5" customHeight="1" x14ac:dyDescent="0.3">
      <c r="B88" s="1725" t="s">
        <v>25</v>
      </c>
      <c r="C88" s="1726">
        <v>1</v>
      </c>
      <c r="D88" s="1726">
        <v>2</v>
      </c>
      <c r="E88" s="1726">
        <v>2</v>
      </c>
      <c r="F88" s="1726">
        <v>2</v>
      </c>
      <c r="G88" s="1726">
        <v>3</v>
      </c>
      <c r="H88" s="1726"/>
      <c r="I88" s="1726"/>
      <c r="J88" s="1726"/>
      <c r="K88" s="1726"/>
      <c r="L88" s="1726"/>
      <c r="M88" s="1726"/>
      <c r="N88" s="1726"/>
      <c r="U88" s="1724"/>
      <c r="V88" s="1724"/>
      <c r="AA88" s="1038"/>
    </row>
    <row r="89" spans="1:27" ht="31.5" customHeight="1" x14ac:dyDescent="0.3">
      <c r="B89" s="1727" t="s">
        <v>43</v>
      </c>
      <c r="C89" s="1726">
        <v>1</v>
      </c>
      <c r="D89" s="1726">
        <v>2</v>
      </c>
      <c r="E89" s="1726">
        <v>3</v>
      </c>
      <c r="F89" s="1726">
        <v>2</v>
      </c>
      <c r="G89" s="1726">
        <v>3</v>
      </c>
      <c r="H89" s="1726"/>
      <c r="I89" s="1726">
        <v>2</v>
      </c>
      <c r="J89" s="1726"/>
      <c r="K89" s="1726">
        <v>3</v>
      </c>
      <c r="L89" s="1726"/>
      <c r="M89" s="1726">
        <v>3</v>
      </c>
      <c r="N89" s="1726">
        <v>3</v>
      </c>
      <c r="U89" s="1724"/>
      <c r="V89" s="1724"/>
      <c r="AA89" s="1038"/>
    </row>
    <row r="90" spans="1:27" ht="31.5" customHeight="1" x14ac:dyDescent="0.3">
      <c r="B90" s="1728" t="s">
        <v>10</v>
      </c>
      <c r="C90" s="1671">
        <f t="shared" ref="C90:N90" si="18">AVERAGE(C85:C88)</f>
        <v>2.5</v>
      </c>
      <c r="D90" s="1671">
        <f t="shared" si="18"/>
        <v>2</v>
      </c>
      <c r="E90" s="1671">
        <f t="shared" si="18"/>
        <v>1.75</v>
      </c>
      <c r="F90" s="1671">
        <f t="shared" si="18"/>
        <v>2.6666666666666665</v>
      </c>
      <c r="G90" s="1671">
        <f t="shared" si="18"/>
        <v>3</v>
      </c>
      <c r="H90" s="1671"/>
      <c r="I90" s="1671">
        <f t="shared" si="18"/>
        <v>2</v>
      </c>
      <c r="J90" s="1671"/>
      <c r="K90" s="1671">
        <f t="shared" si="18"/>
        <v>3</v>
      </c>
      <c r="L90" s="1671"/>
      <c r="M90" s="1671">
        <f t="shared" si="18"/>
        <v>3</v>
      </c>
      <c r="N90" s="1671">
        <f t="shared" si="18"/>
        <v>2.5</v>
      </c>
      <c r="U90" s="1724"/>
      <c r="V90" s="1724"/>
      <c r="AA90" s="1038"/>
    </row>
    <row r="91" spans="1:27" ht="31.5" customHeight="1" x14ac:dyDescent="0.3">
      <c r="B91" s="1729" t="s">
        <v>58</v>
      </c>
      <c r="C91" s="3684">
        <f>AVERAGE(C90:N90)</f>
        <v>2.4907407407407405</v>
      </c>
      <c r="D91" s="3684"/>
      <c r="E91" s="3684"/>
      <c r="F91" s="3684"/>
      <c r="G91" s="3684"/>
      <c r="H91" s="3684"/>
      <c r="I91" s="3684"/>
      <c r="J91" s="3684"/>
      <c r="K91" s="3684"/>
      <c r="L91" s="3684"/>
      <c r="M91" s="3684"/>
      <c r="N91" s="3684"/>
      <c r="O91" s="1730"/>
      <c r="P91" s="1730"/>
      <c r="Q91" s="1730"/>
      <c r="R91" s="1730"/>
    </row>
    <row r="92" spans="1:27" ht="31.5" customHeight="1" x14ac:dyDescent="0.3">
      <c r="C92" s="1731"/>
    </row>
    <row r="94" spans="1:27" ht="31.5" customHeight="1" x14ac:dyDescent="0.3">
      <c r="A94" s="2775" t="s">
        <v>148</v>
      </c>
      <c r="B94" s="2775"/>
    </row>
    <row r="96" spans="1:27" ht="31.5" customHeight="1" x14ac:dyDescent="0.3">
      <c r="B96" s="1654" t="s">
        <v>45</v>
      </c>
      <c r="C96" s="1722" t="s">
        <v>68</v>
      </c>
      <c r="D96" s="1722" t="s">
        <v>69</v>
      </c>
      <c r="E96" s="1722" t="s">
        <v>70</v>
      </c>
      <c r="F96" s="1722" t="s">
        <v>71</v>
      </c>
      <c r="G96" s="1722" t="s">
        <v>72</v>
      </c>
      <c r="H96" s="1722" t="s">
        <v>73</v>
      </c>
      <c r="I96" s="1722" t="s">
        <v>74</v>
      </c>
      <c r="J96" s="1723" t="s">
        <v>75</v>
      </c>
      <c r="K96" s="1722" t="s">
        <v>76</v>
      </c>
      <c r="L96" s="1722" t="s">
        <v>77</v>
      </c>
      <c r="M96" s="1722" t="s">
        <v>78</v>
      </c>
      <c r="N96" s="1722" t="s">
        <v>79</v>
      </c>
      <c r="T96" s="1039"/>
      <c r="V96" s="1626"/>
      <c r="AA96" s="1038"/>
    </row>
    <row r="97" spans="1:27" ht="31.5" customHeight="1" x14ac:dyDescent="0.3">
      <c r="B97" s="1725" t="s">
        <v>20</v>
      </c>
      <c r="C97" s="1732">
        <f>G75*C85/3</f>
        <v>2.9999999999999996</v>
      </c>
      <c r="D97" s="1732">
        <f>G75*D85/3</f>
        <v>1.9999999999999998</v>
      </c>
      <c r="E97" s="1732">
        <f>G75*E85/3</f>
        <v>0.99999999999999989</v>
      </c>
      <c r="F97" s="1732"/>
      <c r="G97" s="1732">
        <f>G75*G85/3</f>
        <v>2.9999999999999996</v>
      </c>
      <c r="H97" s="1732"/>
      <c r="I97" s="1732"/>
      <c r="J97" s="1732"/>
      <c r="K97" s="1732"/>
      <c r="L97" s="1732"/>
      <c r="M97" s="1732"/>
      <c r="N97" s="1732">
        <f>G75*N85/3</f>
        <v>1.9999999999999998</v>
      </c>
      <c r="T97" s="1039"/>
      <c r="V97" s="1626"/>
      <c r="AA97" s="1038"/>
    </row>
    <row r="98" spans="1:27" ht="31.5" customHeight="1" x14ac:dyDescent="0.3">
      <c r="B98" s="1725" t="s">
        <v>21</v>
      </c>
      <c r="C98" s="1732">
        <f>G76*C86/3</f>
        <v>2.9999999999999996</v>
      </c>
      <c r="D98" s="1732">
        <f>G76*D86/3</f>
        <v>1.9999999999999998</v>
      </c>
      <c r="E98" s="1732">
        <f>G76*E86/3</f>
        <v>1.9999999999999998</v>
      </c>
      <c r="F98" s="1732">
        <f>G76*F86/3</f>
        <v>2.9999999999999996</v>
      </c>
      <c r="G98" s="1732">
        <f>G76*G86/3</f>
        <v>2.9999999999999996</v>
      </c>
      <c r="H98" s="1732"/>
      <c r="I98" s="1732">
        <f>G76*I86/3</f>
        <v>1.9999999999999998</v>
      </c>
      <c r="J98" s="1732"/>
      <c r="K98" s="1732">
        <f>G76*K86/3</f>
        <v>2.9999999999999996</v>
      </c>
      <c r="L98" s="1732"/>
      <c r="M98" s="1732">
        <f>G76*M86/3</f>
        <v>2.9999999999999996</v>
      </c>
      <c r="N98" s="1732">
        <f>G76*N86/3</f>
        <v>2.9999999999999996</v>
      </c>
      <c r="T98" s="1039"/>
      <c r="V98" s="1626"/>
      <c r="AA98" s="1038"/>
    </row>
    <row r="99" spans="1:27" ht="31.5" customHeight="1" x14ac:dyDescent="0.3">
      <c r="B99" s="1725" t="s">
        <v>23</v>
      </c>
      <c r="C99" s="1732">
        <f>G77*C87/3</f>
        <v>2.9999999999999996</v>
      </c>
      <c r="D99" s="1732"/>
      <c r="E99" s="1732">
        <f>G77*E87/3</f>
        <v>1.9999999999999998</v>
      </c>
      <c r="F99" s="1732">
        <f>G77*F87/3</f>
        <v>2.9999999999999996</v>
      </c>
      <c r="G99" s="1732">
        <f>G77*G87/3</f>
        <v>2.9999999999999996</v>
      </c>
      <c r="H99" s="1732"/>
      <c r="I99" s="1732"/>
      <c r="J99" s="1732"/>
      <c r="K99" s="1732"/>
      <c r="L99" s="1732"/>
      <c r="M99" s="1732"/>
      <c r="N99" s="1732"/>
      <c r="T99" s="1039"/>
      <c r="V99" s="1626"/>
      <c r="AA99" s="1038"/>
    </row>
    <row r="100" spans="1:27" ht="31.5" customHeight="1" x14ac:dyDescent="0.3">
      <c r="B100" s="1725" t="s">
        <v>25</v>
      </c>
      <c r="C100" s="1732">
        <f>G78*C88/3</f>
        <v>0.99999999999999989</v>
      </c>
      <c r="D100" s="1732">
        <f>G78*D88/3</f>
        <v>1.9999999999999998</v>
      </c>
      <c r="E100" s="1732">
        <f>G78*E88/3</f>
        <v>1.9999999999999998</v>
      </c>
      <c r="F100" s="1732">
        <f>G78*F88/3</f>
        <v>1.9999999999999998</v>
      </c>
      <c r="G100" s="1732">
        <f>G78*G88/3</f>
        <v>2.9999999999999996</v>
      </c>
      <c r="H100" s="1732"/>
      <c r="I100" s="1732"/>
      <c r="J100" s="1732"/>
      <c r="K100" s="1732"/>
      <c r="L100" s="1732"/>
      <c r="M100" s="1732"/>
      <c r="N100" s="1732"/>
      <c r="T100" s="1039"/>
      <c r="V100" s="1626"/>
      <c r="AA100" s="1038"/>
    </row>
    <row r="101" spans="1:27" ht="31.5" customHeight="1" x14ac:dyDescent="0.3">
      <c r="B101" s="1727" t="s">
        <v>43</v>
      </c>
      <c r="C101" s="1732">
        <f>G79*C89/3</f>
        <v>0.99999999999999989</v>
      </c>
      <c r="D101" s="1732">
        <f>G79*D89/3</f>
        <v>1.9999999999999998</v>
      </c>
      <c r="E101" s="1732">
        <f>G79*E89/3</f>
        <v>2.9999999999999996</v>
      </c>
      <c r="F101" s="1732">
        <f>G79*F89/3</f>
        <v>1.9999999999999998</v>
      </c>
      <c r="G101" s="1732">
        <f>G79*G89/3</f>
        <v>2.9999999999999996</v>
      </c>
      <c r="H101" s="1732"/>
      <c r="I101" s="1732">
        <f>G79*I89/3</f>
        <v>1.9999999999999998</v>
      </c>
      <c r="J101" s="1732"/>
      <c r="K101" s="1732">
        <f>G79*K89/3</f>
        <v>2.9999999999999996</v>
      </c>
      <c r="L101" s="1732"/>
      <c r="M101" s="1732">
        <f>G79*M89/3</f>
        <v>2.9999999999999996</v>
      </c>
      <c r="N101" s="1732">
        <f>G79*N89/3</f>
        <v>2.9999999999999996</v>
      </c>
      <c r="T101" s="1039"/>
      <c r="V101" s="1626"/>
      <c r="AA101" s="1038"/>
    </row>
    <row r="102" spans="1:27" ht="31.5" customHeight="1" x14ac:dyDescent="0.3">
      <c r="B102" s="1728" t="s">
        <v>10</v>
      </c>
      <c r="C102" s="1654">
        <f t="shared" ref="C102:N102" si="19">AVERAGE(C97:C100)</f>
        <v>2.4999999999999996</v>
      </c>
      <c r="D102" s="1654">
        <f t="shared" si="19"/>
        <v>1.9999999999999998</v>
      </c>
      <c r="E102" s="1654">
        <f t="shared" si="19"/>
        <v>1.7499999999999998</v>
      </c>
      <c r="F102" s="1654">
        <f t="shared" si="19"/>
        <v>2.6666666666666665</v>
      </c>
      <c r="G102" s="1654">
        <f t="shared" si="19"/>
        <v>2.9999999999999996</v>
      </c>
      <c r="H102" s="1654"/>
      <c r="I102" s="1654">
        <f t="shared" si="19"/>
        <v>1.9999999999999998</v>
      </c>
      <c r="J102" s="1654"/>
      <c r="K102" s="1654">
        <f t="shared" si="19"/>
        <v>2.9999999999999996</v>
      </c>
      <c r="L102" s="1654"/>
      <c r="M102" s="1654">
        <f t="shared" si="19"/>
        <v>2.9999999999999996</v>
      </c>
      <c r="N102" s="1654">
        <f t="shared" si="19"/>
        <v>2.4999999999999996</v>
      </c>
      <c r="T102" s="1039"/>
      <c r="V102" s="1626"/>
      <c r="AA102" s="1038"/>
    </row>
    <row r="103" spans="1:27" ht="31.5" customHeight="1" x14ac:dyDescent="0.3">
      <c r="B103" s="1729" t="s">
        <v>58</v>
      </c>
      <c r="C103" s="3742">
        <f>AVERAGE(C102:N102)</f>
        <v>2.4907407407407405</v>
      </c>
      <c r="D103" s="3743"/>
      <c r="E103" s="3743"/>
      <c r="F103" s="3743"/>
      <c r="G103" s="3743"/>
      <c r="H103" s="3743"/>
      <c r="I103" s="3743"/>
      <c r="J103" s="3743"/>
      <c r="K103" s="3743"/>
      <c r="L103" s="3743"/>
      <c r="M103" s="3743"/>
      <c r="N103" s="3744"/>
      <c r="O103" s="1733"/>
      <c r="P103" s="1733"/>
      <c r="Q103" s="1733"/>
      <c r="R103" s="1733"/>
    </row>
    <row r="105" spans="1:27" ht="31.5" customHeight="1" x14ac:dyDescent="0.3">
      <c r="A105" s="2775" t="s">
        <v>137</v>
      </c>
      <c r="B105" s="2775"/>
      <c r="C105" s="1721"/>
      <c r="D105" s="1721"/>
      <c r="L105" s="2775" t="s">
        <v>149</v>
      </c>
      <c r="M105" s="2775"/>
      <c r="N105" s="2775"/>
      <c r="O105" s="1721"/>
      <c r="P105" s="1721"/>
    </row>
    <row r="106" spans="1:27" ht="31.5" customHeight="1" x14ac:dyDescent="0.3">
      <c r="A106" s="1039"/>
      <c r="B106" s="1039"/>
      <c r="C106" s="1721"/>
      <c r="D106" s="1721"/>
      <c r="L106" s="1039"/>
      <c r="M106" s="1039"/>
      <c r="N106" s="1724"/>
      <c r="O106" s="1721"/>
      <c r="P106" s="1721"/>
    </row>
    <row r="107" spans="1:27" ht="31.5" customHeight="1" x14ac:dyDescent="0.3">
      <c r="B107" s="1654" t="s">
        <v>59</v>
      </c>
      <c r="C107" s="1722" t="s">
        <v>60</v>
      </c>
      <c r="D107" s="1722" t="s">
        <v>61</v>
      </c>
      <c r="E107" s="1722" t="s">
        <v>62</v>
      </c>
      <c r="N107" s="1734" t="s">
        <v>59</v>
      </c>
      <c r="O107" s="1722" t="s">
        <v>60</v>
      </c>
      <c r="P107" s="1722" t="s">
        <v>61</v>
      </c>
      <c r="Q107" s="1722" t="s">
        <v>62</v>
      </c>
    </row>
    <row r="108" spans="1:27" ht="31.5" customHeight="1" x14ac:dyDescent="0.3">
      <c r="B108" s="1735" t="s">
        <v>20</v>
      </c>
      <c r="C108" s="1726">
        <v>3</v>
      </c>
      <c r="D108" s="1726">
        <v>1</v>
      </c>
      <c r="E108" s="1726"/>
      <c r="N108" s="1736" t="s">
        <v>20</v>
      </c>
      <c r="O108" s="1732">
        <f>G75*C108/3</f>
        <v>2.9999999999999996</v>
      </c>
      <c r="P108" s="1732">
        <f>G75*D108/3</f>
        <v>0.99999999999999989</v>
      </c>
      <c r="Q108" s="1732"/>
    </row>
    <row r="109" spans="1:27" ht="31.5" customHeight="1" x14ac:dyDescent="0.3">
      <c r="B109" s="1725" t="s">
        <v>21</v>
      </c>
      <c r="C109" s="1726">
        <v>3</v>
      </c>
      <c r="D109" s="1726">
        <v>3</v>
      </c>
      <c r="E109" s="1726"/>
      <c r="N109" s="1737" t="s">
        <v>21</v>
      </c>
      <c r="O109" s="1732">
        <f>G76*C109/3</f>
        <v>2.9999999999999996</v>
      </c>
      <c r="P109" s="1732">
        <f>G76*D109/3</f>
        <v>2.9999999999999996</v>
      </c>
      <c r="Q109" s="1732"/>
    </row>
    <row r="110" spans="1:27" ht="31.5" customHeight="1" x14ac:dyDescent="0.3">
      <c r="B110" s="1725" t="s">
        <v>23</v>
      </c>
      <c r="C110" s="1726">
        <v>3</v>
      </c>
      <c r="D110" s="1726">
        <v>3</v>
      </c>
      <c r="E110" s="1726"/>
      <c r="N110" s="1737" t="s">
        <v>23</v>
      </c>
      <c r="O110" s="1732">
        <f>G77*C110/3</f>
        <v>2.9999999999999996</v>
      </c>
      <c r="P110" s="1732">
        <f>G77*D110/3</f>
        <v>2.9999999999999996</v>
      </c>
      <c r="Q110" s="1732"/>
    </row>
    <row r="111" spans="1:27" ht="31.5" customHeight="1" x14ac:dyDescent="0.3">
      <c r="B111" s="1725" t="s">
        <v>25</v>
      </c>
      <c r="C111" s="1726">
        <v>3</v>
      </c>
      <c r="D111" s="1726">
        <v>3</v>
      </c>
      <c r="E111" s="1726">
        <v>2</v>
      </c>
      <c r="N111" s="1737" t="s">
        <v>25</v>
      </c>
      <c r="O111" s="1732">
        <f>G78*C111/3</f>
        <v>2.9999999999999996</v>
      </c>
      <c r="P111" s="1732">
        <f>G78*D111/3</f>
        <v>2.9999999999999996</v>
      </c>
      <c r="Q111" s="1732">
        <f>G78*E111/3</f>
        <v>1.9999999999999998</v>
      </c>
    </row>
    <row r="112" spans="1:27" ht="31.5" customHeight="1" x14ac:dyDescent="0.3">
      <c r="B112" s="1725" t="s">
        <v>43</v>
      </c>
      <c r="C112" s="1738">
        <v>3</v>
      </c>
      <c r="D112" s="1738">
        <v>3</v>
      </c>
      <c r="E112" s="1738">
        <v>2</v>
      </c>
      <c r="N112" s="1737" t="s">
        <v>43</v>
      </c>
      <c r="O112" s="1732">
        <f>G79*C112/3</f>
        <v>2.9999999999999996</v>
      </c>
      <c r="P112" s="1732">
        <f>G79*D112/3</f>
        <v>2.9999999999999996</v>
      </c>
      <c r="Q112" s="1732">
        <f>G79*E112/3</f>
        <v>1.9999999999999998</v>
      </c>
    </row>
    <row r="113" spans="1:18" ht="31.5" customHeight="1" x14ac:dyDescent="0.3">
      <c r="B113" s="1645" t="s">
        <v>10</v>
      </c>
      <c r="C113" s="1739">
        <f>AVERAGE(C108:C111)</f>
        <v>3</v>
      </c>
      <c r="D113" s="1739">
        <f>AVERAGE(D108:D111)</f>
        <v>2.5</v>
      </c>
      <c r="E113" s="1739">
        <f>AVERAGE(E108:E111)</f>
        <v>2</v>
      </c>
      <c r="N113" s="1740" t="s">
        <v>10</v>
      </c>
      <c r="O113" s="1732">
        <f>AVERAGE(O108:O111)</f>
        <v>2.9999999999999996</v>
      </c>
      <c r="P113" s="1732">
        <f>AVERAGE(P108:P111)</f>
        <v>2.4999999999999996</v>
      </c>
      <c r="Q113" s="1732">
        <f>AVERAGE(Q108:Q111)</f>
        <v>1.9999999999999998</v>
      </c>
    </row>
    <row r="114" spans="1:18" ht="31.5" customHeight="1" x14ac:dyDescent="0.3">
      <c r="A114" s="1716"/>
      <c r="B114" s="1641" t="s">
        <v>58</v>
      </c>
      <c r="C114" s="3745">
        <f>AVERAGE(C113:E113)</f>
        <v>2.5</v>
      </c>
      <c r="D114" s="3682"/>
      <c r="E114" s="3746"/>
      <c r="F114" s="1716"/>
      <c r="G114" s="1716"/>
      <c r="H114" s="1716"/>
      <c r="I114" s="1716"/>
      <c r="J114" s="1716"/>
      <c r="K114" s="1716"/>
      <c r="L114" s="1716"/>
      <c r="M114" s="1716"/>
      <c r="N114" s="1741" t="s">
        <v>58</v>
      </c>
      <c r="O114" s="3745">
        <f>AVERAGE(O113:Q113)</f>
        <v>2.4999999999999996</v>
      </c>
      <c r="P114" s="3682"/>
      <c r="Q114" s="3746"/>
      <c r="R114" s="1716"/>
    </row>
    <row r="117" spans="1:18" ht="31.5" customHeight="1" x14ac:dyDescent="0.3">
      <c r="A117" s="3747"/>
      <c r="B117" s="3747"/>
      <c r="C117" s="3747"/>
      <c r="D117" s="3747"/>
      <c r="E117" s="3747"/>
      <c r="F117" s="3747"/>
      <c r="G117" s="3747"/>
      <c r="H117" s="3747"/>
      <c r="I117" s="3747"/>
      <c r="J117" s="3747"/>
      <c r="K117" s="3747"/>
      <c r="L117" s="3747"/>
      <c r="M117" s="3747"/>
      <c r="N117" s="3747"/>
      <c r="O117" s="3747"/>
      <c r="P117" s="3747"/>
      <c r="Q117" s="3747"/>
      <c r="R117" s="3747"/>
    </row>
    <row r="118" spans="1:18" ht="31.5" customHeight="1" x14ac:dyDescent="0.3">
      <c r="A118" s="1742"/>
      <c r="B118" s="1742"/>
      <c r="C118" s="1742"/>
      <c r="D118" s="1742"/>
      <c r="E118" s="1742"/>
      <c r="F118" s="1742"/>
      <c r="G118" s="1742"/>
      <c r="H118" s="1742"/>
      <c r="I118" s="1742"/>
      <c r="J118" s="1742"/>
      <c r="K118" s="1742"/>
      <c r="L118" s="1742"/>
      <c r="M118" s="1742"/>
      <c r="N118" s="1742"/>
      <c r="O118" s="1742"/>
      <c r="P118" s="1742"/>
      <c r="Q118" s="1742"/>
      <c r="R118" s="1742"/>
    </row>
    <row r="119" spans="1:18" ht="31.5" customHeight="1" x14ac:dyDescent="0.3">
      <c r="A119" s="3741"/>
      <c r="B119" s="3741"/>
      <c r="C119" s="3741"/>
      <c r="D119" s="3741"/>
      <c r="E119" s="3741"/>
      <c r="F119" s="3741"/>
      <c r="G119" s="3741"/>
      <c r="H119" s="3741"/>
      <c r="I119" s="3741"/>
      <c r="J119" s="3741"/>
      <c r="K119" s="3741"/>
      <c r="L119" s="3741"/>
      <c r="M119" s="3741"/>
      <c r="N119" s="3741"/>
      <c r="O119" s="3741"/>
      <c r="P119" s="3741"/>
      <c r="Q119" s="3741"/>
      <c r="R119" s="3741"/>
    </row>
    <row r="120" spans="1:18" ht="31.5" customHeight="1" x14ac:dyDescent="0.3">
      <c r="A120" s="3741"/>
      <c r="B120" s="3741"/>
      <c r="C120" s="3741"/>
      <c r="D120" s="3741"/>
      <c r="E120" s="3741"/>
      <c r="F120" s="3741"/>
      <c r="G120" s="3741"/>
      <c r="H120" s="3741"/>
      <c r="I120" s="3741"/>
      <c r="J120" s="3741"/>
      <c r="K120" s="3741"/>
      <c r="L120" s="3741"/>
      <c r="M120" s="3741"/>
      <c r="N120" s="3741"/>
      <c r="O120" s="3741"/>
      <c r="P120" s="3741"/>
      <c r="Q120" s="3741"/>
      <c r="R120" s="3741"/>
    </row>
    <row r="121" spans="1:18" ht="31.5" customHeight="1" x14ac:dyDescent="0.3">
      <c r="A121" s="3741"/>
      <c r="B121" s="3741"/>
      <c r="C121" s="3741"/>
      <c r="D121" s="3741"/>
      <c r="E121" s="3741"/>
      <c r="F121" s="3741"/>
      <c r="G121" s="3741"/>
      <c r="H121" s="3741"/>
      <c r="I121" s="3741"/>
      <c r="J121" s="3741"/>
      <c r="K121" s="3741"/>
      <c r="L121" s="3741"/>
      <c r="M121" s="3741"/>
      <c r="N121" s="3741"/>
      <c r="O121" s="3741"/>
      <c r="P121" s="3741"/>
      <c r="Q121" s="3741"/>
      <c r="R121" s="3741"/>
    </row>
    <row r="122" spans="1:18" ht="31.5" customHeight="1" x14ac:dyDescent="0.3">
      <c r="A122" s="3741"/>
      <c r="B122" s="3741"/>
      <c r="C122" s="3741"/>
      <c r="D122" s="3741"/>
      <c r="E122" s="3741"/>
      <c r="F122" s="3741"/>
      <c r="G122" s="3741"/>
      <c r="H122" s="3741"/>
      <c r="I122" s="3741"/>
      <c r="J122" s="3741"/>
      <c r="K122" s="3741"/>
      <c r="L122" s="3741"/>
      <c r="M122" s="3741"/>
      <c r="N122" s="3741"/>
      <c r="O122" s="3741"/>
      <c r="P122" s="3741"/>
      <c r="Q122" s="3741"/>
      <c r="R122" s="3741"/>
    </row>
    <row r="123" spans="1:18" ht="31.5" customHeight="1" x14ac:dyDescent="0.3">
      <c r="A123" s="3741"/>
      <c r="B123" s="3741"/>
      <c r="C123" s="3741"/>
      <c r="D123" s="3741"/>
      <c r="E123" s="3741"/>
      <c r="F123" s="3741"/>
      <c r="G123" s="3741"/>
      <c r="H123" s="3741"/>
      <c r="I123" s="3741"/>
      <c r="J123" s="3741"/>
      <c r="K123" s="3741"/>
      <c r="L123" s="3741"/>
      <c r="M123" s="3741"/>
      <c r="N123" s="3741"/>
      <c r="O123" s="3741"/>
      <c r="P123" s="3741"/>
      <c r="Q123" s="3741"/>
      <c r="R123" s="3741"/>
    </row>
    <row r="124" spans="1:18" ht="31.5" customHeight="1" x14ac:dyDescent="0.3">
      <c r="A124" s="3741"/>
      <c r="B124" s="3741"/>
      <c r="C124" s="3741"/>
      <c r="D124" s="3741"/>
      <c r="E124" s="3741"/>
      <c r="F124" s="3741"/>
      <c r="G124" s="3741"/>
      <c r="H124" s="3741"/>
      <c r="I124" s="3741"/>
      <c r="J124" s="3741"/>
      <c r="K124" s="3741"/>
      <c r="L124" s="3741"/>
      <c r="M124" s="3741"/>
      <c r="N124" s="3741"/>
      <c r="O124" s="3741"/>
      <c r="P124" s="3741"/>
      <c r="Q124" s="3741"/>
      <c r="R124" s="3741"/>
    </row>
    <row r="125" spans="1:18" ht="31.5" customHeight="1" x14ac:dyDescent="0.3">
      <c r="A125" s="3747"/>
      <c r="B125" s="3747"/>
      <c r="C125" s="3747"/>
      <c r="D125" s="3747"/>
      <c r="E125" s="3747"/>
      <c r="F125" s="3747"/>
      <c r="G125" s="3747"/>
      <c r="H125" s="3747"/>
      <c r="I125" s="3747"/>
      <c r="J125" s="3747"/>
      <c r="K125" s="3747"/>
      <c r="L125" s="3747"/>
      <c r="M125" s="3747"/>
      <c r="N125" s="3747"/>
      <c r="O125" s="3747"/>
      <c r="P125" s="3747"/>
      <c r="Q125" s="3747"/>
      <c r="R125" s="3747"/>
    </row>
    <row r="126" spans="1:18" ht="31.5" customHeight="1" x14ac:dyDescent="0.3">
      <c r="A126" s="3749"/>
      <c r="B126" s="3749"/>
      <c r="C126" s="3749"/>
      <c r="D126" s="3749"/>
      <c r="E126" s="3749"/>
      <c r="F126" s="3749"/>
      <c r="G126" s="3749"/>
      <c r="H126" s="3749"/>
      <c r="I126" s="3749"/>
      <c r="J126" s="3749"/>
      <c r="K126" s="3749"/>
      <c r="L126" s="3749"/>
      <c r="M126" s="3749"/>
      <c r="N126" s="3749"/>
      <c r="O126" s="3749"/>
      <c r="P126" s="3749"/>
      <c r="Q126" s="3749"/>
      <c r="R126" s="3749"/>
    </row>
    <row r="127" spans="1:18" ht="31.5" customHeight="1" x14ac:dyDescent="0.3">
      <c r="A127" s="3748"/>
      <c r="B127" s="3748"/>
      <c r="C127" s="3748"/>
      <c r="D127" s="3748"/>
      <c r="E127" s="3748"/>
      <c r="F127" s="3748"/>
      <c r="G127" s="3748"/>
      <c r="H127" s="3748"/>
      <c r="I127" s="3748"/>
      <c r="J127" s="3748"/>
      <c r="K127" s="3748"/>
      <c r="L127" s="3748"/>
      <c r="M127" s="3748"/>
      <c r="N127" s="3748"/>
      <c r="O127" s="3748"/>
      <c r="P127" s="3748"/>
      <c r="Q127" s="3748"/>
      <c r="R127" s="3748"/>
    </row>
    <row r="128" spans="1:18" ht="31.5" customHeight="1" x14ac:dyDescent="0.3">
      <c r="A128" s="3750"/>
      <c r="B128" s="3750"/>
      <c r="C128" s="3750"/>
      <c r="D128" s="3750"/>
      <c r="E128" s="3750"/>
      <c r="F128" s="3750"/>
      <c r="G128" s="3750"/>
      <c r="H128" s="3750"/>
      <c r="I128" s="3750"/>
      <c r="J128" s="3750"/>
      <c r="K128" s="3750"/>
      <c r="L128" s="3750"/>
      <c r="M128" s="3750"/>
      <c r="N128" s="3750"/>
      <c r="O128" s="3750"/>
      <c r="P128" s="3750"/>
      <c r="Q128" s="3750"/>
      <c r="R128" s="3750"/>
    </row>
    <row r="129" spans="1:18" ht="31.5" customHeight="1" x14ac:dyDescent="0.3">
      <c r="A129" s="3751"/>
      <c r="B129" s="3751"/>
      <c r="C129" s="3751"/>
      <c r="D129" s="3751"/>
      <c r="E129" s="3751"/>
      <c r="F129" s="3751"/>
      <c r="G129" s="3751"/>
      <c r="H129" s="3751"/>
      <c r="I129" s="3751"/>
      <c r="J129" s="3751"/>
      <c r="K129" s="3751"/>
      <c r="L129" s="3751"/>
      <c r="M129" s="3751"/>
      <c r="N129" s="3751"/>
      <c r="O129" s="3751"/>
      <c r="P129" s="3751"/>
      <c r="Q129" s="3751"/>
      <c r="R129" s="3751"/>
    </row>
    <row r="130" spans="1:18" ht="31.5" customHeight="1" x14ac:dyDescent="0.3">
      <c r="A130" s="3751"/>
      <c r="B130" s="3751"/>
      <c r="C130" s="3751"/>
      <c r="D130" s="3751"/>
      <c r="E130" s="3751"/>
      <c r="F130" s="3751"/>
      <c r="G130" s="3751"/>
      <c r="H130" s="3751"/>
      <c r="I130" s="3751"/>
      <c r="J130" s="3751"/>
      <c r="K130" s="3751"/>
      <c r="L130" s="3751"/>
      <c r="M130" s="3751"/>
      <c r="N130" s="3751"/>
      <c r="O130" s="3751"/>
      <c r="P130" s="3751"/>
      <c r="Q130" s="3751"/>
      <c r="R130" s="3751"/>
    </row>
    <row r="131" spans="1:18" ht="31.5" customHeight="1" x14ac:dyDescent="0.3">
      <c r="A131" s="3748"/>
      <c r="B131" s="3748"/>
      <c r="C131" s="3748"/>
      <c r="D131" s="3748"/>
      <c r="E131" s="3748"/>
      <c r="F131" s="3748"/>
      <c r="G131" s="3748"/>
      <c r="H131" s="3748"/>
      <c r="I131" s="3748"/>
      <c r="J131" s="3748"/>
      <c r="K131" s="3748"/>
      <c r="L131" s="3748"/>
      <c r="M131" s="3748"/>
      <c r="N131" s="3748"/>
      <c r="O131" s="3748"/>
      <c r="P131" s="3748"/>
      <c r="Q131" s="3748"/>
      <c r="R131" s="3748"/>
    </row>
  </sheetData>
  <mergeCells count="59">
    <mergeCell ref="A131:R131"/>
    <mergeCell ref="A125:R125"/>
    <mergeCell ref="A126:R126"/>
    <mergeCell ref="A127:R127"/>
    <mergeCell ref="A128:R128"/>
    <mergeCell ref="A129:R129"/>
    <mergeCell ref="A130:R130"/>
    <mergeCell ref="J6:K6"/>
    <mergeCell ref="L6:M6"/>
    <mergeCell ref="A124:R124"/>
    <mergeCell ref="C103:N103"/>
    <mergeCell ref="A105:B105"/>
    <mergeCell ref="L105:N105"/>
    <mergeCell ref="C114:E114"/>
    <mergeCell ref="O114:Q114"/>
    <mergeCell ref="A117:R117"/>
    <mergeCell ref="A119:R119"/>
    <mergeCell ref="A120:R120"/>
    <mergeCell ref="A121:R121"/>
    <mergeCell ref="A122:R122"/>
    <mergeCell ref="A123:R123"/>
    <mergeCell ref="C4:N4"/>
    <mergeCell ref="P4:AA4"/>
    <mergeCell ref="AB6:AB8"/>
    <mergeCell ref="A94:B94"/>
    <mergeCell ref="A71:B71"/>
    <mergeCell ref="E74:F74"/>
    <mergeCell ref="G74:I74"/>
    <mergeCell ref="E75:F75"/>
    <mergeCell ref="E76:F76"/>
    <mergeCell ref="E77:F77"/>
    <mergeCell ref="E78:F78"/>
    <mergeCell ref="E79:F79"/>
    <mergeCell ref="B80:F80"/>
    <mergeCell ref="A82:B82"/>
    <mergeCell ref="C91:N91"/>
    <mergeCell ref="A70:B70"/>
    <mergeCell ref="A5:B5"/>
    <mergeCell ref="C5:O5"/>
    <mergeCell ref="P5:AB5"/>
    <mergeCell ref="A6:A8"/>
    <mergeCell ref="B6:B7"/>
    <mergeCell ref="C6:E6"/>
    <mergeCell ref="F6:G6"/>
    <mergeCell ref="H6:I6"/>
    <mergeCell ref="V6:W6"/>
    <mergeCell ref="X6:Y6"/>
    <mergeCell ref="Z6:Z8"/>
    <mergeCell ref="AA6:AA8"/>
    <mergeCell ref="N6:N8"/>
    <mergeCell ref="O6:Q6"/>
    <mergeCell ref="R6:S6"/>
    <mergeCell ref="T6:U6"/>
    <mergeCell ref="A2:B2"/>
    <mergeCell ref="C2:N2"/>
    <mergeCell ref="P2:AA2"/>
    <mergeCell ref="A3:B3"/>
    <mergeCell ref="C3:N3"/>
    <mergeCell ref="P3:AA3"/>
  </mergeCells>
  <conditionalFormatting sqref="AC10:AC11 AC13:AC67">
    <cfRule type="containsText" dxfId="53" priority="2" operator="containsText" text="F">
      <formula>NOT(ISERROR(SEARCH("F",AC10)))</formula>
    </cfRule>
  </conditionalFormatting>
  <conditionalFormatting sqref="AC12">
    <cfRule type="containsText" dxfId="52" priority="1" operator="containsText" text="F">
      <formula>NOT(ISERROR(SEARCH("F",AC12)))</formula>
    </cfRule>
  </conditionalFormatting>
  <pageMargins left="0.7" right="0.7" top="0.75" bottom="0.75" header="0.3" footer="0.3"/>
  <pageSetup paperSize="8" scale="26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AH95"/>
  <sheetViews>
    <sheetView topLeftCell="A71" zoomScale="77" zoomScaleNormal="77" workbookViewId="0">
      <selection activeCell="A41" sqref="A41:B41"/>
    </sheetView>
  </sheetViews>
  <sheetFormatPr defaultRowHeight="26.25" customHeight="1" x14ac:dyDescent="0.3"/>
  <cols>
    <col min="1" max="1" width="9.140625" style="1016"/>
    <col min="2" max="2" width="15" style="1016" customWidth="1"/>
    <col min="3" max="3" width="9.140625" style="1016"/>
    <col min="4" max="4" width="14.85546875" style="1016" customWidth="1"/>
    <col min="5" max="19" width="9.140625" style="1016"/>
    <col min="20" max="20" width="4.42578125" style="1016" bestFit="1" customWidth="1"/>
    <col min="21" max="21" width="5.28515625" style="1016" customWidth="1"/>
    <col min="22" max="22" width="10.28515625" style="1016" customWidth="1"/>
    <col min="23" max="26" width="9.140625" style="1016"/>
    <col min="27" max="27" width="9.7109375" style="1016" bestFit="1" customWidth="1"/>
    <col min="28" max="16384" width="9.140625" style="1016"/>
  </cols>
  <sheetData>
    <row r="1" spans="1:34" ht="26.25" customHeight="1" x14ac:dyDescent="0.3">
      <c r="A1" s="1625"/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  <c r="N1" s="1626"/>
      <c r="O1" s="1038"/>
      <c r="P1" s="1038"/>
      <c r="Q1" s="1038"/>
      <c r="R1" s="1038"/>
      <c r="S1" s="1038"/>
      <c r="T1" s="1038"/>
      <c r="U1" s="1038"/>
      <c r="V1" s="1038"/>
      <c r="W1" s="1038"/>
      <c r="X1" s="1038"/>
      <c r="Y1" s="1038"/>
      <c r="Z1" s="1038"/>
      <c r="AA1" s="1626"/>
      <c r="AB1" s="1038"/>
      <c r="AC1" s="1038"/>
      <c r="AD1" s="1038"/>
      <c r="AE1" s="1038"/>
      <c r="AF1" s="1038"/>
      <c r="AG1" s="1038"/>
    </row>
    <row r="2" spans="1:34" ht="26.25" customHeight="1" x14ac:dyDescent="0.3">
      <c r="A2" s="3708" t="s">
        <v>0</v>
      </c>
      <c r="B2" s="3709"/>
      <c r="C2" s="3710" t="s">
        <v>218</v>
      </c>
      <c r="D2" s="3729"/>
      <c r="E2" s="3729"/>
      <c r="F2" s="3729"/>
      <c r="G2" s="3729"/>
      <c r="H2" s="3729"/>
      <c r="I2" s="3729"/>
      <c r="J2" s="3729"/>
      <c r="K2" s="3729"/>
      <c r="L2" s="3729"/>
      <c r="M2" s="3729"/>
      <c r="N2" s="3712"/>
      <c r="O2" s="1627" t="s">
        <v>63</v>
      </c>
      <c r="P2" s="3706" t="s">
        <v>271</v>
      </c>
      <c r="Q2" s="3732"/>
      <c r="R2" s="3732"/>
      <c r="S2" s="3732"/>
      <c r="T2" s="3732"/>
      <c r="U2" s="3732"/>
      <c r="V2" s="3732"/>
      <c r="W2" s="3732"/>
      <c r="X2" s="3732"/>
      <c r="Y2" s="3732"/>
      <c r="Z2" s="3732"/>
      <c r="AA2" s="3732"/>
      <c r="AB2" s="1015"/>
      <c r="AC2" s="1015"/>
      <c r="AD2" s="1015"/>
      <c r="AE2" s="1015"/>
      <c r="AF2" s="1015"/>
      <c r="AG2" s="1015"/>
    </row>
    <row r="3" spans="1:34" ht="26.25" customHeight="1" x14ac:dyDescent="0.3">
      <c r="A3" s="3708" t="s">
        <v>1</v>
      </c>
      <c r="B3" s="3709"/>
      <c r="C3" s="3710" t="s">
        <v>295</v>
      </c>
      <c r="D3" s="3729"/>
      <c r="E3" s="3729"/>
      <c r="F3" s="3729"/>
      <c r="G3" s="3729"/>
      <c r="H3" s="3729"/>
      <c r="I3" s="3729"/>
      <c r="J3" s="3729"/>
      <c r="K3" s="3729"/>
      <c r="L3" s="3729"/>
      <c r="M3" s="3729"/>
      <c r="N3" s="3712"/>
      <c r="O3" s="1628" t="s">
        <v>64</v>
      </c>
      <c r="P3" s="3706" t="s">
        <v>232</v>
      </c>
      <c r="Q3" s="3732"/>
      <c r="R3" s="3732"/>
      <c r="S3" s="3732"/>
      <c r="T3" s="3732"/>
      <c r="U3" s="3732"/>
      <c r="V3" s="3732"/>
      <c r="W3" s="3732"/>
      <c r="X3" s="3732"/>
      <c r="Y3" s="3732"/>
      <c r="Z3" s="3732"/>
      <c r="AA3" s="3732"/>
      <c r="AB3" s="1015"/>
      <c r="AC3" s="1015"/>
      <c r="AD3" s="1015"/>
      <c r="AE3" s="1015"/>
      <c r="AF3" s="1015"/>
      <c r="AG3" s="1015"/>
    </row>
    <row r="4" spans="1:34" ht="26.25" customHeight="1" thickBot="1" x14ac:dyDescent="0.35">
      <c r="A4" s="1743"/>
      <c r="B4" s="1744" t="s">
        <v>2</v>
      </c>
      <c r="C4" s="3714" t="s">
        <v>288</v>
      </c>
      <c r="D4" s="3715"/>
      <c r="E4" s="3715"/>
      <c r="F4" s="3715"/>
      <c r="G4" s="3715"/>
      <c r="H4" s="3715"/>
      <c r="I4" s="3715"/>
      <c r="J4" s="3715"/>
      <c r="K4" s="3715"/>
      <c r="L4" s="3715"/>
      <c r="M4" s="3715"/>
      <c r="N4" s="3716"/>
      <c r="O4" s="1744" t="s">
        <v>65</v>
      </c>
      <c r="P4" s="3717" t="s">
        <v>66</v>
      </c>
      <c r="Q4" s="3718"/>
      <c r="R4" s="3718"/>
      <c r="S4" s="3718"/>
      <c r="T4" s="3718"/>
      <c r="U4" s="3718"/>
      <c r="V4" s="3718"/>
      <c r="W4" s="3718"/>
      <c r="X4" s="3718"/>
      <c r="Y4" s="3718"/>
      <c r="Z4" s="3718"/>
      <c r="AA4" s="3718"/>
      <c r="AB4" s="1015"/>
      <c r="AC4" s="1015"/>
      <c r="AD4" s="1015"/>
      <c r="AE4" s="1015"/>
      <c r="AF4" s="1015"/>
      <c r="AG4" s="1015"/>
    </row>
    <row r="5" spans="1:34" ht="26.25" customHeight="1" thickBot="1" x14ac:dyDescent="0.35">
      <c r="A5" s="3719"/>
      <c r="B5" s="3720"/>
      <c r="C5" s="3721" t="s">
        <v>3</v>
      </c>
      <c r="D5" s="3722"/>
      <c r="E5" s="3722"/>
      <c r="F5" s="3722"/>
      <c r="G5" s="3722"/>
      <c r="H5" s="3722"/>
      <c r="I5" s="3722"/>
      <c r="J5" s="3722"/>
      <c r="K5" s="3722"/>
      <c r="L5" s="3722"/>
      <c r="M5" s="3722"/>
      <c r="N5" s="3722"/>
      <c r="O5" s="3723"/>
      <c r="P5" s="3724" t="s">
        <v>4</v>
      </c>
      <c r="Q5" s="3725"/>
      <c r="R5" s="3725"/>
      <c r="S5" s="3725"/>
      <c r="T5" s="3725"/>
      <c r="U5" s="3725"/>
      <c r="V5" s="3725"/>
      <c r="W5" s="3725"/>
      <c r="X5" s="3725"/>
      <c r="Y5" s="3725"/>
      <c r="Z5" s="3725"/>
      <c r="AA5" s="3725"/>
      <c r="AB5" s="3725"/>
      <c r="AC5" s="1631"/>
      <c r="AD5" s="1632"/>
      <c r="AE5" s="1632"/>
      <c r="AF5" s="1632"/>
      <c r="AG5" s="1632"/>
    </row>
    <row r="6" spans="1:34" ht="26.25" customHeight="1" thickBot="1" x14ac:dyDescent="0.35">
      <c r="A6" s="3701"/>
      <c r="B6" s="3704" t="s">
        <v>5</v>
      </c>
      <c r="C6" s="3697" t="s">
        <v>6</v>
      </c>
      <c r="D6" s="3698"/>
      <c r="E6" s="3713"/>
      <c r="F6" s="3699" t="s">
        <v>7</v>
      </c>
      <c r="G6" s="3765"/>
      <c r="H6" s="1803" t="s">
        <v>8</v>
      </c>
      <c r="I6" s="1803" t="s">
        <v>8</v>
      </c>
      <c r="J6" s="3695" t="s">
        <v>9</v>
      </c>
      <c r="K6" s="3764"/>
      <c r="L6" s="3764" t="s">
        <v>236</v>
      </c>
      <c r="M6" s="3696"/>
      <c r="N6" s="1804" t="s">
        <v>146</v>
      </c>
      <c r="O6" s="3697" t="s">
        <v>6</v>
      </c>
      <c r="P6" s="3698"/>
      <c r="Q6" s="3698"/>
      <c r="R6" s="3699" t="s">
        <v>7</v>
      </c>
      <c r="S6" s="3765"/>
      <c r="T6" s="3764" t="s">
        <v>8</v>
      </c>
      <c r="U6" s="3696"/>
      <c r="V6" s="1805" t="s">
        <v>8</v>
      </c>
      <c r="W6" s="1805" t="s">
        <v>9</v>
      </c>
      <c r="X6" s="1803" t="s">
        <v>9</v>
      </c>
      <c r="Y6" s="1803" t="s">
        <v>236</v>
      </c>
      <c r="Z6" s="1803" t="s">
        <v>236</v>
      </c>
      <c r="AA6" s="1750" t="s">
        <v>147</v>
      </c>
      <c r="AB6" s="3688" t="s">
        <v>151</v>
      </c>
      <c r="AC6" s="3688" t="s">
        <v>152</v>
      </c>
      <c r="AD6" s="1634"/>
      <c r="AE6" s="1635" t="s">
        <v>11</v>
      </c>
      <c r="AF6" s="1636" t="s">
        <v>12</v>
      </c>
      <c r="AG6" s="1038"/>
    </row>
    <row r="7" spans="1:34" ht="26.25" customHeight="1" x14ac:dyDescent="0.3">
      <c r="A7" s="3702"/>
      <c r="B7" s="3705"/>
      <c r="C7" s="1637" t="s">
        <v>13</v>
      </c>
      <c r="D7" s="1638" t="s">
        <v>14</v>
      </c>
      <c r="E7" s="1639" t="s">
        <v>15</v>
      </c>
      <c r="F7" s="1637" t="s">
        <v>13</v>
      </c>
      <c r="G7" s="1638" t="s">
        <v>14</v>
      </c>
      <c r="H7" s="1638" t="s">
        <v>13</v>
      </c>
      <c r="I7" s="1638" t="s">
        <v>14</v>
      </c>
      <c r="J7" s="3762"/>
      <c r="K7" s="3683"/>
      <c r="L7" s="1806" t="s">
        <v>13</v>
      </c>
      <c r="M7" s="1638" t="s">
        <v>14</v>
      </c>
      <c r="N7" s="1751"/>
      <c r="O7" s="1637" t="s">
        <v>13</v>
      </c>
      <c r="P7" s="1638" t="s">
        <v>14</v>
      </c>
      <c r="Q7" s="1752" t="s">
        <v>15</v>
      </c>
      <c r="R7" s="1637" t="s">
        <v>13</v>
      </c>
      <c r="S7" s="1638" t="s">
        <v>14</v>
      </c>
      <c r="T7" s="3681" t="s">
        <v>13</v>
      </c>
      <c r="U7" s="3759"/>
      <c r="V7" s="1822" t="s">
        <v>14</v>
      </c>
      <c r="W7" s="1637" t="s">
        <v>13</v>
      </c>
      <c r="X7" s="1638" t="s">
        <v>14</v>
      </c>
      <c r="Y7" s="1754" t="s">
        <v>13</v>
      </c>
      <c r="Z7" s="1754" t="s">
        <v>14</v>
      </c>
      <c r="AA7" s="1754"/>
      <c r="AB7" s="3689"/>
      <c r="AC7" s="3689"/>
      <c r="AD7" s="1635"/>
      <c r="AE7" s="1038"/>
      <c r="AF7" s="1755"/>
      <c r="AG7" s="1644"/>
    </row>
    <row r="8" spans="1:34" ht="26.25" customHeight="1" x14ac:dyDescent="0.3">
      <c r="A8" s="3703"/>
      <c r="B8" s="1756" t="s">
        <v>19</v>
      </c>
      <c r="C8" s="1637" t="s">
        <v>22</v>
      </c>
      <c r="D8" s="1637" t="s">
        <v>20</v>
      </c>
      <c r="E8" s="1646" t="s">
        <v>23</v>
      </c>
      <c r="F8" s="3762" t="s">
        <v>20</v>
      </c>
      <c r="G8" s="3683"/>
      <c r="H8" s="3681" t="s">
        <v>20</v>
      </c>
      <c r="I8" s="3759"/>
      <c r="J8" s="3766" t="s">
        <v>23</v>
      </c>
      <c r="K8" s="3767"/>
      <c r="L8" s="3768" t="s">
        <v>41</v>
      </c>
      <c r="M8" s="3769"/>
      <c r="N8" s="1646"/>
      <c r="O8" s="1637" t="s">
        <v>40</v>
      </c>
      <c r="P8" s="1638" t="s">
        <v>43</v>
      </c>
      <c r="Q8" s="1752" t="s">
        <v>42</v>
      </c>
      <c r="R8" s="1637" t="s">
        <v>42</v>
      </c>
      <c r="S8" s="1638" t="s">
        <v>42</v>
      </c>
      <c r="T8" s="3681" t="s">
        <v>43</v>
      </c>
      <c r="U8" s="3759"/>
      <c r="V8" s="1637" t="s">
        <v>43</v>
      </c>
      <c r="W8" s="1637" t="s">
        <v>42</v>
      </c>
      <c r="X8" s="1638" t="s">
        <v>43</v>
      </c>
      <c r="Y8" s="1637" t="s">
        <v>40</v>
      </c>
      <c r="Z8" s="1637" t="s">
        <v>40</v>
      </c>
      <c r="AA8" s="1754" t="s">
        <v>237</v>
      </c>
      <c r="AB8" s="3690"/>
      <c r="AC8" s="3690"/>
      <c r="AD8" s="1754"/>
      <c r="AE8" s="1754"/>
      <c r="AF8" s="1755"/>
      <c r="AG8" s="1644"/>
    </row>
    <row r="9" spans="1:34" ht="26.25" customHeight="1" x14ac:dyDescent="0.3">
      <c r="A9" s="1638" t="s">
        <v>18</v>
      </c>
      <c r="B9" s="1752" t="s">
        <v>26</v>
      </c>
      <c r="C9" s="1637">
        <v>2</v>
      </c>
      <c r="D9" s="1638">
        <v>2</v>
      </c>
      <c r="E9" s="1639">
        <v>2</v>
      </c>
      <c r="F9" s="1637">
        <v>6</v>
      </c>
      <c r="G9" s="1638">
        <v>6</v>
      </c>
      <c r="H9" s="1638">
        <v>6</v>
      </c>
      <c r="I9" s="1638">
        <v>6</v>
      </c>
      <c r="J9" s="3762">
        <v>12</v>
      </c>
      <c r="K9" s="3683"/>
      <c r="L9" s="1638">
        <v>6</v>
      </c>
      <c r="M9" s="1638">
        <v>6</v>
      </c>
      <c r="N9" s="1642">
        <v>30</v>
      </c>
      <c r="O9" s="1637">
        <v>2</v>
      </c>
      <c r="P9" s="1638">
        <v>2</v>
      </c>
      <c r="Q9" s="1752">
        <v>2</v>
      </c>
      <c r="R9" s="1637">
        <v>6</v>
      </c>
      <c r="S9" s="1638">
        <v>6</v>
      </c>
      <c r="T9" s="3681">
        <v>6</v>
      </c>
      <c r="U9" s="3759"/>
      <c r="V9" s="1822">
        <v>6</v>
      </c>
      <c r="W9" s="1637">
        <v>6</v>
      </c>
      <c r="X9" s="1822">
        <v>6</v>
      </c>
      <c r="Y9" s="1637">
        <v>6</v>
      </c>
      <c r="Z9" s="1637">
        <v>6</v>
      </c>
      <c r="AA9" s="1754">
        <v>30</v>
      </c>
      <c r="AB9" s="1037">
        <v>10</v>
      </c>
      <c r="AC9" s="1037">
        <v>10</v>
      </c>
      <c r="AD9" s="1037"/>
      <c r="AE9" s="1037"/>
      <c r="AF9" s="1650"/>
      <c r="AG9" s="1651"/>
    </row>
    <row r="10" spans="1:34" ht="26.25" customHeight="1" x14ac:dyDescent="0.3">
      <c r="A10" s="1638">
        <v>1</v>
      </c>
      <c r="B10" s="1823">
        <v>5191421001</v>
      </c>
      <c r="C10" s="1809">
        <v>0</v>
      </c>
      <c r="D10" s="1663">
        <v>0</v>
      </c>
      <c r="E10" s="1663">
        <v>0</v>
      </c>
      <c r="F10" s="1663"/>
      <c r="G10" s="1671"/>
      <c r="H10" s="1671">
        <v>4</v>
      </c>
      <c r="I10" s="1671">
        <v>3</v>
      </c>
      <c r="J10" s="3762">
        <v>12</v>
      </c>
      <c r="K10" s="3683"/>
      <c r="L10" s="1793"/>
      <c r="M10" s="1793"/>
      <c r="N10" s="1661">
        <f>SUM(C10:M10)</f>
        <v>19</v>
      </c>
      <c r="O10" s="1663"/>
      <c r="P10" s="1663">
        <v>1</v>
      </c>
      <c r="Q10" s="1762">
        <v>1</v>
      </c>
      <c r="R10" s="1662">
        <v>6</v>
      </c>
      <c r="S10" s="1671"/>
      <c r="T10" s="3755"/>
      <c r="U10" s="3756"/>
      <c r="V10" s="1774"/>
      <c r="W10" s="1666"/>
      <c r="X10" s="1764"/>
      <c r="Y10" s="1764"/>
      <c r="Z10" s="1764">
        <v>6</v>
      </c>
      <c r="AA10" s="1809">
        <f>SUM(O10:Z10)</f>
        <v>14</v>
      </c>
      <c r="AB10" s="1810"/>
      <c r="AC10" s="1810"/>
      <c r="AD10" s="1810"/>
      <c r="AE10" s="1670" t="s">
        <v>27</v>
      </c>
      <c r="AF10" s="1671">
        <f>IF(AE10="O",100,IF(AE10="A+",90,IF(AE10="A",80,IF(AE10="B+",70,IF(AE10="B",60,IF(AE10="C",55,IF(AE10="P",50,IF(AE10="F",39))))))))</f>
        <v>80</v>
      </c>
      <c r="AG10" s="1671"/>
      <c r="AH10" s="1671"/>
    </row>
    <row r="11" spans="1:34" ht="26.25" customHeight="1" x14ac:dyDescent="0.3">
      <c r="A11" s="1638">
        <v>2</v>
      </c>
      <c r="B11" s="1823">
        <v>5191421002</v>
      </c>
      <c r="C11" s="1811">
        <v>1</v>
      </c>
      <c r="D11" s="1663">
        <v>2</v>
      </c>
      <c r="E11" s="1663">
        <v>2</v>
      </c>
      <c r="F11" s="1663"/>
      <c r="G11" s="1671"/>
      <c r="H11" s="1671">
        <v>4</v>
      </c>
      <c r="I11" s="1671">
        <v>4</v>
      </c>
      <c r="J11" s="3762"/>
      <c r="K11" s="3683"/>
      <c r="L11" s="1793">
        <v>6</v>
      </c>
      <c r="M11" s="1793">
        <v>3</v>
      </c>
      <c r="N11" s="1661">
        <f t="shared" ref="N11:N38" si="0">SUM(C11:M11)</f>
        <v>22</v>
      </c>
      <c r="O11" s="1663"/>
      <c r="P11" s="1663"/>
      <c r="Q11" s="1762">
        <v>2</v>
      </c>
      <c r="R11" s="1662">
        <v>5</v>
      </c>
      <c r="S11" s="1671"/>
      <c r="T11" s="3763"/>
      <c r="U11" s="3756"/>
      <c r="V11" s="1774"/>
      <c r="W11" s="1666"/>
      <c r="X11" s="1764"/>
      <c r="Y11" s="1764"/>
      <c r="Z11" s="1764"/>
      <c r="AA11" s="1809">
        <f t="shared" ref="AA11:AA38" si="1">SUM(O11:Z11)</f>
        <v>7</v>
      </c>
      <c r="AB11" s="1810"/>
      <c r="AC11" s="1810"/>
      <c r="AD11" s="1810"/>
      <c r="AE11" s="1670" t="s">
        <v>32</v>
      </c>
      <c r="AF11" s="1671">
        <f t="shared" ref="AF11:AF38" si="2">IF(AE11="O",100,IF(AE11="A+",90,IF(AE11="A",80,IF(AE11="B+",70,IF(AE11="B",60,IF(AE11="C",55,IF(AE11="P",50,IF(AE11="F",39))))))))</f>
        <v>70</v>
      </c>
      <c r="AG11" s="1683"/>
    </row>
    <row r="12" spans="1:34" ht="26.25" customHeight="1" x14ac:dyDescent="0.3">
      <c r="A12" s="1638">
        <v>3</v>
      </c>
      <c r="B12" s="1823">
        <v>5191421003</v>
      </c>
      <c r="C12" s="1809">
        <v>2</v>
      </c>
      <c r="D12" s="1663">
        <v>2</v>
      </c>
      <c r="E12" s="1682">
        <v>2</v>
      </c>
      <c r="F12" s="1662"/>
      <c r="G12" s="1671"/>
      <c r="H12" s="1764">
        <v>6</v>
      </c>
      <c r="I12" s="1764">
        <v>6</v>
      </c>
      <c r="J12" s="3762">
        <v>12</v>
      </c>
      <c r="K12" s="3683"/>
      <c r="L12" s="1793"/>
      <c r="M12" s="1793"/>
      <c r="N12" s="1661">
        <f t="shared" si="0"/>
        <v>30</v>
      </c>
      <c r="O12" s="1662">
        <v>2</v>
      </c>
      <c r="P12" s="1663">
        <v>1</v>
      </c>
      <c r="Q12" s="1762">
        <v>2</v>
      </c>
      <c r="R12" s="1662">
        <v>6</v>
      </c>
      <c r="S12" s="1671">
        <v>6</v>
      </c>
      <c r="T12" s="3763"/>
      <c r="U12" s="3756"/>
      <c r="V12" s="1774"/>
      <c r="W12" s="1666"/>
      <c r="X12" s="1764">
        <v>6</v>
      </c>
      <c r="Y12" s="1764"/>
      <c r="Z12" s="1764"/>
      <c r="AA12" s="1809">
        <f t="shared" si="1"/>
        <v>23</v>
      </c>
      <c r="AB12" s="1810"/>
      <c r="AC12" s="1810"/>
      <c r="AD12" s="1810"/>
      <c r="AE12" s="1670" t="s">
        <v>30</v>
      </c>
      <c r="AF12" s="1671">
        <f t="shared" si="2"/>
        <v>90</v>
      </c>
      <c r="AG12" s="1038"/>
    </row>
    <row r="13" spans="1:34" ht="26.25" customHeight="1" x14ac:dyDescent="0.3">
      <c r="A13" s="1638">
        <v>4</v>
      </c>
      <c r="B13" s="1823">
        <v>5191421004</v>
      </c>
      <c r="C13" s="1809">
        <v>1</v>
      </c>
      <c r="D13" s="1663">
        <v>2</v>
      </c>
      <c r="E13" s="1682">
        <v>1</v>
      </c>
      <c r="F13" s="1662">
        <v>5</v>
      </c>
      <c r="G13" s="1671"/>
      <c r="H13" s="1764"/>
      <c r="I13" s="1764"/>
      <c r="J13" s="3762"/>
      <c r="K13" s="3683"/>
      <c r="L13" s="1793">
        <v>4</v>
      </c>
      <c r="M13" s="1793"/>
      <c r="N13" s="1661">
        <f t="shared" si="0"/>
        <v>13</v>
      </c>
      <c r="O13" s="1662">
        <v>1</v>
      </c>
      <c r="P13" s="1663">
        <v>1</v>
      </c>
      <c r="Q13" s="1762">
        <v>1</v>
      </c>
      <c r="R13" s="1662">
        <v>5</v>
      </c>
      <c r="S13" s="1671">
        <v>1</v>
      </c>
      <c r="T13" s="3755"/>
      <c r="U13" s="3756"/>
      <c r="V13" s="1774"/>
      <c r="W13" s="1666">
        <v>4</v>
      </c>
      <c r="X13" s="1764">
        <v>5</v>
      </c>
      <c r="Y13" s="1764"/>
      <c r="Z13" s="1764"/>
      <c r="AA13" s="1809">
        <f t="shared" si="1"/>
        <v>18</v>
      </c>
      <c r="AB13" s="1810"/>
      <c r="AC13" s="1810"/>
      <c r="AD13" s="1810"/>
      <c r="AE13" s="1670" t="s">
        <v>27</v>
      </c>
      <c r="AF13" s="1671">
        <f t="shared" si="2"/>
        <v>80</v>
      </c>
      <c r="AG13" s="1038"/>
    </row>
    <row r="14" spans="1:34" ht="26.25" customHeight="1" x14ac:dyDescent="0.3">
      <c r="A14" s="1638">
        <v>5</v>
      </c>
      <c r="B14" s="1823">
        <v>5191421006</v>
      </c>
      <c r="C14" s="1809">
        <v>2</v>
      </c>
      <c r="D14" s="1663">
        <v>2</v>
      </c>
      <c r="E14" s="1682">
        <v>2</v>
      </c>
      <c r="F14" s="1662"/>
      <c r="G14" s="1671"/>
      <c r="H14" s="1764">
        <v>6</v>
      </c>
      <c r="I14" s="1764">
        <v>6</v>
      </c>
      <c r="J14" s="3762">
        <v>10</v>
      </c>
      <c r="K14" s="3683"/>
      <c r="L14" s="1793"/>
      <c r="M14" s="1793"/>
      <c r="N14" s="1661">
        <f t="shared" si="0"/>
        <v>28</v>
      </c>
      <c r="O14" s="1662"/>
      <c r="P14" s="1663"/>
      <c r="Q14" s="1762">
        <v>1</v>
      </c>
      <c r="R14" s="1662">
        <v>6</v>
      </c>
      <c r="S14" s="1671">
        <v>6</v>
      </c>
      <c r="T14" s="3755"/>
      <c r="U14" s="3756"/>
      <c r="V14" s="1774"/>
      <c r="W14" s="1666">
        <v>5</v>
      </c>
      <c r="X14" s="1764">
        <v>5</v>
      </c>
      <c r="Y14" s="1764"/>
      <c r="Z14" s="1764"/>
      <c r="AA14" s="1809">
        <f t="shared" si="1"/>
        <v>23</v>
      </c>
      <c r="AB14" s="1810"/>
      <c r="AC14" s="1810"/>
      <c r="AD14" s="1810"/>
      <c r="AE14" s="1670" t="s">
        <v>30</v>
      </c>
      <c r="AF14" s="1671">
        <f t="shared" si="2"/>
        <v>90</v>
      </c>
      <c r="AG14" s="1038"/>
    </row>
    <row r="15" spans="1:34" ht="26.25" customHeight="1" x14ac:dyDescent="0.3">
      <c r="A15" s="1638">
        <v>6</v>
      </c>
      <c r="B15" s="1823">
        <v>5191421008</v>
      </c>
      <c r="C15" s="1809">
        <v>1</v>
      </c>
      <c r="D15" s="1663">
        <v>1</v>
      </c>
      <c r="E15" s="1682"/>
      <c r="F15" s="1662">
        <v>5</v>
      </c>
      <c r="G15" s="1671">
        <v>0</v>
      </c>
      <c r="H15" s="1764"/>
      <c r="I15" s="1764"/>
      <c r="J15" s="3762"/>
      <c r="K15" s="3683"/>
      <c r="L15" s="1793">
        <v>5</v>
      </c>
      <c r="M15" s="1793">
        <v>1</v>
      </c>
      <c r="N15" s="1661">
        <f t="shared" si="0"/>
        <v>13</v>
      </c>
      <c r="O15" s="1662"/>
      <c r="P15" s="1663"/>
      <c r="Q15" s="1762"/>
      <c r="R15" s="1662">
        <v>6</v>
      </c>
      <c r="S15" s="1671">
        <v>4</v>
      </c>
      <c r="T15" s="3755"/>
      <c r="U15" s="3756"/>
      <c r="V15" s="1774"/>
      <c r="W15" s="1666">
        <v>2</v>
      </c>
      <c r="X15" s="1764">
        <v>4</v>
      </c>
      <c r="Y15" s="1764"/>
      <c r="Z15" s="1764"/>
      <c r="AA15" s="1809">
        <f t="shared" si="1"/>
        <v>16</v>
      </c>
      <c r="AB15" s="1810"/>
      <c r="AC15" s="1810"/>
      <c r="AD15" s="1810"/>
      <c r="AE15" s="1670" t="s">
        <v>33</v>
      </c>
      <c r="AF15" s="1671">
        <f t="shared" si="2"/>
        <v>60</v>
      </c>
      <c r="AG15" s="1038"/>
    </row>
    <row r="16" spans="1:34" ht="26.25" customHeight="1" x14ac:dyDescent="0.3">
      <c r="A16" s="1638">
        <v>7</v>
      </c>
      <c r="B16" s="1823">
        <v>5191421010</v>
      </c>
      <c r="C16" s="1809">
        <v>1</v>
      </c>
      <c r="D16" s="1663">
        <v>2</v>
      </c>
      <c r="E16" s="1682">
        <v>2</v>
      </c>
      <c r="F16" s="1662"/>
      <c r="G16" s="1815"/>
      <c r="H16" s="1811">
        <v>6</v>
      </c>
      <c r="I16" s="1764">
        <v>6</v>
      </c>
      <c r="J16" s="3762">
        <v>12</v>
      </c>
      <c r="K16" s="3683"/>
      <c r="L16" s="1793"/>
      <c r="M16" s="1793"/>
      <c r="N16" s="1661">
        <f t="shared" si="0"/>
        <v>29</v>
      </c>
      <c r="O16" s="1662">
        <v>0</v>
      </c>
      <c r="P16" s="1663">
        <v>0</v>
      </c>
      <c r="Q16" s="1762">
        <v>1</v>
      </c>
      <c r="R16" s="1662">
        <v>6</v>
      </c>
      <c r="S16" s="1671">
        <v>6</v>
      </c>
      <c r="T16" s="3755"/>
      <c r="U16" s="3756"/>
      <c r="V16" s="1774"/>
      <c r="W16" s="1666">
        <v>5</v>
      </c>
      <c r="X16" s="1764"/>
      <c r="Y16" s="1764"/>
      <c r="Z16" s="1764"/>
      <c r="AA16" s="1809">
        <f t="shared" si="1"/>
        <v>18</v>
      </c>
      <c r="AB16" s="1810"/>
      <c r="AC16" s="1810"/>
      <c r="AD16" s="1810"/>
      <c r="AE16" s="1670" t="s">
        <v>30</v>
      </c>
      <c r="AF16" s="1671">
        <f t="shared" si="2"/>
        <v>90</v>
      </c>
      <c r="AG16" s="1038"/>
    </row>
    <row r="17" spans="1:33" ht="26.25" customHeight="1" x14ac:dyDescent="0.3">
      <c r="A17" s="1638">
        <v>8</v>
      </c>
      <c r="B17" s="1823">
        <v>5191421011</v>
      </c>
      <c r="C17" s="1809">
        <v>1</v>
      </c>
      <c r="D17" s="1663">
        <v>2</v>
      </c>
      <c r="E17" s="1682">
        <v>1</v>
      </c>
      <c r="F17" s="1662">
        <v>6</v>
      </c>
      <c r="G17" s="1671">
        <v>5</v>
      </c>
      <c r="H17" s="1764"/>
      <c r="I17" s="1764"/>
      <c r="J17" s="3762">
        <v>12</v>
      </c>
      <c r="K17" s="3683"/>
      <c r="L17" s="1793"/>
      <c r="M17" s="1793"/>
      <c r="N17" s="1661">
        <f t="shared" si="0"/>
        <v>27</v>
      </c>
      <c r="O17" s="1662"/>
      <c r="P17" s="1663">
        <v>2</v>
      </c>
      <c r="Q17" s="1762">
        <v>2</v>
      </c>
      <c r="R17" s="1662">
        <v>6</v>
      </c>
      <c r="S17" s="1671">
        <v>5</v>
      </c>
      <c r="T17" s="3755"/>
      <c r="U17" s="3756"/>
      <c r="V17" s="1774"/>
      <c r="W17" s="1666"/>
      <c r="X17" s="1764">
        <v>5</v>
      </c>
      <c r="Y17" s="1764"/>
      <c r="Z17" s="1764"/>
      <c r="AA17" s="1809">
        <f t="shared" si="1"/>
        <v>20</v>
      </c>
      <c r="AB17" s="1810"/>
      <c r="AC17" s="1810"/>
      <c r="AD17" s="1810"/>
      <c r="AE17" s="1670" t="s">
        <v>30</v>
      </c>
      <c r="AF17" s="1671">
        <f t="shared" si="2"/>
        <v>90</v>
      </c>
      <c r="AG17" s="1038"/>
    </row>
    <row r="18" spans="1:33" ht="26.25" customHeight="1" x14ac:dyDescent="0.3">
      <c r="A18" s="1638">
        <v>9</v>
      </c>
      <c r="B18" s="1823">
        <v>5191421012</v>
      </c>
      <c r="C18" s="1811">
        <v>0</v>
      </c>
      <c r="D18" s="1663"/>
      <c r="E18" s="1682"/>
      <c r="F18" s="1662"/>
      <c r="G18" s="1671"/>
      <c r="H18" s="1764">
        <v>3</v>
      </c>
      <c r="I18" s="1764"/>
      <c r="J18" s="3762">
        <v>11</v>
      </c>
      <c r="K18" s="3683"/>
      <c r="L18" s="1793"/>
      <c r="M18" s="1793"/>
      <c r="N18" s="1661">
        <f t="shared" si="0"/>
        <v>14</v>
      </c>
      <c r="O18" s="1662"/>
      <c r="P18" s="1663"/>
      <c r="Q18" s="1762"/>
      <c r="R18" s="1662"/>
      <c r="S18" s="1671"/>
      <c r="T18" s="3755"/>
      <c r="U18" s="3756"/>
      <c r="V18" s="1774"/>
      <c r="W18" s="1666"/>
      <c r="X18" s="1764"/>
      <c r="Y18" s="1764">
        <v>5</v>
      </c>
      <c r="Z18" s="1764">
        <v>3</v>
      </c>
      <c r="AA18" s="1809">
        <f t="shared" si="1"/>
        <v>8</v>
      </c>
      <c r="AB18" s="1810"/>
      <c r="AC18" s="1810"/>
      <c r="AD18" s="1810"/>
      <c r="AE18" s="1670" t="s">
        <v>32</v>
      </c>
      <c r="AF18" s="1671">
        <f t="shared" si="2"/>
        <v>70</v>
      </c>
      <c r="AG18" s="1038"/>
    </row>
    <row r="19" spans="1:33" ht="26.25" customHeight="1" x14ac:dyDescent="0.3">
      <c r="A19" s="1638">
        <v>10</v>
      </c>
      <c r="B19" s="1823">
        <v>5191421013</v>
      </c>
      <c r="C19" s="1809"/>
      <c r="D19" s="1671">
        <v>2</v>
      </c>
      <c r="E19" s="1665">
        <v>2</v>
      </c>
      <c r="F19" s="1666"/>
      <c r="G19" s="1671"/>
      <c r="H19" s="1764">
        <v>6</v>
      </c>
      <c r="I19" s="1764">
        <v>6</v>
      </c>
      <c r="J19" s="3762">
        <v>12</v>
      </c>
      <c r="K19" s="3683"/>
      <c r="L19" s="1793"/>
      <c r="M19" s="1793"/>
      <c r="N19" s="1661">
        <f t="shared" si="0"/>
        <v>28</v>
      </c>
      <c r="O19" s="1662"/>
      <c r="P19" s="1663">
        <v>2</v>
      </c>
      <c r="Q19" s="1762"/>
      <c r="R19" s="1662">
        <v>6</v>
      </c>
      <c r="S19" s="1671">
        <v>6</v>
      </c>
      <c r="T19" s="3755"/>
      <c r="U19" s="3756"/>
      <c r="V19" s="1774"/>
      <c r="W19" s="1666">
        <v>6</v>
      </c>
      <c r="X19" s="1764">
        <v>5</v>
      </c>
      <c r="Y19" s="1764"/>
      <c r="Z19" s="1764"/>
      <c r="AA19" s="1809">
        <f t="shared" si="1"/>
        <v>25</v>
      </c>
      <c r="AB19" s="1810"/>
      <c r="AC19" s="1810"/>
      <c r="AD19" s="1810"/>
      <c r="AE19" s="1670" t="s">
        <v>82</v>
      </c>
      <c r="AF19" s="1671">
        <f t="shared" si="2"/>
        <v>100</v>
      </c>
      <c r="AG19" s="1038"/>
    </row>
    <row r="20" spans="1:33" ht="26.25" customHeight="1" x14ac:dyDescent="0.3">
      <c r="A20" s="1638">
        <v>11</v>
      </c>
      <c r="B20" s="1823">
        <v>5191421014</v>
      </c>
      <c r="C20" s="1764">
        <v>2</v>
      </c>
      <c r="D20" s="1671">
        <v>1</v>
      </c>
      <c r="E20" s="1665">
        <v>2</v>
      </c>
      <c r="F20" s="1666"/>
      <c r="G20" s="1671"/>
      <c r="H20" s="1764">
        <v>6</v>
      </c>
      <c r="I20" s="1764">
        <v>6</v>
      </c>
      <c r="J20" s="3762">
        <v>9</v>
      </c>
      <c r="K20" s="3683"/>
      <c r="L20" s="1793"/>
      <c r="M20" s="1793"/>
      <c r="N20" s="1661">
        <f t="shared" si="0"/>
        <v>26</v>
      </c>
      <c r="O20" s="1662"/>
      <c r="P20" s="1671"/>
      <c r="Q20" s="1779"/>
      <c r="R20" s="1666">
        <v>3</v>
      </c>
      <c r="S20" s="1671"/>
      <c r="T20" s="3755"/>
      <c r="U20" s="3756"/>
      <c r="V20" s="1774"/>
      <c r="W20" s="1666"/>
      <c r="X20" s="1764"/>
      <c r="Y20" s="1764"/>
      <c r="Z20" s="1764">
        <v>3</v>
      </c>
      <c r="AA20" s="1809">
        <f t="shared" si="1"/>
        <v>6</v>
      </c>
      <c r="AB20" s="1810"/>
      <c r="AC20" s="1810"/>
      <c r="AD20" s="1810"/>
      <c r="AE20" s="1670" t="s">
        <v>27</v>
      </c>
      <c r="AF20" s="1671">
        <f t="shared" si="2"/>
        <v>80</v>
      </c>
      <c r="AG20" s="1038"/>
    </row>
    <row r="21" spans="1:33" ht="26.25" customHeight="1" x14ac:dyDescent="0.3">
      <c r="A21" s="1638">
        <v>12</v>
      </c>
      <c r="B21" s="1823">
        <v>5191421016</v>
      </c>
      <c r="C21" s="1816">
        <v>2</v>
      </c>
      <c r="D21" s="1701"/>
      <c r="E21" s="1701">
        <v>2</v>
      </c>
      <c r="F21" s="1701">
        <v>3</v>
      </c>
      <c r="G21" s="1701">
        <v>3</v>
      </c>
      <c r="H21" s="1701"/>
      <c r="I21" s="1701"/>
      <c r="J21" s="3762"/>
      <c r="K21" s="3683"/>
      <c r="L21" s="1793"/>
      <c r="M21" s="1793"/>
      <c r="N21" s="1661">
        <f t="shared" si="0"/>
        <v>10</v>
      </c>
      <c r="O21" s="1662"/>
      <c r="P21" s="1671"/>
      <c r="Q21" s="1779"/>
      <c r="R21" s="1666"/>
      <c r="S21" s="1671"/>
      <c r="T21" s="3755"/>
      <c r="U21" s="3756"/>
      <c r="V21" s="1774"/>
      <c r="W21" s="1666"/>
      <c r="X21" s="1764"/>
      <c r="Y21" s="1764"/>
      <c r="Z21" s="1764"/>
      <c r="AA21" s="1809">
        <f t="shared" si="1"/>
        <v>0</v>
      </c>
      <c r="AB21" s="1810"/>
      <c r="AC21" s="1810"/>
      <c r="AD21" s="1810"/>
      <c r="AE21" s="1670" t="s">
        <v>33</v>
      </c>
      <c r="AF21" s="1671">
        <f t="shared" si="2"/>
        <v>60</v>
      </c>
      <c r="AG21" s="1038"/>
    </row>
    <row r="22" spans="1:33" ht="26.25" customHeight="1" x14ac:dyDescent="0.3">
      <c r="A22" s="1638">
        <v>13</v>
      </c>
      <c r="B22" s="1823">
        <v>5191421017</v>
      </c>
      <c r="C22" s="1809">
        <v>0</v>
      </c>
      <c r="D22" s="1671">
        <v>1</v>
      </c>
      <c r="E22" s="1665">
        <v>2</v>
      </c>
      <c r="F22" s="1666"/>
      <c r="G22" s="1671"/>
      <c r="H22" s="1764">
        <v>3</v>
      </c>
      <c r="I22" s="1764">
        <v>3</v>
      </c>
      <c r="J22" s="3762"/>
      <c r="K22" s="3683"/>
      <c r="L22" s="1793">
        <v>6</v>
      </c>
      <c r="M22" s="1793">
        <v>6</v>
      </c>
      <c r="N22" s="1661">
        <f t="shared" si="0"/>
        <v>21</v>
      </c>
      <c r="O22" s="1662"/>
      <c r="P22" s="1671"/>
      <c r="Q22" s="1779"/>
      <c r="R22" s="1666"/>
      <c r="S22" s="1671"/>
      <c r="T22" s="3755">
        <v>3</v>
      </c>
      <c r="U22" s="3756"/>
      <c r="V22" s="1774"/>
      <c r="W22" s="1666"/>
      <c r="X22" s="1764"/>
      <c r="Y22" s="1764">
        <v>6</v>
      </c>
      <c r="Z22" s="1764">
        <v>6</v>
      </c>
      <c r="AA22" s="1809">
        <f t="shared" si="1"/>
        <v>15</v>
      </c>
      <c r="AB22" s="1810"/>
      <c r="AC22" s="1810"/>
      <c r="AD22" s="1810"/>
      <c r="AE22" s="1670" t="s">
        <v>30</v>
      </c>
      <c r="AF22" s="1671">
        <f t="shared" si="2"/>
        <v>90</v>
      </c>
      <c r="AG22" s="1038"/>
    </row>
    <row r="23" spans="1:33" ht="26.25" customHeight="1" x14ac:dyDescent="0.3">
      <c r="A23" s="1638">
        <v>14</v>
      </c>
      <c r="B23" s="1823">
        <v>5191421019</v>
      </c>
      <c r="C23" s="1809">
        <v>2</v>
      </c>
      <c r="D23" s="1671">
        <v>2</v>
      </c>
      <c r="E23" s="1665">
        <v>2</v>
      </c>
      <c r="F23" s="1666"/>
      <c r="G23" s="1671"/>
      <c r="H23" s="1764">
        <v>6</v>
      </c>
      <c r="I23" s="1764">
        <v>6</v>
      </c>
      <c r="J23" s="3762">
        <v>12</v>
      </c>
      <c r="K23" s="3683"/>
      <c r="L23" s="1793"/>
      <c r="M23" s="1793"/>
      <c r="N23" s="1661">
        <v>16</v>
      </c>
      <c r="O23" s="1662">
        <v>1</v>
      </c>
      <c r="P23" s="1671">
        <v>1</v>
      </c>
      <c r="Q23" s="1779">
        <v>2</v>
      </c>
      <c r="R23" s="1666">
        <v>6</v>
      </c>
      <c r="S23" s="1671">
        <v>6</v>
      </c>
      <c r="T23" s="3755"/>
      <c r="U23" s="3756"/>
      <c r="V23" s="1774"/>
      <c r="W23" s="1666">
        <v>6</v>
      </c>
      <c r="X23" s="1764">
        <v>6</v>
      </c>
      <c r="Y23" s="1764"/>
      <c r="Z23" s="1764"/>
      <c r="AA23" s="1809">
        <f t="shared" si="1"/>
        <v>28</v>
      </c>
      <c r="AB23" s="1810"/>
      <c r="AC23" s="1810"/>
      <c r="AD23" s="1810"/>
      <c r="AE23" s="1670" t="s">
        <v>82</v>
      </c>
      <c r="AF23" s="1671">
        <f t="shared" si="2"/>
        <v>100</v>
      </c>
      <c r="AG23" s="1038"/>
    </row>
    <row r="24" spans="1:33" ht="26.25" customHeight="1" x14ac:dyDescent="0.3">
      <c r="A24" s="1638">
        <v>15</v>
      </c>
      <c r="B24" s="1823">
        <v>5191421020</v>
      </c>
      <c r="C24" s="1809">
        <v>1</v>
      </c>
      <c r="D24" s="1671">
        <v>2</v>
      </c>
      <c r="E24" s="1665">
        <v>2</v>
      </c>
      <c r="F24" s="1666"/>
      <c r="G24" s="1671"/>
      <c r="H24" s="1764">
        <v>6</v>
      </c>
      <c r="I24" s="1764">
        <v>6</v>
      </c>
      <c r="J24" s="3762">
        <v>11</v>
      </c>
      <c r="K24" s="3683"/>
      <c r="L24" s="1793"/>
      <c r="M24" s="1793"/>
      <c r="N24" s="1661">
        <f t="shared" si="0"/>
        <v>28</v>
      </c>
      <c r="O24" s="1662"/>
      <c r="P24" s="1671">
        <v>2</v>
      </c>
      <c r="Q24" s="1779">
        <v>2</v>
      </c>
      <c r="R24" s="1666">
        <v>6</v>
      </c>
      <c r="S24" s="1671">
        <v>2</v>
      </c>
      <c r="T24" s="3755"/>
      <c r="U24" s="3756"/>
      <c r="V24" s="1774"/>
      <c r="W24" s="1666"/>
      <c r="X24" s="1764"/>
      <c r="Y24" s="1764"/>
      <c r="Z24" s="1764"/>
      <c r="AA24" s="1809">
        <f t="shared" si="1"/>
        <v>12</v>
      </c>
      <c r="AB24" s="1810"/>
      <c r="AC24" s="1810"/>
      <c r="AD24" s="1810"/>
      <c r="AE24" s="1670" t="s">
        <v>30</v>
      </c>
      <c r="AF24" s="1671">
        <f t="shared" si="2"/>
        <v>90</v>
      </c>
      <c r="AG24" s="1038"/>
    </row>
    <row r="25" spans="1:33" ht="26.25" customHeight="1" x14ac:dyDescent="0.3">
      <c r="A25" s="1638">
        <v>16</v>
      </c>
      <c r="B25" s="1823">
        <v>5191421021</v>
      </c>
      <c r="C25" s="1809">
        <v>1</v>
      </c>
      <c r="D25" s="1671">
        <v>2</v>
      </c>
      <c r="E25" s="1665">
        <v>2</v>
      </c>
      <c r="F25" s="1666"/>
      <c r="G25" s="1671"/>
      <c r="H25" s="1764">
        <v>6</v>
      </c>
      <c r="I25" s="1764">
        <v>4</v>
      </c>
      <c r="J25" s="3762">
        <v>12</v>
      </c>
      <c r="K25" s="3683"/>
      <c r="L25" s="1793"/>
      <c r="M25" s="1793"/>
      <c r="N25" s="1661">
        <f t="shared" si="0"/>
        <v>27</v>
      </c>
      <c r="O25" s="1662">
        <v>1</v>
      </c>
      <c r="P25" s="1671">
        <v>1</v>
      </c>
      <c r="Q25" s="1779"/>
      <c r="R25" s="1666">
        <v>6</v>
      </c>
      <c r="S25" s="1671">
        <v>5</v>
      </c>
      <c r="T25" s="3755"/>
      <c r="U25" s="3756"/>
      <c r="V25" s="1774"/>
      <c r="W25" s="1666"/>
      <c r="X25" s="1764"/>
      <c r="Y25" s="1764"/>
      <c r="Z25" s="1764">
        <v>4</v>
      </c>
      <c r="AA25" s="1809">
        <f t="shared" si="1"/>
        <v>17</v>
      </c>
      <c r="AB25" s="1810"/>
      <c r="AC25" s="1810"/>
      <c r="AD25" s="1810"/>
      <c r="AE25" s="1670" t="s">
        <v>27</v>
      </c>
      <c r="AF25" s="1671">
        <f t="shared" si="2"/>
        <v>80</v>
      </c>
      <c r="AG25" s="1038"/>
    </row>
    <row r="26" spans="1:33" ht="26.25" customHeight="1" x14ac:dyDescent="0.3">
      <c r="A26" s="1638">
        <v>17</v>
      </c>
      <c r="B26" s="1823">
        <v>5191421022</v>
      </c>
      <c r="C26" s="1809"/>
      <c r="D26" s="1671">
        <v>1</v>
      </c>
      <c r="E26" s="1665">
        <v>1</v>
      </c>
      <c r="F26" s="1666"/>
      <c r="G26" s="1671"/>
      <c r="H26" s="1764">
        <v>3</v>
      </c>
      <c r="I26" s="1764">
        <v>5</v>
      </c>
      <c r="J26" s="3762">
        <v>7</v>
      </c>
      <c r="K26" s="3683"/>
      <c r="L26" s="1793"/>
      <c r="M26" s="1793"/>
      <c r="N26" s="1661">
        <f t="shared" si="0"/>
        <v>17</v>
      </c>
      <c r="O26" s="1662"/>
      <c r="P26" s="1671">
        <v>1</v>
      </c>
      <c r="Q26" s="1779">
        <v>1</v>
      </c>
      <c r="R26" s="1666">
        <v>6</v>
      </c>
      <c r="S26" s="1671"/>
      <c r="T26" s="3755"/>
      <c r="U26" s="3756"/>
      <c r="V26" s="1774"/>
      <c r="W26" s="1666"/>
      <c r="X26" s="1764"/>
      <c r="Y26" s="1764"/>
      <c r="Z26" s="1764">
        <v>1</v>
      </c>
      <c r="AA26" s="1809">
        <f t="shared" si="1"/>
        <v>9</v>
      </c>
      <c r="AB26" s="1810"/>
      <c r="AC26" s="1810"/>
      <c r="AD26" s="1810"/>
      <c r="AE26" s="1670" t="s">
        <v>30</v>
      </c>
      <c r="AF26" s="1671">
        <f t="shared" si="2"/>
        <v>90</v>
      </c>
      <c r="AG26" s="1038"/>
    </row>
    <row r="27" spans="1:33" ht="26.25" customHeight="1" x14ac:dyDescent="0.3">
      <c r="A27" s="1638">
        <v>18</v>
      </c>
      <c r="B27" s="1823">
        <v>5191421023</v>
      </c>
      <c r="C27" s="1809">
        <v>1</v>
      </c>
      <c r="D27" s="1671">
        <v>2</v>
      </c>
      <c r="E27" s="1665"/>
      <c r="F27" s="1666"/>
      <c r="G27" s="1671"/>
      <c r="H27" s="1764">
        <v>1</v>
      </c>
      <c r="I27" s="1764"/>
      <c r="J27" s="3762">
        <v>7</v>
      </c>
      <c r="K27" s="3683"/>
      <c r="L27" s="1793"/>
      <c r="M27" s="1793"/>
      <c r="N27" s="1661">
        <f t="shared" si="0"/>
        <v>11</v>
      </c>
      <c r="O27" s="1662"/>
      <c r="P27" s="1671">
        <v>1</v>
      </c>
      <c r="Q27" s="1779"/>
      <c r="R27" s="1666"/>
      <c r="S27" s="1671"/>
      <c r="T27" s="3755"/>
      <c r="U27" s="3756"/>
      <c r="V27" s="1774">
        <v>5</v>
      </c>
      <c r="W27" s="1666"/>
      <c r="X27" s="1764"/>
      <c r="Y27" s="1764">
        <v>2</v>
      </c>
      <c r="Z27" s="1764">
        <v>1</v>
      </c>
      <c r="AA27" s="1809">
        <f t="shared" si="1"/>
        <v>9</v>
      </c>
      <c r="AB27" s="1810"/>
      <c r="AC27" s="1810"/>
      <c r="AD27" s="1810"/>
      <c r="AE27" s="1670" t="s">
        <v>32</v>
      </c>
      <c r="AF27" s="1671">
        <f t="shared" si="2"/>
        <v>70</v>
      </c>
      <c r="AG27" s="1038"/>
    </row>
    <row r="28" spans="1:33" ht="26.25" customHeight="1" x14ac:dyDescent="0.3">
      <c r="A28" s="1638">
        <v>19</v>
      </c>
      <c r="B28" s="1823">
        <v>5191421027</v>
      </c>
      <c r="C28" s="1809">
        <v>0</v>
      </c>
      <c r="D28" s="1671">
        <v>2</v>
      </c>
      <c r="E28" s="1665">
        <v>1</v>
      </c>
      <c r="F28" s="1666">
        <v>6</v>
      </c>
      <c r="G28" s="1671">
        <v>5</v>
      </c>
      <c r="H28" s="1764"/>
      <c r="I28" s="1764"/>
      <c r="J28" s="3762">
        <v>12</v>
      </c>
      <c r="K28" s="3683"/>
      <c r="L28" s="1793"/>
      <c r="M28" s="1793"/>
      <c r="N28" s="1661">
        <f t="shared" si="0"/>
        <v>26</v>
      </c>
      <c r="O28" s="1662">
        <v>1</v>
      </c>
      <c r="P28" s="1671">
        <v>1</v>
      </c>
      <c r="Q28" s="1779"/>
      <c r="R28" s="1666">
        <v>6</v>
      </c>
      <c r="S28" s="1671">
        <v>4</v>
      </c>
      <c r="T28" s="3755"/>
      <c r="U28" s="3756"/>
      <c r="V28" s="1774"/>
      <c r="W28" s="1666"/>
      <c r="X28" s="1764"/>
      <c r="Y28" s="1764">
        <v>6</v>
      </c>
      <c r="Z28" s="1764">
        <v>5</v>
      </c>
      <c r="AA28" s="1809">
        <f t="shared" si="1"/>
        <v>23</v>
      </c>
      <c r="AB28" s="1810"/>
      <c r="AC28" s="1810"/>
      <c r="AD28" s="1810"/>
      <c r="AE28" s="1670" t="s">
        <v>30</v>
      </c>
      <c r="AF28" s="1671">
        <f t="shared" si="2"/>
        <v>90</v>
      </c>
      <c r="AG28" s="1038"/>
    </row>
    <row r="29" spans="1:33" ht="26.25" customHeight="1" x14ac:dyDescent="0.3">
      <c r="A29" s="1638">
        <v>20</v>
      </c>
      <c r="B29" s="1823">
        <v>5191421028</v>
      </c>
      <c r="C29" s="1811">
        <v>1</v>
      </c>
      <c r="D29" s="1671">
        <v>2</v>
      </c>
      <c r="E29" s="1665">
        <v>1</v>
      </c>
      <c r="F29" s="1666">
        <v>6</v>
      </c>
      <c r="G29" s="1671">
        <v>6</v>
      </c>
      <c r="H29" s="1764"/>
      <c r="I29" s="1764"/>
      <c r="J29" s="3762">
        <v>12</v>
      </c>
      <c r="K29" s="3683"/>
      <c r="L29" s="1793"/>
      <c r="M29" s="1793"/>
      <c r="N29" s="1661">
        <f t="shared" si="0"/>
        <v>28</v>
      </c>
      <c r="O29" s="1662"/>
      <c r="P29" s="1671"/>
      <c r="Q29" s="1779"/>
      <c r="R29" s="1666">
        <v>6</v>
      </c>
      <c r="S29" s="1671">
        <v>6</v>
      </c>
      <c r="T29" s="3755"/>
      <c r="U29" s="3756"/>
      <c r="V29" s="1774"/>
      <c r="W29" s="1666">
        <v>6</v>
      </c>
      <c r="X29" s="1764">
        <v>6</v>
      </c>
      <c r="Y29" s="1764"/>
      <c r="Z29" s="1764"/>
      <c r="AA29" s="1809">
        <f t="shared" si="1"/>
        <v>24</v>
      </c>
      <c r="AB29" s="1810"/>
      <c r="AC29" s="1810"/>
      <c r="AD29" s="1810"/>
      <c r="AE29" s="1703" t="s">
        <v>82</v>
      </c>
      <c r="AF29" s="1671">
        <f t="shared" si="2"/>
        <v>100</v>
      </c>
      <c r="AG29" s="1038"/>
    </row>
    <row r="30" spans="1:33" ht="26.25" customHeight="1" x14ac:dyDescent="0.3">
      <c r="A30" s="1638">
        <v>21</v>
      </c>
      <c r="B30" s="1823">
        <v>5191421030</v>
      </c>
      <c r="C30" s="1764"/>
      <c r="D30" s="1671"/>
      <c r="E30" s="1665"/>
      <c r="F30" s="1666"/>
      <c r="G30" s="1671"/>
      <c r="H30" s="1764">
        <v>1</v>
      </c>
      <c r="I30" s="1764">
        <v>2</v>
      </c>
      <c r="J30" s="3762"/>
      <c r="K30" s="3683"/>
      <c r="L30" s="1793">
        <v>2</v>
      </c>
      <c r="M30" s="1793">
        <v>1</v>
      </c>
      <c r="N30" s="1661">
        <f t="shared" si="0"/>
        <v>6</v>
      </c>
      <c r="O30" s="1662"/>
      <c r="P30" s="1671"/>
      <c r="Q30" s="1779"/>
      <c r="R30" s="1666">
        <v>4</v>
      </c>
      <c r="S30" s="1671">
        <v>1</v>
      </c>
      <c r="T30" s="3755"/>
      <c r="U30" s="3756"/>
      <c r="V30" s="1774"/>
      <c r="W30" s="1666"/>
      <c r="X30" s="1764"/>
      <c r="Y30" s="1764"/>
      <c r="Z30" s="1764"/>
      <c r="AA30" s="1809">
        <f t="shared" si="1"/>
        <v>5</v>
      </c>
      <c r="AB30" s="1810"/>
      <c r="AC30" s="1810"/>
      <c r="AD30" s="1810"/>
      <c r="AE30" s="1670" t="s">
        <v>27</v>
      </c>
      <c r="AF30" s="1671">
        <f t="shared" si="2"/>
        <v>80</v>
      </c>
      <c r="AG30" s="1038"/>
    </row>
    <row r="31" spans="1:33" ht="26.25" customHeight="1" x14ac:dyDescent="0.3">
      <c r="A31" s="1638">
        <v>22</v>
      </c>
      <c r="B31" s="1823">
        <v>5191421033</v>
      </c>
      <c r="C31" s="1817">
        <v>0</v>
      </c>
      <c r="D31" s="1654">
        <v>2</v>
      </c>
      <c r="E31" s="1654">
        <v>0</v>
      </c>
      <c r="F31" s="1701"/>
      <c r="G31" s="1701"/>
      <c r="H31" s="1701">
        <v>5</v>
      </c>
      <c r="I31" s="1701">
        <v>2</v>
      </c>
      <c r="J31" s="3762">
        <v>12</v>
      </c>
      <c r="K31" s="3683"/>
      <c r="L31" s="1793"/>
      <c r="M31" s="1793"/>
      <c r="N31" s="1661">
        <f t="shared" si="0"/>
        <v>21</v>
      </c>
      <c r="O31" s="1666">
        <v>2</v>
      </c>
      <c r="P31" s="1671"/>
      <c r="Q31" s="1779"/>
      <c r="R31" s="1666">
        <v>5</v>
      </c>
      <c r="S31" s="1671">
        <v>6</v>
      </c>
      <c r="T31" s="3755"/>
      <c r="U31" s="3756"/>
      <c r="V31" s="1774"/>
      <c r="W31" s="1666"/>
      <c r="X31" s="1764"/>
      <c r="Y31" s="1764">
        <v>6</v>
      </c>
      <c r="Z31" s="1764">
        <v>6</v>
      </c>
      <c r="AA31" s="1809">
        <f t="shared" si="1"/>
        <v>25</v>
      </c>
      <c r="AB31" s="1810"/>
      <c r="AC31" s="1810"/>
      <c r="AD31" s="1810"/>
      <c r="AE31" s="1670" t="s">
        <v>30</v>
      </c>
      <c r="AF31" s="1671">
        <f t="shared" si="2"/>
        <v>90</v>
      </c>
      <c r="AG31" s="1038"/>
    </row>
    <row r="32" spans="1:33" ht="26.25" customHeight="1" x14ac:dyDescent="0.3">
      <c r="A32" s="1638">
        <v>23</v>
      </c>
      <c r="B32" s="1823">
        <v>5191421034</v>
      </c>
      <c r="C32" s="1809">
        <v>0</v>
      </c>
      <c r="D32" s="1671">
        <v>2</v>
      </c>
      <c r="E32" s="1665">
        <v>2</v>
      </c>
      <c r="F32" s="1666">
        <v>6</v>
      </c>
      <c r="G32" s="1671">
        <v>2</v>
      </c>
      <c r="H32" s="1764"/>
      <c r="I32" s="1764"/>
      <c r="J32" s="3762">
        <v>12</v>
      </c>
      <c r="K32" s="3683"/>
      <c r="L32" s="1793"/>
      <c r="M32" s="1793"/>
      <c r="N32" s="1661">
        <f t="shared" si="0"/>
        <v>24</v>
      </c>
      <c r="O32" s="1662"/>
      <c r="P32" s="1671"/>
      <c r="Q32" s="1779">
        <v>2</v>
      </c>
      <c r="R32" s="1666">
        <v>6</v>
      </c>
      <c r="S32" s="1671">
        <v>5</v>
      </c>
      <c r="T32" s="3755"/>
      <c r="U32" s="3756"/>
      <c r="V32" s="1774"/>
      <c r="W32" s="1666">
        <v>5</v>
      </c>
      <c r="X32" s="1764">
        <v>6</v>
      </c>
      <c r="Y32" s="1764"/>
      <c r="Z32" s="1764"/>
      <c r="AA32" s="1809">
        <f t="shared" si="1"/>
        <v>24</v>
      </c>
      <c r="AB32" s="1810"/>
      <c r="AC32" s="1810"/>
      <c r="AD32" s="1810"/>
      <c r="AE32" s="1670" t="s">
        <v>27</v>
      </c>
      <c r="AF32" s="1671">
        <f t="shared" si="2"/>
        <v>80</v>
      </c>
      <c r="AG32" s="1038"/>
    </row>
    <row r="33" spans="1:33" ht="26.25" customHeight="1" x14ac:dyDescent="0.3">
      <c r="A33" s="1638">
        <v>24</v>
      </c>
      <c r="B33" s="1823">
        <v>5191421036</v>
      </c>
      <c r="C33" s="1809"/>
      <c r="D33" s="1671">
        <v>2</v>
      </c>
      <c r="E33" s="1665">
        <v>0</v>
      </c>
      <c r="F33" s="1666"/>
      <c r="G33" s="1671">
        <v>6</v>
      </c>
      <c r="H33" s="1764"/>
      <c r="I33" s="1764"/>
      <c r="J33" s="3762">
        <v>9</v>
      </c>
      <c r="K33" s="3683"/>
      <c r="L33" s="1793"/>
      <c r="M33" s="1793"/>
      <c r="N33" s="1661">
        <f t="shared" si="0"/>
        <v>17</v>
      </c>
      <c r="O33" s="1666"/>
      <c r="P33" s="1671">
        <v>1</v>
      </c>
      <c r="Q33" s="1779">
        <v>2</v>
      </c>
      <c r="R33" s="1666">
        <v>6</v>
      </c>
      <c r="S33" s="1671">
        <v>6</v>
      </c>
      <c r="T33" s="3755"/>
      <c r="U33" s="3756"/>
      <c r="V33" s="1774"/>
      <c r="W33" s="1666">
        <v>3</v>
      </c>
      <c r="X33" s="1764">
        <v>3</v>
      </c>
      <c r="Y33" s="1764"/>
      <c r="Z33" s="1764"/>
      <c r="AA33" s="1809">
        <f t="shared" si="1"/>
        <v>21</v>
      </c>
      <c r="AB33" s="1810"/>
      <c r="AC33" s="1810"/>
      <c r="AD33" s="1810"/>
      <c r="AE33" s="1670" t="s">
        <v>30</v>
      </c>
      <c r="AF33" s="1671">
        <f t="shared" si="2"/>
        <v>90</v>
      </c>
      <c r="AG33" s="1038"/>
    </row>
    <row r="34" spans="1:33" ht="26.25" customHeight="1" x14ac:dyDescent="0.3">
      <c r="A34" s="1638">
        <v>25</v>
      </c>
      <c r="B34" s="1823">
        <v>5191521038</v>
      </c>
      <c r="C34" s="1809"/>
      <c r="D34" s="1671"/>
      <c r="E34" s="1665">
        <v>1</v>
      </c>
      <c r="F34" s="1666"/>
      <c r="G34" s="1671"/>
      <c r="H34" s="1764">
        <v>4</v>
      </c>
      <c r="I34" s="1764">
        <v>4</v>
      </c>
      <c r="J34" s="3762"/>
      <c r="K34" s="3683"/>
      <c r="L34" s="1793">
        <v>2</v>
      </c>
      <c r="M34" s="1793"/>
      <c r="N34" s="1661">
        <f t="shared" si="0"/>
        <v>11</v>
      </c>
      <c r="O34" s="1666"/>
      <c r="P34" s="1671">
        <v>1</v>
      </c>
      <c r="Q34" s="1779"/>
      <c r="R34" s="1666">
        <v>5</v>
      </c>
      <c r="S34" s="1671"/>
      <c r="T34" s="3755"/>
      <c r="U34" s="3756"/>
      <c r="V34" s="1774"/>
      <c r="W34" s="1666"/>
      <c r="X34" s="1764"/>
      <c r="Y34" s="1764">
        <v>1</v>
      </c>
      <c r="Z34" s="1764"/>
      <c r="AA34" s="1809">
        <f t="shared" si="1"/>
        <v>7</v>
      </c>
      <c r="AB34" s="1810"/>
      <c r="AC34" s="1810"/>
      <c r="AD34" s="1810"/>
      <c r="AE34" s="1670" t="s">
        <v>32</v>
      </c>
      <c r="AF34" s="1671">
        <f t="shared" si="2"/>
        <v>70</v>
      </c>
      <c r="AG34" s="1038"/>
    </row>
    <row r="35" spans="1:33" ht="26.25" customHeight="1" x14ac:dyDescent="0.3">
      <c r="A35" s="1638">
        <v>26</v>
      </c>
      <c r="B35" s="1823">
        <v>5191421039</v>
      </c>
      <c r="C35" s="1809">
        <v>2</v>
      </c>
      <c r="D35" s="1671">
        <v>1</v>
      </c>
      <c r="E35" s="1665">
        <v>2</v>
      </c>
      <c r="F35" s="1666"/>
      <c r="G35" s="1671"/>
      <c r="H35" s="1764">
        <v>6</v>
      </c>
      <c r="I35" s="1764">
        <v>6</v>
      </c>
      <c r="J35" s="3762"/>
      <c r="K35" s="3683"/>
      <c r="L35" s="1793">
        <v>4</v>
      </c>
      <c r="M35" s="1793"/>
      <c r="N35" s="1661">
        <f t="shared" si="0"/>
        <v>21</v>
      </c>
      <c r="O35" s="1666"/>
      <c r="P35" s="1671"/>
      <c r="Q35" s="1779">
        <v>2</v>
      </c>
      <c r="R35" s="1666"/>
      <c r="S35" s="1671">
        <v>6</v>
      </c>
      <c r="T35" s="3755"/>
      <c r="U35" s="3756"/>
      <c r="V35" s="1774"/>
      <c r="W35" s="1666"/>
      <c r="X35" s="1764">
        <v>2</v>
      </c>
      <c r="Y35" s="1764"/>
      <c r="Z35" s="1764"/>
      <c r="AA35" s="1809">
        <f t="shared" si="1"/>
        <v>10</v>
      </c>
      <c r="AB35" s="1810"/>
      <c r="AC35" s="1810"/>
      <c r="AD35" s="1810"/>
      <c r="AE35" s="1670" t="s">
        <v>33</v>
      </c>
      <c r="AF35" s="1671">
        <f t="shared" si="2"/>
        <v>60</v>
      </c>
      <c r="AG35" s="1038"/>
    </row>
    <row r="36" spans="1:33" ht="26.25" customHeight="1" x14ac:dyDescent="0.3">
      <c r="A36" s="1638">
        <v>27</v>
      </c>
      <c r="B36" s="1823">
        <v>5191421042</v>
      </c>
      <c r="C36" s="1809">
        <v>0</v>
      </c>
      <c r="D36" s="1671">
        <v>1</v>
      </c>
      <c r="E36" s="1665">
        <v>1</v>
      </c>
      <c r="F36" s="1666"/>
      <c r="G36" s="1671"/>
      <c r="H36" s="1764">
        <v>3</v>
      </c>
      <c r="I36" s="1764">
        <v>5</v>
      </c>
      <c r="J36" s="3762"/>
      <c r="K36" s="3683"/>
      <c r="L36" s="1793"/>
      <c r="M36" s="1793"/>
      <c r="N36" s="1661">
        <f t="shared" si="0"/>
        <v>10</v>
      </c>
      <c r="O36" s="1666"/>
      <c r="P36" s="1671"/>
      <c r="Q36" s="1779">
        <v>1</v>
      </c>
      <c r="R36" s="1666">
        <v>4</v>
      </c>
      <c r="S36" s="1671"/>
      <c r="T36" s="3755"/>
      <c r="U36" s="3756"/>
      <c r="V36" s="1774"/>
      <c r="W36" s="1666">
        <v>1</v>
      </c>
      <c r="X36" s="1764"/>
      <c r="Y36" s="1764"/>
      <c r="Z36" s="1764"/>
      <c r="AA36" s="1809">
        <f t="shared" si="1"/>
        <v>6</v>
      </c>
      <c r="AB36" s="1810"/>
      <c r="AC36" s="1810"/>
      <c r="AD36" s="1810"/>
      <c r="AE36" s="1670" t="s">
        <v>32</v>
      </c>
      <c r="AF36" s="1671">
        <f t="shared" si="2"/>
        <v>70</v>
      </c>
      <c r="AG36" s="1038"/>
    </row>
    <row r="37" spans="1:33" ht="26.25" customHeight="1" x14ac:dyDescent="0.3">
      <c r="A37" s="1638">
        <v>28</v>
      </c>
      <c r="B37" s="1823">
        <v>5191421044</v>
      </c>
      <c r="C37" s="1809">
        <v>1</v>
      </c>
      <c r="D37" s="1671">
        <v>2</v>
      </c>
      <c r="E37" s="1665">
        <v>1</v>
      </c>
      <c r="F37" s="1666"/>
      <c r="G37" s="1671"/>
      <c r="H37" s="1764">
        <v>6</v>
      </c>
      <c r="I37" s="1764">
        <v>6</v>
      </c>
      <c r="J37" s="3762">
        <v>12</v>
      </c>
      <c r="K37" s="3683"/>
      <c r="L37" s="1793"/>
      <c r="M37" s="1793"/>
      <c r="N37" s="1661">
        <f t="shared" si="0"/>
        <v>28</v>
      </c>
      <c r="O37" s="1666">
        <v>1</v>
      </c>
      <c r="P37" s="1671">
        <v>2</v>
      </c>
      <c r="Q37" s="1779">
        <v>1</v>
      </c>
      <c r="R37" s="1666">
        <v>5</v>
      </c>
      <c r="S37" s="1671">
        <v>5</v>
      </c>
      <c r="T37" s="3755"/>
      <c r="U37" s="3756"/>
      <c r="V37" s="1774"/>
      <c r="W37" s="1666">
        <v>2</v>
      </c>
      <c r="X37" s="1764">
        <v>5</v>
      </c>
      <c r="Y37" s="1764"/>
      <c r="Z37" s="1764"/>
      <c r="AA37" s="1809">
        <f t="shared" si="1"/>
        <v>21</v>
      </c>
      <c r="AB37" s="1810"/>
      <c r="AC37" s="1810"/>
      <c r="AD37" s="1810"/>
      <c r="AE37" s="1670" t="s">
        <v>82</v>
      </c>
      <c r="AF37" s="1671">
        <f t="shared" si="2"/>
        <v>100</v>
      </c>
      <c r="AG37" s="1038"/>
    </row>
    <row r="38" spans="1:33" ht="26.25" customHeight="1" x14ac:dyDescent="0.3">
      <c r="A38" s="1638">
        <v>29</v>
      </c>
      <c r="B38" s="1823">
        <v>5191421051</v>
      </c>
      <c r="C38" s="1809">
        <v>1</v>
      </c>
      <c r="D38" s="1671">
        <v>2</v>
      </c>
      <c r="E38" s="1665">
        <v>2</v>
      </c>
      <c r="F38" s="1666"/>
      <c r="G38" s="1671"/>
      <c r="H38" s="1764">
        <v>5</v>
      </c>
      <c r="I38" s="1764">
        <v>5</v>
      </c>
      <c r="J38" s="3762">
        <v>4</v>
      </c>
      <c r="K38" s="3683"/>
      <c r="L38" s="1793"/>
      <c r="M38" s="1793"/>
      <c r="N38" s="1661">
        <f t="shared" si="0"/>
        <v>19</v>
      </c>
      <c r="O38" s="1666"/>
      <c r="P38" s="1671">
        <v>2</v>
      </c>
      <c r="Q38" s="1779">
        <v>2</v>
      </c>
      <c r="R38" s="1666">
        <v>4</v>
      </c>
      <c r="S38" s="1671"/>
      <c r="T38" s="3755"/>
      <c r="U38" s="3756"/>
      <c r="V38" s="1774"/>
      <c r="W38" s="1666">
        <v>1</v>
      </c>
      <c r="X38" s="1764"/>
      <c r="Y38" s="1764"/>
      <c r="Z38" s="1764"/>
      <c r="AA38" s="1809">
        <f t="shared" si="1"/>
        <v>9</v>
      </c>
      <c r="AB38" s="1810"/>
      <c r="AC38" s="1810"/>
      <c r="AD38" s="1810"/>
      <c r="AE38" s="1670" t="s">
        <v>32</v>
      </c>
      <c r="AF38" s="1671">
        <f t="shared" si="2"/>
        <v>70</v>
      </c>
      <c r="AG38" s="1038"/>
    </row>
    <row r="39" spans="1:33" ht="26.25" customHeight="1" x14ac:dyDescent="0.3">
      <c r="A39" s="1038"/>
      <c r="B39" s="1038"/>
      <c r="C39" s="1716">
        <f t="shared" ref="C39:J39" si="3">COUNT(C10:C38)</f>
        <v>24</v>
      </c>
      <c r="D39" s="1716">
        <f t="shared" si="3"/>
        <v>25</v>
      </c>
      <c r="E39" s="1716">
        <f t="shared" si="3"/>
        <v>25</v>
      </c>
      <c r="F39" s="1716">
        <f t="shared" si="3"/>
        <v>7</v>
      </c>
      <c r="G39" s="1716">
        <f t="shared" si="3"/>
        <v>7</v>
      </c>
      <c r="H39" s="1716">
        <f t="shared" si="3"/>
        <v>21</v>
      </c>
      <c r="I39" s="1716">
        <f t="shared" si="3"/>
        <v>19</v>
      </c>
      <c r="J39" s="3760">
        <f t="shared" si="3"/>
        <v>20</v>
      </c>
      <c r="K39" s="3760"/>
      <c r="L39" s="1716">
        <f>COUNT(L10:L38)</f>
        <v>7</v>
      </c>
      <c r="M39" s="1716">
        <f>COUNT(M10:M38)</f>
        <v>4</v>
      </c>
      <c r="N39" s="1716"/>
      <c r="O39" s="1716">
        <f t="shared" ref="O39:AF39" si="4">COUNT(O10:O38)</f>
        <v>8</v>
      </c>
      <c r="P39" s="1716">
        <f t="shared" si="4"/>
        <v>16</v>
      </c>
      <c r="Q39" s="1716">
        <f t="shared" si="4"/>
        <v>16</v>
      </c>
      <c r="R39" s="1716">
        <f t="shared" si="4"/>
        <v>24</v>
      </c>
      <c r="S39" s="1716">
        <f t="shared" si="4"/>
        <v>18</v>
      </c>
      <c r="T39" s="3755">
        <f t="shared" si="4"/>
        <v>1</v>
      </c>
      <c r="U39" s="3756">
        <f t="shared" si="4"/>
        <v>0</v>
      </c>
      <c r="V39" s="1716">
        <f t="shared" si="4"/>
        <v>1</v>
      </c>
      <c r="W39" s="1716">
        <f t="shared" si="4"/>
        <v>12</v>
      </c>
      <c r="X39" s="1716">
        <f t="shared" si="4"/>
        <v>12</v>
      </c>
      <c r="Y39" s="1716">
        <f t="shared" si="4"/>
        <v>6</v>
      </c>
      <c r="Z39" s="1716">
        <f t="shared" si="4"/>
        <v>9</v>
      </c>
      <c r="AA39" s="1716"/>
      <c r="AB39" s="1716"/>
      <c r="AC39" s="1716"/>
      <c r="AD39" s="1716"/>
      <c r="AE39" s="1716"/>
      <c r="AF39" s="1716">
        <f t="shared" si="4"/>
        <v>29</v>
      </c>
      <c r="AG39" s="1038"/>
    </row>
    <row r="40" spans="1:33" ht="26.25" customHeight="1" x14ac:dyDescent="0.3">
      <c r="A40" s="1717" t="s">
        <v>34</v>
      </c>
      <c r="B40" s="1650">
        <v>55</v>
      </c>
      <c r="C40" s="1718">
        <f>C9*(B40/100)</f>
        <v>1.1000000000000001</v>
      </c>
      <c r="D40" s="1718">
        <f>D9*(B40/100)</f>
        <v>1.1000000000000001</v>
      </c>
      <c r="E40" s="1718">
        <f>E9*(B40/100)</f>
        <v>1.1000000000000001</v>
      </c>
      <c r="F40" s="1718">
        <f>F9*(B40/100)</f>
        <v>3.3000000000000003</v>
      </c>
      <c r="G40" s="1718">
        <f>G9*(B40/100)</f>
        <v>3.3000000000000003</v>
      </c>
      <c r="H40" s="1718">
        <f>H9*(B40/100)</f>
        <v>3.3000000000000003</v>
      </c>
      <c r="I40" s="1718">
        <f>I9*(B40/100)</f>
        <v>3.3000000000000003</v>
      </c>
      <c r="J40" s="3761">
        <f>J9*(B40/100)</f>
        <v>6.6000000000000005</v>
      </c>
      <c r="K40" s="3761"/>
      <c r="L40" s="1718">
        <f>L9*(B40/100)</f>
        <v>3.3000000000000003</v>
      </c>
      <c r="M40" s="1718">
        <f>M9*(B40/100)</f>
        <v>3.3000000000000003</v>
      </c>
      <c r="N40" s="1716"/>
      <c r="O40" s="1718">
        <f>O9*(B40/100)</f>
        <v>1.1000000000000001</v>
      </c>
      <c r="P40" s="1718">
        <f>P9*(B40/100)</f>
        <v>1.1000000000000001</v>
      </c>
      <c r="Q40" s="1718">
        <f>Q9*(B40/100)</f>
        <v>1.1000000000000001</v>
      </c>
      <c r="R40" s="1718">
        <f>R9*(B40/100)</f>
        <v>3.3000000000000003</v>
      </c>
      <c r="S40" s="1718">
        <f>S9*(B40/100)</f>
        <v>3.3000000000000003</v>
      </c>
      <c r="T40" s="3755">
        <f>T9*(B40/100)</f>
        <v>3.3000000000000003</v>
      </c>
      <c r="U40" s="3756">
        <f>U9*(B40/100)</f>
        <v>0</v>
      </c>
      <c r="V40" s="1718">
        <f>V9*(B40/100)</f>
        <v>3.3000000000000003</v>
      </c>
      <c r="W40" s="1718">
        <f>W9*(B40/100)</f>
        <v>3.3000000000000003</v>
      </c>
      <c r="X40" s="1718">
        <f>X9*(B40/100)</f>
        <v>3.3000000000000003</v>
      </c>
      <c r="Y40" s="1718">
        <f>Y9*(B40/100)</f>
        <v>3.3000000000000003</v>
      </c>
      <c r="Z40" s="1718">
        <f>Z9*(B40/100)</f>
        <v>3.3000000000000003</v>
      </c>
      <c r="AA40" s="1809"/>
      <c r="AB40" s="1038"/>
      <c r="AC40" s="1038"/>
      <c r="AD40" s="1038"/>
      <c r="AE40" s="1038"/>
      <c r="AF40" s="1038"/>
      <c r="AG40" s="1038"/>
    </row>
    <row r="41" spans="1:33" ht="26.25" customHeight="1" x14ac:dyDescent="0.3">
      <c r="A41" s="3692" t="s">
        <v>35</v>
      </c>
      <c r="B41" s="3692"/>
      <c r="C41" s="1716">
        <f t="shared" ref="C41:J41" si="5">COUNTIF(C10:C38,"&gt;=" &amp;C40)</f>
        <v>6</v>
      </c>
      <c r="D41" s="1716">
        <f t="shared" si="5"/>
        <v>18</v>
      </c>
      <c r="E41" s="1716">
        <f t="shared" si="5"/>
        <v>14</v>
      </c>
      <c r="F41" s="1716">
        <f t="shared" si="5"/>
        <v>6</v>
      </c>
      <c r="G41" s="1716">
        <f t="shared" si="5"/>
        <v>4</v>
      </c>
      <c r="H41" s="1716">
        <f t="shared" si="5"/>
        <v>15</v>
      </c>
      <c r="I41" s="1716">
        <f t="shared" si="5"/>
        <v>15</v>
      </c>
      <c r="J41" s="3740">
        <f t="shared" si="5"/>
        <v>19</v>
      </c>
      <c r="K41" s="3740"/>
      <c r="M41" s="1716">
        <f>COUNTIF(L10:L38,"&gt;=" &amp;L40)</f>
        <v>5</v>
      </c>
      <c r="N41" s="1716"/>
      <c r="O41" s="1716">
        <f t="shared" ref="O41:Z41" si="6">COUNTIF(O10:O38,"&gt;=" &amp;O40)</f>
        <v>2</v>
      </c>
      <c r="P41" s="1716">
        <f t="shared" si="6"/>
        <v>5</v>
      </c>
      <c r="Q41" s="1716">
        <f t="shared" si="6"/>
        <v>9</v>
      </c>
      <c r="R41" s="1716">
        <f t="shared" si="6"/>
        <v>23</v>
      </c>
      <c r="S41" s="1716">
        <f t="shared" si="6"/>
        <v>15</v>
      </c>
      <c r="T41" s="3755">
        <f t="shared" si="6"/>
        <v>0</v>
      </c>
      <c r="U41" s="3756">
        <f t="shared" si="6"/>
        <v>0</v>
      </c>
      <c r="V41" s="1716">
        <f t="shared" si="6"/>
        <v>1</v>
      </c>
      <c r="W41" s="1716">
        <f t="shared" si="6"/>
        <v>7</v>
      </c>
      <c r="X41" s="1716">
        <f t="shared" si="6"/>
        <v>10</v>
      </c>
      <c r="Y41" s="1716">
        <f t="shared" si="6"/>
        <v>4</v>
      </c>
      <c r="Z41" s="1716">
        <f t="shared" si="6"/>
        <v>5</v>
      </c>
      <c r="AA41" s="1809"/>
      <c r="AB41" s="1038"/>
      <c r="AC41" s="1038"/>
      <c r="AD41" s="1038"/>
      <c r="AE41" s="1716"/>
      <c r="AF41" s="1716">
        <f>COUNTIF(AF10:AF38,"&gt;="&amp;C40)</f>
        <v>29</v>
      </c>
      <c r="AG41" s="1038"/>
    </row>
    <row r="42" spans="1:33" ht="26.25" customHeight="1" x14ac:dyDescent="0.3">
      <c r="A42" s="3693" t="s">
        <v>36</v>
      </c>
      <c r="B42" s="3693"/>
      <c r="C42" s="1716">
        <f t="shared" ref="C42:Z42" si="7">C41/C39</f>
        <v>0.25</v>
      </c>
      <c r="D42" s="1716">
        <f t="shared" si="7"/>
        <v>0.72</v>
      </c>
      <c r="E42" s="1716">
        <f t="shared" si="7"/>
        <v>0.56000000000000005</v>
      </c>
      <c r="F42" s="1716">
        <f t="shared" si="7"/>
        <v>0.8571428571428571</v>
      </c>
      <c r="G42" s="1716">
        <f t="shared" si="7"/>
        <v>0.5714285714285714</v>
      </c>
      <c r="H42" s="1716">
        <f t="shared" si="7"/>
        <v>0.7142857142857143</v>
      </c>
      <c r="I42" s="1716">
        <f t="shared" si="7"/>
        <v>0.78947368421052633</v>
      </c>
      <c r="J42" s="3754">
        <f t="shared" si="7"/>
        <v>0.95</v>
      </c>
      <c r="K42" s="3754"/>
      <c r="L42" s="1716">
        <f>M41/L39</f>
        <v>0.7142857142857143</v>
      </c>
      <c r="M42" s="1716">
        <f>N41/M39</f>
        <v>0</v>
      </c>
      <c r="N42" s="1716"/>
      <c r="O42" s="1716">
        <f t="shared" si="7"/>
        <v>0.25</v>
      </c>
      <c r="P42" s="1716">
        <f t="shared" si="7"/>
        <v>0.3125</v>
      </c>
      <c r="Q42" s="1716">
        <f t="shared" si="7"/>
        <v>0.5625</v>
      </c>
      <c r="R42" s="1716">
        <f t="shared" si="7"/>
        <v>0.95833333333333337</v>
      </c>
      <c r="S42" s="1716">
        <f t="shared" si="7"/>
        <v>0.83333333333333337</v>
      </c>
      <c r="T42" s="3755">
        <f t="shared" si="7"/>
        <v>0</v>
      </c>
      <c r="U42" s="3756" t="e">
        <f t="shared" si="7"/>
        <v>#DIV/0!</v>
      </c>
      <c r="V42" s="1716">
        <f t="shared" si="7"/>
        <v>1</v>
      </c>
      <c r="W42" s="1716">
        <f t="shared" si="7"/>
        <v>0.58333333333333337</v>
      </c>
      <c r="X42" s="1716">
        <f t="shared" si="7"/>
        <v>0.83333333333333337</v>
      </c>
      <c r="Y42" s="1716">
        <f t="shared" si="7"/>
        <v>0.66666666666666663</v>
      </c>
      <c r="Z42" s="1716">
        <f t="shared" si="7"/>
        <v>0.55555555555555558</v>
      </c>
      <c r="AA42" s="1809"/>
      <c r="AB42" s="1038"/>
      <c r="AC42" s="1038"/>
      <c r="AD42" s="1038"/>
      <c r="AE42" s="1716"/>
      <c r="AF42" s="1716">
        <f>(AF41/AF39)*100</f>
        <v>100</v>
      </c>
      <c r="AG42" s="1038"/>
    </row>
    <row r="43" spans="1:33" ht="26.25" customHeight="1" x14ac:dyDescent="0.3">
      <c r="A43" s="1038"/>
      <c r="B43" s="1038"/>
      <c r="C43" s="1824">
        <v>1</v>
      </c>
      <c r="D43" s="1824">
        <v>1</v>
      </c>
      <c r="E43" s="1824">
        <v>3</v>
      </c>
      <c r="F43" s="1824">
        <v>1</v>
      </c>
      <c r="G43" s="1824">
        <v>1</v>
      </c>
      <c r="H43" s="1824">
        <v>1</v>
      </c>
      <c r="I43" s="1824">
        <v>1</v>
      </c>
      <c r="J43" s="3757">
        <v>3</v>
      </c>
      <c r="K43" s="3758"/>
      <c r="L43" s="1824">
        <v>3</v>
      </c>
      <c r="M43" s="1825">
        <v>3</v>
      </c>
      <c r="N43" s="1716"/>
      <c r="O43" s="1637" t="s">
        <v>40</v>
      </c>
      <c r="P43" s="1638" t="s">
        <v>43</v>
      </c>
      <c r="Q43" s="1752" t="s">
        <v>42</v>
      </c>
      <c r="R43" s="1637" t="s">
        <v>42</v>
      </c>
      <c r="S43" s="1638" t="s">
        <v>42</v>
      </c>
      <c r="T43" s="3681" t="s">
        <v>43</v>
      </c>
      <c r="U43" s="3759"/>
      <c r="V43" s="1637" t="s">
        <v>43</v>
      </c>
      <c r="W43" s="1637" t="s">
        <v>42</v>
      </c>
      <c r="X43" s="1638" t="s">
        <v>43</v>
      </c>
      <c r="Y43" s="1637" t="s">
        <v>40</v>
      </c>
      <c r="Z43" s="1637" t="s">
        <v>40</v>
      </c>
      <c r="AA43" s="1716"/>
      <c r="AB43" s="1716"/>
      <c r="AC43" s="1038"/>
      <c r="AD43" s="1038"/>
      <c r="AE43" s="1038"/>
      <c r="AF43" s="1038"/>
      <c r="AG43" s="1038"/>
    </row>
    <row r="44" spans="1:33" ht="26.25" customHeight="1" x14ac:dyDescent="0.3">
      <c r="A44" s="1038"/>
      <c r="B44" s="1038"/>
      <c r="C44" s="1038"/>
      <c r="D44" s="1038"/>
      <c r="E44" s="1038"/>
      <c r="F44" s="1038"/>
      <c r="G44" s="1038"/>
      <c r="H44" s="1038"/>
      <c r="I44" s="1038"/>
      <c r="J44" s="1038"/>
      <c r="K44" s="1038"/>
      <c r="L44" s="1038"/>
      <c r="M44" s="1038"/>
      <c r="N44" s="1626"/>
      <c r="O44" s="1038"/>
      <c r="P44" s="1038"/>
      <c r="Q44" s="1038"/>
      <c r="R44" s="1038"/>
      <c r="S44" s="1038"/>
      <c r="T44" s="1038"/>
      <c r="U44" s="1038"/>
      <c r="V44" s="1038"/>
      <c r="W44" s="1038"/>
      <c r="X44" s="1038"/>
      <c r="Y44" s="1038"/>
      <c r="Z44" s="1038"/>
      <c r="AA44" s="1626"/>
      <c r="AB44" s="1038"/>
      <c r="AC44" s="1038"/>
      <c r="AD44" s="1038"/>
      <c r="AE44" s="1038"/>
      <c r="AF44" s="1038"/>
      <c r="AG44" s="1038"/>
    </row>
    <row r="45" spans="1:33" ht="26.25" customHeight="1" x14ac:dyDescent="0.3">
      <c r="A45" s="1038"/>
      <c r="B45" s="1038"/>
      <c r="C45" s="1038"/>
      <c r="D45" s="1650" t="s">
        <v>38</v>
      </c>
      <c r="E45" s="3694" t="s">
        <v>39</v>
      </c>
      <c r="F45" s="3694"/>
      <c r="G45" s="3694" t="s">
        <v>37</v>
      </c>
      <c r="H45" s="3694"/>
      <c r="I45" s="3694"/>
      <c r="J45" s="1719"/>
      <c r="K45" s="1650"/>
      <c r="L45" s="1038"/>
      <c r="M45" s="1038"/>
      <c r="N45" s="1626"/>
      <c r="O45" s="1038"/>
      <c r="P45" s="1038"/>
      <c r="Q45" s="1038"/>
      <c r="R45" s="1038"/>
      <c r="S45" s="1038"/>
      <c r="T45" s="1038"/>
      <c r="U45" s="1038"/>
      <c r="V45" s="1038"/>
      <c r="W45" s="1038"/>
      <c r="X45" s="1038"/>
      <c r="Y45" s="1038"/>
      <c r="Z45" s="1038"/>
      <c r="AA45" s="1626"/>
      <c r="AB45" s="1038"/>
      <c r="AC45" s="1038"/>
      <c r="AD45" s="1038"/>
      <c r="AE45" s="1038"/>
      <c r="AF45" s="1038"/>
      <c r="AG45" s="1038"/>
    </row>
    <row r="46" spans="1:33" ht="26.25" customHeight="1" x14ac:dyDescent="0.3">
      <c r="A46" s="1038"/>
      <c r="B46" s="1650" t="s">
        <v>22</v>
      </c>
      <c r="C46" s="1716">
        <f>AVERAGE(C42,D42,F42,G42,H42,I42)*100</f>
        <v>65.038847117794489</v>
      </c>
      <c r="D46" s="1716">
        <f t="shared" ref="D46:D50" si="8">IF(C46&gt;=70,3,IF(AND(C46&gt;=60,C46&lt;70),2,IF(AND(C46&gt;=50,C46&lt;60),1)))</f>
        <v>2</v>
      </c>
      <c r="E46" s="3740">
        <f>IF(AF42&gt;=70,3,IF(AND(AF42&gt;=60,AF42&lt;70),2,IF(AND(AF42&gt;=50,AF42&lt;60),1)))</f>
        <v>3</v>
      </c>
      <c r="F46" s="3740"/>
      <c r="G46" s="1720">
        <f>(70/100)*E46+(30/100)*D46</f>
        <v>2.6999999999999997</v>
      </c>
      <c r="H46" s="1720"/>
      <c r="I46" s="1720"/>
      <c r="J46" s="1720"/>
      <c r="K46" s="1720"/>
      <c r="L46" s="1038"/>
      <c r="M46" s="1038"/>
      <c r="N46" s="1626"/>
      <c r="O46" s="1038"/>
      <c r="P46" s="1038"/>
      <c r="Q46" s="1038"/>
      <c r="R46" s="1038"/>
      <c r="S46" s="1038"/>
      <c r="T46" s="1038"/>
      <c r="U46" s="1038"/>
      <c r="V46" s="1038"/>
      <c r="W46" s="1038"/>
      <c r="X46" s="1038"/>
      <c r="Y46" s="1038"/>
      <c r="Z46" s="1038"/>
      <c r="AA46" s="1626"/>
      <c r="AB46" s="1038"/>
      <c r="AC46" s="1038"/>
      <c r="AD46" s="1038"/>
      <c r="AE46" s="1038"/>
      <c r="AF46" s="1038"/>
      <c r="AG46" s="1038"/>
    </row>
    <row r="47" spans="1:33" ht="26.25" customHeight="1" x14ac:dyDescent="0.3">
      <c r="A47" s="1038"/>
      <c r="B47" s="1650" t="s">
        <v>40</v>
      </c>
      <c r="C47" s="1716">
        <f>AVERAGE(O42,Y42,Z42)*100</f>
        <v>49.074074074074076</v>
      </c>
      <c r="D47" s="1716" t="b">
        <f t="shared" si="8"/>
        <v>0</v>
      </c>
      <c r="E47" s="3740">
        <f>IF(AF42&gt;=70,3,IF(AND(AF42&gt;=60,AF42&lt;70),2,IF(AND(AF42&gt;=50,AF42&lt;60),1)))</f>
        <v>3</v>
      </c>
      <c r="F47" s="3740"/>
      <c r="G47" s="1720">
        <f t="shared" ref="G47:G50" si="9">(70/100)*E47+(30/100)*D47</f>
        <v>2.0999999999999996</v>
      </c>
      <c r="H47" s="1720"/>
      <c r="I47" s="1720"/>
      <c r="J47" s="1720"/>
      <c r="K47" s="1720"/>
      <c r="L47" s="1038"/>
      <c r="M47" s="1038"/>
      <c r="N47" s="1626"/>
      <c r="O47" s="1038"/>
      <c r="P47" s="1038"/>
      <c r="Q47" s="1038"/>
      <c r="R47" s="1038"/>
      <c r="S47" s="1038"/>
      <c r="T47" s="1038"/>
      <c r="U47" s="1038"/>
      <c r="V47" s="1038"/>
      <c r="W47" s="1038"/>
      <c r="X47" s="1038"/>
      <c r="Y47" s="1038"/>
      <c r="Z47" s="1038"/>
      <c r="AA47" s="1626"/>
      <c r="AB47" s="1038"/>
      <c r="AC47" s="1038"/>
      <c r="AD47" s="1038"/>
      <c r="AE47" s="1038"/>
      <c r="AF47" s="1038"/>
      <c r="AG47" s="1038"/>
    </row>
    <row r="48" spans="1:33" ht="26.25" customHeight="1" x14ac:dyDescent="0.3">
      <c r="A48" s="1038"/>
      <c r="B48" s="1650" t="s">
        <v>41</v>
      </c>
      <c r="C48" s="1716">
        <f>AVERAGE(E42,J42,L42,M42)*100</f>
        <v>55.607142857142854</v>
      </c>
      <c r="D48" s="1716">
        <f t="shared" si="8"/>
        <v>1</v>
      </c>
      <c r="E48" s="3740">
        <f>IF(AF42&gt;=70,3,IF(AND(AF42&gt;=60,AF42&lt;70),2,IF(AND(AF42&gt;=50,AF42&lt;60),1)))</f>
        <v>3</v>
      </c>
      <c r="F48" s="3740"/>
      <c r="G48" s="1720">
        <f t="shared" si="9"/>
        <v>2.3999999999999995</v>
      </c>
      <c r="H48" s="1720"/>
      <c r="I48" s="1720"/>
      <c r="J48" s="1720"/>
      <c r="K48" s="1720"/>
      <c r="L48" s="1038"/>
      <c r="M48" s="1038"/>
      <c r="N48" s="1626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626"/>
      <c r="AB48" s="1038"/>
      <c r="AC48" s="1038"/>
      <c r="AD48" s="1038"/>
      <c r="AE48" s="1038"/>
      <c r="AF48" s="1038"/>
      <c r="AG48" s="1038"/>
    </row>
    <row r="49" spans="1:33" ht="26.25" customHeight="1" x14ac:dyDescent="0.3">
      <c r="A49" s="1038"/>
      <c r="B49" s="1650" t="s">
        <v>42</v>
      </c>
      <c r="C49" s="1716">
        <f>AVERAGE(Q42,R42,S42,W42)*100</f>
        <v>73.437500000000014</v>
      </c>
      <c r="D49" s="1716">
        <f t="shared" si="8"/>
        <v>3</v>
      </c>
      <c r="E49" s="3740">
        <f>IF(AF42&gt;=70,3,IF(AND(AF42&gt;=60,AF42&lt;70),2,IF(AND(AF42&gt;=50,AF42&lt;60),1)))</f>
        <v>3</v>
      </c>
      <c r="F49" s="3740"/>
      <c r="G49" s="1720">
        <f t="shared" si="9"/>
        <v>2.9999999999999996</v>
      </c>
      <c r="H49" s="1720"/>
      <c r="I49" s="1720"/>
      <c r="J49" s="1720"/>
      <c r="K49" s="1720"/>
      <c r="L49" s="1038"/>
      <c r="M49" s="1038"/>
      <c r="N49" s="1626"/>
      <c r="O49" s="1038"/>
      <c r="P49" s="1038"/>
      <c r="Q49" s="1038"/>
      <c r="R49" s="1038"/>
      <c r="S49" s="1038"/>
      <c r="T49" s="1038"/>
      <c r="U49" s="1038"/>
      <c r="V49" s="1038"/>
      <c r="W49" s="1038"/>
      <c r="X49" s="1038"/>
      <c r="Y49" s="1038"/>
      <c r="Z49" s="1038"/>
      <c r="AA49" s="1626"/>
      <c r="AB49" s="1038"/>
      <c r="AC49" s="1038"/>
      <c r="AD49" s="1038"/>
      <c r="AE49" s="1038"/>
      <c r="AF49" s="1038"/>
      <c r="AG49" s="1038"/>
    </row>
    <row r="50" spans="1:33" ht="26.25" customHeight="1" x14ac:dyDescent="0.3">
      <c r="A50" s="1038"/>
      <c r="B50" s="1650" t="s">
        <v>43</v>
      </c>
      <c r="C50" s="1716">
        <f>AVERAGE(P42,T42,V42,X42)*100</f>
        <v>53.645833333333336</v>
      </c>
      <c r="D50" s="1716">
        <f t="shared" si="8"/>
        <v>1</v>
      </c>
      <c r="E50" s="3740">
        <f>IF(AF42&gt;=70,3,IF(AND(AF42&gt;=60,AF42&lt;70),2,IF(AND(AF42&gt;=50,AF42&lt;60),1)))</f>
        <v>3</v>
      </c>
      <c r="F50" s="3740"/>
      <c r="G50" s="1720">
        <f t="shared" si="9"/>
        <v>2.3999999999999995</v>
      </c>
      <c r="H50" s="1720"/>
      <c r="I50" s="1720"/>
      <c r="J50" s="1720"/>
      <c r="K50" s="1720"/>
      <c r="L50" s="1038"/>
      <c r="M50" s="1038"/>
      <c r="N50" s="1626"/>
      <c r="O50" s="1038"/>
      <c r="P50" s="1038"/>
      <c r="Q50" s="1038"/>
      <c r="R50" s="1038"/>
      <c r="S50" s="1038"/>
      <c r="T50" s="1038"/>
      <c r="U50" s="1038"/>
      <c r="V50" s="1038"/>
      <c r="W50" s="1038"/>
      <c r="X50" s="1038"/>
      <c r="Y50" s="1038"/>
      <c r="Z50" s="1038"/>
      <c r="AA50" s="1626"/>
      <c r="AB50" s="1038"/>
      <c r="AC50" s="1038"/>
      <c r="AD50" s="1038"/>
      <c r="AE50" s="1038"/>
      <c r="AF50" s="1038"/>
      <c r="AG50" s="1038"/>
    </row>
    <row r="51" spans="1:33" ht="26.25" customHeight="1" x14ac:dyDescent="0.3">
      <c r="A51" s="1038"/>
      <c r="B51" s="2775" t="s">
        <v>44</v>
      </c>
      <c r="C51" s="2775"/>
      <c r="D51" s="2775"/>
      <c r="E51" s="2775"/>
      <c r="F51" s="2775"/>
      <c r="G51" s="1721">
        <f>AVERAGE(G46:G49)</f>
        <v>2.5499999999999994</v>
      </c>
      <c r="H51" s="1721"/>
      <c r="I51" s="1721"/>
      <c r="J51" s="1721"/>
      <c r="K51" s="1721"/>
      <c r="L51" s="1038"/>
      <c r="M51" s="1038"/>
      <c r="N51" s="1626"/>
      <c r="O51" s="1038"/>
      <c r="P51" s="1038"/>
      <c r="Q51" s="1038"/>
      <c r="R51" s="1038"/>
      <c r="S51" s="1038"/>
      <c r="T51" s="1038"/>
      <c r="U51" s="1038"/>
      <c r="V51" s="1038"/>
      <c r="W51" s="1038"/>
      <c r="X51" s="1038"/>
      <c r="Y51" s="1038"/>
      <c r="Z51" s="1038"/>
      <c r="AA51" s="1626"/>
      <c r="AB51" s="1038"/>
      <c r="AC51" s="1038"/>
      <c r="AD51" s="1038"/>
      <c r="AE51" s="1038"/>
      <c r="AF51" s="1038"/>
      <c r="AG51" s="1038"/>
    </row>
    <row r="52" spans="1:33" ht="26.25" customHeight="1" x14ac:dyDescent="0.3">
      <c r="A52" s="1038"/>
      <c r="B52" s="1038"/>
      <c r="C52" s="1038"/>
      <c r="D52" s="1038"/>
      <c r="E52" s="1038"/>
      <c r="F52" s="1038"/>
      <c r="G52" s="1038"/>
      <c r="H52" s="1038"/>
      <c r="I52" s="1038"/>
      <c r="J52" s="1038"/>
      <c r="K52" s="1038"/>
      <c r="L52" s="1038"/>
      <c r="M52" s="1038"/>
      <c r="N52" s="1626"/>
      <c r="O52" s="1038"/>
      <c r="P52" s="1038"/>
      <c r="Q52" s="1038"/>
      <c r="R52" s="1038"/>
      <c r="S52" s="1038"/>
      <c r="T52" s="1038"/>
      <c r="U52" s="1038"/>
      <c r="V52" s="1038"/>
      <c r="W52" s="1038"/>
      <c r="X52" s="1038"/>
      <c r="Y52" s="1038"/>
      <c r="Z52" s="1038"/>
      <c r="AA52" s="1626"/>
      <c r="AB52" s="1038"/>
      <c r="AC52" s="1038"/>
      <c r="AD52" s="1038"/>
      <c r="AE52" s="1038"/>
      <c r="AF52" s="1038"/>
      <c r="AG52" s="1038"/>
    </row>
    <row r="53" spans="1:33" ht="26.25" customHeight="1" x14ac:dyDescent="0.3">
      <c r="A53" s="2775" t="s">
        <v>134</v>
      </c>
      <c r="B53" s="2775"/>
      <c r="C53" s="1038"/>
      <c r="D53" s="1038"/>
      <c r="E53" s="1038"/>
      <c r="F53" s="1038"/>
      <c r="G53" s="1038"/>
      <c r="H53" s="1038"/>
      <c r="I53" s="1038"/>
      <c r="J53" s="1038"/>
      <c r="K53" s="1038"/>
      <c r="L53" s="1038"/>
      <c r="M53" s="1038"/>
      <c r="N53" s="1626"/>
      <c r="O53" s="1038"/>
      <c r="P53" s="1038"/>
      <c r="Q53" s="1038"/>
      <c r="R53" s="1038"/>
      <c r="S53" s="1038"/>
      <c r="T53" s="1038"/>
      <c r="U53" s="1038"/>
      <c r="V53" s="1038"/>
      <c r="W53" s="1038"/>
      <c r="X53" s="1038"/>
      <c r="Y53" s="1038"/>
      <c r="Z53" s="1038"/>
      <c r="AA53" s="1626"/>
      <c r="AB53" s="1038"/>
      <c r="AC53" s="1038"/>
      <c r="AD53" s="1038"/>
      <c r="AE53" s="1038"/>
      <c r="AF53" s="1038"/>
      <c r="AG53" s="1038"/>
    </row>
    <row r="54" spans="1:33" ht="26.25" customHeight="1" x14ac:dyDescent="0.3">
      <c r="A54" s="1038"/>
      <c r="B54" s="1038"/>
      <c r="C54" s="1038"/>
      <c r="D54" s="1038"/>
      <c r="E54" s="1038"/>
      <c r="F54" s="1038"/>
      <c r="G54" s="1038"/>
      <c r="H54" s="1038"/>
      <c r="I54" s="1038"/>
      <c r="J54" s="1038"/>
      <c r="K54" s="1038"/>
      <c r="L54" s="1038"/>
      <c r="M54" s="1038"/>
      <c r="N54" s="1626"/>
      <c r="O54" s="1038"/>
      <c r="P54" s="1038"/>
      <c r="Q54" s="1038"/>
      <c r="R54" s="1038"/>
      <c r="S54" s="1038"/>
      <c r="T54" s="1038"/>
      <c r="U54" s="1038"/>
      <c r="V54" s="1038"/>
      <c r="W54" s="1038"/>
      <c r="X54" s="1038"/>
      <c r="Y54" s="1038"/>
      <c r="Z54" s="1038"/>
      <c r="AA54" s="1626"/>
      <c r="AB54" s="1038"/>
      <c r="AC54" s="1038"/>
      <c r="AD54" s="1038"/>
      <c r="AE54" s="1038"/>
      <c r="AF54" s="1038"/>
      <c r="AG54" s="1038"/>
    </row>
    <row r="55" spans="1:33" ht="26.25" customHeight="1" x14ac:dyDescent="0.3">
      <c r="A55" s="1038"/>
      <c r="B55" s="1654" t="s">
        <v>45</v>
      </c>
      <c r="C55" s="1795" t="s">
        <v>68</v>
      </c>
      <c r="D55" s="1795" t="s">
        <v>69</v>
      </c>
      <c r="E55" s="1795" t="s">
        <v>70</v>
      </c>
      <c r="F55" s="1795" t="s">
        <v>71</v>
      </c>
      <c r="G55" s="1795" t="s">
        <v>72</v>
      </c>
      <c r="H55" s="1795" t="s">
        <v>73</v>
      </c>
      <c r="I55" s="1795" t="s">
        <v>74</v>
      </c>
      <c r="J55" s="1796" t="s">
        <v>75</v>
      </c>
      <c r="K55" s="1795" t="s">
        <v>76</v>
      </c>
      <c r="L55" s="1795" t="s">
        <v>77</v>
      </c>
      <c r="M55" s="1795" t="s">
        <v>78</v>
      </c>
      <c r="N55" s="1795" t="s">
        <v>79</v>
      </c>
      <c r="O55" s="1038"/>
      <c r="P55" s="1038"/>
      <c r="Q55" s="1038"/>
      <c r="R55" s="1038"/>
      <c r="S55" s="1038"/>
      <c r="T55" s="1626"/>
      <c r="U55" s="1626"/>
      <c r="V55" s="1038"/>
      <c r="W55" s="1038"/>
      <c r="X55" s="1038"/>
      <c r="Y55" s="1038"/>
      <c r="Z55" s="1038"/>
      <c r="AA55" s="1038"/>
      <c r="AB55" s="1038"/>
      <c r="AC55" s="1038"/>
      <c r="AD55" s="1038"/>
      <c r="AE55" s="1038"/>
      <c r="AF55" s="1038"/>
    </row>
    <row r="56" spans="1:33" ht="26.25" customHeight="1" x14ac:dyDescent="0.3">
      <c r="A56" s="1038"/>
      <c r="B56" s="1797" t="s">
        <v>20</v>
      </c>
      <c r="C56" s="1715">
        <v>3</v>
      </c>
      <c r="D56" s="1715">
        <v>1</v>
      </c>
      <c r="E56" s="1715">
        <v>2</v>
      </c>
      <c r="F56" s="1715">
        <v>2</v>
      </c>
      <c r="G56" s="1826">
        <v>3</v>
      </c>
      <c r="H56" s="1827"/>
      <c r="I56" s="1826">
        <v>2</v>
      </c>
      <c r="J56" s="1826"/>
      <c r="K56" s="1826"/>
      <c r="L56" s="1826"/>
      <c r="M56" s="1826"/>
      <c r="N56" s="1826">
        <v>2</v>
      </c>
      <c r="O56" s="1038"/>
      <c r="P56" s="1038"/>
      <c r="Q56" s="1038"/>
      <c r="R56" s="1038"/>
      <c r="S56" s="1038"/>
      <c r="T56" s="1626"/>
      <c r="U56" s="1626"/>
      <c r="V56" s="1038"/>
      <c r="W56" s="1038"/>
      <c r="X56" s="1038"/>
      <c r="Y56" s="1038"/>
      <c r="Z56" s="1038"/>
      <c r="AA56" s="1038"/>
      <c r="AB56" s="1038"/>
      <c r="AC56" s="1038"/>
      <c r="AD56" s="1038"/>
      <c r="AE56" s="1038"/>
      <c r="AF56" s="1038"/>
    </row>
    <row r="57" spans="1:33" ht="26.25" customHeight="1" x14ac:dyDescent="0.3">
      <c r="A57" s="1038"/>
      <c r="B57" s="1797" t="s">
        <v>21</v>
      </c>
      <c r="C57" s="1715">
        <v>3</v>
      </c>
      <c r="D57" s="1715">
        <v>2</v>
      </c>
      <c r="E57" s="1715">
        <v>2</v>
      </c>
      <c r="F57" s="1715">
        <v>2</v>
      </c>
      <c r="G57" s="1715">
        <v>3</v>
      </c>
      <c r="H57" s="1827"/>
      <c r="I57" s="1826">
        <v>2</v>
      </c>
      <c r="J57" s="1826"/>
      <c r="K57" s="1826"/>
      <c r="L57" s="1826"/>
      <c r="M57" s="1826"/>
      <c r="N57" s="1826">
        <v>2</v>
      </c>
      <c r="O57" s="1038"/>
      <c r="P57" s="1038"/>
      <c r="Q57" s="1038"/>
      <c r="R57" s="1038"/>
      <c r="S57" s="1038"/>
      <c r="T57" s="1626"/>
      <c r="U57" s="1626"/>
      <c r="V57" s="1038"/>
      <c r="W57" s="1038"/>
      <c r="X57" s="1038"/>
      <c r="Y57" s="1038"/>
      <c r="Z57" s="1038"/>
      <c r="AA57" s="1038"/>
      <c r="AB57" s="1038"/>
      <c r="AC57" s="1038"/>
      <c r="AD57" s="1038"/>
      <c r="AE57" s="1038"/>
      <c r="AF57" s="1038"/>
    </row>
    <row r="58" spans="1:33" ht="26.25" customHeight="1" x14ac:dyDescent="0.3">
      <c r="A58" s="1038"/>
      <c r="B58" s="1797" t="s">
        <v>23</v>
      </c>
      <c r="C58" s="1715">
        <v>3</v>
      </c>
      <c r="D58" s="1715">
        <v>2</v>
      </c>
      <c r="E58" s="1715">
        <v>1</v>
      </c>
      <c r="F58" s="1715">
        <v>3</v>
      </c>
      <c r="G58" s="1715">
        <v>3</v>
      </c>
      <c r="H58" s="1827"/>
      <c r="I58" s="1826">
        <v>2</v>
      </c>
      <c r="J58" s="1826"/>
      <c r="K58" s="1826"/>
      <c r="L58" s="1826"/>
      <c r="M58" s="1826"/>
      <c r="N58" s="1826">
        <v>2</v>
      </c>
      <c r="O58" s="1038"/>
      <c r="P58" s="1038"/>
      <c r="Q58" s="1038"/>
      <c r="R58" s="1038"/>
      <c r="S58" s="1038"/>
      <c r="T58" s="1626"/>
      <c r="U58" s="1626"/>
      <c r="V58" s="1038"/>
      <c r="W58" s="1038"/>
      <c r="X58" s="1038"/>
      <c r="Y58" s="1038"/>
      <c r="Z58" s="1038"/>
      <c r="AA58" s="1038"/>
      <c r="AB58" s="1038"/>
      <c r="AC58" s="1038"/>
      <c r="AD58" s="1038"/>
      <c r="AE58" s="1038"/>
      <c r="AF58" s="1038"/>
    </row>
    <row r="59" spans="1:33" ht="26.25" customHeight="1" x14ac:dyDescent="0.3">
      <c r="A59" s="1038"/>
      <c r="B59" s="1797" t="s">
        <v>25</v>
      </c>
      <c r="C59" s="1715">
        <v>3</v>
      </c>
      <c r="D59" s="1715">
        <v>2</v>
      </c>
      <c r="E59" s="1715">
        <v>1</v>
      </c>
      <c r="F59" s="1715">
        <v>2</v>
      </c>
      <c r="G59" s="1715">
        <v>3</v>
      </c>
      <c r="H59" s="1827"/>
      <c r="I59" s="1826">
        <v>2</v>
      </c>
      <c r="J59" s="1826"/>
      <c r="K59" s="1826"/>
      <c r="L59" s="1826"/>
      <c r="M59" s="1826"/>
      <c r="N59" s="1826">
        <v>2</v>
      </c>
      <c r="O59" s="1038"/>
      <c r="P59" s="1038"/>
      <c r="Q59" s="1038"/>
      <c r="R59" s="1038"/>
      <c r="S59" s="1038"/>
      <c r="T59" s="1626"/>
      <c r="U59" s="1626"/>
      <c r="V59" s="1038"/>
      <c r="W59" s="1038"/>
      <c r="X59" s="1038"/>
      <c r="Y59" s="1038"/>
      <c r="Z59" s="1038"/>
      <c r="AA59" s="1038"/>
      <c r="AB59" s="1038"/>
      <c r="AC59" s="1038"/>
      <c r="AD59" s="1038"/>
      <c r="AE59" s="1038"/>
      <c r="AF59" s="1038"/>
    </row>
    <row r="60" spans="1:33" ht="26.25" customHeight="1" x14ac:dyDescent="0.3">
      <c r="A60" s="1038"/>
      <c r="B60" s="1797" t="s">
        <v>24</v>
      </c>
      <c r="C60" s="1715">
        <v>3</v>
      </c>
      <c r="D60" s="1715">
        <v>2</v>
      </c>
      <c r="E60" s="1715">
        <v>1</v>
      </c>
      <c r="F60" s="1715">
        <v>2</v>
      </c>
      <c r="G60" s="1715">
        <v>3</v>
      </c>
      <c r="H60" s="1827"/>
      <c r="I60" s="1826">
        <v>2</v>
      </c>
      <c r="J60" s="1826"/>
      <c r="K60" s="1826"/>
      <c r="L60" s="1826"/>
      <c r="M60" s="1826"/>
      <c r="N60" s="1826">
        <v>2</v>
      </c>
      <c r="O60" s="1038"/>
      <c r="P60" s="1038"/>
      <c r="Q60" s="1038"/>
      <c r="R60" s="1038"/>
      <c r="S60" s="1038"/>
      <c r="T60" s="1626"/>
      <c r="U60" s="1626"/>
      <c r="V60" s="1038"/>
      <c r="W60" s="1038"/>
      <c r="X60" s="1038"/>
      <c r="Y60" s="1038"/>
      <c r="Z60" s="1038"/>
      <c r="AA60" s="1038"/>
      <c r="AB60" s="1038"/>
      <c r="AC60" s="1038"/>
      <c r="AD60" s="1038"/>
      <c r="AE60" s="1038"/>
      <c r="AF60" s="1038"/>
    </row>
    <row r="61" spans="1:33" ht="26.25" customHeight="1" x14ac:dyDescent="0.3">
      <c r="A61" s="1038"/>
      <c r="B61" s="1798" t="s">
        <v>10</v>
      </c>
      <c r="C61" s="1828">
        <f>AVERAGE(C56:C60)</f>
        <v>3</v>
      </c>
      <c r="D61" s="1828">
        <f t="shared" ref="D61:I61" si="10">AVERAGE(D56:D60)</f>
        <v>1.8</v>
      </c>
      <c r="E61" s="1828">
        <f t="shared" si="10"/>
        <v>1.4</v>
      </c>
      <c r="F61" s="1828">
        <f t="shared" si="10"/>
        <v>2.2000000000000002</v>
      </c>
      <c r="G61" s="1828">
        <f t="shared" si="10"/>
        <v>3</v>
      </c>
      <c r="H61" s="1828"/>
      <c r="I61" s="1828">
        <f t="shared" si="10"/>
        <v>2</v>
      </c>
      <c r="J61" s="1828"/>
      <c r="K61" s="1828"/>
      <c r="L61" s="1828"/>
      <c r="M61" s="1828"/>
      <c r="N61" s="1828">
        <f t="shared" ref="N61" si="11">AVERAGE(N56:N60)</f>
        <v>2</v>
      </c>
      <c r="O61" s="1038"/>
      <c r="P61" s="1038"/>
      <c r="Q61" s="1038"/>
      <c r="R61" s="1038"/>
      <c r="S61" s="1038"/>
      <c r="T61" s="1626"/>
      <c r="U61" s="1626"/>
      <c r="V61" s="1038"/>
      <c r="W61" s="1038"/>
      <c r="X61" s="1038"/>
      <c r="Y61" s="1038"/>
      <c r="Z61" s="1038"/>
      <c r="AA61" s="1038"/>
      <c r="AB61" s="1038"/>
      <c r="AC61" s="1038"/>
      <c r="AD61" s="1038"/>
      <c r="AE61" s="1038"/>
      <c r="AF61" s="1038"/>
    </row>
    <row r="62" spans="1:33" ht="26.25" customHeight="1" x14ac:dyDescent="0.3">
      <c r="A62" s="1038"/>
      <c r="B62" s="1729" t="s">
        <v>58</v>
      </c>
      <c r="C62" s="3681">
        <f>AVERAGE(C61:N61)</f>
        <v>2.1999999999999997</v>
      </c>
      <c r="D62" s="3682"/>
      <c r="E62" s="3682"/>
      <c r="F62" s="3682"/>
      <c r="G62" s="3682"/>
      <c r="H62" s="3682"/>
      <c r="I62" s="3682"/>
      <c r="J62" s="3682"/>
      <c r="K62" s="3682"/>
      <c r="L62" s="3682"/>
      <c r="M62" s="3682"/>
      <c r="N62" s="3682"/>
      <c r="O62" s="3683"/>
      <c r="P62" s="1730"/>
      <c r="Q62" s="1730"/>
      <c r="R62" s="1730"/>
      <c r="S62" s="1038"/>
      <c r="T62" s="1038"/>
      <c r="U62" s="1038"/>
      <c r="V62" s="1038"/>
      <c r="W62" s="1038"/>
      <c r="X62" s="1038"/>
      <c r="Y62" s="1038"/>
      <c r="Z62" s="1038"/>
      <c r="AA62" s="1626"/>
      <c r="AB62" s="1038"/>
      <c r="AC62" s="1038"/>
      <c r="AD62" s="1038"/>
      <c r="AE62" s="1038"/>
      <c r="AF62" s="1038"/>
      <c r="AG62" s="1038"/>
    </row>
    <row r="63" spans="1:33" ht="26.25" customHeight="1" x14ac:dyDescent="0.3">
      <c r="A63" s="1038"/>
      <c r="B63" s="1038"/>
      <c r="C63" s="1731"/>
      <c r="D63" s="1038"/>
      <c r="E63" s="1038"/>
      <c r="F63" s="1038"/>
      <c r="G63" s="1038"/>
      <c r="H63" s="1038"/>
      <c r="I63" s="1038"/>
      <c r="J63" s="1038"/>
      <c r="K63" s="1038"/>
      <c r="L63" s="1038"/>
      <c r="M63" s="1038"/>
      <c r="N63" s="1626"/>
      <c r="O63" s="1038"/>
      <c r="P63" s="1038"/>
      <c r="Q63" s="1038"/>
      <c r="R63" s="1038"/>
      <c r="S63" s="1038"/>
      <c r="T63" s="1038"/>
      <c r="U63" s="1038"/>
      <c r="V63" s="1038"/>
      <c r="W63" s="1038"/>
      <c r="X63" s="1038"/>
      <c r="Y63" s="1038"/>
      <c r="Z63" s="1038"/>
      <c r="AA63" s="1626"/>
      <c r="AB63" s="1038"/>
      <c r="AC63" s="1038"/>
      <c r="AD63" s="1038"/>
      <c r="AE63" s="1038"/>
      <c r="AF63" s="1038"/>
      <c r="AG63" s="1038"/>
    </row>
    <row r="64" spans="1:33" ht="26.25" customHeight="1" x14ac:dyDescent="0.3">
      <c r="A64" s="1038"/>
      <c r="B64" s="1038"/>
      <c r="C64" s="1038"/>
      <c r="D64" s="1038"/>
      <c r="E64" s="1038"/>
      <c r="F64" s="1038"/>
      <c r="G64" s="1038"/>
      <c r="H64" s="1038"/>
      <c r="I64" s="1038"/>
      <c r="J64" s="1038"/>
      <c r="K64" s="1038"/>
      <c r="L64" s="1038"/>
      <c r="M64" s="1038"/>
      <c r="N64" s="1626"/>
      <c r="O64" s="1038"/>
      <c r="P64" s="1038"/>
      <c r="Q64" s="1038"/>
      <c r="R64" s="1038"/>
      <c r="S64" s="1038"/>
      <c r="T64" s="1038"/>
      <c r="U64" s="1038"/>
      <c r="V64" s="1038"/>
      <c r="W64" s="1038"/>
      <c r="X64" s="1038"/>
      <c r="Y64" s="1038"/>
      <c r="Z64" s="1038"/>
      <c r="AA64" s="1626"/>
      <c r="AB64" s="1038"/>
      <c r="AC64" s="1038"/>
      <c r="AD64" s="1038"/>
      <c r="AE64" s="1038"/>
      <c r="AF64" s="1038"/>
      <c r="AG64" s="1038"/>
    </row>
    <row r="65" spans="1:33" ht="26.25" customHeight="1" x14ac:dyDescent="0.3">
      <c r="A65" s="2775" t="s">
        <v>148</v>
      </c>
      <c r="B65" s="2775"/>
      <c r="C65" s="1038"/>
      <c r="D65" s="1038"/>
      <c r="E65" s="1038"/>
      <c r="F65" s="1038"/>
      <c r="G65" s="1038"/>
      <c r="H65" s="1038"/>
      <c r="I65" s="1038"/>
      <c r="J65" s="1038"/>
      <c r="K65" s="1038"/>
      <c r="L65" s="1038"/>
      <c r="M65" s="1038"/>
      <c r="N65" s="1626"/>
      <c r="O65" s="1038"/>
      <c r="P65" s="1038"/>
      <c r="Q65" s="1038"/>
      <c r="R65" s="1038"/>
      <c r="S65" s="1038"/>
      <c r="T65" s="1038"/>
      <c r="U65" s="1038"/>
      <c r="V65" s="1038"/>
      <c r="W65" s="1038"/>
      <c r="X65" s="1038"/>
      <c r="Y65" s="1038"/>
      <c r="Z65" s="1038"/>
      <c r="AA65" s="1626"/>
      <c r="AB65" s="1038"/>
      <c r="AC65" s="1038"/>
      <c r="AD65" s="1038"/>
      <c r="AE65" s="1038"/>
      <c r="AF65" s="1038"/>
      <c r="AG65" s="1038"/>
    </row>
    <row r="66" spans="1:33" ht="26.25" customHeight="1" x14ac:dyDescent="0.3">
      <c r="A66" s="1038"/>
      <c r="B66" s="1038"/>
      <c r="C66" s="1038"/>
      <c r="D66" s="1038"/>
      <c r="E66" s="1038"/>
      <c r="F66" s="1038"/>
      <c r="G66" s="1038"/>
      <c r="H66" s="1038"/>
      <c r="I66" s="1038"/>
      <c r="J66" s="1038"/>
      <c r="K66" s="1038"/>
      <c r="L66" s="1038"/>
      <c r="M66" s="1038"/>
      <c r="N66" s="1626"/>
      <c r="O66" s="1038"/>
      <c r="P66" s="1038"/>
      <c r="Q66" s="1038"/>
      <c r="R66" s="1038"/>
      <c r="S66" s="1038"/>
      <c r="T66" s="1038"/>
      <c r="U66" s="1038"/>
      <c r="V66" s="1038"/>
      <c r="W66" s="1038"/>
      <c r="X66" s="1038"/>
      <c r="Y66" s="1038"/>
      <c r="Z66" s="1038"/>
      <c r="AA66" s="1626"/>
      <c r="AB66" s="1038"/>
      <c r="AC66" s="1038"/>
      <c r="AD66" s="1038"/>
      <c r="AE66" s="1038"/>
      <c r="AF66" s="1038"/>
      <c r="AG66" s="1038"/>
    </row>
    <row r="67" spans="1:33" ht="26.25" customHeight="1" x14ac:dyDescent="0.3">
      <c r="A67" s="1038"/>
      <c r="B67" s="1654" t="s">
        <v>45</v>
      </c>
      <c r="C67" s="1795" t="s">
        <v>68</v>
      </c>
      <c r="D67" s="1795" t="s">
        <v>69</v>
      </c>
      <c r="E67" s="1795" t="s">
        <v>70</v>
      </c>
      <c r="F67" s="1795" t="s">
        <v>71</v>
      </c>
      <c r="G67" s="1795" t="s">
        <v>72</v>
      </c>
      <c r="H67" s="1795" t="s">
        <v>73</v>
      </c>
      <c r="I67" s="1795" t="s">
        <v>74</v>
      </c>
      <c r="J67" s="1796" t="s">
        <v>75</v>
      </c>
      <c r="K67" s="1795" t="s">
        <v>76</v>
      </c>
      <c r="L67" s="1795" t="s">
        <v>77</v>
      </c>
      <c r="M67" s="1795" t="s">
        <v>78</v>
      </c>
      <c r="N67" s="1795" t="s">
        <v>79</v>
      </c>
      <c r="O67" s="1038"/>
      <c r="P67" s="1038"/>
      <c r="Q67" s="1038"/>
      <c r="R67" s="1038"/>
      <c r="S67" s="1038"/>
      <c r="T67" s="1626"/>
      <c r="U67" s="1626"/>
      <c r="V67" s="1038"/>
      <c r="W67" s="1038"/>
      <c r="X67" s="1038"/>
      <c r="Y67" s="1038"/>
      <c r="Z67" s="1038"/>
      <c r="AA67" s="1038"/>
      <c r="AB67" s="1038"/>
      <c r="AC67" s="1038"/>
      <c r="AD67" s="1038"/>
      <c r="AE67" s="1038"/>
      <c r="AF67" s="1038"/>
    </row>
    <row r="68" spans="1:33" ht="26.25" customHeight="1" x14ac:dyDescent="0.3">
      <c r="A68" s="1038"/>
      <c r="B68" s="1797" t="s">
        <v>20</v>
      </c>
      <c r="C68" s="1732">
        <f>G46*C56/3</f>
        <v>2.6999999999999997</v>
      </c>
      <c r="D68" s="1732">
        <f>G46*D56/3</f>
        <v>0.89999999999999991</v>
      </c>
      <c r="E68" s="1732">
        <f>G46*E56/3</f>
        <v>1.7999999999999998</v>
      </c>
      <c r="F68" s="1732">
        <f>G46*F56/3</f>
        <v>1.7999999999999998</v>
      </c>
      <c r="G68" s="1732">
        <f>G46*G56/3</f>
        <v>2.6999999999999997</v>
      </c>
      <c r="H68" s="1732"/>
      <c r="I68" s="1732">
        <f t="shared" ref="I68:I73" si="12">G46*I56/3</f>
        <v>1.7999999999999998</v>
      </c>
      <c r="J68" s="1732"/>
      <c r="K68" s="1732"/>
      <c r="L68" s="1732"/>
      <c r="M68" s="1732"/>
      <c r="N68" s="1732">
        <f>G46*N56/3</f>
        <v>1.7999999999999998</v>
      </c>
      <c r="O68" s="1038"/>
      <c r="P68" s="1038"/>
      <c r="Q68" s="1038"/>
      <c r="R68" s="1038"/>
      <c r="S68" s="1038"/>
      <c r="T68" s="1626"/>
      <c r="U68" s="1626"/>
      <c r="V68" s="1038"/>
      <c r="W68" s="1038"/>
      <c r="X68" s="1038"/>
      <c r="Y68" s="1038"/>
      <c r="Z68" s="1038"/>
      <c r="AA68" s="1038"/>
      <c r="AB68" s="1038"/>
      <c r="AC68" s="1038"/>
      <c r="AD68" s="1038"/>
      <c r="AE68" s="1038"/>
      <c r="AF68" s="1038"/>
    </row>
    <row r="69" spans="1:33" ht="26.25" customHeight="1" x14ac:dyDescent="0.3">
      <c r="A69" s="1038"/>
      <c r="B69" s="1797" t="s">
        <v>21</v>
      </c>
      <c r="C69" s="1732">
        <f t="shared" ref="C69:C72" si="13">G47*C57/3</f>
        <v>2.0999999999999996</v>
      </c>
      <c r="D69" s="1732">
        <f t="shared" ref="D69:D72" si="14">G47*D57/3</f>
        <v>1.3999999999999997</v>
      </c>
      <c r="E69" s="1732">
        <f t="shared" ref="E69:E72" si="15">G47*E57/3</f>
        <v>1.3999999999999997</v>
      </c>
      <c r="F69" s="1732">
        <f t="shared" ref="F69:F72" si="16">G47*F57/3</f>
        <v>1.3999999999999997</v>
      </c>
      <c r="G69" s="1732">
        <f t="shared" ref="G69:G72" si="17">G47*G57/3</f>
        <v>2.0999999999999996</v>
      </c>
      <c r="H69" s="1732"/>
      <c r="I69" s="1732">
        <f t="shared" si="12"/>
        <v>1.3999999999999997</v>
      </c>
      <c r="J69" s="1732"/>
      <c r="K69" s="1732"/>
      <c r="L69" s="1732"/>
      <c r="M69" s="1732"/>
      <c r="N69" s="1732">
        <f>G47*N57/3</f>
        <v>1.3999999999999997</v>
      </c>
      <c r="O69" s="1038"/>
      <c r="P69" s="1038"/>
      <c r="Q69" s="1038"/>
      <c r="R69" s="1038"/>
      <c r="S69" s="1038"/>
      <c r="T69" s="1626"/>
      <c r="U69" s="1626"/>
      <c r="V69" s="1038"/>
      <c r="W69" s="1038"/>
      <c r="X69" s="1038"/>
      <c r="Y69" s="1038"/>
      <c r="Z69" s="1038"/>
      <c r="AA69" s="1038"/>
      <c r="AB69" s="1038"/>
      <c r="AC69" s="1038"/>
      <c r="AD69" s="1038"/>
      <c r="AE69" s="1038"/>
      <c r="AF69" s="1038"/>
    </row>
    <row r="70" spans="1:33" ht="26.25" customHeight="1" x14ac:dyDescent="0.3">
      <c r="A70" s="1038"/>
      <c r="B70" s="1797" t="s">
        <v>23</v>
      </c>
      <c r="C70" s="1732">
        <f t="shared" si="13"/>
        <v>2.3999999999999995</v>
      </c>
      <c r="D70" s="1732">
        <f t="shared" si="14"/>
        <v>1.5999999999999996</v>
      </c>
      <c r="E70" s="1732">
        <f t="shared" si="15"/>
        <v>0.79999999999999982</v>
      </c>
      <c r="F70" s="1732">
        <f t="shared" si="16"/>
        <v>2.3999999999999995</v>
      </c>
      <c r="G70" s="1732">
        <f t="shared" si="17"/>
        <v>2.3999999999999995</v>
      </c>
      <c r="H70" s="1732"/>
      <c r="I70" s="1732">
        <f t="shared" si="12"/>
        <v>1.5999999999999996</v>
      </c>
      <c r="J70" s="1732"/>
      <c r="K70" s="1732"/>
      <c r="L70" s="1732"/>
      <c r="M70" s="1732"/>
      <c r="N70" s="1732">
        <f>G48*N58/3</f>
        <v>1.5999999999999996</v>
      </c>
      <c r="O70" s="1038"/>
      <c r="P70" s="1038"/>
      <c r="Q70" s="1038"/>
      <c r="R70" s="1038"/>
      <c r="S70" s="1038"/>
      <c r="T70" s="1626"/>
      <c r="U70" s="1626"/>
      <c r="V70" s="1038"/>
      <c r="W70" s="1038"/>
      <c r="X70" s="1038"/>
      <c r="Y70" s="1038"/>
      <c r="Z70" s="1038"/>
      <c r="AA70" s="1038"/>
      <c r="AB70" s="1038"/>
      <c r="AC70" s="1038"/>
      <c r="AD70" s="1038"/>
      <c r="AE70" s="1038"/>
      <c r="AF70" s="1038"/>
    </row>
    <row r="71" spans="1:33" ht="26.25" customHeight="1" x14ac:dyDescent="0.3">
      <c r="A71" s="1038"/>
      <c r="B71" s="1797" t="s">
        <v>25</v>
      </c>
      <c r="C71" s="1732">
        <f t="shared" si="13"/>
        <v>2.9999999999999996</v>
      </c>
      <c r="D71" s="1732">
        <f t="shared" si="14"/>
        <v>1.9999999999999998</v>
      </c>
      <c r="E71" s="1732">
        <f t="shared" si="15"/>
        <v>0.99999999999999989</v>
      </c>
      <c r="F71" s="1732">
        <f t="shared" si="16"/>
        <v>1.9999999999999998</v>
      </c>
      <c r="G71" s="1732">
        <f t="shared" si="17"/>
        <v>2.9999999999999996</v>
      </c>
      <c r="H71" s="1732"/>
      <c r="I71" s="1732">
        <f t="shared" si="12"/>
        <v>1.9999999999999998</v>
      </c>
      <c r="J71" s="1732"/>
      <c r="K71" s="1732"/>
      <c r="L71" s="1732"/>
      <c r="M71" s="1732"/>
      <c r="N71" s="1732">
        <f>G49*N59/3</f>
        <v>1.9999999999999998</v>
      </c>
      <c r="O71" s="1038"/>
      <c r="P71" s="1038"/>
      <c r="Q71" s="1038"/>
      <c r="R71" s="1038"/>
      <c r="S71" s="1038"/>
      <c r="T71" s="1626"/>
      <c r="U71" s="1626"/>
      <c r="V71" s="1038"/>
      <c r="W71" s="1038"/>
      <c r="X71" s="1038"/>
      <c r="Y71" s="1038"/>
      <c r="Z71" s="1038"/>
      <c r="AA71" s="1038"/>
      <c r="AB71" s="1038"/>
      <c r="AC71" s="1038"/>
      <c r="AD71" s="1038"/>
      <c r="AE71" s="1038"/>
      <c r="AF71" s="1038"/>
    </row>
    <row r="72" spans="1:33" ht="26.25" customHeight="1" x14ac:dyDescent="0.3">
      <c r="A72" s="1038"/>
      <c r="B72" s="1797" t="s">
        <v>24</v>
      </c>
      <c r="C72" s="1732">
        <f t="shared" si="13"/>
        <v>2.3999999999999995</v>
      </c>
      <c r="D72" s="1732">
        <f t="shared" si="14"/>
        <v>1.5999999999999996</v>
      </c>
      <c r="E72" s="1732">
        <f t="shared" si="15"/>
        <v>0.79999999999999982</v>
      </c>
      <c r="F72" s="1732">
        <f t="shared" si="16"/>
        <v>1.5999999999999996</v>
      </c>
      <c r="G72" s="1732">
        <f t="shared" si="17"/>
        <v>2.3999999999999995</v>
      </c>
      <c r="H72" s="1732"/>
      <c r="I72" s="1732">
        <f t="shared" si="12"/>
        <v>1.5999999999999996</v>
      </c>
      <c r="J72" s="1732"/>
      <c r="K72" s="1732"/>
      <c r="L72" s="1732"/>
      <c r="M72" s="1732"/>
      <c r="N72" s="1732">
        <f>G50*N60/3</f>
        <v>1.5999999999999996</v>
      </c>
      <c r="O72" s="1038"/>
      <c r="P72" s="1038"/>
      <c r="Q72" s="1038"/>
      <c r="R72" s="1038"/>
      <c r="S72" s="1038"/>
      <c r="T72" s="1626"/>
      <c r="U72" s="1626"/>
      <c r="V72" s="1038"/>
      <c r="W72" s="1038"/>
      <c r="X72" s="1038"/>
      <c r="Y72" s="1038"/>
      <c r="Z72" s="1038"/>
      <c r="AA72" s="1038"/>
      <c r="AB72" s="1038"/>
      <c r="AC72" s="1038"/>
      <c r="AD72" s="1038"/>
      <c r="AE72" s="1038"/>
      <c r="AF72" s="1038"/>
    </row>
    <row r="73" spans="1:33" ht="26.25" customHeight="1" x14ac:dyDescent="0.3">
      <c r="A73" s="1038"/>
      <c r="B73" s="1798" t="s">
        <v>10</v>
      </c>
      <c r="C73" s="1799">
        <f>AVERAGE(C68:C72)</f>
        <v>2.5199999999999996</v>
      </c>
      <c r="D73" s="1799">
        <f t="shared" ref="D73:G73" si="18">AVERAGE(D68:D72)</f>
        <v>1.4999999999999998</v>
      </c>
      <c r="E73" s="1799">
        <f t="shared" si="18"/>
        <v>1.1599999999999997</v>
      </c>
      <c r="F73" s="1799">
        <f t="shared" si="18"/>
        <v>1.8399999999999999</v>
      </c>
      <c r="G73" s="1799">
        <f t="shared" si="18"/>
        <v>2.5199999999999996</v>
      </c>
      <c r="H73" s="1799"/>
      <c r="I73" s="1732">
        <f t="shared" si="12"/>
        <v>1.6999999999999995</v>
      </c>
      <c r="J73" s="1799"/>
      <c r="K73" s="1799"/>
      <c r="L73" s="1799"/>
      <c r="M73" s="1799"/>
      <c r="N73" s="1799">
        <f t="shared" ref="N73" si="19">AVERAGE(N68:N72)</f>
        <v>1.6799999999999997</v>
      </c>
      <c r="O73" s="1038"/>
      <c r="P73" s="1038"/>
      <c r="Q73" s="1038"/>
      <c r="R73" s="1038"/>
      <c r="S73" s="1038"/>
      <c r="T73" s="1626"/>
      <c r="U73" s="1626"/>
      <c r="V73" s="1038"/>
      <c r="W73" s="1038"/>
      <c r="X73" s="1038"/>
      <c r="Y73" s="1038"/>
      <c r="Z73" s="1038"/>
      <c r="AA73" s="1038"/>
      <c r="AB73" s="1038"/>
      <c r="AC73" s="1038"/>
      <c r="AD73" s="1038"/>
      <c r="AE73" s="1038"/>
      <c r="AF73" s="1038"/>
    </row>
    <row r="74" spans="1:33" ht="26.25" customHeight="1" x14ac:dyDescent="0.3">
      <c r="A74" s="1038"/>
      <c r="B74" s="1729" t="s">
        <v>58</v>
      </c>
      <c r="C74" s="3752">
        <f>AVERAGE(C73:N73)</f>
        <v>1.8457142857142854</v>
      </c>
      <c r="D74" s="3743"/>
      <c r="E74" s="3743"/>
      <c r="F74" s="3743"/>
      <c r="G74" s="3743"/>
      <c r="H74" s="3743"/>
      <c r="I74" s="3743"/>
      <c r="J74" s="3743"/>
      <c r="K74" s="3743"/>
      <c r="L74" s="3743"/>
      <c r="M74" s="3743"/>
      <c r="N74" s="3743"/>
      <c r="O74" s="3753"/>
      <c r="P74" s="1733"/>
      <c r="Q74" s="1733"/>
      <c r="R74" s="1733"/>
      <c r="S74" s="1038"/>
      <c r="T74" s="1038"/>
      <c r="U74" s="1038"/>
      <c r="V74" s="1038"/>
      <c r="W74" s="1038"/>
      <c r="X74" s="1038"/>
      <c r="Y74" s="1038"/>
      <c r="Z74" s="1038"/>
      <c r="AA74" s="1626"/>
      <c r="AB74" s="1038"/>
      <c r="AC74" s="1038"/>
      <c r="AD74" s="1038"/>
      <c r="AE74" s="1038"/>
      <c r="AF74" s="1038"/>
      <c r="AG74" s="1038"/>
    </row>
    <row r="75" spans="1:33" ht="26.25" customHeight="1" x14ac:dyDescent="0.3">
      <c r="A75" s="1038"/>
      <c r="B75" s="1038"/>
      <c r="C75" s="1038"/>
      <c r="D75" s="1038"/>
      <c r="E75" s="1038"/>
      <c r="F75" s="1038"/>
      <c r="G75" s="1038"/>
      <c r="H75" s="1038"/>
      <c r="I75" s="1038"/>
      <c r="J75" s="1038"/>
      <c r="K75" s="1038"/>
      <c r="L75" s="1038"/>
      <c r="M75" s="1038"/>
      <c r="N75" s="1626"/>
      <c r="O75" s="1038"/>
      <c r="P75" s="1038"/>
      <c r="Q75" s="1038"/>
      <c r="R75" s="1038"/>
      <c r="S75" s="1038"/>
      <c r="T75" s="1038"/>
      <c r="U75" s="1038"/>
      <c r="V75" s="1038"/>
      <c r="W75" s="1038"/>
      <c r="X75" s="1038"/>
      <c r="Y75" s="1038"/>
      <c r="Z75" s="1038"/>
      <c r="AA75" s="1626"/>
      <c r="AB75" s="1038"/>
      <c r="AC75" s="1038"/>
      <c r="AD75" s="1038"/>
      <c r="AE75" s="1038"/>
      <c r="AF75" s="1038"/>
      <c r="AG75" s="1038"/>
    </row>
    <row r="76" spans="1:33" ht="26.25" customHeight="1" x14ac:dyDescent="0.3">
      <c r="A76" s="2775" t="s">
        <v>137</v>
      </c>
      <c r="B76" s="2775"/>
      <c r="C76" s="1721"/>
      <c r="D76" s="1721"/>
      <c r="E76" s="1038"/>
      <c r="F76" s="1038"/>
      <c r="G76" s="1038"/>
      <c r="H76" s="1038"/>
      <c r="I76" s="1038"/>
      <c r="J76" s="1038"/>
      <c r="K76" s="1038"/>
      <c r="L76" s="2775" t="s">
        <v>149</v>
      </c>
      <c r="M76" s="2775"/>
      <c r="N76" s="2775"/>
      <c r="O76" s="1721"/>
      <c r="P76" s="1721"/>
      <c r="Q76" s="1038"/>
      <c r="R76" s="1038"/>
      <c r="S76" s="1038"/>
      <c r="T76" s="1038"/>
      <c r="U76" s="1038"/>
      <c r="V76" s="1038"/>
      <c r="W76" s="1038"/>
      <c r="X76" s="1038"/>
      <c r="Y76" s="1038"/>
      <c r="Z76" s="1038"/>
      <c r="AA76" s="1626"/>
      <c r="AB76" s="1038"/>
      <c r="AC76" s="1038"/>
      <c r="AD76" s="1038"/>
      <c r="AE76" s="1038"/>
      <c r="AF76" s="1038"/>
      <c r="AG76" s="1038"/>
    </row>
    <row r="77" spans="1:33" ht="26.25" customHeight="1" x14ac:dyDescent="0.3">
      <c r="A77" s="1039"/>
      <c r="B77" s="1039"/>
      <c r="C77" s="1721"/>
      <c r="D77" s="1721"/>
      <c r="E77" s="1038"/>
      <c r="F77" s="1038"/>
      <c r="G77" s="1038"/>
      <c r="H77" s="1038"/>
      <c r="I77" s="1038"/>
      <c r="J77" s="1038"/>
      <c r="K77" s="1038"/>
      <c r="L77" s="1039"/>
      <c r="M77" s="1039"/>
      <c r="N77" s="1724"/>
      <c r="O77" s="1721"/>
      <c r="P77" s="1721"/>
      <c r="Q77" s="1038"/>
      <c r="R77" s="1038"/>
      <c r="S77" s="1038"/>
      <c r="T77" s="1038"/>
      <c r="U77" s="1038"/>
      <c r="V77" s="1038"/>
      <c r="W77" s="1038"/>
      <c r="X77" s="1038"/>
      <c r="Y77" s="1038"/>
      <c r="Z77" s="1038"/>
      <c r="AA77" s="1626"/>
      <c r="AB77" s="1038"/>
      <c r="AC77" s="1038"/>
      <c r="AD77" s="1038"/>
      <c r="AE77" s="1038"/>
      <c r="AF77" s="1038"/>
      <c r="AG77" s="1038"/>
    </row>
    <row r="78" spans="1:33" ht="26.25" customHeight="1" x14ac:dyDescent="0.3">
      <c r="A78" s="1038"/>
      <c r="B78" s="1654" t="s">
        <v>59</v>
      </c>
      <c r="C78" s="1795" t="s">
        <v>60</v>
      </c>
      <c r="D78" s="1795" t="s">
        <v>61</v>
      </c>
      <c r="E78" s="1795" t="s">
        <v>62</v>
      </c>
      <c r="F78" s="1038"/>
      <c r="G78" s="1038"/>
      <c r="H78" s="1038"/>
      <c r="I78" s="1038"/>
      <c r="J78" s="1038"/>
      <c r="K78" s="1038"/>
      <c r="L78" s="1038"/>
      <c r="M78" s="1038"/>
      <c r="N78" s="1734" t="s">
        <v>59</v>
      </c>
      <c r="O78" s="1795" t="s">
        <v>60</v>
      </c>
      <c r="P78" s="1795" t="s">
        <v>61</v>
      </c>
      <c r="Q78" s="1795" t="s">
        <v>62</v>
      </c>
      <c r="R78" s="1038"/>
      <c r="S78" s="1038"/>
      <c r="T78" s="1038"/>
      <c r="U78" s="1038"/>
      <c r="V78" s="1038"/>
      <c r="W78" s="1038"/>
      <c r="X78" s="1038"/>
      <c r="Y78" s="1038"/>
      <c r="Z78" s="1038"/>
      <c r="AA78" s="1626"/>
      <c r="AB78" s="1038"/>
      <c r="AC78" s="1038"/>
      <c r="AD78" s="1038"/>
      <c r="AE78" s="1038"/>
      <c r="AF78" s="1038"/>
      <c r="AG78" s="1038"/>
    </row>
    <row r="79" spans="1:33" ht="26.25" customHeight="1" thickBot="1" x14ac:dyDescent="0.35">
      <c r="A79" s="1038"/>
      <c r="B79" s="1735" t="s">
        <v>20</v>
      </c>
      <c r="C79" s="1829">
        <v>1</v>
      </c>
      <c r="D79" s="1829">
        <v>1</v>
      </c>
      <c r="E79" s="1829">
        <v>2</v>
      </c>
      <c r="F79" s="1038"/>
      <c r="G79" s="1038"/>
      <c r="H79" s="1038"/>
      <c r="I79" s="1038"/>
      <c r="J79" s="1038"/>
      <c r="K79" s="1038"/>
      <c r="L79" s="1038"/>
      <c r="M79" s="1038"/>
      <c r="N79" s="1736" t="s">
        <v>20</v>
      </c>
      <c r="O79" s="1732">
        <f>G46*C79/3</f>
        <v>0.89999999999999991</v>
      </c>
      <c r="P79" s="1732">
        <f>G46*D79/3</f>
        <v>0.89999999999999991</v>
      </c>
      <c r="Q79" s="1732">
        <f>G46*E79/3</f>
        <v>1.7999999999999998</v>
      </c>
      <c r="R79" s="1038"/>
      <c r="S79" s="1038"/>
      <c r="T79" s="1038"/>
      <c r="U79" s="1038"/>
      <c r="V79" s="1038"/>
      <c r="W79" s="1038"/>
      <c r="X79" s="1038"/>
      <c r="Y79" s="1038"/>
      <c r="Z79" s="1038"/>
      <c r="AA79" s="1626"/>
      <c r="AB79" s="1038"/>
      <c r="AC79" s="1038"/>
      <c r="AD79" s="1038"/>
      <c r="AE79" s="1038"/>
      <c r="AF79" s="1038"/>
      <c r="AG79" s="1038"/>
    </row>
    <row r="80" spans="1:33" ht="26.25" customHeight="1" thickBot="1" x14ac:dyDescent="0.35">
      <c r="A80" s="1038"/>
      <c r="B80" s="1797" t="s">
        <v>21</v>
      </c>
      <c r="C80" s="1829">
        <v>3</v>
      </c>
      <c r="D80" s="1829">
        <v>1</v>
      </c>
      <c r="E80" s="1829">
        <v>2</v>
      </c>
      <c r="F80" s="1038"/>
      <c r="G80" s="1038"/>
      <c r="H80" s="1038"/>
      <c r="I80" s="1038"/>
      <c r="J80" s="1038"/>
      <c r="K80" s="1038"/>
      <c r="L80" s="1038"/>
      <c r="M80" s="1038"/>
      <c r="N80" s="1800" t="s">
        <v>21</v>
      </c>
      <c r="O80" s="1732">
        <f>G47*C80/3</f>
        <v>2.0999999999999996</v>
      </c>
      <c r="P80" s="1732">
        <f>G47*D80/3</f>
        <v>0.69999999999999984</v>
      </c>
      <c r="Q80" s="1732">
        <f>G47*E80/3</f>
        <v>1.3999999999999997</v>
      </c>
      <c r="R80" s="1038"/>
      <c r="S80" s="1038"/>
      <c r="T80" s="1038"/>
      <c r="U80" s="1038"/>
      <c r="V80" s="1038"/>
      <c r="W80" s="1038"/>
      <c r="X80" s="1038"/>
      <c r="Y80" s="1038"/>
      <c r="Z80" s="1038"/>
      <c r="AA80" s="1626"/>
      <c r="AB80" s="1038"/>
      <c r="AC80" s="1038"/>
      <c r="AD80" s="1038"/>
      <c r="AE80" s="1038"/>
      <c r="AF80" s="1038"/>
      <c r="AG80" s="1038"/>
    </row>
    <row r="81" spans="1:33" ht="26.25" customHeight="1" thickBot="1" x14ac:dyDescent="0.35">
      <c r="A81" s="1038"/>
      <c r="B81" s="1797" t="s">
        <v>23</v>
      </c>
      <c r="C81" s="1829">
        <v>3</v>
      </c>
      <c r="D81" s="1829">
        <v>1</v>
      </c>
      <c r="E81" s="1829">
        <v>2</v>
      </c>
      <c r="F81" s="1038"/>
      <c r="G81" s="1038"/>
      <c r="H81" s="1038"/>
      <c r="I81" s="1038"/>
      <c r="J81" s="1038"/>
      <c r="K81" s="1038"/>
      <c r="L81" s="1038"/>
      <c r="M81" s="1038"/>
      <c r="N81" s="1800" t="s">
        <v>23</v>
      </c>
      <c r="O81" s="1732">
        <f>G48*C81/3</f>
        <v>2.3999999999999995</v>
      </c>
      <c r="P81" s="1732">
        <f>G48*D81/3</f>
        <v>0.79999999999999982</v>
      </c>
      <c r="Q81" s="1732">
        <f>G48*E81/3</f>
        <v>1.5999999999999996</v>
      </c>
      <c r="R81" s="1038"/>
      <c r="S81" s="1038"/>
      <c r="T81" s="1038"/>
      <c r="U81" s="1038"/>
      <c r="V81" s="1038"/>
      <c r="W81" s="1038"/>
      <c r="X81" s="1038"/>
      <c r="Y81" s="1038"/>
      <c r="Z81" s="1038"/>
      <c r="AA81" s="1626"/>
      <c r="AB81" s="1038"/>
      <c r="AC81" s="1038"/>
      <c r="AD81" s="1038"/>
      <c r="AE81" s="1038"/>
      <c r="AF81" s="1038"/>
      <c r="AG81" s="1038"/>
    </row>
    <row r="82" spans="1:33" ht="26.25" customHeight="1" thickBot="1" x14ac:dyDescent="0.35">
      <c r="A82" s="1038"/>
      <c r="B82" s="1797" t="s">
        <v>25</v>
      </c>
      <c r="C82" s="1829">
        <v>3</v>
      </c>
      <c r="D82" s="1829">
        <v>1</v>
      </c>
      <c r="E82" s="1829">
        <v>2</v>
      </c>
      <c r="F82" s="1038"/>
      <c r="G82" s="1038"/>
      <c r="H82" s="1038"/>
      <c r="I82" s="1038"/>
      <c r="J82" s="1038"/>
      <c r="K82" s="1038"/>
      <c r="L82" s="1038"/>
      <c r="M82" s="1038"/>
      <c r="N82" s="1800" t="s">
        <v>25</v>
      </c>
      <c r="O82" s="1732">
        <f>G49*C82/3</f>
        <v>2.9999999999999996</v>
      </c>
      <c r="P82" s="1732">
        <f>G49*D82/3</f>
        <v>0.99999999999999989</v>
      </c>
      <c r="Q82" s="1732">
        <f>G49*E82/3</f>
        <v>1.9999999999999998</v>
      </c>
      <c r="R82" s="1038"/>
      <c r="S82" s="1038"/>
      <c r="T82" s="1038"/>
      <c r="U82" s="1038"/>
      <c r="V82" s="1038"/>
      <c r="W82" s="1038"/>
      <c r="X82" s="1038"/>
      <c r="Y82" s="1038"/>
      <c r="Z82" s="1038"/>
      <c r="AA82" s="1626"/>
      <c r="AB82" s="1038"/>
      <c r="AC82" s="1038"/>
      <c r="AD82" s="1038"/>
      <c r="AE82" s="1038"/>
      <c r="AF82" s="1038"/>
      <c r="AG82" s="1038"/>
    </row>
    <row r="83" spans="1:33" ht="26.25" customHeight="1" thickBot="1" x14ac:dyDescent="0.35">
      <c r="A83" s="1038"/>
      <c r="B83" s="1797" t="s">
        <v>24</v>
      </c>
      <c r="C83" s="1829">
        <v>3</v>
      </c>
      <c r="D83" s="1829">
        <v>1</v>
      </c>
      <c r="E83" s="1829">
        <v>2</v>
      </c>
      <c r="F83" s="1038"/>
      <c r="G83" s="1038"/>
      <c r="H83" s="1038"/>
      <c r="I83" s="1038"/>
      <c r="J83" s="1038"/>
      <c r="K83" s="1038"/>
      <c r="L83" s="1038"/>
      <c r="M83" s="1038"/>
      <c r="N83" s="1800" t="s">
        <v>24</v>
      </c>
      <c r="O83" s="1732">
        <f>G50*C83/3</f>
        <v>2.3999999999999995</v>
      </c>
      <c r="P83" s="1732">
        <f>G50*D83/3</f>
        <v>0.79999999999999982</v>
      </c>
      <c r="Q83" s="1732">
        <f>G50*E83/3</f>
        <v>1.5999999999999996</v>
      </c>
      <c r="R83" s="1038"/>
      <c r="S83" s="1038"/>
      <c r="T83" s="1038"/>
      <c r="U83" s="1038"/>
      <c r="V83" s="1038"/>
      <c r="W83" s="1038"/>
      <c r="X83" s="1038"/>
      <c r="Y83" s="1038"/>
      <c r="Z83" s="1038"/>
      <c r="AA83" s="1626"/>
      <c r="AB83" s="1038"/>
      <c r="AC83" s="1038"/>
      <c r="AD83" s="1038"/>
      <c r="AE83" s="1038"/>
      <c r="AF83" s="1038"/>
      <c r="AG83" s="1038"/>
    </row>
    <row r="84" spans="1:33" ht="26.25" customHeight="1" x14ac:dyDescent="0.3">
      <c r="A84" s="1038"/>
      <c r="B84" s="1756" t="s">
        <v>10</v>
      </c>
      <c r="C84" s="1739">
        <f>AVERAGE(C79:C82)</f>
        <v>2.5</v>
      </c>
      <c r="D84" s="1739">
        <f>AVERAGE(D79:D82)</f>
        <v>1</v>
      </c>
      <c r="E84" s="1739">
        <f>AVERAGE(E79:E82)</f>
        <v>2</v>
      </c>
      <c r="F84" s="1038"/>
      <c r="G84" s="1038"/>
      <c r="H84" s="1038"/>
      <c r="I84" s="1038"/>
      <c r="J84" s="1038"/>
      <c r="K84" s="1038"/>
      <c r="L84" s="1038"/>
      <c r="M84" s="1038"/>
      <c r="N84" s="1756" t="s">
        <v>10</v>
      </c>
      <c r="O84" s="1732">
        <f>AVERAGE(O79:O82)</f>
        <v>2.0999999999999996</v>
      </c>
      <c r="P84" s="1732">
        <f>AVERAGE(P79:P82)</f>
        <v>0.84999999999999987</v>
      </c>
      <c r="Q84" s="1732">
        <f>AVERAGE(Q79:Q82)</f>
        <v>1.6999999999999997</v>
      </c>
      <c r="R84" s="1038"/>
      <c r="S84" s="1038"/>
      <c r="T84" s="1038"/>
      <c r="U84" s="1038"/>
      <c r="V84" s="1038"/>
      <c r="W84" s="1038"/>
      <c r="X84" s="1038"/>
      <c r="Y84" s="1038"/>
      <c r="Z84" s="1038"/>
      <c r="AA84" s="1626"/>
      <c r="AB84" s="1038"/>
      <c r="AC84" s="1038"/>
      <c r="AD84" s="1038"/>
      <c r="AE84" s="1038"/>
      <c r="AF84" s="1038"/>
      <c r="AG84" s="1038"/>
    </row>
    <row r="85" spans="1:33" ht="26.25" customHeight="1" x14ac:dyDescent="0.3">
      <c r="A85" s="1716"/>
      <c r="B85" s="1752" t="s">
        <v>58</v>
      </c>
      <c r="C85" s="3681">
        <f>AVERAGE(C84:E84)</f>
        <v>1.8333333333333333</v>
      </c>
      <c r="D85" s="3682"/>
      <c r="E85" s="3683"/>
      <c r="F85" s="1716"/>
      <c r="G85" s="1716"/>
      <c r="H85" s="1716"/>
      <c r="I85" s="1716"/>
      <c r="J85" s="1716"/>
      <c r="K85" s="1716"/>
      <c r="L85" s="1716"/>
      <c r="M85" s="1716"/>
      <c r="N85" s="1802" t="s">
        <v>58</v>
      </c>
      <c r="O85" s="3681">
        <f>AVERAGE(O84:Q84)</f>
        <v>1.5499999999999996</v>
      </c>
      <c r="P85" s="3682"/>
      <c r="Q85" s="3683"/>
      <c r="R85" s="1716"/>
      <c r="S85" s="1038"/>
      <c r="T85" s="1038"/>
      <c r="U85" s="1038"/>
      <c r="V85" s="1038"/>
      <c r="W85" s="1038"/>
      <c r="X85" s="1038"/>
      <c r="Y85" s="1038"/>
      <c r="Z85" s="1038"/>
      <c r="AA85" s="1626"/>
      <c r="AB85" s="1038"/>
      <c r="AC85" s="1038"/>
      <c r="AD85" s="1038"/>
      <c r="AE85" s="1038"/>
      <c r="AF85" s="1038"/>
      <c r="AG85" s="1038"/>
    </row>
    <row r="86" spans="1:33" ht="26.25" customHeight="1" x14ac:dyDescent="0.3">
      <c r="A86" s="1038"/>
      <c r="B86" s="1038"/>
      <c r="C86" s="1038"/>
      <c r="D86" s="1038"/>
      <c r="E86" s="1038"/>
      <c r="F86" s="1038"/>
      <c r="G86" s="1038"/>
      <c r="H86" s="1038"/>
      <c r="I86" s="1038"/>
      <c r="J86" s="1038"/>
      <c r="K86" s="1038"/>
      <c r="L86" s="1038"/>
      <c r="M86" s="1038"/>
      <c r="N86" s="1626"/>
      <c r="O86" s="1038"/>
      <c r="P86" s="1038"/>
      <c r="Q86" s="1038"/>
      <c r="R86" s="1038"/>
      <c r="S86" s="1038"/>
      <c r="T86" s="1038"/>
      <c r="U86" s="1038"/>
      <c r="V86" s="1038"/>
      <c r="W86" s="1038"/>
      <c r="X86" s="1038"/>
      <c r="Y86" s="1038"/>
      <c r="Z86" s="1038"/>
      <c r="AA86" s="1626"/>
      <c r="AB86" s="1038"/>
      <c r="AC86" s="1038"/>
      <c r="AD86" s="1038"/>
      <c r="AE86" s="1038"/>
      <c r="AF86" s="1038"/>
      <c r="AG86" s="1038"/>
    </row>
    <row r="87" spans="1:33" ht="26.25" customHeight="1" x14ac:dyDescent="0.3">
      <c r="A87" s="1038"/>
      <c r="B87" s="1038"/>
      <c r="C87" s="1038"/>
      <c r="D87" s="1038"/>
      <c r="E87" s="1038"/>
      <c r="F87" s="1038"/>
      <c r="G87" s="1038"/>
      <c r="H87" s="1038"/>
      <c r="I87" s="1038"/>
      <c r="J87" s="1038"/>
      <c r="K87" s="1038"/>
      <c r="L87" s="1038"/>
      <c r="M87" s="1038"/>
      <c r="N87" s="1626"/>
      <c r="O87" s="1038"/>
      <c r="P87" s="1038"/>
      <c r="Q87" s="1038"/>
      <c r="R87" s="1038"/>
      <c r="S87" s="1038"/>
      <c r="T87" s="1038"/>
      <c r="U87" s="1038"/>
      <c r="V87" s="1038"/>
      <c r="W87" s="1038"/>
      <c r="X87" s="1038"/>
      <c r="Y87" s="1038"/>
      <c r="Z87" s="1038"/>
      <c r="AA87" s="1626"/>
      <c r="AB87" s="1038"/>
      <c r="AC87" s="1038"/>
      <c r="AD87" s="1038"/>
      <c r="AE87" s="1038"/>
      <c r="AF87" s="1038"/>
      <c r="AG87" s="1038"/>
    </row>
    <row r="88" spans="1:33" ht="26.25" customHeight="1" x14ac:dyDescent="0.3">
      <c r="A88" s="3747"/>
      <c r="B88" s="3747"/>
      <c r="C88" s="3747"/>
      <c r="D88" s="3747"/>
      <c r="E88" s="3747"/>
      <c r="F88" s="3747"/>
      <c r="G88" s="3747"/>
      <c r="H88" s="3747"/>
      <c r="I88" s="3747"/>
      <c r="J88" s="3747"/>
      <c r="K88" s="3747"/>
      <c r="L88" s="3747"/>
      <c r="M88" s="3747"/>
      <c r="N88" s="3747"/>
      <c r="O88" s="3747"/>
      <c r="P88" s="3747"/>
      <c r="Q88" s="3747"/>
      <c r="R88" s="3747"/>
      <c r="S88" s="1038"/>
      <c r="T88" s="1038"/>
      <c r="U88" s="1038"/>
      <c r="V88" s="1038"/>
      <c r="W88" s="1038"/>
      <c r="X88" s="1038"/>
      <c r="Y88" s="1038"/>
      <c r="Z88" s="1038"/>
      <c r="AA88" s="1626"/>
      <c r="AB88" s="1038"/>
      <c r="AC88" s="1038"/>
      <c r="AD88" s="1038"/>
      <c r="AE88" s="1038"/>
      <c r="AF88" s="1038"/>
      <c r="AG88" s="1038"/>
    </row>
    <row r="89" spans="1:33" ht="26.25" customHeight="1" x14ac:dyDescent="0.3">
      <c r="A89" s="1742"/>
      <c r="B89" s="1742"/>
      <c r="C89" s="1742"/>
      <c r="D89" s="1742"/>
      <c r="E89" s="1742"/>
      <c r="F89" s="1742"/>
      <c r="G89" s="1742"/>
      <c r="H89" s="1742"/>
      <c r="I89" s="1742"/>
      <c r="J89" s="1742"/>
      <c r="K89" s="1742"/>
      <c r="L89" s="1742"/>
      <c r="M89" s="1742"/>
      <c r="N89" s="1742"/>
      <c r="O89" s="1742"/>
      <c r="P89" s="1742"/>
      <c r="Q89" s="1742"/>
      <c r="R89" s="1742"/>
      <c r="S89" s="1038"/>
      <c r="T89" s="1038"/>
      <c r="U89" s="1038"/>
      <c r="V89" s="1038"/>
      <c r="W89" s="1038"/>
      <c r="X89" s="1038"/>
      <c r="Y89" s="1038"/>
      <c r="Z89" s="1038"/>
      <c r="AA89" s="1626"/>
      <c r="AB89" s="1038"/>
      <c r="AC89" s="1038"/>
      <c r="AD89" s="1038"/>
      <c r="AE89" s="1038"/>
      <c r="AF89" s="1038"/>
      <c r="AG89" s="1038"/>
    </row>
    <row r="90" spans="1:33" ht="26.25" customHeight="1" x14ac:dyDescent="0.3">
      <c r="A90" s="3741"/>
      <c r="B90" s="3741"/>
      <c r="C90" s="3741"/>
      <c r="D90" s="3741"/>
      <c r="E90" s="3741"/>
      <c r="F90" s="3741"/>
      <c r="G90" s="3741"/>
      <c r="H90" s="3741"/>
      <c r="I90" s="3741"/>
      <c r="J90" s="3741"/>
      <c r="K90" s="3741"/>
      <c r="L90" s="3741"/>
      <c r="M90" s="3741"/>
      <c r="N90" s="3741"/>
      <c r="O90" s="3741"/>
      <c r="P90" s="3741"/>
      <c r="Q90" s="3741"/>
      <c r="R90" s="3741"/>
      <c r="S90" s="1038"/>
      <c r="T90" s="1038"/>
      <c r="U90" s="1038"/>
      <c r="V90" s="1038"/>
      <c r="W90" s="1038"/>
      <c r="X90" s="1038"/>
      <c r="Y90" s="1038"/>
      <c r="Z90" s="1038"/>
      <c r="AA90" s="1626"/>
      <c r="AB90" s="1038"/>
      <c r="AC90" s="1038"/>
      <c r="AD90" s="1038"/>
      <c r="AE90" s="1038"/>
      <c r="AF90" s="1038"/>
      <c r="AG90" s="1038"/>
    </row>
    <row r="91" spans="1:33" ht="26.25" customHeight="1" x14ac:dyDescent="0.3">
      <c r="A91" s="3741"/>
      <c r="B91" s="3741"/>
      <c r="C91" s="3741"/>
      <c r="D91" s="3741"/>
      <c r="E91" s="3741"/>
      <c r="F91" s="3741"/>
      <c r="G91" s="3741"/>
      <c r="H91" s="3741"/>
      <c r="I91" s="3741"/>
      <c r="J91" s="3741"/>
      <c r="K91" s="3741"/>
      <c r="L91" s="3741"/>
      <c r="M91" s="3741"/>
      <c r="N91" s="3741"/>
      <c r="O91" s="3741"/>
      <c r="P91" s="3741"/>
      <c r="Q91" s="3741"/>
      <c r="R91" s="3741"/>
      <c r="S91" s="1038"/>
      <c r="T91" s="1038"/>
      <c r="U91" s="1038"/>
      <c r="V91" s="1038"/>
      <c r="W91" s="1038"/>
      <c r="X91" s="1038"/>
      <c r="Y91" s="1038"/>
      <c r="Z91" s="1038"/>
      <c r="AA91" s="1626"/>
      <c r="AB91" s="1038"/>
      <c r="AC91" s="1038"/>
      <c r="AD91" s="1038"/>
      <c r="AE91" s="1038"/>
      <c r="AF91" s="1038"/>
      <c r="AG91" s="1038"/>
    </row>
    <row r="92" spans="1:33" ht="26.25" customHeight="1" x14ac:dyDescent="0.3">
      <c r="A92" s="3741"/>
      <c r="B92" s="3741"/>
      <c r="C92" s="3741"/>
      <c r="D92" s="3741"/>
      <c r="E92" s="3741"/>
      <c r="F92" s="3741"/>
      <c r="G92" s="3741"/>
      <c r="H92" s="3741"/>
      <c r="I92" s="3741"/>
      <c r="J92" s="3741"/>
      <c r="K92" s="3741"/>
      <c r="L92" s="3741"/>
      <c r="M92" s="3741"/>
      <c r="N92" s="3741"/>
      <c r="O92" s="3741"/>
      <c r="P92" s="3741"/>
      <c r="Q92" s="3741"/>
      <c r="R92" s="3741"/>
      <c r="S92" s="1038"/>
      <c r="T92" s="1038"/>
      <c r="U92" s="1038"/>
      <c r="V92" s="1038"/>
      <c r="W92" s="1038"/>
      <c r="X92" s="1038"/>
      <c r="Y92" s="1038"/>
      <c r="Z92" s="1038"/>
      <c r="AA92" s="1626"/>
      <c r="AB92" s="1038"/>
      <c r="AC92" s="1038"/>
      <c r="AD92" s="1038"/>
      <c r="AE92" s="1038"/>
      <c r="AF92" s="1038"/>
      <c r="AG92" s="1038"/>
    </row>
    <row r="93" spans="1:33" ht="26.25" customHeight="1" x14ac:dyDescent="0.3">
      <c r="A93" s="3741"/>
      <c r="B93" s="3741"/>
      <c r="C93" s="3741"/>
      <c r="D93" s="3741"/>
      <c r="E93" s="3741"/>
      <c r="F93" s="3741"/>
      <c r="G93" s="3741"/>
      <c r="H93" s="3741"/>
      <c r="I93" s="3741"/>
      <c r="J93" s="3741"/>
      <c r="K93" s="3741"/>
      <c r="L93" s="3741"/>
      <c r="M93" s="3741"/>
      <c r="N93" s="3741"/>
      <c r="O93" s="3741"/>
      <c r="P93" s="3741"/>
      <c r="Q93" s="3741"/>
      <c r="R93" s="3741"/>
      <c r="S93" s="1038"/>
      <c r="T93" s="1038"/>
      <c r="U93" s="1038"/>
      <c r="V93" s="1038"/>
      <c r="W93" s="1038"/>
      <c r="X93" s="1038"/>
      <c r="Y93" s="1038"/>
      <c r="Z93" s="1038"/>
      <c r="AA93" s="1626"/>
      <c r="AB93" s="1038"/>
      <c r="AC93" s="1038"/>
      <c r="AD93" s="1038"/>
      <c r="AE93" s="1038"/>
      <c r="AF93" s="1038"/>
      <c r="AG93" s="1038"/>
    </row>
    <row r="94" spans="1:33" ht="26.25" customHeight="1" x14ac:dyDescent="0.3">
      <c r="A94" s="3741"/>
      <c r="B94" s="3741"/>
      <c r="C94" s="3741"/>
      <c r="D94" s="3741"/>
      <c r="E94" s="3741"/>
      <c r="F94" s="3741"/>
      <c r="G94" s="3741"/>
      <c r="H94" s="3741"/>
      <c r="I94" s="3741"/>
      <c r="J94" s="3741"/>
      <c r="K94" s="3741"/>
      <c r="L94" s="3741"/>
      <c r="M94" s="3741"/>
      <c r="N94" s="3741"/>
      <c r="O94" s="3741"/>
      <c r="P94" s="3741"/>
      <c r="Q94" s="3741"/>
      <c r="R94" s="3741"/>
      <c r="S94" s="1038"/>
      <c r="T94" s="1038"/>
      <c r="U94" s="1038"/>
      <c r="V94" s="1038"/>
      <c r="W94" s="1038"/>
      <c r="X94" s="1038"/>
      <c r="Y94" s="1038"/>
      <c r="Z94" s="1038"/>
      <c r="AA94" s="1626"/>
      <c r="AB94" s="1038"/>
      <c r="AC94" s="1038"/>
      <c r="AD94" s="1038"/>
      <c r="AE94" s="1038"/>
      <c r="AF94" s="1038"/>
      <c r="AG94" s="1038"/>
    </row>
    <row r="95" spans="1:33" ht="26.25" customHeight="1" x14ac:dyDescent="0.3">
      <c r="A95" s="3741"/>
      <c r="B95" s="3741"/>
      <c r="C95" s="3741"/>
      <c r="D95" s="3741"/>
      <c r="E95" s="3741"/>
      <c r="F95" s="3741"/>
      <c r="G95" s="3741"/>
      <c r="H95" s="3741"/>
      <c r="I95" s="3741"/>
      <c r="J95" s="3741"/>
      <c r="K95" s="3741"/>
      <c r="L95" s="3741"/>
      <c r="M95" s="3741"/>
      <c r="N95" s="3741"/>
      <c r="O95" s="3741"/>
      <c r="P95" s="3741"/>
      <c r="Q95" s="3741"/>
      <c r="R95" s="3741"/>
      <c r="S95" s="1038"/>
      <c r="T95" s="1038"/>
      <c r="U95" s="1038"/>
      <c r="V95" s="1038"/>
      <c r="W95" s="1038"/>
      <c r="X95" s="1038"/>
      <c r="Y95" s="1038"/>
      <c r="Z95" s="1038"/>
      <c r="AA95" s="1626"/>
      <c r="AB95" s="1038"/>
      <c r="AC95" s="1038"/>
      <c r="AD95" s="1038"/>
      <c r="AE95" s="1038"/>
      <c r="AF95" s="1038"/>
      <c r="AG95" s="1038"/>
    </row>
  </sheetData>
  <mergeCells count="124">
    <mergeCell ref="A2:B2"/>
    <mergeCell ref="C2:N2"/>
    <mergeCell ref="P2:AA2"/>
    <mergeCell ref="A3:B3"/>
    <mergeCell ref="C3:N3"/>
    <mergeCell ref="P3:AA3"/>
    <mergeCell ref="AB6:AB8"/>
    <mergeCell ref="AC6:AC8"/>
    <mergeCell ref="C4:N4"/>
    <mergeCell ref="P4:AA4"/>
    <mergeCell ref="A5:B5"/>
    <mergeCell ref="C5:O5"/>
    <mergeCell ref="P5:AB5"/>
    <mergeCell ref="A6:A8"/>
    <mergeCell ref="B6:B7"/>
    <mergeCell ref="C6:E6"/>
    <mergeCell ref="F6:G6"/>
    <mergeCell ref="J6:K6"/>
    <mergeCell ref="J7:K7"/>
    <mergeCell ref="T7:U7"/>
    <mergeCell ref="F8:G8"/>
    <mergeCell ref="H8:I8"/>
    <mergeCell ref="J8:K8"/>
    <mergeCell ref="L8:M8"/>
    <mergeCell ref="T8:U8"/>
    <mergeCell ref="L6:M6"/>
    <mergeCell ref="O6:Q6"/>
    <mergeCell ref="R6:S6"/>
    <mergeCell ref="T6:U6"/>
    <mergeCell ref="J12:K12"/>
    <mergeCell ref="T12:U12"/>
    <mergeCell ref="J13:K13"/>
    <mergeCell ref="T13:U13"/>
    <mergeCell ref="J14:K14"/>
    <mergeCell ref="T14:U14"/>
    <mergeCell ref="J9:K9"/>
    <mergeCell ref="T9:U9"/>
    <mergeCell ref="J10:K10"/>
    <mergeCell ref="T10:U10"/>
    <mergeCell ref="J11:K11"/>
    <mergeCell ref="T11:U11"/>
    <mergeCell ref="J18:K18"/>
    <mergeCell ref="T18:U18"/>
    <mergeCell ref="J19:K19"/>
    <mergeCell ref="T19:U19"/>
    <mergeCell ref="J20:K20"/>
    <mergeCell ref="T20:U20"/>
    <mergeCell ref="J15:K15"/>
    <mergeCell ref="T15:U15"/>
    <mergeCell ref="J16:K16"/>
    <mergeCell ref="T16:U16"/>
    <mergeCell ref="J17:K17"/>
    <mergeCell ref="T17:U17"/>
    <mergeCell ref="J24:K24"/>
    <mergeCell ref="T24:U24"/>
    <mergeCell ref="J25:K25"/>
    <mergeCell ref="T25:U25"/>
    <mergeCell ref="J26:K26"/>
    <mergeCell ref="T26:U26"/>
    <mergeCell ref="J21:K21"/>
    <mergeCell ref="T21:U21"/>
    <mergeCell ref="J22:K22"/>
    <mergeCell ref="T22:U22"/>
    <mergeCell ref="J23:K23"/>
    <mergeCell ref="T23:U23"/>
    <mergeCell ref="J30:K30"/>
    <mergeCell ref="T30:U30"/>
    <mergeCell ref="J31:K31"/>
    <mergeCell ref="T31:U31"/>
    <mergeCell ref="J32:K32"/>
    <mergeCell ref="T32:U32"/>
    <mergeCell ref="J27:K27"/>
    <mergeCell ref="T27:U27"/>
    <mergeCell ref="J28:K28"/>
    <mergeCell ref="T28:U28"/>
    <mergeCell ref="J29:K29"/>
    <mergeCell ref="T29:U29"/>
    <mergeCell ref="J36:K36"/>
    <mergeCell ref="T36:U36"/>
    <mergeCell ref="J37:K37"/>
    <mergeCell ref="T37:U37"/>
    <mergeCell ref="J38:K38"/>
    <mergeCell ref="T38:U38"/>
    <mergeCell ref="J33:K33"/>
    <mergeCell ref="T33:U33"/>
    <mergeCell ref="J34:K34"/>
    <mergeCell ref="T34:U34"/>
    <mergeCell ref="J35:K35"/>
    <mergeCell ref="T35:U35"/>
    <mergeCell ref="A42:B42"/>
    <mergeCell ref="J42:K42"/>
    <mergeCell ref="T42:U42"/>
    <mergeCell ref="J43:K43"/>
    <mergeCell ref="T43:U43"/>
    <mergeCell ref="E45:F45"/>
    <mergeCell ref="G45:I45"/>
    <mergeCell ref="J39:K39"/>
    <mergeCell ref="T39:U39"/>
    <mergeCell ref="J40:K40"/>
    <mergeCell ref="T40:U40"/>
    <mergeCell ref="A41:B41"/>
    <mergeCell ref="J41:K41"/>
    <mergeCell ref="T41:U41"/>
    <mergeCell ref="A53:B53"/>
    <mergeCell ref="C62:O62"/>
    <mergeCell ref="A65:B65"/>
    <mergeCell ref="C74:O74"/>
    <mergeCell ref="A76:B76"/>
    <mergeCell ref="L76:N76"/>
    <mergeCell ref="E46:F46"/>
    <mergeCell ref="E47:F47"/>
    <mergeCell ref="E48:F48"/>
    <mergeCell ref="E49:F49"/>
    <mergeCell ref="E50:F50"/>
    <mergeCell ref="B51:F51"/>
    <mergeCell ref="A93:R93"/>
    <mergeCell ref="A94:R94"/>
    <mergeCell ref="A95:R95"/>
    <mergeCell ref="C85:E85"/>
    <mergeCell ref="O85:Q85"/>
    <mergeCell ref="A88:R88"/>
    <mergeCell ref="A90:R90"/>
    <mergeCell ref="A91:R91"/>
    <mergeCell ref="A92:R92"/>
  </mergeCells>
  <conditionalFormatting sqref="AB10:AD38">
    <cfRule type="containsText" dxfId="51" priority="2" operator="containsText" text="F">
      <formula>NOT(ISERROR(SEARCH("F",AB10)))</formula>
    </cfRule>
  </conditionalFormatting>
  <conditionalFormatting sqref="AE10:AE38">
    <cfRule type="containsText" dxfId="50" priority="1" operator="containsText" text="F">
      <formula>NOT(ISERROR(SEARCH("F",AE10)))</formula>
    </cfRule>
  </conditionalFormatting>
  <pageMargins left="0.7" right="0.7" top="0.75" bottom="0.75" header="0.3" footer="0.3"/>
  <pageSetup paperSize="8" scale="42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2"/>
  <sheetViews>
    <sheetView topLeftCell="A75" zoomScale="71" zoomScaleNormal="71" workbookViewId="0">
      <selection activeCell="C71" sqref="C71"/>
    </sheetView>
  </sheetViews>
  <sheetFormatPr defaultRowHeight="43.5" customHeight="1" x14ac:dyDescent="0.3"/>
  <cols>
    <col min="1" max="1" width="9.28515625" style="1016" bestFit="1" customWidth="1"/>
    <col min="2" max="2" width="15" style="1016" customWidth="1"/>
    <col min="3" max="8" width="16.42578125" style="1016" bestFit="1" customWidth="1"/>
    <col min="9" max="13" width="9.28515625" style="1016" bestFit="1" customWidth="1"/>
    <col min="14" max="17" width="16.42578125" style="1016" bestFit="1" customWidth="1"/>
    <col min="18" max="19" width="9.28515625" style="1016" bestFit="1" customWidth="1"/>
    <col min="20" max="20" width="4.5703125" style="1016" bestFit="1" customWidth="1"/>
    <col min="21" max="21" width="5.28515625" style="1016" customWidth="1"/>
    <col min="22" max="22" width="10.28515625" style="1016" customWidth="1"/>
    <col min="23" max="26" width="9.28515625" style="1016" bestFit="1" customWidth="1"/>
    <col min="27" max="27" width="9.85546875" style="1016" bestFit="1" customWidth="1"/>
    <col min="28" max="29" width="9.28515625" style="1016" bestFit="1" customWidth="1"/>
    <col min="30" max="30" width="9.140625" style="1016"/>
    <col min="31" max="31" width="9.7109375" style="1016" bestFit="1" customWidth="1"/>
    <col min="32" max="16384" width="9.140625" style="1016"/>
  </cols>
  <sheetData>
    <row r="1" spans="1:33" ht="43.5" customHeight="1" x14ac:dyDescent="0.3">
      <c r="A1" s="1625"/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  <c r="N1" s="1626"/>
      <c r="O1" s="1038"/>
      <c r="P1" s="1038"/>
      <c r="Q1" s="1038"/>
      <c r="R1" s="1038"/>
      <c r="S1" s="1038"/>
      <c r="T1" s="1038"/>
      <c r="U1" s="1038"/>
      <c r="V1" s="1038"/>
      <c r="W1" s="1038"/>
      <c r="X1" s="1038"/>
      <c r="Y1" s="1038"/>
      <c r="Z1" s="1038"/>
      <c r="AA1" s="1626"/>
      <c r="AB1" s="1038"/>
      <c r="AC1" s="1038"/>
      <c r="AD1" s="1038"/>
      <c r="AE1" s="1038"/>
      <c r="AF1" s="1038"/>
      <c r="AG1" s="1038"/>
    </row>
    <row r="2" spans="1:33" ht="43.5" customHeight="1" x14ac:dyDescent="0.3">
      <c r="A2" s="3708" t="s">
        <v>0</v>
      </c>
      <c r="B2" s="3709"/>
      <c r="C2" s="3710" t="s">
        <v>218</v>
      </c>
      <c r="D2" s="3729"/>
      <c r="E2" s="3729"/>
      <c r="F2" s="3729"/>
      <c r="G2" s="3729"/>
      <c r="H2" s="3729"/>
      <c r="I2" s="3729"/>
      <c r="J2" s="3729"/>
      <c r="K2" s="3729"/>
      <c r="L2" s="3729"/>
      <c r="M2" s="3729"/>
      <c r="N2" s="3712"/>
      <c r="O2" s="1627" t="s">
        <v>63</v>
      </c>
      <c r="P2" s="3706" t="s">
        <v>271</v>
      </c>
      <c r="Q2" s="3732"/>
      <c r="R2" s="3732"/>
      <c r="S2" s="3732"/>
      <c r="T2" s="3732"/>
      <c r="U2" s="3732"/>
      <c r="V2" s="3732"/>
      <c r="W2" s="3732"/>
      <c r="X2" s="3732"/>
      <c r="Y2" s="3732"/>
      <c r="Z2" s="3732"/>
      <c r="AA2" s="3732"/>
      <c r="AB2" s="1015"/>
      <c r="AC2" s="1015"/>
      <c r="AD2" s="1015"/>
      <c r="AE2" s="1015"/>
      <c r="AF2" s="1015"/>
      <c r="AG2" s="1015"/>
    </row>
    <row r="3" spans="1:33" ht="43.5" customHeight="1" x14ac:dyDescent="0.3">
      <c r="A3" s="3708" t="s">
        <v>1</v>
      </c>
      <c r="B3" s="3709"/>
      <c r="C3" s="3710" t="s">
        <v>295</v>
      </c>
      <c r="D3" s="3729"/>
      <c r="E3" s="3729"/>
      <c r="F3" s="3729"/>
      <c r="G3" s="3729"/>
      <c r="H3" s="3729"/>
      <c r="I3" s="3729"/>
      <c r="J3" s="3729"/>
      <c r="K3" s="3729"/>
      <c r="L3" s="3729"/>
      <c r="M3" s="3729"/>
      <c r="N3" s="3712"/>
      <c r="O3" s="1628" t="s">
        <v>64</v>
      </c>
      <c r="P3" s="3706" t="s">
        <v>232</v>
      </c>
      <c r="Q3" s="3732"/>
      <c r="R3" s="3732"/>
      <c r="S3" s="3732"/>
      <c r="T3" s="3732"/>
      <c r="U3" s="3732"/>
      <c r="V3" s="3732"/>
      <c r="W3" s="3732"/>
      <c r="X3" s="3732"/>
      <c r="Y3" s="3732"/>
      <c r="Z3" s="3732"/>
      <c r="AA3" s="3732"/>
      <c r="AB3" s="1015"/>
      <c r="AC3" s="1015"/>
      <c r="AD3" s="1015"/>
      <c r="AE3" s="1015"/>
      <c r="AF3" s="1015"/>
      <c r="AG3" s="1015"/>
    </row>
    <row r="4" spans="1:33" ht="43.5" customHeight="1" thickBot="1" x14ac:dyDescent="0.35">
      <c r="A4" s="1743"/>
      <c r="B4" s="1744" t="s">
        <v>2</v>
      </c>
      <c r="C4" s="3714" t="s">
        <v>288</v>
      </c>
      <c r="D4" s="3715"/>
      <c r="E4" s="3715"/>
      <c r="F4" s="3715"/>
      <c r="G4" s="3715"/>
      <c r="H4" s="3715"/>
      <c r="I4" s="3715"/>
      <c r="J4" s="3715"/>
      <c r="K4" s="3715"/>
      <c r="L4" s="3715"/>
      <c r="M4" s="3715"/>
      <c r="N4" s="3716"/>
      <c r="O4" s="1744" t="s">
        <v>65</v>
      </c>
      <c r="P4" s="3717" t="s">
        <v>66</v>
      </c>
      <c r="Q4" s="3718"/>
      <c r="R4" s="3718"/>
      <c r="S4" s="3718"/>
      <c r="T4" s="3718"/>
      <c r="U4" s="3718"/>
      <c r="V4" s="3718"/>
      <c r="W4" s="3718"/>
      <c r="X4" s="3718"/>
      <c r="Y4" s="3718"/>
      <c r="Z4" s="3718"/>
      <c r="AA4" s="3718"/>
      <c r="AB4" s="1015"/>
      <c r="AC4" s="1015"/>
      <c r="AD4" s="1015"/>
      <c r="AE4" s="1015"/>
      <c r="AF4" s="1015"/>
      <c r="AG4" s="1015"/>
    </row>
    <row r="5" spans="1:33" ht="43.5" customHeight="1" thickBot="1" x14ac:dyDescent="0.35">
      <c r="A5" s="3719"/>
      <c r="B5" s="3720"/>
      <c r="C5" s="3721" t="s">
        <v>3</v>
      </c>
      <c r="D5" s="3722"/>
      <c r="E5" s="3722"/>
      <c r="F5" s="3722"/>
      <c r="G5" s="3722"/>
      <c r="H5" s="3722"/>
      <c r="I5" s="3722"/>
      <c r="J5" s="3722"/>
      <c r="K5" s="3722"/>
      <c r="L5" s="3722"/>
      <c r="M5" s="3722"/>
      <c r="N5" s="3722"/>
      <c r="O5" s="3723"/>
      <c r="P5" s="3724" t="s">
        <v>4</v>
      </c>
      <c r="Q5" s="3725"/>
      <c r="R5" s="3725"/>
      <c r="S5" s="3725"/>
      <c r="T5" s="3725"/>
      <c r="U5" s="3725"/>
      <c r="V5" s="3725"/>
      <c r="W5" s="3725"/>
      <c r="X5" s="3725"/>
      <c r="Y5" s="3725"/>
      <c r="Z5" s="3725"/>
      <c r="AA5" s="3725"/>
      <c r="AB5" s="3725"/>
      <c r="AC5" s="1631"/>
      <c r="AD5" s="1632"/>
      <c r="AE5" s="1632"/>
      <c r="AF5" s="1632"/>
      <c r="AG5" s="1632"/>
    </row>
    <row r="6" spans="1:33" ht="43.5" customHeight="1" thickBot="1" x14ac:dyDescent="0.35">
      <c r="A6" s="3701"/>
      <c r="B6" s="3704" t="s">
        <v>5</v>
      </c>
      <c r="C6" s="3697" t="s">
        <v>6</v>
      </c>
      <c r="D6" s="3698"/>
      <c r="E6" s="3713"/>
      <c r="F6" s="3699" t="s">
        <v>7</v>
      </c>
      <c r="G6" s="3765"/>
      <c r="H6" s="1803" t="s">
        <v>8</v>
      </c>
      <c r="I6" s="1803" t="s">
        <v>8</v>
      </c>
      <c r="J6" s="3695" t="s">
        <v>9</v>
      </c>
      <c r="K6" s="3764"/>
      <c r="L6" s="3764" t="s">
        <v>236</v>
      </c>
      <c r="M6" s="3696"/>
      <c r="N6" s="1804" t="s">
        <v>146</v>
      </c>
      <c r="O6" s="3697" t="s">
        <v>6</v>
      </c>
      <c r="P6" s="3698"/>
      <c r="Q6" s="3698"/>
      <c r="R6" s="3699" t="s">
        <v>7</v>
      </c>
      <c r="S6" s="3765"/>
      <c r="T6" s="3764" t="s">
        <v>8</v>
      </c>
      <c r="U6" s="3696"/>
      <c r="V6" s="1805" t="s">
        <v>8</v>
      </c>
      <c r="W6" s="1805" t="s">
        <v>9</v>
      </c>
      <c r="X6" s="1803" t="s">
        <v>9</v>
      </c>
      <c r="Y6" s="1803" t="s">
        <v>236</v>
      </c>
      <c r="Z6" s="1803" t="s">
        <v>236</v>
      </c>
      <c r="AA6" s="1750" t="s">
        <v>147</v>
      </c>
      <c r="AB6" s="3688" t="s">
        <v>151</v>
      </c>
      <c r="AC6" s="3688" t="s">
        <v>152</v>
      </c>
      <c r="AD6" s="3770" t="s">
        <v>11</v>
      </c>
      <c r="AE6" s="3737" t="s">
        <v>12</v>
      </c>
      <c r="AF6" s="1038"/>
    </row>
    <row r="7" spans="1:33" ht="43.5" customHeight="1" x14ac:dyDescent="0.3">
      <c r="A7" s="3702"/>
      <c r="B7" s="3705"/>
      <c r="C7" s="1637" t="s">
        <v>13</v>
      </c>
      <c r="D7" s="1638" t="s">
        <v>14</v>
      </c>
      <c r="E7" s="1639" t="s">
        <v>15</v>
      </c>
      <c r="F7" s="1637" t="s">
        <v>13</v>
      </c>
      <c r="G7" s="1638" t="s">
        <v>14</v>
      </c>
      <c r="H7" s="1638" t="s">
        <v>13</v>
      </c>
      <c r="I7" s="1638" t="s">
        <v>14</v>
      </c>
      <c r="J7" s="1637" t="s">
        <v>13</v>
      </c>
      <c r="K7" s="1752" t="s">
        <v>14</v>
      </c>
      <c r="L7" s="1806" t="s">
        <v>13</v>
      </c>
      <c r="M7" s="1638" t="s">
        <v>14</v>
      </c>
      <c r="N7" s="1751"/>
      <c r="O7" s="1637" t="s">
        <v>13</v>
      </c>
      <c r="P7" s="1638" t="s">
        <v>14</v>
      </c>
      <c r="Q7" s="1752" t="s">
        <v>67</v>
      </c>
      <c r="R7" s="1637" t="s">
        <v>13</v>
      </c>
      <c r="S7" s="1638" t="s">
        <v>14</v>
      </c>
      <c r="T7" s="3681" t="s">
        <v>13</v>
      </c>
      <c r="U7" s="3759"/>
      <c r="V7" s="1822" t="s">
        <v>14</v>
      </c>
      <c r="W7" s="1637" t="s">
        <v>13</v>
      </c>
      <c r="X7" s="1638" t="s">
        <v>14</v>
      </c>
      <c r="Y7" s="1754" t="s">
        <v>13</v>
      </c>
      <c r="Z7" s="1754" t="s">
        <v>14</v>
      </c>
      <c r="AA7" s="1754"/>
      <c r="AB7" s="3689"/>
      <c r="AC7" s="3689"/>
      <c r="AD7" s="3771"/>
      <c r="AE7" s="3738"/>
      <c r="AF7" s="1644"/>
    </row>
    <row r="8" spans="1:33" ht="43.5" customHeight="1" x14ac:dyDescent="0.3">
      <c r="A8" s="3703"/>
      <c r="B8" s="1756" t="s">
        <v>19</v>
      </c>
      <c r="C8" s="1637" t="s">
        <v>22</v>
      </c>
      <c r="D8" s="1637" t="s">
        <v>21</v>
      </c>
      <c r="E8" s="1646" t="s">
        <v>21</v>
      </c>
      <c r="F8" s="3762" t="s">
        <v>20</v>
      </c>
      <c r="G8" s="3683"/>
      <c r="H8" s="1822"/>
      <c r="I8" s="1807" t="s">
        <v>20</v>
      </c>
      <c r="J8" s="3766" t="s">
        <v>21</v>
      </c>
      <c r="K8" s="3767"/>
      <c r="L8" s="3768" t="s">
        <v>42</v>
      </c>
      <c r="M8" s="3769"/>
      <c r="N8" s="1646"/>
      <c r="O8" s="1637" t="s">
        <v>41</v>
      </c>
      <c r="P8" s="1638" t="s">
        <v>43</v>
      </c>
      <c r="Q8" s="1752" t="s">
        <v>43</v>
      </c>
      <c r="R8" s="1637" t="s">
        <v>41</v>
      </c>
      <c r="S8" s="1638" t="s">
        <v>41</v>
      </c>
      <c r="T8" s="3681" t="s">
        <v>42</v>
      </c>
      <c r="U8" s="3759"/>
      <c r="V8" s="1637" t="s">
        <v>42</v>
      </c>
      <c r="W8" s="1637" t="s">
        <v>43</v>
      </c>
      <c r="X8" s="1638" t="s">
        <v>43</v>
      </c>
      <c r="Y8" s="1637" t="s">
        <v>43</v>
      </c>
      <c r="Z8" s="1637" t="s">
        <v>43</v>
      </c>
      <c r="AA8" s="1754" t="s">
        <v>237</v>
      </c>
      <c r="AB8" s="3690"/>
      <c r="AC8" s="3690"/>
      <c r="AD8" s="3772"/>
      <c r="AE8" s="3739"/>
      <c r="AF8" s="1755"/>
      <c r="AG8" s="1644"/>
    </row>
    <row r="9" spans="1:33" ht="43.5" customHeight="1" x14ac:dyDescent="0.3">
      <c r="A9" s="1638" t="s">
        <v>18</v>
      </c>
      <c r="B9" s="1752" t="s">
        <v>26</v>
      </c>
      <c r="C9" s="1637">
        <v>2</v>
      </c>
      <c r="D9" s="1638">
        <v>2</v>
      </c>
      <c r="E9" s="1639">
        <v>2</v>
      </c>
      <c r="F9" s="1637">
        <v>6</v>
      </c>
      <c r="G9" s="1638">
        <v>6</v>
      </c>
      <c r="H9" s="1638"/>
      <c r="I9" s="1638">
        <v>12</v>
      </c>
      <c r="J9" s="1637">
        <v>6</v>
      </c>
      <c r="K9" s="1802">
        <v>6</v>
      </c>
      <c r="L9" s="1638">
        <v>6</v>
      </c>
      <c r="M9" s="1638">
        <v>6</v>
      </c>
      <c r="N9" s="1642">
        <v>30</v>
      </c>
      <c r="O9" s="1637">
        <v>2</v>
      </c>
      <c r="P9" s="1638">
        <v>2</v>
      </c>
      <c r="Q9" s="1752">
        <v>2</v>
      </c>
      <c r="R9" s="1637">
        <v>6</v>
      </c>
      <c r="S9" s="1638">
        <v>6</v>
      </c>
      <c r="T9" s="3681">
        <v>12</v>
      </c>
      <c r="U9" s="3759"/>
      <c r="V9" s="1822"/>
      <c r="W9" s="1637">
        <v>12</v>
      </c>
      <c r="X9" s="1822">
        <v>12</v>
      </c>
      <c r="Y9" s="1637">
        <v>12</v>
      </c>
      <c r="Z9" s="1637">
        <v>12</v>
      </c>
      <c r="AA9" s="1754">
        <v>30</v>
      </c>
      <c r="AB9" s="1037">
        <v>10</v>
      </c>
      <c r="AC9" s="1037">
        <v>10</v>
      </c>
      <c r="AD9" s="1037"/>
      <c r="AE9" s="1037"/>
      <c r="AF9" s="1650"/>
      <c r="AG9" s="1651"/>
    </row>
    <row r="10" spans="1:33" ht="43.5" customHeight="1" x14ac:dyDescent="0.3">
      <c r="A10" s="1638">
        <v>1</v>
      </c>
      <c r="B10" s="1808">
        <v>5191421005</v>
      </c>
      <c r="C10" s="1809">
        <v>2</v>
      </c>
      <c r="D10" s="1663">
        <v>2</v>
      </c>
      <c r="E10" s="1663">
        <v>2</v>
      </c>
      <c r="F10" s="1663"/>
      <c r="G10" s="1671"/>
      <c r="H10" s="1671">
        <v>3</v>
      </c>
      <c r="I10" s="1671">
        <v>3</v>
      </c>
      <c r="J10" s="1671"/>
      <c r="K10" s="1671"/>
      <c r="L10" s="1793">
        <v>5</v>
      </c>
      <c r="M10" s="1793">
        <v>3</v>
      </c>
      <c r="N10" s="1661">
        <f>SUM(C10:M10)</f>
        <v>20</v>
      </c>
      <c r="O10" s="1663">
        <v>2</v>
      </c>
      <c r="P10" s="1663">
        <v>2</v>
      </c>
      <c r="Q10" s="1762">
        <v>2</v>
      </c>
      <c r="R10" s="1662">
        <v>5</v>
      </c>
      <c r="S10" s="1671"/>
      <c r="T10" s="3755"/>
      <c r="U10" s="3756"/>
      <c r="V10" s="1774"/>
      <c r="W10" s="1666">
        <v>3</v>
      </c>
      <c r="X10" s="1764">
        <v>3</v>
      </c>
      <c r="Y10" s="1764"/>
      <c r="Z10" s="1764"/>
      <c r="AA10" s="1809">
        <f>SUM(O10:X10)</f>
        <v>17</v>
      </c>
      <c r="AB10" s="1810"/>
      <c r="AC10" s="1810"/>
      <c r="AD10" s="1810"/>
      <c r="AE10" s="1671" t="b">
        <f t="shared" ref="AE10:AE39" si="0">IF(AB10="O",100,IF(AB10="A+",90,IF(AB10="A",80,IF(AB10="B+",70,IF(AB10="B",60,IF(AB10="C",55,IF(AB10="P",50,IF(AB10="F",39))))))))</f>
        <v>0</v>
      </c>
      <c r="AF10" s="1683"/>
      <c r="AG10" s="1683"/>
    </row>
    <row r="11" spans="1:33" ht="43.5" customHeight="1" x14ac:dyDescent="0.3">
      <c r="A11" s="1638">
        <v>2</v>
      </c>
      <c r="B11" s="1808">
        <v>5191421007</v>
      </c>
      <c r="C11" s="1811">
        <v>2</v>
      </c>
      <c r="D11" s="1663">
        <v>2</v>
      </c>
      <c r="E11" s="1663"/>
      <c r="F11" s="1663"/>
      <c r="G11" s="1671"/>
      <c r="H11" s="1671">
        <v>6</v>
      </c>
      <c r="I11" s="1671">
        <v>5</v>
      </c>
      <c r="J11" s="1671"/>
      <c r="K11" s="1671"/>
      <c r="L11" s="1793"/>
      <c r="M11" s="1793">
        <v>2</v>
      </c>
      <c r="N11" s="1661">
        <f t="shared" ref="N11:N13" si="1">SUM(C11:M11)</f>
        <v>17</v>
      </c>
      <c r="O11" s="1663">
        <v>2</v>
      </c>
      <c r="P11" s="1663">
        <v>2</v>
      </c>
      <c r="Q11" s="1762">
        <v>2</v>
      </c>
      <c r="R11" s="1662">
        <v>5</v>
      </c>
      <c r="S11" s="1671">
        <v>5</v>
      </c>
      <c r="T11" s="3763">
        <v>2</v>
      </c>
      <c r="U11" s="3756"/>
      <c r="V11" s="1774">
        <v>4</v>
      </c>
      <c r="W11" s="1666"/>
      <c r="X11" s="1764"/>
      <c r="Y11" s="1764"/>
      <c r="Z11" s="1764"/>
      <c r="AA11" s="1809">
        <f t="shared" ref="AA11:AA12" si="2">SUM(O11:X11)</f>
        <v>22</v>
      </c>
      <c r="AB11" s="1810"/>
      <c r="AC11" s="1810"/>
      <c r="AD11" s="1810"/>
      <c r="AE11" s="1671" t="b">
        <f t="shared" si="0"/>
        <v>0</v>
      </c>
      <c r="AF11" s="1683"/>
      <c r="AG11" s="1683"/>
    </row>
    <row r="12" spans="1:33" ht="43.5" customHeight="1" x14ac:dyDescent="0.3">
      <c r="A12" s="1638">
        <v>3</v>
      </c>
      <c r="B12" s="1808">
        <v>5191421008</v>
      </c>
      <c r="C12" s="1809"/>
      <c r="D12" s="1663"/>
      <c r="E12" s="1682"/>
      <c r="F12" s="1662"/>
      <c r="G12" s="1671"/>
      <c r="H12" s="1764"/>
      <c r="I12" s="1764"/>
      <c r="J12" s="1666"/>
      <c r="K12" s="1671"/>
      <c r="L12" s="1793"/>
      <c r="M12" s="1793"/>
      <c r="N12" s="1661">
        <f t="shared" si="1"/>
        <v>0</v>
      </c>
      <c r="O12" s="1662"/>
      <c r="P12" s="1663"/>
      <c r="Q12" s="1762"/>
      <c r="R12" s="1662"/>
      <c r="S12" s="1671"/>
      <c r="T12" s="3763"/>
      <c r="U12" s="3756"/>
      <c r="V12" s="1774"/>
      <c r="W12" s="1666"/>
      <c r="X12" s="1764"/>
      <c r="Y12" s="1764"/>
      <c r="Z12" s="1764"/>
      <c r="AA12" s="1809">
        <f t="shared" si="2"/>
        <v>0</v>
      </c>
      <c r="AB12" s="1810"/>
      <c r="AC12" s="1810"/>
      <c r="AD12" s="1810"/>
      <c r="AE12" s="1671" t="b">
        <f t="shared" si="0"/>
        <v>0</v>
      </c>
      <c r="AF12" s="1038"/>
      <c r="AG12" s="1038"/>
    </row>
    <row r="13" spans="1:33" ht="43.5" customHeight="1" x14ac:dyDescent="0.3">
      <c r="A13" s="1638">
        <v>4</v>
      </c>
      <c r="B13" s="1808">
        <v>5191421009</v>
      </c>
      <c r="C13" s="1809">
        <v>2</v>
      </c>
      <c r="D13" s="1663">
        <v>2</v>
      </c>
      <c r="E13" s="1682">
        <v>1</v>
      </c>
      <c r="F13" s="1662"/>
      <c r="G13" s="1671"/>
      <c r="H13" s="1764">
        <v>4</v>
      </c>
      <c r="I13" s="1764">
        <v>6</v>
      </c>
      <c r="J13" s="1666"/>
      <c r="K13" s="1671"/>
      <c r="L13" s="1793">
        <v>6</v>
      </c>
      <c r="M13" s="1793">
        <v>6</v>
      </c>
      <c r="N13" s="1661">
        <f t="shared" si="1"/>
        <v>27</v>
      </c>
      <c r="O13" s="1662">
        <v>2</v>
      </c>
      <c r="P13" s="1663">
        <v>2</v>
      </c>
      <c r="Q13" s="1762">
        <v>2</v>
      </c>
      <c r="R13" s="1662"/>
      <c r="S13" s="1671"/>
      <c r="T13" s="3755">
        <v>5</v>
      </c>
      <c r="U13" s="3756"/>
      <c r="V13" s="1774">
        <v>5</v>
      </c>
      <c r="W13" s="1666"/>
      <c r="X13" s="1764"/>
      <c r="Y13" s="1764">
        <v>5</v>
      </c>
      <c r="Z13" s="1764">
        <v>5</v>
      </c>
      <c r="AA13" s="1809">
        <f>SUM(O13:Z13)</f>
        <v>26</v>
      </c>
      <c r="AB13" s="1810"/>
      <c r="AC13" s="1810"/>
      <c r="AD13" s="1810"/>
      <c r="AE13" s="1671" t="b">
        <f t="shared" si="0"/>
        <v>0</v>
      </c>
      <c r="AF13" s="1038"/>
      <c r="AG13" s="1038"/>
    </row>
    <row r="14" spans="1:33" ht="43.5" customHeight="1" x14ac:dyDescent="0.3">
      <c r="A14" s="1638">
        <v>5</v>
      </c>
      <c r="B14" s="1808">
        <v>5191421015</v>
      </c>
      <c r="C14" s="1809">
        <v>2</v>
      </c>
      <c r="D14" s="1663">
        <v>2</v>
      </c>
      <c r="E14" s="1682">
        <v>1</v>
      </c>
      <c r="F14" s="1662">
        <v>6</v>
      </c>
      <c r="G14" s="1671">
        <v>4</v>
      </c>
      <c r="H14" s="1764"/>
      <c r="I14" s="1764"/>
      <c r="J14" s="1666"/>
      <c r="K14" s="1671"/>
      <c r="L14" s="1793">
        <v>5</v>
      </c>
      <c r="M14" s="1793">
        <v>2</v>
      </c>
      <c r="N14" s="1661">
        <f t="shared" ref="N14:N39" si="3">SUM(C14:M14)</f>
        <v>22</v>
      </c>
      <c r="O14" s="1662">
        <v>2</v>
      </c>
      <c r="P14" s="1663">
        <v>2</v>
      </c>
      <c r="Q14" s="1762">
        <v>2</v>
      </c>
      <c r="R14" s="1662"/>
      <c r="S14" s="1671"/>
      <c r="T14" s="3755">
        <v>5</v>
      </c>
      <c r="U14" s="3756"/>
      <c r="V14" s="1774">
        <v>6</v>
      </c>
      <c r="W14" s="1666">
        <v>3</v>
      </c>
      <c r="X14" s="1764">
        <v>5</v>
      </c>
      <c r="Y14" s="1764"/>
      <c r="Z14" s="1764"/>
      <c r="AA14" s="1809">
        <f t="shared" ref="AA14:AA39" si="4">SUM(O14:Z14)</f>
        <v>25</v>
      </c>
      <c r="AB14" s="1810"/>
      <c r="AC14" s="1810"/>
      <c r="AD14" s="1810"/>
      <c r="AE14" s="1671" t="b">
        <f t="shared" si="0"/>
        <v>0</v>
      </c>
      <c r="AF14" s="1038"/>
      <c r="AG14" s="1038"/>
    </row>
    <row r="15" spans="1:33" ht="43.5" customHeight="1" x14ac:dyDescent="0.3">
      <c r="A15" s="1638">
        <v>6</v>
      </c>
      <c r="B15" s="1808">
        <v>5191421018</v>
      </c>
      <c r="C15" s="1809"/>
      <c r="D15" s="1663"/>
      <c r="E15" s="1682"/>
      <c r="F15" s="1662"/>
      <c r="G15" s="1671"/>
      <c r="H15" s="1764">
        <v>2</v>
      </c>
      <c r="I15" s="1764">
        <v>4</v>
      </c>
      <c r="J15" s="1666"/>
      <c r="K15" s="1671"/>
      <c r="L15" s="1793"/>
      <c r="M15" s="1793">
        <v>2</v>
      </c>
      <c r="N15" s="1661">
        <f t="shared" si="3"/>
        <v>8</v>
      </c>
      <c r="O15" s="1662">
        <v>2</v>
      </c>
      <c r="P15" s="1663">
        <v>1</v>
      </c>
      <c r="Q15" s="1762">
        <v>2</v>
      </c>
      <c r="R15" s="1662">
        <v>4</v>
      </c>
      <c r="S15" s="1671">
        <v>1</v>
      </c>
      <c r="T15" s="3755"/>
      <c r="U15" s="3756"/>
      <c r="V15" s="1774"/>
      <c r="W15" s="1666"/>
      <c r="X15" s="1764"/>
      <c r="Y15" s="1764">
        <v>5</v>
      </c>
      <c r="Z15" s="1764">
        <v>3</v>
      </c>
      <c r="AA15" s="1809">
        <f t="shared" si="4"/>
        <v>18</v>
      </c>
      <c r="AB15" s="1810"/>
      <c r="AC15" s="1810"/>
      <c r="AD15" s="1810"/>
      <c r="AE15" s="1671" t="b">
        <f t="shared" si="0"/>
        <v>0</v>
      </c>
      <c r="AF15" s="1038"/>
      <c r="AG15" s="1038"/>
    </row>
    <row r="16" spans="1:33" ht="43.5" customHeight="1" x14ac:dyDescent="0.3">
      <c r="A16" s="1638">
        <v>7</v>
      </c>
      <c r="B16" s="1808">
        <v>5191421024</v>
      </c>
      <c r="C16" s="1809"/>
      <c r="D16" s="1663">
        <v>0</v>
      </c>
      <c r="E16" s="1682"/>
      <c r="F16" s="1662"/>
      <c r="G16" s="1815"/>
      <c r="H16" s="1811"/>
      <c r="I16" s="1764"/>
      <c r="J16" s="1666"/>
      <c r="K16" s="1671"/>
      <c r="L16" s="1793"/>
      <c r="M16" s="1793"/>
      <c r="N16" s="1661">
        <f t="shared" si="3"/>
        <v>0</v>
      </c>
      <c r="O16" s="1662">
        <v>2</v>
      </c>
      <c r="P16" s="1663">
        <v>2</v>
      </c>
      <c r="Q16" s="1762">
        <v>2</v>
      </c>
      <c r="R16" s="1662">
        <v>5</v>
      </c>
      <c r="S16" s="1671">
        <v>3</v>
      </c>
      <c r="T16" s="3755"/>
      <c r="U16" s="3756"/>
      <c r="V16" s="1774"/>
      <c r="W16" s="1666">
        <v>3</v>
      </c>
      <c r="X16" s="1764">
        <v>3</v>
      </c>
      <c r="Y16" s="1764"/>
      <c r="Z16" s="1764"/>
      <c r="AA16" s="1809">
        <f t="shared" si="4"/>
        <v>20</v>
      </c>
      <c r="AB16" s="1810"/>
      <c r="AC16" s="1810"/>
      <c r="AD16" s="1810"/>
      <c r="AE16" s="1671" t="b">
        <f t="shared" si="0"/>
        <v>0</v>
      </c>
      <c r="AF16" s="1038"/>
      <c r="AG16" s="1038"/>
    </row>
    <row r="17" spans="1:33" ht="43.5" customHeight="1" x14ac:dyDescent="0.3">
      <c r="A17" s="1638">
        <v>8</v>
      </c>
      <c r="B17" s="1808">
        <v>5191421025</v>
      </c>
      <c r="C17" s="1809">
        <v>2</v>
      </c>
      <c r="D17" s="1663">
        <v>2</v>
      </c>
      <c r="E17" s="1682">
        <v>1</v>
      </c>
      <c r="F17" s="1662"/>
      <c r="G17" s="1671"/>
      <c r="H17" s="1764">
        <v>6</v>
      </c>
      <c r="I17" s="1764">
        <v>6</v>
      </c>
      <c r="J17" s="1666"/>
      <c r="K17" s="1671"/>
      <c r="L17" s="1793">
        <v>6</v>
      </c>
      <c r="M17" s="1793">
        <v>6</v>
      </c>
      <c r="N17" s="1661">
        <f t="shared" si="3"/>
        <v>29</v>
      </c>
      <c r="O17" s="1662">
        <v>2</v>
      </c>
      <c r="P17" s="1663">
        <v>2</v>
      </c>
      <c r="Q17" s="1762">
        <v>2</v>
      </c>
      <c r="R17" s="1662">
        <v>5</v>
      </c>
      <c r="S17" s="1671">
        <v>6</v>
      </c>
      <c r="T17" s="1774"/>
      <c r="U17" s="1667"/>
      <c r="V17" s="1774"/>
      <c r="W17" s="1666">
        <v>5</v>
      </c>
      <c r="X17" s="1764">
        <v>5</v>
      </c>
      <c r="Y17" s="1764"/>
      <c r="Z17" s="1764"/>
      <c r="AA17" s="1809">
        <f t="shared" si="4"/>
        <v>27</v>
      </c>
      <c r="AB17" s="1810"/>
      <c r="AC17" s="1810"/>
      <c r="AD17" s="1810"/>
      <c r="AE17" s="1671" t="b">
        <f t="shared" si="0"/>
        <v>0</v>
      </c>
      <c r="AF17" s="1038"/>
      <c r="AG17" s="1038"/>
    </row>
    <row r="18" spans="1:33" ht="43.5" customHeight="1" x14ac:dyDescent="0.3">
      <c r="A18" s="1638">
        <v>9</v>
      </c>
      <c r="B18" s="1808">
        <v>5191421026</v>
      </c>
      <c r="C18" s="1811">
        <v>2</v>
      </c>
      <c r="D18" s="1663">
        <v>2</v>
      </c>
      <c r="E18" s="1682">
        <v>1</v>
      </c>
      <c r="F18" s="1662"/>
      <c r="G18" s="1671"/>
      <c r="H18" s="1764"/>
      <c r="I18" s="1764">
        <v>6</v>
      </c>
      <c r="J18" s="1666"/>
      <c r="K18" s="1671"/>
      <c r="L18" s="1793">
        <v>6</v>
      </c>
      <c r="M18" s="1793">
        <v>4</v>
      </c>
      <c r="N18" s="1661">
        <f t="shared" si="3"/>
        <v>21</v>
      </c>
      <c r="O18" s="1662">
        <v>2</v>
      </c>
      <c r="P18" s="1663">
        <v>2</v>
      </c>
      <c r="Q18" s="1762">
        <v>2</v>
      </c>
      <c r="R18" s="1662">
        <v>4</v>
      </c>
      <c r="S18" s="1671">
        <v>2</v>
      </c>
      <c r="T18" s="1774"/>
      <c r="U18" s="1667"/>
      <c r="V18" s="1774"/>
      <c r="W18" s="1666"/>
      <c r="X18" s="1764"/>
      <c r="Y18" s="1764">
        <v>3</v>
      </c>
      <c r="Z18" s="1764">
        <v>4</v>
      </c>
      <c r="AA18" s="1809">
        <f t="shared" si="4"/>
        <v>19</v>
      </c>
      <c r="AB18" s="1810"/>
      <c r="AC18" s="1810"/>
      <c r="AD18" s="1810"/>
      <c r="AE18" s="1671" t="b">
        <f t="shared" si="0"/>
        <v>0</v>
      </c>
      <c r="AF18" s="1038"/>
      <c r="AG18" s="1038"/>
    </row>
    <row r="19" spans="1:33" ht="43.5" customHeight="1" x14ac:dyDescent="0.3">
      <c r="A19" s="1638">
        <v>10</v>
      </c>
      <c r="B19" s="1808">
        <v>5191421029</v>
      </c>
      <c r="C19" s="1809">
        <v>2</v>
      </c>
      <c r="D19" s="1671">
        <v>2</v>
      </c>
      <c r="E19" s="1665">
        <v>2</v>
      </c>
      <c r="F19" s="1666">
        <v>6</v>
      </c>
      <c r="G19" s="1671">
        <v>1</v>
      </c>
      <c r="H19" s="1764"/>
      <c r="I19" s="1764"/>
      <c r="J19" s="1666"/>
      <c r="K19" s="1671"/>
      <c r="L19" s="1793">
        <v>6</v>
      </c>
      <c r="M19" s="1793">
        <v>5</v>
      </c>
      <c r="N19" s="1661">
        <f t="shared" si="3"/>
        <v>24</v>
      </c>
      <c r="O19" s="1662">
        <v>2</v>
      </c>
      <c r="P19" s="1663">
        <v>2</v>
      </c>
      <c r="Q19" s="1762">
        <v>2</v>
      </c>
      <c r="R19" s="1662"/>
      <c r="S19" s="1671"/>
      <c r="T19" s="1774"/>
      <c r="U19" s="1667">
        <v>6</v>
      </c>
      <c r="V19" s="1774">
        <v>6</v>
      </c>
      <c r="W19" s="1666">
        <v>4</v>
      </c>
      <c r="X19" s="1764"/>
      <c r="Y19" s="1764"/>
      <c r="Z19" s="1764"/>
      <c r="AA19" s="1809">
        <f t="shared" si="4"/>
        <v>22</v>
      </c>
      <c r="AB19" s="1810"/>
      <c r="AC19" s="1810"/>
      <c r="AD19" s="1810"/>
      <c r="AE19" s="1671" t="b">
        <f t="shared" si="0"/>
        <v>0</v>
      </c>
      <c r="AF19" s="1038"/>
      <c r="AG19" s="1038"/>
    </row>
    <row r="20" spans="1:33" ht="43.5" customHeight="1" x14ac:dyDescent="0.3">
      <c r="A20" s="1638">
        <v>11</v>
      </c>
      <c r="B20" s="1808">
        <v>5191421031</v>
      </c>
      <c r="C20" s="1764">
        <v>2</v>
      </c>
      <c r="D20" s="1671">
        <v>2</v>
      </c>
      <c r="E20" s="1665">
        <v>1</v>
      </c>
      <c r="F20" s="1666">
        <v>6</v>
      </c>
      <c r="G20" s="1671"/>
      <c r="H20" s="1764"/>
      <c r="I20" s="1764"/>
      <c r="J20" s="1666"/>
      <c r="K20" s="1671"/>
      <c r="L20" s="1793">
        <v>6</v>
      </c>
      <c r="M20" s="1793">
        <v>4</v>
      </c>
      <c r="N20" s="1661">
        <f t="shared" si="3"/>
        <v>21</v>
      </c>
      <c r="O20" s="1662">
        <v>2</v>
      </c>
      <c r="P20" s="1671">
        <v>2</v>
      </c>
      <c r="Q20" s="1779">
        <v>2</v>
      </c>
      <c r="R20" s="1666"/>
      <c r="S20" s="1671"/>
      <c r="T20" s="1774">
        <v>5</v>
      </c>
      <c r="U20" s="1667">
        <v>0</v>
      </c>
      <c r="V20" s="1774">
        <v>0</v>
      </c>
      <c r="W20" s="1666"/>
      <c r="X20" s="1764"/>
      <c r="Y20" s="1764"/>
      <c r="Z20" s="1764"/>
      <c r="AA20" s="1809">
        <f t="shared" si="4"/>
        <v>11</v>
      </c>
      <c r="AB20" s="1810"/>
      <c r="AC20" s="1810"/>
      <c r="AD20" s="1810"/>
      <c r="AE20" s="1671" t="b">
        <f t="shared" si="0"/>
        <v>0</v>
      </c>
      <c r="AF20" s="1038"/>
      <c r="AG20" s="1038"/>
    </row>
    <row r="21" spans="1:33" ht="43.5" customHeight="1" x14ac:dyDescent="0.3">
      <c r="A21" s="1638">
        <v>13</v>
      </c>
      <c r="B21" s="1808">
        <v>5191421032</v>
      </c>
      <c r="C21" s="1816">
        <v>1</v>
      </c>
      <c r="D21" s="1701">
        <v>1</v>
      </c>
      <c r="E21" s="1701">
        <v>1</v>
      </c>
      <c r="F21" s="1701"/>
      <c r="G21" s="1701"/>
      <c r="H21" s="1701">
        <v>5</v>
      </c>
      <c r="I21" s="1701">
        <v>6</v>
      </c>
      <c r="J21" s="1701"/>
      <c r="K21" s="1701"/>
      <c r="L21" s="1793">
        <v>6</v>
      </c>
      <c r="M21" s="1793">
        <v>2</v>
      </c>
      <c r="N21" s="1661">
        <f t="shared" si="3"/>
        <v>22</v>
      </c>
      <c r="O21" s="1662">
        <v>2</v>
      </c>
      <c r="P21" s="1671">
        <v>1</v>
      </c>
      <c r="Q21" s="1779">
        <v>1</v>
      </c>
      <c r="R21" s="1666">
        <v>3</v>
      </c>
      <c r="S21" s="1671"/>
      <c r="T21" s="3755"/>
      <c r="U21" s="3756"/>
      <c r="V21" s="1774"/>
      <c r="W21" s="1666"/>
      <c r="X21" s="1764"/>
      <c r="Y21" s="1764">
        <v>5</v>
      </c>
      <c r="Z21" s="1764">
        <v>3</v>
      </c>
      <c r="AA21" s="1809">
        <f t="shared" si="4"/>
        <v>15</v>
      </c>
      <c r="AB21" s="1810"/>
      <c r="AC21" s="1810"/>
      <c r="AD21" s="1810"/>
      <c r="AE21" s="1671" t="b">
        <f t="shared" si="0"/>
        <v>0</v>
      </c>
      <c r="AF21" s="1038"/>
      <c r="AG21" s="1038"/>
    </row>
    <row r="22" spans="1:33" ht="43.5" customHeight="1" x14ac:dyDescent="0.3">
      <c r="A22" s="1638">
        <v>14</v>
      </c>
      <c r="B22" s="1808">
        <v>5191421035</v>
      </c>
      <c r="C22" s="1809">
        <v>2</v>
      </c>
      <c r="D22" s="1671">
        <v>2</v>
      </c>
      <c r="E22" s="1665">
        <v>1</v>
      </c>
      <c r="F22" s="1666"/>
      <c r="G22" s="1671"/>
      <c r="H22" s="1764"/>
      <c r="I22" s="1764">
        <v>3</v>
      </c>
      <c r="J22" s="1666"/>
      <c r="K22" s="1671"/>
      <c r="L22" s="1793">
        <v>6</v>
      </c>
      <c r="M22" s="1793">
        <v>6</v>
      </c>
      <c r="N22" s="1661">
        <f t="shared" si="3"/>
        <v>20</v>
      </c>
      <c r="O22" s="1662">
        <v>2</v>
      </c>
      <c r="P22" s="1671">
        <v>2</v>
      </c>
      <c r="Q22" s="1779">
        <v>2</v>
      </c>
      <c r="R22" s="1666">
        <v>6</v>
      </c>
      <c r="S22" s="1671"/>
      <c r="T22" s="3755"/>
      <c r="U22" s="3756"/>
      <c r="V22" s="1774"/>
      <c r="W22" s="1666"/>
      <c r="X22" s="1764"/>
      <c r="Y22" s="1764">
        <v>5</v>
      </c>
      <c r="Z22" s="1764">
        <v>2</v>
      </c>
      <c r="AA22" s="1809">
        <f t="shared" si="4"/>
        <v>19</v>
      </c>
      <c r="AB22" s="1810"/>
      <c r="AC22" s="1810"/>
      <c r="AD22" s="1810"/>
      <c r="AE22" s="1671" t="b">
        <f t="shared" si="0"/>
        <v>0</v>
      </c>
      <c r="AF22" s="1038"/>
      <c r="AG22" s="1038"/>
    </row>
    <row r="23" spans="1:33" ht="43.5" customHeight="1" x14ac:dyDescent="0.3">
      <c r="A23" s="1638"/>
      <c r="B23" s="1808">
        <v>5191421037</v>
      </c>
      <c r="C23" s="1809">
        <v>1</v>
      </c>
      <c r="D23" s="1671">
        <v>2</v>
      </c>
      <c r="E23" s="1665">
        <v>1</v>
      </c>
      <c r="F23" s="1666"/>
      <c r="G23" s="1671"/>
      <c r="H23" s="1764">
        <v>4</v>
      </c>
      <c r="I23" s="1764">
        <v>4</v>
      </c>
      <c r="J23" s="1666"/>
      <c r="K23" s="1671"/>
      <c r="L23" s="1793">
        <v>2</v>
      </c>
      <c r="M23" s="1793">
        <v>2</v>
      </c>
      <c r="N23" s="1661">
        <v>16</v>
      </c>
      <c r="O23" s="1662"/>
      <c r="P23" s="1671"/>
      <c r="Q23" s="1779"/>
      <c r="R23" s="1666"/>
      <c r="S23" s="1671"/>
      <c r="T23" s="1774"/>
      <c r="U23" s="1667"/>
      <c r="V23" s="1774"/>
      <c r="W23" s="1666"/>
      <c r="X23" s="1764"/>
      <c r="Y23" s="1764"/>
      <c r="Z23" s="1764"/>
      <c r="AA23" s="1809"/>
      <c r="AB23" s="1810"/>
      <c r="AC23" s="1810"/>
      <c r="AD23" s="1810"/>
      <c r="AE23" s="1671"/>
      <c r="AF23" s="1038"/>
      <c r="AG23" s="1038"/>
    </row>
    <row r="24" spans="1:33" ht="43.5" customHeight="1" x14ac:dyDescent="0.3">
      <c r="A24" s="1638">
        <v>15</v>
      </c>
      <c r="B24" s="1808">
        <v>5191421040</v>
      </c>
      <c r="C24" s="1809">
        <v>2</v>
      </c>
      <c r="D24" s="1671">
        <v>2</v>
      </c>
      <c r="E24" s="1665">
        <v>2</v>
      </c>
      <c r="F24" s="1666">
        <v>6</v>
      </c>
      <c r="G24" s="1671">
        <v>2</v>
      </c>
      <c r="H24" s="1764"/>
      <c r="I24" s="1764"/>
      <c r="J24" s="1666"/>
      <c r="K24" s="1671"/>
      <c r="L24" s="1793">
        <v>6</v>
      </c>
      <c r="M24" s="1793">
        <v>5</v>
      </c>
      <c r="N24" s="1661">
        <f t="shared" si="3"/>
        <v>25</v>
      </c>
      <c r="O24" s="1662">
        <v>2</v>
      </c>
      <c r="P24" s="1671">
        <v>2</v>
      </c>
      <c r="Q24" s="1779">
        <v>2</v>
      </c>
      <c r="R24" s="1666"/>
      <c r="S24" s="1671"/>
      <c r="T24" s="3755">
        <v>6</v>
      </c>
      <c r="U24" s="3756"/>
      <c r="V24" s="1774">
        <v>6</v>
      </c>
      <c r="W24" s="1666">
        <v>4</v>
      </c>
      <c r="X24" s="1764">
        <v>2</v>
      </c>
      <c r="Y24" s="1764"/>
      <c r="Z24" s="1764"/>
      <c r="AA24" s="1809">
        <f t="shared" si="4"/>
        <v>24</v>
      </c>
      <c r="AB24" s="1810"/>
      <c r="AC24" s="1810"/>
      <c r="AD24" s="1810"/>
      <c r="AE24" s="1671" t="b">
        <f t="shared" si="0"/>
        <v>0</v>
      </c>
      <c r="AF24" s="1038"/>
      <c r="AG24" s="1038"/>
    </row>
    <row r="25" spans="1:33" ht="43.5" customHeight="1" x14ac:dyDescent="0.3">
      <c r="A25" s="1638">
        <v>16</v>
      </c>
      <c r="B25" s="1808">
        <v>5191421041</v>
      </c>
      <c r="C25" s="1809">
        <v>2</v>
      </c>
      <c r="D25" s="1671">
        <v>2</v>
      </c>
      <c r="E25" s="1665">
        <v>2</v>
      </c>
      <c r="F25" s="1666">
        <v>4</v>
      </c>
      <c r="G25" s="1671">
        <v>4</v>
      </c>
      <c r="H25" s="1764"/>
      <c r="I25" s="1764"/>
      <c r="J25" s="1666">
        <v>6</v>
      </c>
      <c r="K25" s="1671">
        <v>6</v>
      </c>
      <c r="L25" s="1793"/>
      <c r="M25" s="1793"/>
      <c r="N25" s="1661">
        <f t="shared" si="3"/>
        <v>26</v>
      </c>
      <c r="O25" s="1662">
        <v>2</v>
      </c>
      <c r="P25" s="1671">
        <v>2</v>
      </c>
      <c r="Q25" s="1779">
        <v>2</v>
      </c>
      <c r="R25" s="1666">
        <v>5</v>
      </c>
      <c r="S25" s="1671">
        <v>3</v>
      </c>
      <c r="T25" s="3755"/>
      <c r="U25" s="3756"/>
      <c r="V25" s="1774"/>
      <c r="W25" s="1666"/>
      <c r="X25" s="1764"/>
      <c r="Y25" s="1764">
        <v>1</v>
      </c>
      <c r="Z25" s="1764">
        <v>1</v>
      </c>
      <c r="AA25" s="1809">
        <f t="shared" si="4"/>
        <v>16</v>
      </c>
      <c r="AB25" s="1810"/>
      <c r="AC25" s="1810"/>
      <c r="AD25" s="1810"/>
      <c r="AE25" s="1671" t="b">
        <f t="shared" si="0"/>
        <v>0</v>
      </c>
      <c r="AF25" s="1038"/>
      <c r="AG25" s="1038"/>
    </row>
    <row r="26" spans="1:33" ht="43.5" customHeight="1" x14ac:dyDescent="0.3">
      <c r="A26" s="1638">
        <v>17</v>
      </c>
      <c r="B26" s="1808">
        <v>5191421043</v>
      </c>
      <c r="C26" s="1809">
        <v>2</v>
      </c>
      <c r="D26" s="1671">
        <v>2</v>
      </c>
      <c r="E26" s="1665">
        <v>1</v>
      </c>
      <c r="F26" s="1666"/>
      <c r="G26" s="1671"/>
      <c r="H26" s="1764">
        <v>3</v>
      </c>
      <c r="I26" s="1764">
        <v>6</v>
      </c>
      <c r="J26" s="1666"/>
      <c r="K26" s="1671"/>
      <c r="L26" s="1793">
        <v>6</v>
      </c>
      <c r="M26" s="1793">
        <v>6</v>
      </c>
      <c r="N26" s="1661">
        <f t="shared" si="3"/>
        <v>26</v>
      </c>
      <c r="O26" s="1662">
        <v>2</v>
      </c>
      <c r="P26" s="1671">
        <v>2</v>
      </c>
      <c r="Q26" s="1779">
        <v>2</v>
      </c>
      <c r="R26" s="1666">
        <v>5</v>
      </c>
      <c r="S26" s="1671">
        <v>5</v>
      </c>
      <c r="T26" s="3755"/>
      <c r="U26" s="3756"/>
      <c r="V26" s="1774"/>
      <c r="W26" s="1666">
        <v>2</v>
      </c>
      <c r="X26" s="1764">
        <v>6</v>
      </c>
      <c r="Y26" s="1764"/>
      <c r="Z26" s="1764"/>
      <c r="AA26" s="1809">
        <f t="shared" si="4"/>
        <v>24</v>
      </c>
      <c r="AB26" s="1810"/>
      <c r="AC26" s="1810"/>
      <c r="AD26" s="1810"/>
      <c r="AE26" s="1671" t="b">
        <f t="shared" si="0"/>
        <v>0</v>
      </c>
      <c r="AF26" s="1038"/>
      <c r="AG26" s="1038"/>
    </row>
    <row r="27" spans="1:33" ht="43.5" customHeight="1" x14ac:dyDescent="0.3">
      <c r="A27" s="1638">
        <v>18</v>
      </c>
      <c r="B27" s="1808">
        <v>5191421045</v>
      </c>
      <c r="C27" s="1809">
        <v>2</v>
      </c>
      <c r="D27" s="1671">
        <v>2</v>
      </c>
      <c r="E27" s="1665"/>
      <c r="F27" s="1666"/>
      <c r="G27" s="1671"/>
      <c r="H27" s="1764">
        <v>6</v>
      </c>
      <c r="I27" s="1764"/>
      <c r="J27" s="1666"/>
      <c r="K27" s="1671"/>
      <c r="L27" s="1793">
        <v>5</v>
      </c>
      <c r="M27" s="1793"/>
      <c r="N27" s="1661">
        <f t="shared" si="3"/>
        <v>15</v>
      </c>
      <c r="O27" s="1662">
        <v>2</v>
      </c>
      <c r="P27" s="1671">
        <v>2</v>
      </c>
      <c r="Q27" s="1779">
        <v>2</v>
      </c>
      <c r="R27" s="1666"/>
      <c r="S27" s="1671"/>
      <c r="T27" s="3763">
        <v>3</v>
      </c>
      <c r="U27" s="3756"/>
      <c r="V27" s="1774"/>
      <c r="W27" s="1666"/>
      <c r="X27" s="1764"/>
      <c r="Y27" s="1764">
        <v>4</v>
      </c>
      <c r="Z27" s="1764">
        <v>3</v>
      </c>
      <c r="AA27" s="1809">
        <f t="shared" si="4"/>
        <v>16</v>
      </c>
      <c r="AB27" s="1810"/>
      <c r="AC27" s="1810"/>
      <c r="AD27" s="1810"/>
      <c r="AE27" s="1671" t="b">
        <f t="shared" si="0"/>
        <v>0</v>
      </c>
      <c r="AF27" s="1038"/>
      <c r="AG27" s="1038"/>
    </row>
    <row r="28" spans="1:33" ht="43.5" customHeight="1" x14ac:dyDescent="0.3">
      <c r="A28" s="1638">
        <v>19</v>
      </c>
      <c r="B28" s="1808">
        <v>5191421046</v>
      </c>
      <c r="C28" s="1809">
        <v>2</v>
      </c>
      <c r="D28" s="1671">
        <v>2</v>
      </c>
      <c r="E28" s="1665"/>
      <c r="F28" s="1666"/>
      <c r="G28" s="1671"/>
      <c r="H28" s="1764"/>
      <c r="I28" s="1764">
        <v>5</v>
      </c>
      <c r="J28" s="1666">
        <v>6</v>
      </c>
      <c r="K28" s="1671"/>
      <c r="L28" s="1793">
        <v>5</v>
      </c>
      <c r="M28" s="1793"/>
      <c r="N28" s="1661">
        <f t="shared" si="3"/>
        <v>20</v>
      </c>
      <c r="O28" s="1662">
        <v>2</v>
      </c>
      <c r="P28" s="1671">
        <v>2</v>
      </c>
      <c r="Q28" s="1779">
        <v>2</v>
      </c>
      <c r="R28" s="1666"/>
      <c r="S28" s="1671"/>
      <c r="T28" s="3755">
        <v>4</v>
      </c>
      <c r="U28" s="3756"/>
      <c r="V28" s="1774">
        <v>3</v>
      </c>
      <c r="W28" s="1666">
        <v>3</v>
      </c>
      <c r="X28" s="1764">
        <v>2</v>
      </c>
      <c r="Y28" s="1764"/>
      <c r="Z28" s="1764"/>
      <c r="AA28" s="1809">
        <f t="shared" si="4"/>
        <v>18</v>
      </c>
      <c r="AB28" s="1810"/>
      <c r="AC28" s="1810"/>
      <c r="AD28" s="1810"/>
      <c r="AE28" s="1671" t="b">
        <f t="shared" si="0"/>
        <v>0</v>
      </c>
      <c r="AF28" s="1038"/>
      <c r="AG28" s="1038"/>
    </row>
    <row r="29" spans="1:33" ht="43.5" customHeight="1" x14ac:dyDescent="0.3">
      <c r="A29" s="1638">
        <v>20</v>
      </c>
      <c r="B29" s="1808">
        <v>5191421047</v>
      </c>
      <c r="C29" s="1811">
        <v>2</v>
      </c>
      <c r="D29" s="1671"/>
      <c r="E29" s="1665"/>
      <c r="F29" s="1666">
        <v>5</v>
      </c>
      <c r="G29" s="1671"/>
      <c r="H29" s="1764"/>
      <c r="I29" s="1764"/>
      <c r="J29" s="1666"/>
      <c r="K29" s="1671"/>
      <c r="L29" s="1793"/>
      <c r="M29" s="1793">
        <v>2</v>
      </c>
      <c r="N29" s="1661">
        <f t="shared" si="3"/>
        <v>9</v>
      </c>
      <c r="O29" s="1662">
        <v>2</v>
      </c>
      <c r="P29" s="1671">
        <v>1</v>
      </c>
      <c r="Q29" s="1779">
        <v>2</v>
      </c>
      <c r="R29" s="1666">
        <v>6</v>
      </c>
      <c r="S29" s="1671">
        <v>1</v>
      </c>
      <c r="T29" s="3755"/>
      <c r="U29" s="3756"/>
      <c r="V29" s="1774"/>
      <c r="W29" s="1666">
        <v>2</v>
      </c>
      <c r="X29" s="1764"/>
      <c r="Y29" s="1764"/>
      <c r="Z29" s="1764"/>
      <c r="AA29" s="1809">
        <f t="shared" si="4"/>
        <v>14</v>
      </c>
      <c r="AB29" s="1810"/>
      <c r="AC29" s="1810"/>
      <c r="AD29" s="1810"/>
      <c r="AE29" s="1671" t="b">
        <f t="shared" si="0"/>
        <v>0</v>
      </c>
      <c r="AF29" s="1038"/>
      <c r="AG29" s="1038"/>
    </row>
    <row r="30" spans="1:33" ht="43.5" customHeight="1" x14ac:dyDescent="0.3">
      <c r="A30" s="1638">
        <v>21</v>
      </c>
      <c r="B30" s="1808">
        <v>5191421048</v>
      </c>
      <c r="C30" s="1764">
        <v>2</v>
      </c>
      <c r="D30" s="1671">
        <v>2</v>
      </c>
      <c r="E30" s="1665"/>
      <c r="F30" s="1666">
        <v>6</v>
      </c>
      <c r="G30" s="1671"/>
      <c r="H30" s="1764"/>
      <c r="I30" s="1764"/>
      <c r="J30" s="1666"/>
      <c r="K30" s="1671"/>
      <c r="L30" s="1793"/>
      <c r="M30" s="1793">
        <v>5</v>
      </c>
      <c r="N30" s="1661">
        <f t="shared" si="3"/>
        <v>15</v>
      </c>
      <c r="O30" s="1662">
        <v>2</v>
      </c>
      <c r="P30" s="1671">
        <v>2</v>
      </c>
      <c r="Q30" s="1779">
        <v>2</v>
      </c>
      <c r="R30" s="1666">
        <v>5</v>
      </c>
      <c r="S30" s="1671"/>
      <c r="T30" s="3755"/>
      <c r="U30" s="3756"/>
      <c r="V30" s="1774"/>
      <c r="W30" s="1666">
        <v>3</v>
      </c>
      <c r="X30" s="1764">
        <v>3</v>
      </c>
      <c r="Y30" s="1764"/>
      <c r="Z30" s="1764"/>
      <c r="AA30" s="1809">
        <f t="shared" si="4"/>
        <v>17</v>
      </c>
      <c r="AB30" s="1810"/>
      <c r="AC30" s="1810"/>
      <c r="AD30" s="1810"/>
      <c r="AE30" s="1671" t="b">
        <f t="shared" si="0"/>
        <v>0</v>
      </c>
      <c r="AF30" s="1038"/>
      <c r="AG30" s="1038"/>
    </row>
    <row r="31" spans="1:33" ht="43.5" customHeight="1" x14ac:dyDescent="0.3">
      <c r="A31" s="1638">
        <v>22</v>
      </c>
      <c r="B31" s="1808">
        <v>5191421049</v>
      </c>
      <c r="C31" s="1817">
        <v>2</v>
      </c>
      <c r="D31" s="1654">
        <v>2</v>
      </c>
      <c r="E31" s="1654">
        <v>2</v>
      </c>
      <c r="F31" s="1701">
        <v>6</v>
      </c>
      <c r="G31" s="1701">
        <v>6</v>
      </c>
      <c r="H31" s="1701"/>
      <c r="I31" s="1701"/>
      <c r="J31" s="1701"/>
      <c r="K31" s="1701"/>
      <c r="L31" s="1793">
        <v>6</v>
      </c>
      <c r="M31" s="1793">
        <v>6</v>
      </c>
      <c r="N31" s="1661">
        <f t="shared" si="3"/>
        <v>30</v>
      </c>
      <c r="O31" s="1666">
        <v>2</v>
      </c>
      <c r="P31" s="1671">
        <v>2</v>
      </c>
      <c r="Q31" s="1779">
        <v>2</v>
      </c>
      <c r="R31" s="1666"/>
      <c r="S31" s="1671"/>
      <c r="T31" s="3755">
        <v>6</v>
      </c>
      <c r="U31" s="3756"/>
      <c r="V31" s="1774">
        <v>6</v>
      </c>
      <c r="W31" s="1666"/>
      <c r="X31" s="1764"/>
      <c r="Y31" s="1764">
        <v>5</v>
      </c>
      <c r="Z31" s="1764">
        <v>5</v>
      </c>
      <c r="AA31" s="1809">
        <f t="shared" si="4"/>
        <v>28</v>
      </c>
      <c r="AB31" s="1810"/>
      <c r="AC31" s="1810"/>
      <c r="AD31" s="1810"/>
      <c r="AE31" s="1671" t="b">
        <f t="shared" si="0"/>
        <v>0</v>
      </c>
      <c r="AF31" s="1038"/>
      <c r="AG31" s="1038"/>
    </row>
    <row r="32" spans="1:33" ht="43.5" customHeight="1" x14ac:dyDescent="0.3">
      <c r="A32" s="1638">
        <v>23</v>
      </c>
      <c r="B32" s="1808">
        <v>5191421050</v>
      </c>
      <c r="C32" s="1809">
        <v>2</v>
      </c>
      <c r="D32" s="1671">
        <v>2</v>
      </c>
      <c r="E32" s="1665">
        <v>2</v>
      </c>
      <c r="F32" s="1666"/>
      <c r="G32" s="1671"/>
      <c r="H32" s="1764"/>
      <c r="I32" s="1764">
        <v>6</v>
      </c>
      <c r="J32" s="1666">
        <v>6</v>
      </c>
      <c r="K32" s="1671">
        <v>6</v>
      </c>
      <c r="L32" s="1793"/>
      <c r="M32" s="1793"/>
      <c r="N32" s="1661">
        <f t="shared" si="3"/>
        <v>24</v>
      </c>
      <c r="O32" s="1662">
        <v>2</v>
      </c>
      <c r="P32" s="1671">
        <v>2</v>
      </c>
      <c r="Q32" s="1779">
        <v>2</v>
      </c>
      <c r="R32" s="1666"/>
      <c r="S32" s="1671"/>
      <c r="T32" s="3755">
        <v>5</v>
      </c>
      <c r="U32" s="3756"/>
      <c r="V32" s="1774">
        <v>2</v>
      </c>
      <c r="W32" s="1666">
        <v>4</v>
      </c>
      <c r="X32" s="1764">
        <v>2</v>
      </c>
      <c r="Y32" s="1764"/>
      <c r="Z32" s="1764"/>
      <c r="AA32" s="1809">
        <f t="shared" si="4"/>
        <v>19</v>
      </c>
      <c r="AB32" s="1810"/>
      <c r="AC32" s="1810"/>
      <c r="AD32" s="1810"/>
      <c r="AE32" s="1671" t="b">
        <f t="shared" si="0"/>
        <v>0</v>
      </c>
      <c r="AF32" s="1038"/>
      <c r="AG32" s="1038"/>
    </row>
    <row r="33" spans="1:33" ht="43.5" customHeight="1" x14ac:dyDescent="0.3">
      <c r="A33" s="1638">
        <v>24</v>
      </c>
      <c r="B33" s="1808">
        <v>5191421052</v>
      </c>
      <c r="C33" s="1809">
        <v>2</v>
      </c>
      <c r="D33" s="1671">
        <v>2</v>
      </c>
      <c r="E33" s="1665">
        <v>2</v>
      </c>
      <c r="F33" s="1666"/>
      <c r="G33" s="1671"/>
      <c r="H33" s="1764"/>
      <c r="I33" s="1764">
        <v>6</v>
      </c>
      <c r="J33" s="1666"/>
      <c r="K33" s="1671"/>
      <c r="L33" s="1793">
        <v>5</v>
      </c>
      <c r="M33" s="1793">
        <v>4</v>
      </c>
      <c r="N33" s="1661">
        <f t="shared" si="3"/>
        <v>21</v>
      </c>
      <c r="O33" s="1666">
        <v>2</v>
      </c>
      <c r="P33" s="1671">
        <v>2</v>
      </c>
      <c r="Q33" s="1779">
        <v>2</v>
      </c>
      <c r="R33" s="1666"/>
      <c r="S33" s="1671"/>
      <c r="T33" s="3755">
        <v>5</v>
      </c>
      <c r="U33" s="3756"/>
      <c r="V33" s="1774">
        <v>3</v>
      </c>
      <c r="W33" s="1666">
        <v>6</v>
      </c>
      <c r="X33" s="1764">
        <v>2</v>
      </c>
      <c r="Y33" s="1764"/>
      <c r="Z33" s="1764"/>
      <c r="AA33" s="1809">
        <f t="shared" si="4"/>
        <v>22</v>
      </c>
      <c r="AB33" s="1810"/>
      <c r="AC33" s="1810"/>
      <c r="AD33" s="1810"/>
      <c r="AE33" s="1671" t="b">
        <f t="shared" si="0"/>
        <v>0</v>
      </c>
      <c r="AF33" s="1038"/>
      <c r="AG33" s="1038"/>
    </row>
    <row r="34" spans="1:33" ht="43.5" customHeight="1" x14ac:dyDescent="0.3">
      <c r="A34" s="1638">
        <v>25</v>
      </c>
      <c r="B34" s="1808">
        <v>5191421053</v>
      </c>
      <c r="C34" s="1809">
        <v>2</v>
      </c>
      <c r="D34" s="1671">
        <v>2</v>
      </c>
      <c r="E34" s="1665"/>
      <c r="F34" s="1666">
        <v>6</v>
      </c>
      <c r="G34" s="1671"/>
      <c r="H34" s="1764"/>
      <c r="I34" s="1764"/>
      <c r="J34" s="1666"/>
      <c r="K34" s="1671"/>
      <c r="L34" s="1793">
        <v>6</v>
      </c>
      <c r="M34" s="1793">
        <v>6</v>
      </c>
      <c r="N34" s="1661">
        <v>22</v>
      </c>
      <c r="O34" s="1666">
        <v>2</v>
      </c>
      <c r="P34" s="1671">
        <v>2</v>
      </c>
      <c r="Q34" s="1779">
        <v>2</v>
      </c>
      <c r="R34" s="1666"/>
      <c r="S34" s="1671"/>
      <c r="T34" s="1774">
        <v>6</v>
      </c>
      <c r="U34" s="1667">
        <v>6</v>
      </c>
      <c r="V34" s="1774">
        <v>6</v>
      </c>
      <c r="W34" s="1666">
        <v>2</v>
      </c>
      <c r="X34" s="1764"/>
      <c r="Y34" s="1764"/>
      <c r="Z34" s="1764"/>
      <c r="AA34" s="1809">
        <f t="shared" si="4"/>
        <v>26</v>
      </c>
      <c r="AB34" s="1810"/>
      <c r="AC34" s="1810"/>
      <c r="AD34" s="1810"/>
      <c r="AE34" s="1671"/>
      <c r="AF34" s="1038"/>
      <c r="AG34" s="1038"/>
    </row>
    <row r="35" spans="1:33" ht="43.5" customHeight="1" x14ac:dyDescent="0.3">
      <c r="A35" s="1638">
        <v>26</v>
      </c>
      <c r="B35" s="1808">
        <v>5191421054</v>
      </c>
      <c r="C35" s="1809">
        <v>1</v>
      </c>
      <c r="D35" s="1671">
        <v>2</v>
      </c>
      <c r="E35" s="1665">
        <v>1</v>
      </c>
      <c r="F35" s="1666"/>
      <c r="G35" s="1671"/>
      <c r="H35" s="1764">
        <v>2</v>
      </c>
      <c r="I35" s="1764">
        <v>6</v>
      </c>
      <c r="J35" s="1666"/>
      <c r="K35" s="1671"/>
      <c r="L35" s="1793">
        <v>6</v>
      </c>
      <c r="M35" s="1793">
        <v>6</v>
      </c>
      <c r="N35" s="1661">
        <v>22</v>
      </c>
      <c r="O35" s="1666">
        <v>2</v>
      </c>
      <c r="P35" s="1671">
        <v>2</v>
      </c>
      <c r="Q35" s="1779">
        <v>2</v>
      </c>
      <c r="R35" s="1666"/>
      <c r="S35" s="1671"/>
      <c r="T35" s="1774"/>
      <c r="U35" s="1667"/>
      <c r="V35" s="1774">
        <v>5</v>
      </c>
      <c r="W35" s="1666"/>
      <c r="X35" s="1764">
        <v>2</v>
      </c>
      <c r="Y35" s="1764"/>
      <c r="Z35" s="1764"/>
      <c r="AA35" s="1809">
        <f t="shared" si="4"/>
        <v>13</v>
      </c>
      <c r="AB35" s="1810"/>
      <c r="AC35" s="1810"/>
      <c r="AD35" s="1810"/>
      <c r="AE35" s="1671"/>
      <c r="AF35" s="1038"/>
      <c r="AG35" s="1038"/>
    </row>
    <row r="36" spans="1:33" ht="43.5" customHeight="1" x14ac:dyDescent="0.3">
      <c r="A36" s="1638">
        <v>27</v>
      </c>
      <c r="B36" s="1808">
        <v>5191421055</v>
      </c>
      <c r="C36" s="1809">
        <v>2</v>
      </c>
      <c r="D36" s="1671">
        <v>2</v>
      </c>
      <c r="E36" s="1665">
        <v>2</v>
      </c>
      <c r="F36" s="1666"/>
      <c r="G36" s="1671"/>
      <c r="H36" s="1764">
        <v>5</v>
      </c>
      <c r="I36" s="1764">
        <v>6</v>
      </c>
      <c r="J36" s="1666"/>
      <c r="K36" s="1671"/>
      <c r="L36" s="1793">
        <v>6</v>
      </c>
      <c r="M36" s="1793">
        <v>4</v>
      </c>
      <c r="N36" s="1661">
        <v>27</v>
      </c>
      <c r="O36" s="1666">
        <v>2</v>
      </c>
      <c r="P36" s="1671">
        <v>2</v>
      </c>
      <c r="Q36" s="1779">
        <v>2</v>
      </c>
      <c r="R36" s="1666"/>
      <c r="S36" s="1671"/>
      <c r="T36" s="1774"/>
      <c r="U36" s="1667">
        <v>5</v>
      </c>
      <c r="V36" s="1774">
        <v>3</v>
      </c>
      <c r="W36" s="1666">
        <v>4</v>
      </c>
      <c r="X36" s="1764"/>
      <c r="Y36" s="1764"/>
      <c r="Z36" s="1764"/>
      <c r="AA36" s="1809">
        <f t="shared" si="4"/>
        <v>18</v>
      </c>
      <c r="AB36" s="1810"/>
      <c r="AC36" s="1810"/>
      <c r="AD36" s="1810"/>
      <c r="AE36" s="1671"/>
      <c r="AF36" s="1038"/>
      <c r="AG36" s="1038"/>
    </row>
    <row r="37" spans="1:33" ht="43.5" customHeight="1" x14ac:dyDescent="0.3">
      <c r="A37" s="1638">
        <v>28</v>
      </c>
      <c r="B37" s="1808">
        <v>5191421056</v>
      </c>
      <c r="C37" s="1809">
        <v>2</v>
      </c>
      <c r="D37" s="1671">
        <v>2</v>
      </c>
      <c r="E37" s="1665">
        <v>2</v>
      </c>
      <c r="F37" s="1666"/>
      <c r="G37" s="1671"/>
      <c r="H37" s="1764">
        <v>5</v>
      </c>
      <c r="I37" s="1764">
        <v>6</v>
      </c>
      <c r="J37" s="1666"/>
      <c r="K37" s="1671"/>
      <c r="L37" s="1793">
        <v>5</v>
      </c>
      <c r="M37" s="1793">
        <v>3</v>
      </c>
      <c r="N37" s="1661">
        <v>25</v>
      </c>
      <c r="O37" s="1666">
        <v>2</v>
      </c>
      <c r="P37" s="1671">
        <v>1</v>
      </c>
      <c r="Q37" s="1779">
        <v>2</v>
      </c>
      <c r="R37" s="1666"/>
      <c r="S37" s="1671"/>
      <c r="T37" s="1774"/>
      <c r="U37" s="1667">
        <v>5</v>
      </c>
      <c r="V37" s="1774">
        <v>5</v>
      </c>
      <c r="W37" s="1666">
        <v>3</v>
      </c>
      <c r="X37" s="1764">
        <v>1</v>
      </c>
      <c r="Y37" s="1764"/>
      <c r="Z37" s="1764"/>
      <c r="AA37" s="1809">
        <f t="shared" si="4"/>
        <v>19</v>
      </c>
      <c r="AB37" s="1810"/>
      <c r="AC37" s="1810"/>
      <c r="AD37" s="1810"/>
      <c r="AE37" s="1671"/>
      <c r="AF37" s="1038"/>
      <c r="AG37" s="1038"/>
    </row>
    <row r="38" spans="1:33" ht="43.5" customHeight="1" x14ac:dyDescent="0.3">
      <c r="A38" s="1638">
        <v>29</v>
      </c>
      <c r="B38" s="1808">
        <v>5191421057</v>
      </c>
      <c r="C38" s="1809">
        <v>2</v>
      </c>
      <c r="D38" s="1671">
        <v>2</v>
      </c>
      <c r="E38" s="1665">
        <v>2</v>
      </c>
      <c r="F38" s="1666"/>
      <c r="G38" s="1671"/>
      <c r="H38" s="1764">
        <v>5</v>
      </c>
      <c r="I38" s="1764">
        <v>6</v>
      </c>
      <c r="J38" s="1666"/>
      <c r="K38" s="1671"/>
      <c r="L38" s="1793">
        <v>6</v>
      </c>
      <c r="M38" s="1793">
        <v>5</v>
      </c>
      <c r="N38" s="1661">
        <v>28</v>
      </c>
      <c r="O38" s="1666">
        <v>2</v>
      </c>
      <c r="P38" s="1671">
        <v>2</v>
      </c>
      <c r="Q38" s="1779">
        <v>2</v>
      </c>
      <c r="R38" s="1666">
        <v>5</v>
      </c>
      <c r="S38" s="1671"/>
      <c r="T38" s="1774"/>
      <c r="U38" s="1667"/>
      <c r="V38" s="1774"/>
      <c r="W38" s="1666">
        <v>3</v>
      </c>
      <c r="X38" s="1764"/>
      <c r="Y38" s="1764"/>
      <c r="Z38" s="1764"/>
      <c r="AA38" s="1809">
        <f t="shared" si="4"/>
        <v>14</v>
      </c>
      <c r="AB38" s="1810"/>
      <c r="AC38" s="1810"/>
      <c r="AD38" s="1810"/>
      <c r="AE38" s="1671"/>
      <c r="AF38" s="1038"/>
      <c r="AG38" s="1038"/>
    </row>
    <row r="39" spans="1:33" ht="43.5" customHeight="1" x14ac:dyDescent="0.3">
      <c r="A39" s="1638">
        <v>30</v>
      </c>
      <c r="B39" s="1808">
        <v>5191421058</v>
      </c>
      <c r="C39" s="1809">
        <v>1</v>
      </c>
      <c r="D39" s="1671">
        <v>2</v>
      </c>
      <c r="E39" s="1665"/>
      <c r="F39" s="1666">
        <v>5</v>
      </c>
      <c r="G39" s="1671"/>
      <c r="H39" s="1764"/>
      <c r="I39" s="1764">
        <v>6</v>
      </c>
      <c r="J39" s="1666"/>
      <c r="K39" s="1671"/>
      <c r="L39" s="1793">
        <v>6</v>
      </c>
      <c r="M39" s="1793">
        <v>4</v>
      </c>
      <c r="N39" s="1661">
        <f t="shared" si="3"/>
        <v>24</v>
      </c>
      <c r="O39" s="1662">
        <v>2</v>
      </c>
      <c r="P39" s="1671">
        <v>2</v>
      </c>
      <c r="Q39" s="1779">
        <v>1</v>
      </c>
      <c r="R39" s="1666">
        <v>5</v>
      </c>
      <c r="S39" s="1671"/>
      <c r="T39" s="3755">
        <v>5</v>
      </c>
      <c r="U39" s="3756"/>
      <c r="V39" s="1774"/>
      <c r="W39" s="1666"/>
      <c r="X39" s="1764"/>
      <c r="Y39" s="1764"/>
      <c r="Z39" s="1764"/>
      <c r="AA39" s="1809">
        <f t="shared" si="4"/>
        <v>15</v>
      </c>
      <c r="AB39" s="1810"/>
      <c r="AC39" s="1810"/>
      <c r="AD39" s="1810"/>
      <c r="AE39" s="1671" t="b">
        <f t="shared" si="0"/>
        <v>0</v>
      </c>
      <c r="AF39" s="1038"/>
      <c r="AG39" s="1038"/>
    </row>
    <row r="40" spans="1:33" ht="43.5" customHeight="1" x14ac:dyDescent="0.3">
      <c r="A40" s="1038"/>
      <c r="B40" s="1038"/>
      <c r="C40" s="1716">
        <f t="shared" ref="C40:L40" si="5">COUNT(C10:C39)</f>
        <v>27</v>
      </c>
      <c r="D40" s="1716">
        <f t="shared" si="5"/>
        <v>27</v>
      </c>
      <c r="E40" s="1716">
        <f t="shared" si="5"/>
        <v>20</v>
      </c>
      <c r="F40" s="1716">
        <f t="shared" si="5"/>
        <v>10</v>
      </c>
      <c r="G40" s="1716">
        <f t="shared" si="5"/>
        <v>5</v>
      </c>
      <c r="H40" s="1716">
        <f t="shared" si="5"/>
        <v>13</v>
      </c>
      <c r="I40" s="1716">
        <f t="shared" si="5"/>
        <v>18</v>
      </c>
      <c r="J40" s="1716">
        <f t="shared" si="5"/>
        <v>3</v>
      </c>
      <c r="K40" s="1716">
        <f t="shared" si="5"/>
        <v>2</v>
      </c>
      <c r="L40" s="1716">
        <f t="shared" si="5"/>
        <v>22</v>
      </c>
      <c r="M40" s="1716"/>
      <c r="N40" s="1716"/>
      <c r="O40" s="1716">
        <f t="shared" ref="O40:U40" si="6">COUNT(O10:O39)</f>
        <v>28</v>
      </c>
      <c r="P40" s="1716">
        <f t="shared" si="6"/>
        <v>28</v>
      </c>
      <c r="Q40" s="1716">
        <f t="shared" si="6"/>
        <v>28</v>
      </c>
      <c r="R40" s="1716">
        <f t="shared" si="6"/>
        <v>14</v>
      </c>
      <c r="S40" s="1716">
        <f t="shared" si="6"/>
        <v>8</v>
      </c>
      <c r="T40" s="1716">
        <f t="shared" si="6"/>
        <v>12</v>
      </c>
      <c r="U40" s="1716">
        <f t="shared" si="6"/>
        <v>5</v>
      </c>
      <c r="V40" s="1716"/>
      <c r="W40" s="1716">
        <f>COUNT(W10:W39)</f>
        <v>16</v>
      </c>
      <c r="X40" s="1716"/>
      <c r="Y40" s="1716"/>
      <c r="Z40" s="1716"/>
      <c r="AA40" s="1809">
        <f>SUM(O40:X40)</f>
        <v>139</v>
      </c>
      <c r="AB40" s="1038"/>
      <c r="AC40" s="1038"/>
      <c r="AD40" s="1038"/>
      <c r="AE40" s="1038"/>
      <c r="AF40" s="1038"/>
      <c r="AG40" s="1038"/>
    </row>
    <row r="41" spans="1:33" ht="43.5" customHeight="1" x14ac:dyDescent="0.3">
      <c r="A41" s="1717" t="s">
        <v>34</v>
      </c>
      <c r="B41" s="1650">
        <v>55</v>
      </c>
      <c r="C41" s="1718">
        <f>C9*(B41/100)</f>
        <v>1.1000000000000001</v>
      </c>
      <c r="D41" s="1718">
        <f>D9*(B41/100)</f>
        <v>1.1000000000000001</v>
      </c>
      <c r="E41" s="1718">
        <f>E9*(B41/100)</f>
        <v>1.1000000000000001</v>
      </c>
      <c r="F41" s="1718">
        <f>F9*(B41/100)</f>
        <v>3.3000000000000003</v>
      </c>
      <c r="G41" s="1718">
        <f>G9*(C41/100)</f>
        <v>6.6000000000000003E-2</v>
      </c>
      <c r="H41" s="1718">
        <f>H9*(D41/100)</f>
        <v>0</v>
      </c>
      <c r="I41" s="1718">
        <f>I9*(D41/100)</f>
        <v>0.13200000000000001</v>
      </c>
      <c r="J41" s="1718">
        <f>J9*(F41/100)</f>
        <v>0.19800000000000001</v>
      </c>
      <c r="K41" s="1718">
        <f>K9*(G41/100)</f>
        <v>3.96E-3</v>
      </c>
      <c r="L41" s="1718">
        <f>L9*(I41/100)</f>
        <v>7.92E-3</v>
      </c>
      <c r="M41" s="1718"/>
      <c r="N41" s="1716"/>
      <c r="O41" s="1718">
        <f>O9*(B41/100)</f>
        <v>1.1000000000000001</v>
      </c>
      <c r="P41" s="1718">
        <f>P9*(B41/100)</f>
        <v>1.1000000000000001</v>
      </c>
      <c r="Q41" s="1718">
        <f>Q9*(B41/100)</f>
        <v>1.1000000000000001</v>
      </c>
      <c r="R41" s="1718">
        <f>R9*(B41/100)</f>
        <v>3.3000000000000003</v>
      </c>
      <c r="S41" s="1718">
        <f>S9*(B41/100)</f>
        <v>3.3000000000000003</v>
      </c>
      <c r="T41" s="1718">
        <f>T9*(B41/100)</f>
        <v>6.6000000000000005</v>
      </c>
      <c r="U41" s="1718">
        <f>U9*(B41/100)</f>
        <v>0</v>
      </c>
      <c r="V41" s="1718"/>
      <c r="W41" s="1718">
        <f>W9*(B41/100)</f>
        <v>6.6000000000000005</v>
      </c>
      <c r="X41" s="1718"/>
      <c r="Y41" s="1718"/>
      <c r="Z41" s="1718"/>
      <c r="AA41" s="1809">
        <f>SUM(O41:X41)</f>
        <v>23.1</v>
      </c>
      <c r="AB41" s="1038"/>
      <c r="AC41" s="1038"/>
      <c r="AD41" s="1038"/>
      <c r="AE41" s="1038"/>
      <c r="AF41" s="1038"/>
      <c r="AG41" s="1038"/>
    </row>
    <row r="42" spans="1:33" ht="43.5" customHeight="1" x14ac:dyDescent="0.3">
      <c r="A42" s="3692" t="s">
        <v>35</v>
      </c>
      <c r="B42" s="3692"/>
      <c r="C42" s="1716">
        <f t="shared" ref="C42:L42" si="7">COUNTIF(C10:C39,"&gt;=" &amp;C41)</f>
        <v>23</v>
      </c>
      <c r="D42" s="1716">
        <f t="shared" si="7"/>
        <v>25</v>
      </c>
      <c r="E42" s="1716">
        <f t="shared" si="7"/>
        <v>10</v>
      </c>
      <c r="F42" s="1716">
        <f t="shared" si="7"/>
        <v>10</v>
      </c>
      <c r="G42" s="1716">
        <f t="shared" si="7"/>
        <v>5</v>
      </c>
      <c r="H42" s="1716">
        <f t="shared" si="7"/>
        <v>13</v>
      </c>
      <c r="I42" s="1716">
        <f t="shared" si="7"/>
        <v>18</v>
      </c>
      <c r="J42" s="1716">
        <f t="shared" si="7"/>
        <v>3</v>
      </c>
      <c r="K42" s="1716">
        <f t="shared" si="7"/>
        <v>2</v>
      </c>
      <c r="L42" s="1716">
        <f t="shared" si="7"/>
        <v>22</v>
      </c>
      <c r="M42" s="1716"/>
      <c r="N42" s="1716"/>
      <c r="O42" s="1716">
        <f t="shared" ref="O42:U42" si="8">COUNTIF(O10:O39,"&gt;=" &amp;O41)</f>
        <v>28</v>
      </c>
      <c r="P42" s="1716">
        <f t="shared" si="8"/>
        <v>24</v>
      </c>
      <c r="Q42" s="1716">
        <f t="shared" si="8"/>
        <v>26</v>
      </c>
      <c r="R42" s="1716">
        <f t="shared" si="8"/>
        <v>13</v>
      </c>
      <c r="S42" s="1716">
        <f t="shared" si="8"/>
        <v>3</v>
      </c>
      <c r="T42" s="1716">
        <f t="shared" si="8"/>
        <v>0</v>
      </c>
      <c r="U42" s="1716">
        <f t="shared" si="8"/>
        <v>5</v>
      </c>
      <c r="V42" s="1716"/>
      <c r="W42" s="1716">
        <f>COUNTIF(W10:W39,"&gt;=" &amp;W41)</f>
        <v>0</v>
      </c>
      <c r="X42" s="1716"/>
      <c r="Y42" s="1716"/>
      <c r="Z42" s="1716"/>
      <c r="AA42" s="1809">
        <f>SUM(O42:X42)</f>
        <v>99</v>
      </c>
      <c r="AB42" s="1038"/>
      <c r="AC42" s="1038"/>
      <c r="AD42" s="1038"/>
      <c r="AE42" s="1716">
        <f>COUNTIF(AE10:AE39,"&gt;="&amp;B41)</f>
        <v>0</v>
      </c>
      <c r="AF42" s="1038"/>
      <c r="AG42" s="1038"/>
    </row>
    <row r="43" spans="1:33" ht="43.5" customHeight="1" x14ac:dyDescent="0.3">
      <c r="A43" s="3693" t="s">
        <v>36</v>
      </c>
      <c r="B43" s="3693"/>
      <c r="C43" s="1716">
        <f t="shared" ref="C43:W43" si="9">C42/C40</f>
        <v>0.85185185185185186</v>
      </c>
      <c r="D43" s="1716">
        <f t="shared" si="9"/>
        <v>0.92592592592592593</v>
      </c>
      <c r="E43" s="1716">
        <f t="shared" si="9"/>
        <v>0.5</v>
      </c>
      <c r="F43" s="1716">
        <f t="shared" si="9"/>
        <v>1</v>
      </c>
      <c r="G43" s="1716">
        <f t="shared" si="9"/>
        <v>1</v>
      </c>
      <c r="H43" s="1716">
        <f t="shared" ref="H43" si="10">H42/H40</f>
        <v>1</v>
      </c>
      <c r="I43" s="1716">
        <f t="shared" si="9"/>
        <v>1</v>
      </c>
      <c r="J43" s="1716">
        <f t="shared" si="9"/>
        <v>1</v>
      </c>
      <c r="K43" s="1716">
        <f t="shared" si="9"/>
        <v>1</v>
      </c>
      <c r="L43" s="1716">
        <f t="shared" si="9"/>
        <v>1</v>
      </c>
      <c r="M43" s="1716"/>
      <c r="N43" s="1716"/>
      <c r="O43" s="1716">
        <f t="shared" si="9"/>
        <v>1</v>
      </c>
      <c r="P43" s="1716">
        <f t="shared" si="9"/>
        <v>0.8571428571428571</v>
      </c>
      <c r="Q43" s="1716">
        <f t="shared" si="9"/>
        <v>0.9285714285714286</v>
      </c>
      <c r="R43" s="1716">
        <f t="shared" si="9"/>
        <v>0.9285714285714286</v>
      </c>
      <c r="S43" s="1716">
        <f t="shared" si="9"/>
        <v>0.375</v>
      </c>
      <c r="T43" s="1716">
        <f t="shared" si="9"/>
        <v>0</v>
      </c>
      <c r="U43" s="1716">
        <f t="shared" si="9"/>
        <v>1</v>
      </c>
      <c r="V43" s="1716"/>
      <c r="W43" s="1716">
        <f t="shared" si="9"/>
        <v>0</v>
      </c>
      <c r="X43" s="1716"/>
      <c r="Y43" s="1716"/>
      <c r="Z43" s="1716"/>
      <c r="AA43" s="1809">
        <f>SUM(O43:X43)</f>
        <v>5.0892857142857144</v>
      </c>
      <c r="AB43" s="1038"/>
      <c r="AC43" s="1038"/>
      <c r="AD43" s="1038"/>
      <c r="AE43" s="1716" t="e">
        <f>(AE42/#REF!)*100</f>
        <v>#REF!</v>
      </c>
      <c r="AF43" s="1038"/>
      <c r="AG43" s="1038"/>
    </row>
    <row r="44" spans="1:33" ht="43.5" customHeight="1" x14ac:dyDescent="0.3">
      <c r="A44" s="1038"/>
      <c r="B44" s="1038"/>
      <c r="C44" s="1824"/>
      <c r="D44" s="1824"/>
      <c r="E44" s="1824"/>
      <c r="F44" s="1824"/>
      <c r="G44" s="1824"/>
      <c r="H44" s="1824"/>
      <c r="I44" s="1824"/>
      <c r="J44" s="1824"/>
      <c r="K44" s="1824"/>
      <c r="L44" s="1824"/>
      <c r="M44" s="1825"/>
      <c r="N44" s="1716"/>
      <c r="O44" s="1638"/>
      <c r="P44" s="1638"/>
      <c r="Q44" s="1638"/>
      <c r="R44" s="1638"/>
      <c r="S44" s="1638"/>
      <c r="T44" s="1638"/>
      <c r="U44" s="1638"/>
      <c r="V44" s="1638"/>
      <c r="W44" s="1638"/>
      <c r="X44" s="1806"/>
      <c r="Y44" s="1830"/>
      <c r="Z44" s="1830"/>
      <c r="AA44" s="1716"/>
      <c r="AB44" s="1716"/>
      <c r="AC44" s="1038"/>
      <c r="AD44" s="1038"/>
      <c r="AE44" s="1038"/>
      <c r="AF44" s="1038"/>
      <c r="AG44" s="1038"/>
    </row>
    <row r="45" spans="1:33" ht="43.5" customHeight="1" x14ac:dyDescent="0.3">
      <c r="A45" s="1038"/>
      <c r="B45" s="1038"/>
      <c r="C45" s="1038"/>
      <c r="D45" s="1038"/>
      <c r="E45" s="1038"/>
      <c r="F45" s="1038"/>
      <c r="G45" s="1038"/>
      <c r="H45" s="1038"/>
      <c r="I45" s="1038"/>
      <c r="J45" s="1038"/>
      <c r="K45" s="1038"/>
      <c r="L45" s="1038"/>
      <c r="M45" s="1038"/>
      <c r="N45" s="1626"/>
      <c r="O45" s="1038"/>
      <c r="P45" s="1038"/>
      <c r="Q45" s="1038"/>
      <c r="R45" s="1038"/>
      <c r="S45" s="1038"/>
      <c r="T45" s="1038"/>
      <c r="U45" s="1038"/>
      <c r="V45" s="1038"/>
      <c r="W45" s="1038"/>
      <c r="X45" s="1038"/>
      <c r="Y45" s="1038"/>
      <c r="Z45" s="1038"/>
      <c r="AA45" s="1626"/>
      <c r="AB45" s="1038"/>
      <c r="AC45" s="1038"/>
      <c r="AD45" s="1038"/>
      <c r="AE45" s="1038"/>
      <c r="AF45" s="1038"/>
      <c r="AG45" s="1038"/>
    </row>
    <row r="46" spans="1:33" ht="43.5" customHeight="1" x14ac:dyDescent="0.3">
      <c r="A46" s="1038"/>
      <c r="B46" s="1038"/>
      <c r="C46" s="1038"/>
      <c r="D46" s="1650" t="s">
        <v>38</v>
      </c>
      <c r="E46" s="3694" t="s">
        <v>39</v>
      </c>
      <c r="F46" s="3694"/>
      <c r="G46" s="3694" t="s">
        <v>37</v>
      </c>
      <c r="H46" s="3694"/>
      <c r="I46" s="3694"/>
      <c r="J46" s="1719"/>
      <c r="K46" s="1650"/>
      <c r="L46" s="1038"/>
      <c r="M46" s="1038"/>
      <c r="N46" s="1626"/>
      <c r="O46" s="1038"/>
      <c r="P46" s="1038"/>
      <c r="Q46" s="1038"/>
      <c r="R46" s="1038"/>
      <c r="S46" s="1038"/>
      <c r="T46" s="1038"/>
      <c r="U46" s="1038"/>
      <c r="V46" s="1038"/>
      <c r="W46" s="1038"/>
      <c r="X46" s="1038"/>
      <c r="Y46" s="1038"/>
      <c r="Z46" s="1038"/>
      <c r="AA46" s="1626"/>
      <c r="AB46" s="1038"/>
      <c r="AC46" s="1038"/>
      <c r="AD46" s="1038"/>
      <c r="AE46" s="1038"/>
      <c r="AF46" s="1038"/>
      <c r="AG46" s="1038"/>
    </row>
    <row r="47" spans="1:33" ht="43.5" customHeight="1" x14ac:dyDescent="0.3">
      <c r="A47" s="1038"/>
      <c r="B47" s="1650" t="s">
        <v>22</v>
      </c>
      <c r="C47" s="1716">
        <v>100</v>
      </c>
      <c r="D47" s="1716">
        <f t="shared" ref="D47:D50" si="11">IF(C47&gt;=70,3,IF(AND(C47&gt;=60,C47&lt;70),2,IF(AND(C47&gt;=50,C47&lt;60),1)))</f>
        <v>3</v>
      </c>
      <c r="E47" s="3740">
        <v>2</v>
      </c>
      <c r="F47" s="3740"/>
      <c r="G47" s="1720">
        <f>(70/100)*E47+(30/100)*D47</f>
        <v>2.2999999999999998</v>
      </c>
      <c r="H47" s="1720"/>
      <c r="I47" s="1720"/>
      <c r="J47" s="1720"/>
      <c r="K47" s="1720"/>
      <c r="L47" s="1038"/>
      <c r="M47" s="1038"/>
      <c r="N47" s="1626"/>
      <c r="O47" s="1038"/>
      <c r="P47" s="1038"/>
      <c r="Q47" s="1038"/>
      <c r="R47" s="1038"/>
      <c r="S47" s="1038"/>
      <c r="T47" s="1038"/>
      <c r="U47" s="1038"/>
      <c r="V47" s="1038"/>
      <c r="W47" s="1038"/>
      <c r="X47" s="1038"/>
      <c r="Y47" s="1038"/>
      <c r="Z47" s="1038"/>
      <c r="AA47" s="1626"/>
      <c r="AB47" s="1038"/>
      <c r="AC47" s="1038"/>
      <c r="AD47" s="1038"/>
      <c r="AE47" s="1038"/>
      <c r="AF47" s="1038"/>
      <c r="AG47" s="1038"/>
    </row>
    <row r="48" spans="1:33" ht="43.5" customHeight="1" x14ac:dyDescent="0.3">
      <c r="A48" s="1038"/>
      <c r="B48" s="1650" t="s">
        <v>40</v>
      </c>
      <c r="C48" s="1716">
        <f>AVERAGE(E43,F43,K43)*100</f>
        <v>83.333333333333343</v>
      </c>
      <c r="D48" s="1716">
        <f t="shared" si="11"/>
        <v>3</v>
      </c>
      <c r="E48" s="3740">
        <v>3</v>
      </c>
      <c r="F48" s="3740"/>
      <c r="G48" s="1720">
        <f t="shared" ref="G48:G50" si="12">(70/100)*E48+(30/100)*D48</f>
        <v>2.9999999999999996</v>
      </c>
      <c r="H48" s="1720"/>
      <c r="I48" s="1720"/>
      <c r="J48" s="1720"/>
      <c r="K48" s="1720"/>
      <c r="L48" s="1038"/>
      <c r="M48" s="1038"/>
      <c r="N48" s="1626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626"/>
      <c r="AB48" s="1038"/>
      <c r="AC48" s="1038"/>
      <c r="AD48" s="1038"/>
      <c r="AE48" s="1038"/>
      <c r="AF48" s="1038"/>
      <c r="AG48" s="1038"/>
    </row>
    <row r="49" spans="1:33" ht="43.5" customHeight="1" x14ac:dyDescent="0.3">
      <c r="A49" s="1038"/>
      <c r="B49" s="1650" t="s">
        <v>41</v>
      </c>
      <c r="C49" s="1716">
        <f>AVERAGE(G43,M43,O43,P43)*100</f>
        <v>95.238095238095241</v>
      </c>
      <c r="D49" s="1716">
        <f t="shared" si="11"/>
        <v>3</v>
      </c>
      <c r="E49" s="3740">
        <v>2</v>
      </c>
      <c r="F49" s="3740"/>
      <c r="G49" s="1720">
        <f t="shared" si="12"/>
        <v>2.2999999999999998</v>
      </c>
      <c r="H49" s="1720"/>
      <c r="I49" s="1720"/>
      <c r="J49" s="1720"/>
      <c r="K49" s="1720"/>
      <c r="L49" s="1038"/>
      <c r="M49" s="1038"/>
      <c r="N49" s="1626"/>
      <c r="O49" s="1038"/>
      <c r="P49" s="1038"/>
      <c r="Q49" s="1038"/>
      <c r="R49" s="1038"/>
      <c r="S49" s="1038"/>
      <c r="T49" s="1038"/>
      <c r="U49" s="1038"/>
      <c r="V49" s="1038"/>
      <c r="W49" s="1038"/>
      <c r="X49" s="1038"/>
      <c r="Y49" s="1038"/>
      <c r="Z49" s="1038"/>
      <c r="AA49" s="1626"/>
      <c r="AB49" s="1038"/>
      <c r="AC49" s="1038"/>
      <c r="AD49" s="1038"/>
      <c r="AE49" s="1038"/>
      <c r="AF49" s="1038"/>
      <c r="AG49" s="1038"/>
    </row>
    <row r="50" spans="1:33" ht="43.5" customHeight="1" x14ac:dyDescent="0.3">
      <c r="A50" s="1038"/>
      <c r="B50" s="1650" t="s">
        <v>42</v>
      </c>
      <c r="C50" s="1716">
        <f>AVERAGE(Q43,T43)*100</f>
        <v>46.428571428571431</v>
      </c>
      <c r="D50" s="1716" t="b">
        <f t="shared" si="11"/>
        <v>0</v>
      </c>
      <c r="E50" s="3740">
        <v>2</v>
      </c>
      <c r="F50" s="3740"/>
      <c r="G50" s="1720">
        <f t="shared" si="12"/>
        <v>1.4</v>
      </c>
      <c r="H50" s="1720"/>
      <c r="I50" s="1720"/>
      <c r="J50" s="1720"/>
      <c r="K50" s="1720"/>
      <c r="L50" s="1038"/>
      <c r="M50" s="1038"/>
      <c r="N50" s="1626"/>
      <c r="O50" s="1038"/>
      <c r="P50" s="1038"/>
      <c r="Q50" s="1038"/>
      <c r="R50" s="1038"/>
      <c r="S50" s="1038"/>
      <c r="T50" s="1038"/>
      <c r="U50" s="1038"/>
      <c r="V50" s="1038"/>
      <c r="W50" s="1038"/>
      <c r="X50" s="1038"/>
      <c r="Y50" s="1038"/>
      <c r="Z50" s="1038"/>
      <c r="AA50" s="1626"/>
      <c r="AB50" s="1038"/>
      <c r="AC50" s="1038"/>
      <c r="AD50" s="1038"/>
      <c r="AE50" s="1038"/>
      <c r="AF50" s="1038"/>
      <c r="AG50" s="1038"/>
    </row>
    <row r="51" spans="1:33" ht="43.5" customHeight="1" x14ac:dyDescent="0.3">
      <c r="A51" s="1038"/>
      <c r="B51" s="2775" t="s">
        <v>44</v>
      </c>
      <c r="C51" s="2775"/>
      <c r="D51" s="2775"/>
      <c r="E51" s="2775"/>
      <c r="F51" s="2775"/>
      <c r="G51" s="1721">
        <f>AVERAGE(G47:G50)</f>
        <v>2.2499999999999996</v>
      </c>
      <c r="H51" s="1721"/>
      <c r="I51" s="1721"/>
      <c r="J51" s="1721"/>
      <c r="K51" s="1721"/>
      <c r="L51" s="1038"/>
      <c r="M51" s="1038"/>
      <c r="N51" s="1626"/>
      <c r="O51" s="1038"/>
      <c r="P51" s="1038"/>
      <c r="Q51" s="1038"/>
      <c r="R51" s="1038"/>
      <c r="S51" s="1038"/>
      <c r="T51" s="1038"/>
      <c r="U51" s="1038"/>
      <c r="V51" s="1038"/>
      <c r="W51" s="1038"/>
      <c r="X51" s="1038"/>
      <c r="Y51" s="1038"/>
      <c r="Z51" s="1038"/>
      <c r="AA51" s="1626"/>
      <c r="AB51" s="1038"/>
      <c r="AC51" s="1038"/>
      <c r="AD51" s="1038"/>
      <c r="AE51" s="1038"/>
      <c r="AF51" s="1038"/>
      <c r="AG51" s="1038"/>
    </row>
    <row r="52" spans="1:33" ht="43.5" customHeight="1" x14ac:dyDescent="0.3">
      <c r="A52" s="1038"/>
      <c r="B52" s="1038"/>
      <c r="C52" s="1038"/>
      <c r="D52" s="1038"/>
      <c r="E52" s="1038"/>
      <c r="F52" s="1038"/>
      <c r="G52" s="1038"/>
      <c r="H52" s="1038"/>
      <c r="I52" s="1038"/>
      <c r="J52" s="1038"/>
      <c r="K52" s="1038"/>
      <c r="L52" s="1038"/>
      <c r="M52" s="1038"/>
      <c r="N52" s="1626"/>
      <c r="O52" s="1038"/>
      <c r="P52" s="1038"/>
      <c r="Q52" s="1038"/>
      <c r="R52" s="1038"/>
      <c r="S52" s="1038"/>
      <c r="T52" s="1038"/>
      <c r="U52" s="1038"/>
      <c r="V52" s="1038"/>
      <c r="W52" s="1038"/>
      <c r="X52" s="1038"/>
      <c r="Y52" s="1038"/>
      <c r="Z52" s="1038"/>
      <c r="AA52" s="1626"/>
      <c r="AB52" s="1038"/>
      <c r="AC52" s="1038"/>
      <c r="AD52" s="1038"/>
      <c r="AE52" s="1038"/>
      <c r="AF52" s="1038"/>
      <c r="AG52" s="1038"/>
    </row>
    <row r="53" spans="1:33" ht="43.5" customHeight="1" x14ac:dyDescent="0.3">
      <c r="A53" s="2775" t="s">
        <v>134</v>
      </c>
      <c r="B53" s="2775"/>
      <c r="C53" s="1038"/>
      <c r="D53" s="1038"/>
      <c r="E53" s="1038"/>
      <c r="F53" s="1038"/>
      <c r="G53" s="1038"/>
      <c r="H53" s="1038"/>
      <c r="I53" s="1038"/>
      <c r="J53" s="1038"/>
      <c r="K53" s="1038"/>
      <c r="L53" s="1038"/>
      <c r="M53" s="1038"/>
      <c r="N53" s="1626"/>
      <c r="O53" s="1038"/>
      <c r="P53" s="1038"/>
      <c r="Q53" s="1038"/>
      <c r="R53" s="1038"/>
      <c r="S53" s="1038"/>
      <c r="T53" s="1038"/>
      <c r="U53" s="1038"/>
      <c r="V53" s="1038"/>
      <c r="W53" s="1038"/>
      <c r="X53" s="1038"/>
      <c r="Y53" s="1038"/>
      <c r="Z53" s="1038"/>
      <c r="AA53" s="1626"/>
      <c r="AB53" s="1038"/>
      <c r="AC53" s="1038"/>
      <c r="AD53" s="1038"/>
      <c r="AE53" s="1038"/>
      <c r="AF53" s="1038"/>
      <c r="AG53" s="1038"/>
    </row>
    <row r="54" spans="1:33" ht="43.5" customHeight="1" x14ac:dyDescent="0.3">
      <c r="A54" s="1038"/>
      <c r="B54" s="1038"/>
      <c r="C54" s="1038"/>
      <c r="D54" s="1038"/>
      <c r="E54" s="1038"/>
      <c r="F54" s="1038"/>
      <c r="G54" s="1038"/>
      <c r="H54" s="1038"/>
      <c r="I54" s="1038"/>
      <c r="J54" s="1038"/>
      <c r="K54" s="1038"/>
      <c r="L54" s="1038"/>
      <c r="M54" s="1038"/>
      <c r="N54" s="1626"/>
      <c r="O54" s="1038"/>
      <c r="P54" s="1038"/>
      <c r="Q54" s="1038"/>
      <c r="R54" s="1038"/>
      <c r="S54" s="1038"/>
      <c r="T54" s="1038"/>
      <c r="U54" s="1038"/>
      <c r="V54" s="1038"/>
      <c r="W54" s="1038"/>
      <c r="X54" s="1038"/>
      <c r="Y54" s="1038"/>
      <c r="Z54" s="1038"/>
      <c r="AA54" s="1626"/>
      <c r="AB54" s="1038"/>
      <c r="AC54" s="1038"/>
      <c r="AD54" s="1038"/>
      <c r="AE54" s="1038"/>
      <c r="AF54" s="1038"/>
      <c r="AG54" s="1038"/>
    </row>
    <row r="55" spans="1:33" ht="43.5" customHeight="1" x14ac:dyDescent="0.3">
      <c r="A55" s="1038"/>
      <c r="B55" s="1654" t="s">
        <v>45</v>
      </c>
      <c r="C55" s="1795" t="s">
        <v>68</v>
      </c>
      <c r="D55" s="1795" t="s">
        <v>69</v>
      </c>
      <c r="E55" s="1795" t="s">
        <v>70</v>
      </c>
      <c r="F55" s="1795" t="s">
        <v>71</v>
      </c>
      <c r="G55" s="1795" t="s">
        <v>72</v>
      </c>
      <c r="H55" s="1795" t="s">
        <v>73</v>
      </c>
      <c r="I55" s="1795" t="s">
        <v>74</v>
      </c>
      <c r="J55" s="1796" t="s">
        <v>75</v>
      </c>
      <c r="K55" s="1795" t="s">
        <v>76</v>
      </c>
      <c r="L55" s="1795" t="s">
        <v>77</v>
      </c>
      <c r="M55" s="1795" t="s">
        <v>78</v>
      </c>
      <c r="N55" s="1795" t="s">
        <v>79</v>
      </c>
      <c r="O55" s="1038"/>
      <c r="P55" s="1038"/>
      <c r="Q55" s="1038"/>
      <c r="R55" s="1038"/>
      <c r="S55" s="1038"/>
      <c r="T55" s="1626"/>
      <c r="U55" s="1626"/>
      <c r="V55" s="1038"/>
      <c r="W55" s="1038"/>
      <c r="X55" s="1038"/>
      <c r="Y55" s="1038"/>
      <c r="Z55" s="1038"/>
      <c r="AA55" s="1038"/>
      <c r="AB55" s="1038"/>
      <c r="AC55" s="1038"/>
      <c r="AD55" s="1038"/>
      <c r="AE55" s="1038"/>
      <c r="AF55" s="1038"/>
    </row>
    <row r="56" spans="1:33" ht="43.5" customHeight="1" x14ac:dyDescent="0.3">
      <c r="A56" s="1038"/>
      <c r="B56" s="1797" t="s">
        <v>20</v>
      </c>
      <c r="C56" s="1726">
        <v>3</v>
      </c>
      <c r="D56" s="1726">
        <v>3</v>
      </c>
      <c r="E56" s="1726">
        <v>2</v>
      </c>
      <c r="F56" s="1726">
        <v>1</v>
      </c>
      <c r="G56" s="1726">
        <v>2</v>
      </c>
      <c r="H56" s="1726"/>
      <c r="I56" s="1726"/>
      <c r="J56" s="1726"/>
      <c r="K56" s="1726"/>
      <c r="L56" s="1726"/>
      <c r="M56" s="1726"/>
      <c r="N56" s="1726">
        <v>2</v>
      </c>
      <c r="O56" s="1038"/>
      <c r="P56" s="1038"/>
      <c r="Q56" s="1038"/>
      <c r="R56" s="1038"/>
      <c r="S56" s="1038"/>
      <c r="T56" s="1626"/>
      <c r="U56" s="1626"/>
      <c r="V56" s="1038"/>
      <c r="W56" s="1038"/>
      <c r="X56" s="1038"/>
      <c r="Y56" s="1038"/>
      <c r="Z56" s="1038"/>
      <c r="AA56" s="1038"/>
      <c r="AB56" s="1038"/>
      <c r="AC56" s="1038"/>
      <c r="AD56" s="1038"/>
      <c r="AE56" s="1038"/>
      <c r="AF56" s="1038"/>
    </row>
    <row r="57" spans="1:33" ht="43.5" customHeight="1" x14ac:dyDescent="0.3">
      <c r="A57" s="1038"/>
      <c r="B57" s="1797" t="s">
        <v>21</v>
      </c>
      <c r="C57" s="1726">
        <v>3</v>
      </c>
      <c r="D57" s="1726">
        <v>3</v>
      </c>
      <c r="E57" s="1726">
        <v>2</v>
      </c>
      <c r="F57" s="1726">
        <v>1</v>
      </c>
      <c r="G57" s="1726">
        <v>2</v>
      </c>
      <c r="H57" s="1726">
        <v>1</v>
      </c>
      <c r="I57" s="1726"/>
      <c r="J57" s="1726"/>
      <c r="K57" s="1726"/>
      <c r="L57" s="1726"/>
      <c r="M57" s="1726"/>
      <c r="N57" s="1726">
        <v>2</v>
      </c>
      <c r="O57" s="1038"/>
      <c r="P57" s="1038"/>
      <c r="Q57" s="1038"/>
      <c r="R57" s="1038"/>
      <c r="S57" s="1038"/>
      <c r="T57" s="1626"/>
      <c r="U57" s="1626"/>
      <c r="V57" s="1038"/>
      <c r="W57" s="1038"/>
      <c r="X57" s="1038"/>
      <c r="Y57" s="1038"/>
      <c r="Z57" s="1038"/>
      <c r="AA57" s="1038"/>
      <c r="AB57" s="1038"/>
      <c r="AC57" s="1038"/>
      <c r="AD57" s="1038"/>
      <c r="AE57" s="1038"/>
      <c r="AF57" s="1038"/>
    </row>
    <row r="58" spans="1:33" ht="43.5" customHeight="1" x14ac:dyDescent="0.3">
      <c r="A58" s="1038"/>
      <c r="B58" s="1797" t="s">
        <v>23</v>
      </c>
      <c r="C58" s="1726">
        <v>3</v>
      </c>
      <c r="D58" s="1726">
        <v>3</v>
      </c>
      <c r="E58" s="1726">
        <v>3</v>
      </c>
      <c r="F58" s="1726">
        <v>1</v>
      </c>
      <c r="G58" s="1726">
        <v>3</v>
      </c>
      <c r="H58" s="1726">
        <v>2</v>
      </c>
      <c r="I58" s="1726"/>
      <c r="J58" s="1726"/>
      <c r="K58" s="1726"/>
      <c r="L58" s="1726"/>
      <c r="M58" s="1726"/>
      <c r="N58" s="1726">
        <v>2</v>
      </c>
      <c r="O58" s="1038"/>
      <c r="P58" s="1038"/>
      <c r="Q58" s="1038"/>
      <c r="R58" s="1038"/>
      <c r="S58" s="1038"/>
      <c r="T58" s="1626"/>
      <c r="U58" s="1626"/>
      <c r="V58" s="1038"/>
      <c r="W58" s="1038"/>
      <c r="X58" s="1038"/>
      <c r="Y58" s="1038"/>
      <c r="Z58" s="1038"/>
      <c r="AA58" s="1038"/>
      <c r="AB58" s="1038"/>
      <c r="AC58" s="1038"/>
      <c r="AD58" s="1038"/>
      <c r="AE58" s="1038"/>
      <c r="AF58" s="1038"/>
    </row>
    <row r="59" spans="1:33" ht="43.5" customHeight="1" x14ac:dyDescent="0.3">
      <c r="A59" s="1038"/>
      <c r="B59" s="1797" t="s">
        <v>25</v>
      </c>
      <c r="C59" s="1726">
        <v>2</v>
      </c>
      <c r="D59" s="1726">
        <v>2</v>
      </c>
      <c r="E59" s="1726">
        <v>3</v>
      </c>
      <c r="F59" s="1726">
        <v>1</v>
      </c>
      <c r="G59" s="1726">
        <v>1</v>
      </c>
      <c r="H59" s="1726"/>
      <c r="I59" s="1726"/>
      <c r="J59" s="1726"/>
      <c r="K59" s="1726"/>
      <c r="L59" s="1726"/>
      <c r="M59" s="1726"/>
      <c r="N59" s="1726">
        <v>2</v>
      </c>
      <c r="O59" s="1038"/>
      <c r="P59" s="1038"/>
      <c r="Q59" s="1038"/>
      <c r="R59" s="1038"/>
      <c r="S59" s="1038"/>
      <c r="T59" s="1626"/>
      <c r="U59" s="1626"/>
      <c r="V59" s="1038"/>
      <c r="W59" s="1038"/>
      <c r="X59" s="1038"/>
      <c r="Y59" s="1038"/>
      <c r="Z59" s="1038"/>
      <c r="AA59" s="1038"/>
      <c r="AB59" s="1038"/>
      <c r="AC59" s="1038"/>
      <c r="AD59" s="1038"/>
      <c r="AE59" s="1038"/>
      <c r="AF59" s="1038"/>
    </row>
    <row r="60" spans="1:33" ht="43.5" customHeight="1" x14ac:dyDescent="0.3">
      <c r="A60" s="1038"/>
      <c r="B60" s="1798" t="s">
        <v>10</v>
      </c>
      <c r="C60" s="1828">
        <f t="shared" ref="C60:H60" si="13">AVERAGE(C56:C59)</f>
        <v>2.75</v>
      </c>
      <c r="D60" s="1828">
        <f t="shared" si="13"/>
        <v>2.75</v>
      </c>
      <c r="E60" s="1828">
        <f t="shared" si="13"/>
        <v>2.5</v>
      </c>
      <c r="F60" s="1828">
        <f t="shared" si="13"/>
        <v>1</v>
      </c>
      <c r="G60" s="1828">
        <f t="shared" si="13"/>
        <v>2</v>
      </c>
      <c r="H60" s="1828">
        <f t="shared" si="13"/>
        <v>1.5</v>
      </c>
      <c r="I60" s="1828"/>
      <c r="J60" s="1828"/>
      <c r="K60" s="1828"/>
      <c r="L60" s="1828"/>
      <c r="M60" s="1828"/>
      <c r="N60" s="1828">
        <f>AVERAGE(N56:N59)</f>
        <v>2</v>
      </c>
      <c r="O60" s="1038"/>
      <c r="P60" s="1038"/>
      <c r="Q60" s="1038"/>
      <c r="R60" s="1038"/>
      <c r="S60" s="1038"/>
      <c r="T60" s="1626"/>
      <c r="U60" s="1626"/>
      <c r="V60" s="1038"/>
      <c r="W60" s="1038"/>
      <c r="X60" s="1038"/>
      <c r="Y60" s="1038"/>
      <c r="Z60" s="1038"/>
      <c r="AA60" s="1038"/>
      <c r="AB60" s="1038"/>
      <c r="AC60" s="1038"/>
      <c r="AD60" s="1038"/>
      <c r="AE60" s="1038"/>
      <c r="AF60" s="1038"/>
    </row>
    <row r="61" spans="1:33" ht="43.5" customHeight="1" x14ac:dyDescent="0.3">
      <c r="A61" s="1038"/>
      <c r="B61" s="1729" t="s">
        <v>58</v>
      </c>
      <c r="C61" s="3681">
        <f>AVERAGE(C60:N60)</f>
        <v>2.0714285714285716</v>
      </c>
      <c r="D61" s="3682"/>
      <c r="E61" s="3682"/>
      <c r="F61" s="3682"/>
      <c r="G61" s="3682"/>
      <c r="H61" s="3682"/>
      <c r="I61" s="3682"/>
      <c r="J61" s="3682"/>
      <c r="K61" s="3682"/>
      <c r="L61" s="3682"/>
      <c r="M61" s="3682"/>
      <c r="N61" s="3682"/>
      <c r="O61" s="3683"/>
      <c r="P61" s="1730"/>
      <c r="Q61" s="1730"/>
      <c r="R61" s="1730"/>
      <c r="S61" s="1038"/>
      <c r="T61" s="1038"/>
      <c r="U61" s="1038"/>
      <c r="V61" s="1038"/>
      <c r="W61" s="1038"/>
      <c r="X61" s="1038"/>
      <c r="Y61" s="1038"/>
      <c r="Z61" s="1038"/>
      <c r="AA61" s="1626"/>
      <c r="AB61" s="1038"/>
      <c r="AC61" s="1038"/>
      <c r="AD61" s="1038"/>
      <c r="AE61" s="1038"/>
      <c r="AF61" s="1038"/>
      <c r="AG61" s="1038"/>
    </row>
    <row r="62" spans="1:33" ht="43.5" customHeight="1" x14ac:dyDescent="0.3">
      <c r="A62" s="1038"/>
      <c r="B62" s="1038"/>
      <c r="C62" s="1731"/>
      <c r="D62" s="1038"/>
      <c r="E62" s="1038"/>
      <c r="F62" s="1038"/>
      <c r="G62" s="1038"/>
      <c r="H62" s="1038"/>
      <c r="I62" s="1038"/>
      <c r="J62" s="1038"/>
      <c r="K62" s="1038"/>
      <c r="L62" s="1038"/>
      <c r="M62" s="1038"/>
      <c r="N62" s="1626"/>
      <c r="O62" s="1038"/>
      <c r="P62" s="1038"/>
      <c r="Q62" s="1038"/>
      <c r="R62" s="1038"/>
      <c r="S62" s="1038"/>
      <c r="T62" s="1038"/>
      <c r="U62" s="1038"/>
      <c r="V62" s="1038"/>
      <c r="W62" s="1038"/>
      <c r="X62" s="1038"/>
      <c r="Y62" s="1038"/>
      <c r="Z62" s="1038"/>
      <c r="AA62" s="1626"/>
      <c r="AB62" s="1038"/>
      <c r="AC62" s="1038"/>
      <c r="AD62" s="1038"/>
      <c r="AE62" s="1038"/>
      <c r="AF62" s="1038"/>
      <c r="AG62" s="1038"/>
    </row>
    <row r="63" spans="1:33" ht="43.5" customHeight="1" x14ac:dyDescent="0.3">
      <c r="A63" s="1038"/>
      <c r="B63" s="1038"/>
      <c r="C63" s="1038"/>
      <c r="D63" s="1038"/>
      <c r="E63" s="1038"/>
      <c r="F63" s="1038"/>
      <c r="G63" s="1038"/>
      <c r="H63" s="1038"/>
      <c r="I63" s="1038"/>
      <c r="J63" s="1038"/>
      <c r="K63" s="1038"/>
      <c r="L63" s="1038"/>
      <c r="M63" s="1038"/>
      <c r="N63" s="1626"/>
      <c r="O63" s="1038"/>
      <c r="P63" s="1038"/>
      <c r="Q63" s="1038"/>
      <c r="R63" s="1038"/>
      <c r="S63" s="1038"/>
      <c r="T63" s="1038"/>
      <c r="U63" s="1038"/>
      <c r="V63" s="1038"/>
      <c r="W63" s="1038"/>
      <c r="X63" s="1038"/>
      <c r="Y63" s="1038"/>
      <c r="Z63" s="1038"/>
      <c r="AA63" s="1626"/>
      <c r="AB63" s="1038"/>
      <c r="AC63" s="1038"/>
      <c r="AD63" s="1038"/>
      <c r="AE63" s="1038"/>
      <c r="AF63" s="1038"/>
      <c r="AG63" s="1038"/>
    </row>
    <row r="64" spans="1:33" ht="43.5" customHeight="1" x14ac:dyDescent="0.3">
      <c r="A64" s="2775" t="s">
        <v>148</v>
      </c>
      <c r="B64" s="2775"/>
      <c r="C64" s="1038"/>
      <c r="D64" s="1038"/>
      <c r="E64" s="1038"/>
      <c r="F64" s="1038"/>
      <c r="G64" s="1038"/>
      <c r="H64" s="1038"/>
      <c r="I64" s="1038"/>
      <c r="J64" s="1038"/>
      <c r="K64" s="1038"/>
      <c r="L64" s="1038"/>
      <c r="M64" s="1038"/>
      <c r="N64" s="1626"/>
      <c r="O64" s="1038"/>
      <c r="P64" s="1038"/>
      <c r="Q64" s="1038"/>
      <c r="R64" s="1038"/>
      <c r="S64" s="1038"/>
      <c r="T64" s="1038"/>
      <c r="U64" s="1038"/>
      <c r="V64" s="1038"/>
      <c r="W64" s="1038"/>
      <c r="X64" s="1038"/>
      <c r="Y64" s="1038"/>
      <c r="Z64" s="1038"/>
      <c r="AA64" s="1626"/>
      <c r="AB64" s="1038"/>
      <c r="AC64" s="1038"/>
      <c r="AD64" s="1038"/>
      <c r="AE64" s="1038"/>
      <c r="AF64" s="1038"/>
      <c r="AG64" s="1038"/>
    </row>
    <row r="65" spans="1:33" ht="43.5" customHeight="1" x14ac:dyDescent="0.3">
      <c r="A65" s="1038"/>
      <c r="B65" s="1038"/>
      <c r="C65" s="1038"/>
      <c r="D65" s="1038"/>
      <c r="E65" s="1038"/>
      <c r="F65" s="1038"/>
      <c r="G65" s="1038"/>
      <c r="H65" s="1038"/>
      <c r="I65" s="1038"/>
      <c r="J65" s="1038"/>
      <c r="K65" s="1038"/>
      <c r="L65" s="1038"/>
      <c r="M65" s="1038"/>
      <c r="N65" s="1626"/>
      <c r="O65" s="1038"/>
      <c r="P65" s="1038"/>
      <c r="Q65" s="1038"/>
      <c r="R65" s="1038"/>
      <c r="S65" s="1038"/>
      <c r="T65" s="1038"/>
      <c r="U65" s="1038"/>
      <c r="V65" s="1038"/>
      <c r="W65" s="1038"/>
      <c r="X65" s="1038"/>
      <c r="Y65" s="1038"/>
      <c r="Z65" s="1038"/>
      <c r="AA65" s="1626"/>
      <c r="AB65" s="1038"/>
      <c r="AC65" s="1038"/>
      <c r="AD65" s="1038"/>
      <c r="AE65" s="1038"/>
      <c r="AF65" s="1038"/>
      <c r="AG65" s="1038"/>
    </row>
    <row r="66" spans="1:33" ht="43.5" customHeight="1" x14ac:dyDescent="0.3">
      <c r="A66" s="1038"/>
      <c r="B66" s="1654" t="s">
        <v>45</v>
      </c>
      <c r="C66" s="1795" t="s">
        <v>68</v>
      </c>
      <c r="D66" s="1795" t="s">
        <v>69</v>
      </c>
      <c r="E66" s="1795" t="s">
        <v>70</v>
      </c>
      <c r="F66" s="1795" t="s">
        <v>71</v>
      </c>
      <c r="G66" s="1795" t="s">
        <v>72</v>
      </c>
      <c r="H66" s="1795" t="s">
        <v>73</v>
      </c>
      <c r="I66" s="1795" t="s">
        <v>74</v>
      </c>
      <c r="J66" s="1796" t="s">
        <v>75</v>
      </c>
      <c r="K66" s="1795" t="s">
        <v>76</v>
      </c>
      <c r="L66" s="1795" t="s">
        <v>77</v>
      </c>
      <c r="M66" s="1795" t="s">
        <v>78</v>
      </c>
      <c r="N66" s="1795" t="s">
        <v>79</v>
      </c>
      <c r="O66" s="1038"/>
      <c r="P66" s="1038"/>
      <c r="Q66" s="1038"/>
      <c r="R66" s="1038"/>
      <c r="S66" s="1038"/>
      <c r="T66" s="1626"/>
      <c r="U66" s="1626"/>
      <c r="V66" s="1038"/>
      <c r="W66" s="1038"/>
      <c r="X66" s="1038"/>
      <c r="Y66" s="1038"/>
      <c r="Z66" s="1038"/>
      <c r="AA66" s="1038"/>
      <c r="AB66" s="1038"/>
      <c r="AC66" s="1038"/>
      <c r="AD66" s="1038"/>
      <c r="AE66" s="1038"/>
      <c r="AF66" s="1038"/>
    </row>
    <row r="67" spans="1:33" ht="43.5" customHeight="1" x14ac:dyDescent="0.3">
      <c r="A67" s="1038"/>
      <c r="B67" s="1797" t="s">
        <v>20</v>
      </c>
      <c r="C67" s="1732">
        <f>G47*C56/3</f>
        <v>2.2999999999999998</v>
      </c>
      <c r="D67" s="1732">
        <f>G47*D56/3</f>
        <v>2.2999999999999998</v>
      </c>
      <c r="E67" s="1732">
        <f>G47*E56/3</f>
        <v>1.5333333333333332</v>
      </c>
      <c r="F67" s="1732">
        <f>G47*F56/3</f>
        <v>0.76666666666666661</v>
      </c>
      <c r="G67" s="1732">
        <f>G47*G56/3</f>
        <v>1.5333333333333332</v>
      </c>
      <c r="H67" s="1732"/>
      <c r="I67" s="1732"/>
      <c r="J67" s="1732"/>
      <c r="K67" s="1732"/>
      <c r="L67" s="1732"/>
      <c r="M67" s="1732"/>
      <c r="N67" s="1732">
        <f>G47*N56/3</f>
        <v>1.5333333333333332</v>
      </c>
      <c r="O67" s="1038"/>
      <c r="P67" s="1038"/>
      <c r="Q67" s="1038"/>
      <c r="R67" s="1038"/>
      <c r="S67" s="1038"/>
      <c r="T67" s="1626"/>
      <c r="U67" s="1626"/>
      <c r="V67" s="1038"/>
      <c r="W67" s="1038"/>
      <c r="X67" s="1038"/>
      <c r="Y67" s="1038"/>
      <c r="Z67" s="1038"/>
      <c r="AA67" s="1038"/>
      <c r="AB67" s="1038"/>
      <c r="AC67" s="1038"/>
      <c r="AD67" s="1038"/>
      <c r="AE67" s="1038"/>
      <c r="AF67" s="1038"/>
    </row>
    <row r="68" spans="1:33" ht="43.5" customHeight="1" x14ac:dyDescent="0.3">
      <c r="A68" s="1038"/>
      <c r="B68" s="1797" t="s">
        <v>21</v>
      </c>
      <c r="C68" s="1732">
        <f>G48*C57/3</f>
        <v>2.9999999999999996</v>
      </c>
      <c r="D68" s="1732">
        <f>G48*D57/3</f>
        <v>2.9999999999999996</v>
      </c>
      <c r="E68" s="1732">
        <f>G48*E57/3</f>
        <v>1.9999999999999998</v>
      </c>
      <c r="F68" s="1732">
        <f>G48*F57/3</f>
        <v>0.99999999999999989</v>
      </c>
      <c r="G68" s="1732">
        <f>G48*G57/3</f>
        <v>1.9999999999999998</v>
      </c>
      <c r="H68" s="1732">
        <f>G48*H57/3</f>
        <v>0.99999999999999989</v>
      </c>
      <c r="I68" s="1732"/>
      <c r="J68" s="1732"/>
      <c r="K68" s="1732"/>
      <c r="L68" s="1732"/>
      <c r="M68" s="1732"/>
      <c r="N68" s="1732">
        <f>G48*N57/3</f>
        <v>1.9999999999999998</v>
      </c>
      <c r="O68" s="1038"/>
      <c r="P68" s="1038"/>
      <c r="Q68" s="1038"/>
      <c r="R68" s="1038"/>
      <c r="S68" s="1038"/>
      <c r="T68" s="1626"/>
      <c r="U68" s="1626"/>
      <c r="V68" s="1038"/>
      <c r="W68" s="1038"/>
      <c r="X68" s="1038"/>
      <c r="Y68" s="1038"/>
      <c r="Z68" s="1038"/>
      <c r="AA68" s="1038"/>
      <c r="AB68" s="1038"/>
      <c r="AC68" s="1038"/>
      <c r="AD68" s="1038"/>
      <c r="AE68" s="1038"/>
      <c r="AF68" s="1038"/>
    </row>
    <row r="69" spans="1:33" ht="43.5" customHeight="1" x14ac:dyDescent="0.3">
      <c r="A69" s="1038"/>
      <c r="B69" s="1797" t="s">
        <v>23</v>
      </c>
      <c r="C69" s="1732">
        <f>G49*C58/3</f>
        <v>2.2999999999999998</v>
      </c>
      <c r="D69" s="1732">
        <f>G49*D58/3</f>
        <v>2.2999999999999998</v>
      </c>
      <c r="E69" s="1732">
        <f>G49*E58/3</f>
        <v>2.2999999999999998</v>
      </c>
      <c r="F69" s="1732">
        <f>G49*F58/3</f>
        <v>0.76666666666666661</v>
      </c>
      <c r="G69" s="1732">
        <f>G49*G58/3</f>
        <v>2.2999999999999998</v>
      </c>
      <c r="H69" s="1732">
        <f>G49*H58/3</f>
        <v>1.5333333333333332</v>
      </c>
      <c r="I69" s="1732"/>
      <c r="J69" s="1732"/>
      <c r="K69" s="1732"/>
      <c r="L69" s="1732"/>
      <c r="M69" s="1732"/>
      <c r="N69" s="1732">
        <f>G49*N58/3</f>
        <v>1.5333333333333332</v>
      </c>
      <c r="O69" s="1038"/>
      <c r="P69" s="1038"/>
      <c r="Q69" s="1038"/>
      <c r="R69" s="1038"/>
      <c r="S69" s="1038"/>
      <c r="T69" s="1626"/>
      <c r="U69" s="1626"/>
      <c r="V69" s="1038"/>
      <c r="W69" s="1038"/>
      <c r="X69" s="1038"/>
      <c r="Y69" s="1038"/>
      <c r="Z69" s="1038"/>
      <c r="AA69" s="1038"/>
      <c r="AB69" s="1038"/>
      <c r="AC69" s="1038"/>
      <c r="AD69" s="1038"/>
      <c r="AE69" s="1038"/>
      <c r="AF69" s="1038"/>
    </row>
    <row r="70" spans="1:33" ht="43.5" customHeight="1" x14ac:dyDescent="0.3">
      <c r="A70" s="1038"/>
      <c r="B70" s="1797" t="s">
        <v>25</v>
      </c>
      <c r="C70" s="1732">
        <f>G50*C59/3</f>
        <v>0.93333333333333324</v>
      </c>
      <c r="D70" s="1732">
        <f>G50*D59/3</f>
        <v>0.93333333333333324</v>
      </c>
      <c r="E70" s="1732">
        <f>G50*E59/3</f>
        <v>1.3999999999999997</v>
      </c>
      <c r="F70" s="1732">
        <f>G50*F59/3</f>
        <v>0.46666666666666662</v>
      </c>
      <c r="G70" s="1732">
        <f>G50*G59/3</f>
        <v>0.46666666666666662</v>
      </c>
      <c r="H70" s="1732"/>
      <c r="I70" s="1732"/>
      <c r="J70" s="1732"/>
      <c r="K70" s="1732"/>
      <c r="L70" s="1732"/>
      <c r="M70" s="1732"/>
      <c r="N70" s="1732">
        <f>G50*N59/3</f>
        <v>0.93333333333333324</v>
      </c>
      <c r="O70" s="1038"/>
      <c r="P70" s="1038"/>
      <c r="Q70" s="1038"/>
      <c r="R70" s="1038"/>
      <c r="S70" s="1038"/>
      <c r="T70" s="1626"/>
      <c r="U70" s="1626"/>
      <c r="V70" s="1038"/>
      <c r="W70" s="1038"/>
      <c r="X70" s="1038"/>
      <c r="Y70" s="1038"/>
      <c r="Z70" s="1038"/>
      <c r="AA70" s="1038"/>
      <c r="AB70" s="1038"/>
      <c r="AC70" s="1038"/>
      <c r="AD70" s="1038"/>
      <c r="AE70" s="1038"/>
      <c r="AF70" s="1038"/>
    </row>
    <row r="71" spans="1:33" ht="43.5" customHeight="1" x14ac:dyDescent="0.3">
      <c r="A71" s="1038"/>
      <c r="B71" s="1798" t="s">
        <v>10</v>
      </c>
      <c r="C71" s="1799">
        <f t="shared" ref="C71:N71" si="14">AVERAGE(C67:C70)</f>
        <v>2.1333333333333329</v>
      </c>
      <c r="D71" s="1799">
        <f t="shared" si="14"/>
        <v>2.1333333333333329</v>
      </c>
      <c r="E71" s="1799">
        <f t="shared" si="14"/>
        <v>1.8083333333333331</v>
      </c>
      <c r="F71" s="1799">
        <f t="shared" si="14"/>
        <v>0.75</v>
      </c>
      <c r="G71" s="1799">
        <f t="shared" si="14"/>
        <v>1.575</v>
      </c>
      <c r="H71" s="1799">
        <f t="shared" si="14"/>
        <v>1.2666666666666666</v>
      </c>
      <c r="I71" s="1799"/>
      <c r="J71" s="1799"/>
      <c r="K71" s="1799"/>
      <c r="L71" s="1799"/>
      <c r="M71" s="1799"/>
      <c r="N71" s="1799">
        <f t="shared" si="14"/>
        <v>1.5</v>
      </c>
      <c r="O71" s="1038"/>
      <c r="P71" s="1038"/>
      <c r="Q71" s="1038"/>
      <c r="R71" s="1038"/>
      <c r="S71" s="1038"/>
      <c r="T71" s="1626"/>
      <c r="U71" s="1626"/>
      <c r="V71" s="1038"/>
      <c r="W71" s="1038"/>
      <c r="X71" s="1038"/>
      <c r="Y71" s="1038"/>
      <c r="Z71" s="1038"/>
      <c r="AA71" s="1038"/>
      <c r="AB71" s="1038"/>
      <c r="AC71" s="1038"/>
      <c r="AD71" s="1038"/>
      <c r="AE71" s="1038"/>
      <c r="AF71" s="1038"/>
    </row>
    <row r="72" spans="1:33" ht="43.5" customHeight="1" x14ac:dyDescent="0.3">
      <c r="A72" s="1038"/>
      <c r="B72" s="1729" t="s">
        <v>58</v>
      </c>
      <c r="C72" s="3752">
        <f>AVERAGE(C71:N71)</f>
        <v>1.5952380952380949</v>
      </c>
      <c r="D72" s="3743"/>
      <c r="E72" s="3743"/>
      <c r="F72" s="3743"/>
      <c r="G72" s="3743"/>
      <c r="H72" s="3743"/>
      <c r="I72" s="3743"/>
      <c r="J72" s="3743"/>
      <c r="K72" s="3743"/>
      <c r="L72" s="3743"/>
      <c r="M72" s="3743"/>
      <c r="N72" s="3743"/>
      <c r="O72" s="3753"/>
      <c r="P72" s="1733"/>
      <c r="Q72" s="1733"/>
      <c r="R72" s="1733"/>
      <c r="S72" s="1038"/>
      <c r="T72" s="1038"/>
      <c r="U72" s="1038"/>
      <c r="V72" s="1038"/>
      <c r="W72" s="1038"/>
      <c r="X72" s="1038"/>
      <c r="Y72" s="1038"/>
      <c r="Z72" s="1038"/>
      <c r="AA72" s="1626"/>
      <c r="AB72" s="1038"/>
      <c r="AC72" s="1038"/>
      <c r="AD72" s="1038"/>
      <c r="AE72" s="1038"/>
      <c r="AF72" s="1038"/>
      <c r="AG72" s="1038"/>
    </row>
    <row r="73" spans="1:33" ht="43.5" customHeight="1" x14ac:dyDescent="0.3">
      <c r="A73" s="1038"/>
      <c r="B73" s="1038"/>
      <c r="C73" s="1038"/>
      <c r="D73" s="1038"/>
      <c r="E73" s="1038"/>
      <c r="F73" s="1038"/>
      <c r="G73" s="1038"/>
      <c r="H73" s="1038"/>
      <c r="I73" s="1038"/>
      <c r="J73" s="1038"/>
      <c r="K73" s="1038"/>
      <c r="L73" s="1038"/>
      <c r="M73" s="1038"/>
      <c r="N73" s="1626"/>
      <c r="O73" s="1038"/>
      <c r="P73" s="1038"/>
      <c r="Q73" s="1038"/>
      <c r="R73" s="1038"/>
      <c r="S73" s="1038"/>
      <c r="T73" s="1038"/>
      <c r="U73" s="1038"/>
      <c r="V73" s="1038"/>
      <c r="W73" s="1038"/>
      <c r="X73" s="1038"/>
      <c r="Y73" s="1038"/>
      <c r="Z73" s="1038"/>
      <c r="AA73" s="1626"/>
      <c r="AB73" s="1038"/>
      <c r="AC73" s="1038"/>
      <c r="AD73" s="1038"/>
      <c r="AE73" s="1038"/>
      <c r="AF73" s="1038"/>
      <c r="AG73" s="1038"/>
    </row>
    <row r="74" spans="1:33" ht="43.5" customHeight="1" x14ac:dyDescent="0.3">
      <c r="A74" s="2775" t="s">
        <v>137</v>
      </c>
      <c r="B74" s="2775"/>
      <c r="C74" s="1721"/>
      <c r="D74" s="1721"/>
      <c r="E74" s="1038"/>
      <c r="F74" s="1038"/>
      <c r="G74" s="1038"/>
      <c r="H74" s="1038"/>
      <c r="I74" s="1038"/>
      <c r="J74" s="1038"/>
      <c r="K74" s="1038"/>
      <c r="L74" s="2775" t="s">
        <v>149</v>
      </c>
      <c r="M74" s="2775"/>
      <c r="N74" s="2775"/>
      <c r="O74" s="1721"/>
      <c r="P74" s="1721"/>
      <c r="Q74" s="1038"/>
      <c r="R74" s="1038"/>
      <c r="S74" s="1038"/>
      <c r="T74" s="1038"/>
      <c r="U74" s="1038"/>
      <c r="V74" s="1038"/>
      <c r="W74" s="1038"/>
      <c r="X74" s="1038"/>
      <c r="Y74" s="1038"/>
      <c r="Z74" s="1038"/>
      <c r="AA74" s="1626"/>
      <c r="AB74" s="1038"/>
      <c r="AC74" s="1038"/>
      <c r="AD74" s="1038"/>
      <c r="AE74" s="1038"/>
      <c r="AF74" s="1038"/>
      <c r="AG74" s="1038"/>
    </row>
    <row r="75" spans="1:33" ht="43.5" customHeight="1" x14ac:dyDescent="0.3">
      <c r="A75" s="1039"/>
      <c r="B75" s="1039"/>
      <c r="C75" s="1721"/>
      <c r="D75" s="1721"/>
      <c r="E75" s="1038"/>
      <c r="F75" s="1038"/>
      <c r="G75" s="1038"/>
      <c r="H75" s="1038"/>
      <c r="I75" s="1038"/>
      <c r="J75" s="1038"/>
      <c r="K75" s="1038"/>
      <c r="L75" s="1039"/>
      <c r="M75" s="1039"/>
      <c r="N75" s="1724"/>
      <c r="O75" s="1721"/>
      <c r="P75" s="1721"/>
      <c r="Q75" s="1038"/>
      <c r="R75" s="1038"/>
      <c r="S75" s="1038"/>
      <c r="T75" s="1038"/>
      <c r="U75" s="1038"/>
      <c r="V75" s="1038"/>
      <c r="W75" s="1038"/>
      <c r="X75" s="1038"/>
      <c r="Y75" s="1038"/>
      <c r="Z75" s="1038"/>
      <c r="AA75" s="1626"/>
      <c r="AB75" s="1038"/>
      <c r="AC75" s="1038"/>
      <c r="AD75" s="1038"/>
      <c r="AE75" s="1038"/>
      <c r="AF75" s="1038"/>
      <c r="AG75" s="1038"/>
    </row>
    <row r="76" spans="1:33" ht="43.5" customHeight="1" x14ac:dyDescent="0.3">
      <c r="A76" s="1038"/>
      <c r="B76" s="1654" t="s">
        <v>59</v>
      </c>
      <c r="C76" s="1795" t="s">
        <v>60</v>
      </c>
      <c r="D76" s="1795" t="s">
        <v>61</v>
      </c>
      <c r="E76" s="1795" t="s">
        <v>62</v>
      </c>
      <c r="F76" s="1038"/>
      <c r="G76" s="1038"/>
      <c r="H76" s="1038"/>
      <c r="I76" s="1038"/>
      <c r="J76" s="1038"/>
      <c r="K76" s="1038"/>
      <c r="L76" s="1038"/>
      <c r="M76" s="1038"/>
      <c r="N76" s="1734" t="s">
        <v>59</v>
      </c>
      <c r="O76" s="1795" t="s">
        <v>60</v>
      </c>
      <c r="P76" s="1795" t="s">
        <v>61</v>
      </c>
      <c r="Q76" s="1795" t="s">
        <v>62</v>
      </c>
      <c r="R76" s="1038"/>
      <c r="S76" s="1038"/>
      <c r="T76" s="1038"/>
      <c r="U76" s="1038"/>
      <c r="V76" s="1038"/>
      <c r="W76" s="1038"/>
      <c r="X76" s="1038"/>
      <c r="Y76" s="1038"/>
      <c r="Z76" s="1038"/>
      <c r="AA76" s="1626"/>
      <c r="AB76" s="1038"/>
      <c r="AC76" s="1038"/>
      <c r="AD76" s="1038"/>
      <c r="AE76" s="1038"/>
      <c r="AF76" s="1038"/>
      <c r="AG76" s="1038"/>
    </row>
    <row r="77" spans="1:33" ht="43.5" customHeight="1" x14ac:dyDescent="0.3">
      <c r="A77" s="1038"/>
      <c r="B77" s="1735" t="s">
        <v>20</v>
      </c>
      <c r="C77" s="1726">
        <v>3</v>
      </c>
      <c r="D77" s="1726">
        <v>2</v>
      </c>
      <c r="E77" s="1726"/>
      <c r="F77" s="1038"/>
      <c r="G77" s="1038"/>
      <c r="H77" s="1038"/>
      <c r="I77" s="1038"/>
      <c r="J77" s="1038"/>
      <c r="K77" s="1038"/>
      <c r="L77" s="1038"/>
      <c r="M77" s="1038"/>
      <c r="N77" s="1736" t="s">
        <v>20</v>
      </c>
      <c r="O77" s="1732">
        <f>G47*C77/3</f>
        <v>2.2999999999999998</v>
      </c>
      <c r="P77" s="1732">
        <f>G47*D77/3</f>
        <v>1.5333333333333332</v>
      </c>
      <c r="Q77" s="1732"/>
      <c r="R77" s="1038"/>
      <c r="S77" s="1038"/>
      <c r="T77" s="1038"/>
      <c r="U77" s="1038"/>
      <c r="V77" s="1038"/>
      <c r="W77" s="1038"/>
      <c r="X77" s="1038"/>
      <c r="Y77" s="1038"/>
      <c r="Z77" s="1038"/>
      <c r="AA77" s="1626"/>
      <c r="AB77" s="1038"/>
      <c r="AC77" s="1038"/>
      <c r="AD77" s="1038"/>
      <c r="AE77" s="1038"/>
      <c r="AF77" s="1038"/>
      <c r="AG77" s="1038"/>
    </row>
    <row r="78" spans="1:33" ht="43.5" customHeight="1" x14ac:dyDescent="0.3">
      <c r="A78" s="1038"/>
      <c r="B78" s="1797" t="s">
        <v>21</v>
      </c>
      <c r="C78" s="1726">
        <v>3</v>
      </c>
      <c r="D78" s="1726">
        <v>2</v>
      </c>
      <c r="E78" s="1726">
        <v>1</v>
      </c>
      <c r="F78" s="1038"/>
      <c r="G78" s="1038"/>
      <c r="H78" s="1038"/>
      <c r="I78" s="1038"/>
      <c r="J78" s="1038"/>
      <c r="K78" s="1038"/>
      <c r="L78" s="1038"/>
      <c r="M78" s="1038"/>
      <c r="N78" s="1800" t="s">
        <v>21</v>
      </c>
      <c r="O78" s="1732">
        <f>G48*C78/3</f>
        <v>2.9999999999999996</v>
      </c>
      <c r="P78" s="1732">
        <f>G48*D78/3</f>
        <v>1.9999999999999998</v>
      </c>
      <c r="Q78" s="1732">
        <f>G48*E78/3</f>
        <v>0.99999999999999989</v>
      </c>
      <c r="R78" s="1038"/>
      <c r="S78" s="1038"/>
      <c r="T78" s="1038"/>
      <c r="U78" s="1038"/>
      <c r="V78" s="1038"/>
      <c r="W78" s="1038"/>
      <c r="X78" s="1038"/>
      <c r="Y78" s="1038"/>
      <c r="Z78" s="1038"/>
      <c r="AA78" s="1626"/>
      <c r="AB78" s="1038"/>
      <c r="AC78" s="1038"/>
      <c r="AD78" s="1038"/>
      <c r="AE78" s="1038"/>
      <c r="AF78" s="1038"/>
      <c r="AG78" s="1038"/>
    </row>
    <row r="79" spans="1:33" ht="43.5" customHeight="1" x14ac:dyDescent="0.3">
      <c r="A79" s="1038"/>
      <c r="B79" s="1797" t="s">
        <v>23</v>
      </c>
      <c r="C79" s="1726">
        <v>3</v>
      </c>
      <c r="D79" s="1726">
        <v>3</v>
      </c>
      <c r="E79" s="1726">
        <v>1</v>
      </c>
      <c r="F79" s="1038"/>
      <c r="G79" s="1038"/>
      <c r="H79" s="1038"/>
      <c r="I79" s="1038"/>
      <c r="J79" s="1038"/>
      <c r="K79" s="1038"/>
      <c r="L79" s="1038"/>
      <c r="M79" s="1038"/>
      <c r="N79" s="1800" t="s">
        <v>23</v>
      </c>
      <c r="O79" s="1732">
        <f>G49*C79/3</f>
        <v>2.2999999999999998</v>
      </c>
      <c r="P79" s="1732">
        <f>G49*D79/3</f>
        <v>2.2999999999999998</v>
      </c>
      <c r="Q79" s="1732">
        <f>G49*E79/3</f>
        <v>0.76666666666666661</v>
      </c>
      <c r="R79" s="1038"/>
      <c r="S79" s="1038"/>
      <c r="T79" s="1038"/>
      <c r="U79" s="1038"/>
      <c r="V79" s="1038"/>
      <c r="W79" s="1038"/>
      <c r="X79" s="1038"/>
      <c r="Y79" s="1038"/>
      <c r="Z79" s="1038"/>
      <c r="AA79" s="1626"/>
      <c r="AB79" s="1038"/>
      <c r="AC79" s="1038"/>
      <c r="AD79" s="1038"/>
      <c r="AE79" s="1038"/>
      <c r="AF79" s="1038"/>
      <c r="AG79" s="1038"/>
    </row>
    <row r="80" spans="1:33" ht="43.5" customHeight="1" x14ac:dyDescent="0.3">
      <c r="A80" s="1038"/>
      <c r="B80" s="1797" t="s">
        <v>25</v>
      </c>
      <c r="C80" s="1726">
        <v>2</v>
      </c>
      <c r="D80" s="1726">
        <v>2</v>
      </c>
      <c r="E80" s="1726"/>
      <c r="F80" s="1038"/>
      <c r="G80" s="1038"/>
      <c r="H80" s="1038"/>
      <c r="I80" s="1038"/>
      <c r="J80" s="1038"/>
      <c r="K80" s="1038"/>
      <c r="L80" s="1038"/>
      <c r="M80" s="1038"/>
      <c r="N80" s="1800" t="s">
        <v>25</v>
      </c>
      <c r="O80" s="1732">
        <f>G50*C80/3</f>
        <v>0.93333333333333324</v>
      </c>
      <c r="P80" s="1732">
        <f>G50*D80/3</f>
        <v>0.93333333333333324</v>
      </c>
      <c r="Q80" s="1732"/>
      <c r="R80" s="1038"/>
      <c r="S80" s="1038"/>
      <c r="T80" s="1038"/>
      <c r="U80" s="1038"/>
      <c r="V80" s="1038"/>
      <c r="W80" s="1038"/>
      <c r="X80" s="1038"/>
      <c r="Y80" s="1038"/>
      <c r="Z80" s="1038"/>
      <c r="AA80" s="1626"/>
      <c r="AB80" s="1038"/>
      <c r="AC80" s="1038"/>
      <c r="AD80" s="1038"/>
      <c r="AE80" s="1038"/>
      <c r="AF80" s="1038"/>
      <c r="AG80" s="1038"/>
    </row>
    <row r="81" spans="1:33" ht="43.5" customHeight="1" x14ac:dyDescent="0.3">
      <c r="A81" s="1038"/>
      <c r="B81" s="1756" t="s">
        <v>10</v>
      </c>
      <c r="C81" s="1739">
        <f>AVERAGE(C77:C80)</f>
        <v>2.75</v>
      </c>
      <c r="D81" s="1739">
        <f>AVERAGE(D77:D80)</f>
        <v>2.25</v>
      </c>
      <c r="E81" s="1739">
        <f>AVERAGE(E77:E80)</f>
        <v>1</v>
      </c>
      <c r="F81" s="1038"/>
      <c r="G81" s="1038"/>
      <c r="H81" s="1038"/>
      <c r="I81" s="1038"/>
      <c r="J81" s="1038"/>
      <c r="K81" s="1038"/>
      <c r="L81" s="1038"/>
      <c r="M81" s="1038"/>
      <c r="N81" s="1752" t="s">
        <v>10</v>
      </c>
      <c r="O81" s="1732">
        <f>AVERAGE(O77:O80)</f>
        <v>2.1333333333333329</v>
      </c>
      <c r="P81" s="1732">
        <f>AVERAGE(P77:P80)</f>
        <v>1.6916666666666667</v>
      </c>
      <c r="Q81" s="1732">
        <f>AVERAGE(Q77:Q80)</f>
        <v>0.8833333333333333</v>
      </c>
      <c r="R81" s="1038"/>
      <c r="S81" s="1038"/>
      <c r="T81" s="1038"/>
      <c r="U81" s="1038"/>
      <c r="V81" s="1038"/>
      <c r="W81" s="1038"/>
      <c r="X81" s="1038"/>
      <c r="Y81" s="1038"/>
      <c r="Z81" s="1038"/>
      <c r="AA81" s="1626"/>
      <c r="AB81" s="1038"/>
      <c r="AC81" s="1038"/>
      <c r="AD81" s="1038"/>
      <c r="AE81" s="1038"/>
      <c r="AF81" s="1038"/>
      <c r="AG81" s="1038"/>
    </row>
    <row r="82" spans="1:33" ht="43.5" customHeight="1" x14ac:dyDescent="0.3">
      <c r="A82" s="1716"/>
      <c r="B82" s="1752" t="s">
        <v>58</v>
      </c>
      <c r="C82" s="3681">
        <f>AVERAGE(C81:E81)</f>
        <v>2</v>
      </c>
      <c r="D82" s="3682"/>
      <c r="E82" s="3683"/>
      <c r="F82" s="1716"/>
      <c r="G82" s="1716"/>
      <c r="H82" s="1716"/>
      <c r="I82" s="1716"/>
      <c r="J82" s="1716"/>
      <c r="K82" s="1716"/>
      <c r="L82" s="1716"/>
      <c r="M82" s="1716"/>
      <c r="N82" s="1802" t="s">
        <v>58</v>
      </c>
      <c r="O82" s="3681">
        <f>AVERAGE(O81:Q81)</f>
        <v>1.569444444444444</v>
      </c>
      <c r="P82" s="3682"/>
      <c r="Q82" s="3683"/>
      <c r="R82" s="1716"/>
      <c r="S82" s="1038"/>
      <c r="T82" s="1038"/>
      <c r="U82" s="1038"/>
      <c r="V82" s="1038"/>
      <c r="W82" s="1038"/>
      <c r="X82" s="1038"/>
      <c r="Y82" s="1038"/>
      <c r="Z82" s="1038"/>
      <c r="AA82" s="1626"/>
      <c r="AB82" s="1038"/>
      <c r="AC82" s="1038"/>
      <c r="AD82" s="1038"/>
      <c r="AE82" s="1038"/>
      <c r="AF82" s="1038"/>
      <c r="AG82" s="1038"/>
    </row>
    <row r="83" spans="1:33" ht="43.5" customHeight="1" x14ac:dyDescent="0.3">
      <c r="A83" s="1038"/>
      <c r="B83" s="1038"/>
      <c r="C83" s="1038"/>
      <c r="D83" s="1038"/>
      <c r="E83" s="1038"/>
      <c r="F83" s="1038"/>
      <c r="G83" s="1038"/>
      <c r="H83" s="1038"/>
      <c r="I83" s="1038"/>
      <c r="J83" s="1038"/>
      <c r="K83" s="1038"/>
      <c r="L83" s="1038"/>
      <c r="M83" s="1038"/>
      <c r="N83" s="1626"/>
      <c r="O83" s="1038"/>
      <c r="P83" s="1038"/>
      <c r="Q83" s="1038"/>
      <c r="R83" s="1038"/>
      <c r="S83" s="1038"/>
      <c r="T83" s="1038"/>
      <c r="U83" s="1038"/>
      <c r="V83" s="1038"/>
      <c r="W83" s="1038"/>
      <c r="X83" s="1038"/>
      <c r="Y83" s="1038"/>
      <c r="Z83" s="1038"/>
      <c r="AA83" s="1626"/>
      <c r="AB83" s="1038"/>
      <c r="AC83" s="1038"/>
      <c r="AD83" s="1038"/>
      <c r="AE83" s="1038"/>
      <c r="AF83" s="1038"/>
      <c r="AG83" s="1038"/>
    </row>
    <row r="84" spans="1:33" ht="43.5" customHeight="1" x14ac:dyDescent="0.3">
      <c r="A84" s="1038"/>
      <c r="B84" s="1038"/>
      <c r="C84" s="1038"/>
      <c r="D84" s="1038"/>
      <c r="E84" s="1038"/>
      <c r="F84" s="1038"/>
      <c r="G84" s="1038"/>
      <c r="H84" s="1038"/>
      <c r="I84" s="1038"/>
      <c r="J84" s="1038"/>
      <c r="K84" s="1038"/>
      <c r="L84" s="1038"/>
      <c r="M84" s="1038"/>
      <c r="N84" s="1626"/>
      <c r="O84" s="1038"/>
      <c r="P84" s="1038"/>
      <c r="Q84" s="1038"/>
      <c r="R84" s="1038"/>
      <c r="S84" s="1038"/>
      <c r="T84" s="1038"/>
      <c r="U84" s="1038"/>
      <c r="V84" s="1038"/>
      <c r="W84" s="1038"/>
      <c r="X84" s="1038"/>
      <c r="Y84" s="1038"/>
      <c r="Z84" s="1038"/>
      <c r="AA84" s="1626"/>
      <c r="AB84" s="1038"/>
      <c r="AC84" s="1038"/>
      <c r="AD84" s="1038"/>
      <c r="AE84" s="1038"/>
      <c r="AF84" s="1038"/>
      <c r="AG84" s="1038"/>
    </row>
    <row r="85" spans="1:33" ht="43.5" customHeight="1" x14ac:dyDescent="0.3">
      <c r="A85" s="3747"/>
      <c r="B85" s="3747"/>
      <c r="C85" s="3747"/>
      <c r="D85" s="3747"/>
      <c r="E85" s="3747"/>
      <c r="F85" s="3747"/>
      <c r="G85" s="3747"/>
      <c r="H85" s="3747"/>
      <c r="I85" s="3747"/>
      <c r="J85" s="3747"/>
      <c r="K85" s="3747"/>
      <c r="L85" s="3747"/>
      <c r="M85" s="3747"/>
      <c r="N85" s="3747"/>
      <c r="O85" s="3747"/>
      <c r="P85" s="3747"/>
      <c r="Q85" s="3747"/>
      <c r="R85" s="3747"/>
      <c r="S85" s="1038"/>
      <c r="T85" s="1038"/>
      <c r="U85" s="1038"/>
      <c r="V85" s="1038"/>
      <c r="W85" s="1038"/>
      <c r="X85" s="1038"/>
      <c r="Y85" s="1038"/>
      <c r="Z85" s="1038"/>
      <c r="AA85" s="1626"/>
      <c r="AB85" s="1038"/>
      <c r="AC85" s="1038"/>
      <c r="AD85" s="1038"/>
      <c r="AE85" s="1038"/>
      <c r="AF85" s="1038"/>
      <c r="AG85" s="1038"/>
    </row>
    <row r="86" spans="1:33" ht="43.5" customHeight="1" x14ac:dyDescent="0.3">
      <c r="A86" s="1742"/>
      <c r="B86" s="1742"/>
      <c r="C86" s="1742"/>
      <c r="D86" s="1742"/>
      <c r="E86" s="1742"/>
      <c r="F86" s="1742"/>
      <c r="G86" s="1742"/>
      <c r="H86" s="1742"/>
      <c r="I86" s="1742"/>
      <c r="J86" s="1742"/>
      <c r="K86" s="1742"/>
      <c r="L86" s="1742"/>
      <c r="M86" s="1742"/>
      <c r="N86" s="1742"/>
      <c r="O86" s="1742"/>
      <c r="P86" s="1742"/>
      <c r="Q86" s="1742"/>
      <c r="R86" s="1742"/>
      <c r="S86" s="1038"/>
      <c r="T86" s="1038"/>
      <c r="U86" s="1038"/>
      <c r="V86" s="1038"/>
      <c r="W86" s="1038"/>
      <c r="X86" s="1038"/>
      <c r="Y86" s="1038"/>
      <c r="Z86" s="1038"/>
      <c r="AA86" s="1626"/>
      <c r="AB86" s="1038"/>
      <c r="AC86" s="1038"/>
      <c r="AD86" s="1038"/>
      <c r="AE86" s="1038"/>
      <c r="AF86" s="1038"/>
      <c r="AG86" s="1038"/>
    </row>
    <row r="87" spans="1:33" ht="43.5" customHeight="1" x14ac:dyDescent="0.3">
      <c r="A87" s="3741"/>
      <c r="B87" s="3741"/>
      <c r="C87" s="3741"/>
      <c r="D87" s="3741"/>
      <c r="E87" s="3741"/>
      <c r="F87" s="3741"/>
      <c r="G87" s="3741"/>
      <c r="H87" s="3741"/>
      <c r="I87" s="3741"/>
      <c r="J87" s="3741"/>
      <c r="K87" s="3741"/>
      <c r="L87" s="3741"/>
      <c r="M87" s="3741"/>
      <c r="N87" s="3741"/>
      <c r="O87" s="3741"/>
      <c r="P87" s="3741"/>
      <c r="Q87" s="3741"/>
      <c r="R87" s="3741"/>
      <c r="S87" s="1038"/>
      <c r="T87" s="1038"/>
      <c r="U87" s="1038"/>
      <c r="V87" s="1038"/>
      <c r="W87" s="1038"/>
      <c r="X87" s="1038"/>
      <c r="Y87" s="1038"/>
      <c r="Z87" s="1038"/>
      <c r="AA87" s="1626"/>
      <c r="AB87" s="1038"/>
      <c r="AC87" s="1038"/>
      <c r="AD87" s="1038"/>
      <c r="AE87" s="1038"/>
      <c r="AF87" s="1038"/>
      <c r="AG87" s="1038"/>
    </row>
    <row r="88" spans="1:33" ht="43.5" customHeight="1" x14ac:dyDescent="0.3">
      <c r="A88" s="3741"/>
      <c r="B88" s="3741"/>
      <c r="C88" s="3741"/>
      <c r="D88" s="3741"/>
      <c r="E88" s="3741"/>
      <c r="F88" s="3741"/>
      <c r="G88" s="3741"/>
      <c r="H88" s="3741"/>
      <c r="I88" s="3741"/>
      <c r="J88" s="3741"/>
      <c r="K88" s="3741"/>
      <c r="L88" s="3741"/>
      <c r="M88" s="3741"/>
      <c r="N88" s="3741"/>
      <c r="O88" s="3741"/>
      <c r="P88" s="3741"/>
      <c r="Q88" s="3741"/>
      <c r="R88" s="3741"/>
      <c r="S88" s="1038"/>
      <c r="T88" s="1038"/>
      <c r="U88" s="1038"/>
      <c r="V88" s="1038"/>
      <c r="W88" s="1038"/>
      <c r="X88" s="1038"/>
      <c r="Y88" s="1038"/>
      <c r="Z88" s="1038"/>
      <c r="AA88" s="1626"/>
      <c r="AB88" s="1038"/>
      <c r="AC88" s="1038"/>
      <c r="AD88" s="1038"/>
      <c r="AE88" s="1038"/>
      <c r="AF88" s="1038"/>
      <c r="AG88" s="1038"/>
    </row>
    <row r="89" spans="1:33" ht="43.5" customHeight="1" x14ac:dyDescent="0.3">
      <c r="A89" s="3741"/>
      <c r="B89" s="3741"/>
      <c r="C89" s="3741"/>
      <c r="D89" s="3741"/>
      <c r="E89" s="3741"/>
      <c r="F89" s="3741"/>
      <c r="G89" s="3741"/>
      <c r="H89" s="3741"/>
      <c r="I89" s="3741"/>
      <c r="J89" s="3741"/>
      <c r="K89" s="3741"/>
      <c r="L89" s="3741"/>
      <c r="M89" s="3741"/>
      <c r="N89" s="3741"/>
      <c r="O89" s="3741"/>
      <c r="P89" s="3741"/>
      <c r="Q89" s="3741"/>
      <c r="R89" s="3741"/>
      <c r="S89" s="1038"/>
      <c r="T89" s="1038"/>
      <c r="U89" s="1038"/>
      <c r="V89" s="1038"/>
      <c r="W89" s="1038"/>
      <c r="X89" s="1038"/>
      <c r="Y89" s="1038"/>
      <c r="Z89" s="1038"/>
      <c r="AA89" s="1626"/>
      <c r="AB89" s="1038"/>
      <c r="AC89" s="1038"/>
      <c r="AD89" s="1038"/>
      <c r="AE89" s="1038"/>
      <c r="AF89" s="1038"/>
      <c r="AG89" s="1038"/>
    </row>
    <row r="90" spans="1:33" ht="43.5" customHeight="1" x14ac:dyDescent="0.3">
      <c r="A90" s="3741"/>
      <c r="B90" s="3741"/>
      <c r="C90" s="3741"/>
      <c r="D90" s="3741"/>
      <c r="E90" s="3741"/>
      <c r="F90" s="3741"/>
      <c r="G90" s="3741"/>
      <c r="H90" s="3741"/>
      <c r="I90" s="3741"/>
      <c r="J90" s="3741"/>
      <c r="K90" s="3741"/>
      <c r="L90" s="3741"/>
      <c r="M90" s="3741"/>
      <c r="N90" s="3741"/>
      <c r="O90" s="3741"/>
      <c r="P90" s="3741"/>
      <c r="Q90" s="3741"/>
      <c r="R90" s="3741"/>
      <c r="S90" s="1038"/>
      <c r="T90" s="1038"/>
      <c r="U90" s="1038"/>
      <c r="V90" s="1038"/>
      <c r="W90" s="1038"/>
      <c r="X90" s="1038"/>
      <c r="Y90" s="1038"/>
      <c r="Z90" s="1038"/>
      <c r="AA90" s="1626"/>
      <c r="AB90" s="1038"/>
      <c r="AC90" s="1038"/>
      <c r="AD90" s="1038"/>
      <c r="AE90" s="1038"/>
      <c r="AF90" s="1038"/>
      <c r="AG90" s="1038"/>
    </row>
    <row r="91" spans="1:33" ht="43.5" customHeight="1" x14ac:dyDescent="0.3">
      <c r="A91" s="3741"/>
      <c r="B91" s="3741"/>
      <c r="C91" s="3741"/>
      <c r="D91" s="3741"/>
      <c r="E91" s="3741"/>
      <c r="F91" s="3741"/>
      <c r="G91" s="3741"/>
      <c r="H91" s="3741"/>
      <c r="I91" s="3741"/>
      <c r="J91" s="3741"/>
      <c r="K91" s="3741"/>
      <c r="L91" s="3741"/>
      <c r="M91" s="3741"/>
      <c r="N91" s="3741"/>
      <c r="O91" s="3741"/>
      <c r="P91" s="3741"/>
      <c r="Q91" s="3741"/>
      <c r="R91" s="3741"/>
      <c r="S91" s="1038"/>
      <c r="T91" s="1038"/>
      <c r="U91" s="1038"/>
      <c r="V91" s="1038"/>
      <c r="W91" s="1038"/>
      <c r="X91" s="1038"/>
      <c r="Y91" s="1038"/>
      <c r="Z91" s="1038"/>
      <c r="AA91" s="1626"/>
      <c r="AB91" s="1038"/>
      <c r="AC91" s="1038"/>
      <c r="AD91" s="1038"/>
      <c r="AE91" s="1038"/>
      <c r="AF91" s="1038"/>
      <c r="AG91" s="1038"/>
    </row>
    <row r="92" spans="1:33" ht="43.5" customHeight="1" x14ac:dyDescent="0.3">
      <c r="A92" s="3741"/>
      <c r="B92" s="3741"/>
      <c r="C92" s="3741"/>
      <c r="D92" s="3741"/>
      <c r="E92" s="3741"/>
      <c r="F92" s="3741"/>
      <c r="G92" s="3741"/>
      <c r="H92" s="3741"/>
      <c r="I92" s="3741"/>
      <c r="J92" s="3741"/>
      <c r="K92" s="3741"/>
      <c r="L92" s="3741"/>
      <c r="M92" s="3741"/>
      <c r="N92" s="3741"/>
      <c r="O92" s="3741"/>
      <c r="P92" s="3741"/>
      <c r="Q92" s="3741"/>
      <c r="R92" s="3741"/>
      <c r="S92" s="1038"/>
      <c r="T92" s="1038"/>
      <c r="U92" s="1038"/>
      <c r="V92" s="1038"/>
      <c r="W92" s="1038"/>
      <c r="X92" s="1038"/>
      <c r="Y92" s="1038"/>
      <c r="Z92" s="1038"/>
      <c r="AA92" s="1626"/>
      <c r="AB92" s="1038"/>
      <c r="AC92" s="1038"/>
      <c r="AD92" s="1038"/>
      <c r="AE92" s="1038"/>
      <c r="AF92" s="1038"/>
      <c r="AG92" s="1038"/>
    </row>
  </sheetData>
  <mergeCells count="74">
    <mergeCell ref="A2:B2"/>
    <mergeCell ref="C2:N2"/>
    <mergeCell ref="P2:AA2"/>
    <mergeCell ref="A3:B3"/>
    <mergeCell ref="C3:N3"/>
    <mergeCell ref="P3:AA3"/>
    <mergeCell ref="AC6:AC8"/>
    <mergeCell ref="T7:U7"/>
    <mergeCell ref="C4:N4"/>
    <mergeCell ref="P4:AA4"/>
    <mergeCell ref="A5:B5"/>
    <mergeCell ref="C5:O5"/>
    <mergeCell ref="P5:AB5"/>
    <mergeCell ref="A6:A8"/>
    <mergeCell ref="B6:B7"/>
    <mergeCell ref="C6:E6"/>
    <mergeCell ref="F6:G6"/>
    <mergeCell ref="J6:K6"/>
    <mergeCell ref="L6:M6"/>
    <mergeCell ref="O6:Q6"/>
    <mergeCell ref="R6:S6"/>
    <mergeCell ref="T6:U6"/>
    <mergeCell ref="AB6:AB8"/>
    <mergeCell ref="T16:U16"/>
    <mergeCell ref="F8:G8"/>
    <mergeCell ref="J8:K8"/>
    <mergeCell ref="L8:M8"/>
    <mergeCell ref="T8:U8"/>
    <mergeCell ref="T9:U9"/>
    <mergeCell ref="T10:U10"/>
    <mergeCell ref="T11:U11"/>
    <mergeCell ref="T12:U12"/>
    <mergeCell ref="T13:U13"/>
    <mergeCell ref="T14:U14"/>
    <mergeCell ref="T15:U15"/>
    <mergeCell ref="A53:B53"/>
    <mergeCell ref="T33:U33"/>
    <mergeCell ref="T21:U21"/>
    <mergeCell ref="T22:U22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E47:F47"/>
    <mergeCell ref="E48:F48"/>
    <mergeCell ref="E49:F49"/>
    <mergeCell ref="E50:F50"/>
    <mergeCell ref="B51:F51"/>
    <mergeCell ref="T39:U39"/>
    <mergeCell ref="A42:B42"/>
    <mergeCell ref="A43:B43"/>
    <mergeCell ref="E46:F46"/>
    <mergeCell ref="G46:I46"/>
    <mergeCell ref="AD6:AD8"/>
    <mergeCell ref="AE6:AE8"/>
    <mergeCell ref="A92:R92"/>
    <mergeCell ref="A85:R85"/>
    <mergeCell ref="A87:R87"/>
    <mergeCell ref="A88:R88"/>
    <mergeCell ref="A89:R89"/>
    <mergeCell ref="A90:R90"/>
    <mergeCell ref="A91:R91"/>
    <mergeCell ref="A64:B64"/>
    <mergeCell ref="C72:O72"/>
    <mergeCell ref="A74:B74"/>
    <mergeCell ref="L74:N74"/>
    <mergeCell ref="C82:E82"/>
    <mergeCell ref="O82:Q82"/>
    <mergeCell ref="C61:O61"/>
  </mergeCells>
  <conditionalFormatting sqref="AB10:AD39">
    <cfRule type="containsText" dxfId="49" priority="1" operator="containsText" text="F">
      <formula>NOT(ISERROR(SEARCH("F",AB10)))</formula>
    </cfRule>
  </conditionalFormatting>
  <pageMargins left="0.7" right="0.7" top="0.75" bottom="0.75" header="0.3" footer="0.3"/>
  <pageSetup paperSize="8" scale="3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AC103"/>
  <sheetViews>
    <sheetView topLeftCell="A85" zoomScale="68" zoomScaleNormal="68" workbookViewId="0">
      <selection activeCell="G74" sqref="G74"/>
    </sheetView>
  </sheetViews>
  <sheetFormatPr defaultColWidth="15.140625" defaultRowHeight="45" customHeight="1" x14ac:dyDescent="0.3"/>
  <cols>
    <col min="1" max="1" width="16.7109375" style="1038" customWidth="1"/>
    <col min="2" max="2" width="23.85546875" style="1038" customWidth="1"/>
    <col min="3" max="12" width="13.140625" style="1038" customWidth="1"/>
    <col min="13" max="13" width="13.140625" style="1626" customWidth="1"/>
    <col min="14" max="22" width="13.140625" style="1038" customWidth="1"/>
    <col min="23" max="23" width="13.140625" style="1626" customWidth="1"/>
    <col min="24" max="27" width="13.140625" style="1038" customWidth="1"/>
    <col min="28" max="16384" width="15.140625" style="1038"/>
  </cols>
  <sheetData>
    <row r="1" spans="1:29" ht="45" customHeight="1" x14ac:dyDescent="0.3">
      <c r="A1" s="1625"/>
    </row>
    <row r="2" spans="1:29" ht="40.5" customHeight="1" x14ac:dyDescent="0.3">
      <c r="A2" s="3708" t="s">
        <v>0</v>
      </c>
      <c r="B2" s="3709"/>
      <c r="C2" s="3710" t="s">
        <v>129</v>
      </c>
      <c r="D2" s="3729"/>
      <c r="E2" s="3729"/>
      <c r="F2" s="3729"/>
      <c r="G2" s="3729"/>
      <c r="H2" s="3729"/>
      <c r="I2" s="3729"/>
      <c r="J2" s="3729"/>
      <c r="K2" s="3729"/>
      <c r="L2" s="3729"/>
      <c r="M2" s="3712"/>
      <c r="N2" s="1627" t="s">
        <v>63</v>
      </c>
      <c r="O2" s="3706" t="s">
        <v>271</v>
      </c>
      <c r="P2" s="3732"/>
      <c r="Q2" s="3732"/>
      <c r="R2" s="3732"/>
      <c r="S2" s="3732"/>
      <c r="T2" s="3732"/>
      <c r="U2" s="3732"/>
      <c r="V2" s="3732"/>
      <c r="W2" s="3732"/>
      <c r="X2" s="1015"/>
      <c r="Y2" s="1015"/>
      <c r="Z2" s="1015"/>
      <c r="AA2" s="1015"/>
      <c r="AB2" s="1015"/>
      <c r="AC2" s="1015"/>
    </row>
    <row r="3" spans="1:29" ht="40.5" customHeight="1" x14ac:dyDescent="0.3">
      <c r="A3" s="3708" t="s">
        <v>1</v>
      </c>
      <c r="B3" s="3709"/>
      <c r="C3" s="3710" t="s">
        <v>294</v>
      </c>
      <c r="D3" s="3729"/>
      <c r="E3" s="3729"/>
      <c r="F3" s="3729"/>
      <c r="G3" s="3729"/>
      <c r="H3" s="3729"/>
      <c r="I3" s="3729"/>
      <c r="J3" s="3729"/>
      <c r="K3" s="3729"/>
      <c r="L3" s="3729"/>
      <c r="M3" s="3712"/>
      <c r="N3" s="1628" t="s">
        <v>64</v>
      </c>
      <c r="O3" s="3706" t="s">
        <v>232</v>
      </c>
      <c r="P3" s="3732"/>
      <c r="Q3" s="3732"/>
      <c r="R3" s="3732"/>
      <c r="S3" s="3732"/>
      <c r="T3" s="3732"/>
      <c r="U3" s="3732"/>
      <c r="V3" s="3732"/>
      <c r="W3" s="3732"/>
      <c r="X3" s="1015"/>
      <c r="Y3" s="1015"/>
      <c r="Z3" s="1015"/>
      <c r="AA3" s="1015"/>
      <c r="AB3" s="1015"/>
      <c r="AC3" s="1015"/>
    </row>
    <row r="4" spans="1:29" ht="40.5" customHeight="1" thickBot="1" x14ac:dyDescent="0.35">
      <c r="A4" s="1743"/>
      <c r="B4" s="1744" t="s">
        <v>2</v>
      </c>
      <c r="C4" s="3714" t="s">
        <v>288</v>
      </c>
      <c r="D4" s="3715"/>
      <c r="E4" s="3715"/>
      <c r="F4" s="3715"/>
      <c r="G4" s="3715"/>
      <c r="H4" s="3715"/>
      <c r="I4" s="3715"/>
      <c r="J4" s="3715"/>
      <c r="K4" s="3715"/>
      <c r="L4" s="3715"/>
      <c r="M4" s="3716"/>
      <c r="N4" s="1744" t="s">
        <v>65</v>
      </c>
      <c r="O4" s="3717" t="s">
        <v>66</v>
      </c>
      <c r="P4" s="3718"/>
      <c r="Q4" s="3718"/>
      <c r="R4" s="3718"/>
      <c r="S4" s="3718"/>
      <c r="T4" s="3718"/>
      <c r="U4" s="3718"/>
      <c r="V4" s="3718"/>
      <c r="W4" s="3718"/>
      <c r="X4" s="1015"/>
      <c r="Y4" s="1015"/>
      <c r="Z4" s="1015"/>
      <c r="AA4" s="1015"/>
      <c r="AB4" s="1015"/>
      <c r="AC4" s="1015"/>
    </row>
    <row r="5" spans="1:29" ht="40.5" customHeight="1" thickBot="1" x14ac:dyDescent="0.35">
      <c r="A5" s="3719"/>
      <c r="B5" s="3720"/>
      <c r="C5" s="3721" t="s">
        <v>3</v>
      </c>
      <c r="D5" s="3722"/>
      <c r="E5" s="3722"/>
      <c r="F5" s="3722"/>
      <c r="G5" s="3722"/>
      <c r="H5" s="3722"/>
      <c r="I5" s="3722"/>
      <c r="J5" s="3722"/>
      <c r="K5" s="3722"/>
      <c r="L5" s="3722"/>
      <c r="M5" s="3722"/>
      <c r="N5" s="3723"/>
      <c r="O5" s="3724" t="s">
        <v>4</v>
      </c>
      <c r="P5" s="3725"/>
      <c r="Q5" s="3725"/>
      <c r="R5" s="3725"/>
      <c r="S5" s="3725"/>
      <c r="T5" s="3725"/>
      <c r="U5" s="3725"/>
      <c r="V5" s="3725"/>
      <c r="W5" s="3725"/>
      <c r="X5" s="3725"/>
      <c r="Y5" s="1631"/>
      <c r="Z5" s="1632"/>
      <c r="AA5" s="1632"/>
      <c r="AB5" s="1632"/>
      <c r="AC5" s="1633"/>
    </row>
    <row r="6" spans="1:29" ht="40.5" customHeight="1" thickBot="1" x14ac:dyDescent="0.35">
      <c r="A6" s="3701"/>
      <c r="B6" s="3704" t="s">
        <v>5</v>
      </c>
      <c r="C6" s="3697" t="s">
        <v>6</v>
      </c>
      <c r="D6" s="3698"/>
      <c r="E6" s="3713"/>
      <c r="F6" s="3699" t="s">
        <v>7</v>
      </c>
      <c r="G6" s="3765"/>
      <c r="H6" s="1803" t="s">
        <v>8</v>
      </c>
      <c r="I6" s="3695" t="s">
        <v>9</v>
      </c>
      <c r="J6" s="3764"/>
      <c r="K6" s="3764" t="s">
        <v>236</v>
      </c>
      <c r="L6" s="3696"/>
      <c r="M6" s="1804" t="s">
        <v>146</v>
      </c>
      <c r="N6" s="3697" t="s">
        <v>6</v>
      </c>
      <c r="O6" s="3698"/>
      <c r="P6" s="3698"/>
      <c r="Q6" s="3699" t="s">
        <v>7</v>
      </c>
      <c r="R6" s="3765"/>
      <c r="S6" s="3764" t="s">
        <v>8</v>
      </c>
      <c r="T6" s="3696"/>
      <c r="U6" s="1805" t="s">
        <v>9</v>
      </c>
      <c r="V6" s="1803" t="s">
        <v>236</v>
      </c>
      <c r="W6" s="1750" t="s">
        <v>147</v>
      </c>
      <c r="X6" s="3688" t="s">
        <v>151</v>
      </c>
      <c r="Y6" s="3688" t="s">
        <v>152</v>
      </c>
      <c r="Z6" s="3770" t="s">
        <v>11</v>
      </c>
      <c r="AA6" s="3737" t="s">
        <v>12</v>
      </c>
    </row>
    <row r="7" spans="1:29" ht="40.5" customHeight="1" x14ac:dyDescent="0.3">
      <c r="A7" s="3702"/>
      <c r="B7" s="3705"/>
      <c r="C7" s="1637" t="s">
        <v>13</v>
      </c>
      <c r="D7" s="1638" t="s">
        <v>14</v>
      </c>
      <c r="E7" s="1639" t="s">
        <v>15</v>
      </c>
      <c r="F7" s="1637" t="s">
        <v>13</v>
      </c>
      <c r="G7" s="1638" t="s">
        <v>14</v>
      </c>
      <c r="H7" s="1638" t="s">
        <v>13</v>
      </c>
      <c r="I7" s="1637" t="s">
        <v>13</v>
      </c>
      <c r="J7" s="1752" t="s">
        <v>14</v>
      </c>
      <c r="K7" s="1806" t="s">
        <v>13</v>
      </c>
      <c r="L7" s="1638" t="s">
        <v>14</v>
      </c>
      <c r="M7" s="1751"/>
      <c r="N7" s="1637" t="s">
        <v>13</v>
      </c>
      <c r="O7" s="1638" t="s">
        <v>14</v>
      </c>
      <c r="P7" s="1752" t="s">
        <v>67</v>
      </c>
      <c r="Q7" s="1637" t="s">
        <v>13</v>
      </c>
      <c r="R7" s="1638" t="s">
        <v>14</v>
      </c>
      <c r="S7" s="3681" t="s">
        <v>13</v>
      </c>
      <c r="T7" s="3759"/>
      <c r="U7" s="1637" t="s">
        <v>13</v>
      </c>
      <c r="V7" s="1638" t="s">
        <v>13</v>
      </c>
      <c r="W7" s="1754"/>
      <c r="X7" s="3689"/>
      <c r="Y7" s="3689"/>
      <c r="Z7" s="3771"/>
      <c r="AA7" s="3738"/>
      <c r="AB7" s="1644"/>
    </row>
    <row r="8" spans="1:29" ht="40.5" customHeight="1" x14ac:dyDescent="0.3">
      <c r="A8" s="3703"/>
      <c r="B8" s="1756" t="s">
        <v>19</v>
      </c>
      <c r="C8" s="1637" t="s">
        <v>22</v>
      </c>
      <c r="D8" s="1637" t="s">
        <v>21</v>
      </c>
      <c r="E8" s="1646" t="s">
        <v>21</v>
      </c>
      <c r="F8" s="3762" t="s">
        <v>20</v>
      </c>
      <c r="G8" s="3683"/>
      <c r="H8" s="1807" t="s">
        <v>20</v>
      </c>
      <c r="I8" s="3766" t="s">
        <v>21</v>
      </c>
      <c r="J8" s="3767"/>
      <c r="K8" s="3768" t="s">
        <v>42</v>
      </c>
      <c r="L8" s="3769"/>
      <c r="M8" s="1646"/>
      <c r="N8" s="1637" t="s">
        <v>41</v>
      </c>
      <c r="O8" s="1638" t="s">
        <v>43</v>
      </c>
      <c r="P8" s="1752" t="s">
        <v>43</v>
      </c>
      <c r="Q8" s="1637" t="s">
        <v>41</v>
      </c>
      <c r="R8" s="1638" t="s">
        <v>41</v>
      </c>
      <c r="S8" s="3681" t="s">
        <v>42</v>
      </c>
      <c r="T8" s="3759"/>
      <c r="U8" s="1637" t="s">
        <v>43</v>
      </c>
      <c r="V8" s="1638" t="s">
        <v>43</v>
      </c>
      <c r="W8" s="1754" t="s">
        <v>237</v>
      </c>
      <c r="X8" s="3690"/>
      <c r="Y8" s="3690"/>
      <c r="Z8" s="3772"/>
      <c r="AA8" s="3739"/>
      <c r="AB8" s="1644"/>
    </row>
    <row r="9" spans="1:29" ht="40.5" customHeight="1" x14ac:dyDescent="0.3">
      <c r="A9" s="1638" t="s">
        <v>18</v>
      </c>
      <c r="B9" s="1752" t="s">
        <v>26</v>
      </c>
      <c r="C9" s="1637">
        <v>2</v>
      </c>
      <c r="D9" s="1638">
        <v>2</v>
      </c>
      <c r="E9" s="1639">
        <v>2</v>
      </c>
      <c r="F9" s="1637">
        <v>6</v>
      </c>
      <c r="G9" s="1638">
        <v>6</v>
      </c>
      <c r="H9" s="1638">
        <v>12</v>
      </c>
      <c r="I9" s="1637">
        <v>6</v>
      </c>
      <c r="J9" s="1802">
        <v>6</v>
      </c>
      <c r="K9" s="1638">
        <v>6</v>
      </c>
      <c r="L9" s="1638">
        <v>6</v>
      </c>
      <c r="M9" s="1642">
        <v>30</v>
      </c>
      <c r="N9" s="1637">
        <v>2</v>
      </c>
      <c r="O9" s="1638">
        <v>2</v>
      </c>
      <c r="P9" s="1752">
        <v>2</v>
      </c>
      <c r="Q9" s="1637">
        <v>6</v>
      </c>
      <c r="R9" s="1638">
        <v>6</v>
      </c>
      <c r="S9" s="3681">
        <v>12</v>
      </c>
      <c r="T9" s="3759"/>
      <c r="U9" s="1637">
        <v>12</v>
      </c>
      <c r="V9" s="1642">
        <v>12</v>
      </c>
      <c r="W9" s="1754">
        <v>30</v>
      </c>
      <c r="X9" s="1037">
        <v>10</v>
      </c>
      <c r="Y9" s="1037">
        <v>10</v>
      </c>
      <c r="Z9" s="1037"/>
      <c r="AA9" s="1650"/>
      <c r="AB9" s="1651"/>
    </row>
    <row r="10" spans="1:29" s="1683" customFormat="1" ht="40.5" customHeight="1" x14ac:dyDescent="0.3">
      <c r="A10" s="1638">
        <v>1</v>
      </c>
      <c r="B10" s="1808">
        <v>5191421003</v>
      </c>
      <c r="C10" s="1809">
        <v>2</v>
      </c>
      <c r="D10" s="1663">
        <v>2</v>
      </c>
      <c r="E10" s="1663">
        <v>1</v>
      </c>
      <c r="F10" s="1663"/>
      <c r="G10" s="1671"/>
      <c r="H10" s="1671">
        <v>6</v>
      </c>
      <c r="I10" s="1671">
        <v>6</v>
      </c>
      <c r="J10" s="1671">
        <v>6</v>
      </c>
      <c r="K10" s="1793"/>
      <c r="L10" s="1793"/>
      <c r="M10" s="1661">
        <f>SUM(C10:L10)</f>
        <v>23</v>
      </c>
      <c r="N10" s="1663">
        <v>2</v>
      </c>
      <c r="O10" s="1663">
        <v>2</v>
      </c>
      <c r="P10" s="1762">
        <v>2</v>
      </c>
      <c r="Q10" s="1662">
        <v>6</v>
      </c>
      <c r="R10" s="1671">
        <v>6</v>
      </c>
      <c r="S10" s="3755"/>
      <c r="T10" s="3756"/>
      <c r="U10" s="1666">
        <v>11</v>
      </c>
      <c r="V10" s="1764"/>
      <c r="W10" s="1809">
        <f>SUM(N10:V10)</f>
        <v>29</v>
      </c>
      <c r="X10" s="1669">
        <v>10</v>
      </c>
      <c r="Y10" s="1669">
        <v>10</v>
      </c>
      <c r="Z10" s="1671" t="s">
        <v>27</v>
      </c>
      <c r="AA10" s="1671">
        <f>IF(Z10="O",100,IF(Z10="A+",90,IF(Z10="A",80,IF(Z10="B+",70,IF(Z10="B",60,IF(Z10="C",55,IF(Z10="P",50,IF(Z10="F",39))))))))</f>
        <v>80</v>
      </c>
    </row>
    <row r="11" spans="1:29" s="1683" customFormat="1" ht="40.5" customHeight="1" x14ac:dyDescent="0.3">
      <c r="A11" s="1638">
        <v>2</v>
      </c>
      <c r="B11" s="1808">
        <v>5191421004</v>
      </c>
      <c r="C11" s="1811">
        <v>2</v>
      </c>
      <c r="D11" s="1663">
        <v>2</v>
      </c>
      <c r="E11" s="1663">
        <v>2</v>
      </c>
      <c r="F11" s="1663">
        <v>3</v>
      </c>
      <c r="G11" s="1671">
        <v>2</v>
      </c>
      <c r="H11" s="1671"/>
      <c r="I11" s="1671">
        <v>5</v>
      </c>
      <c r="J11" s="1671">
        <v>5</v>
      </c>
      <c r="K11" s="1793"/>
      <c r="L11" s="1793"/>
      <c r="M11" s="1661">
        <f t="shared" ref="M11:M42" si="0">SUM(C11:L11)</f>
        <v>21</v>
      </c>
      <c r="N11" s="1663">
        <v>1</v>
      </c>
      <c r="O11" s="1663">
        <v>2</v>
      </c>
      <c r="P11" s="1762">
        <v>2</v>
      </c>
      <c r="Q11" s="1662">
        <v>1</v>
      </c>
      <c r="R11" s="1671">
        <v>5</v>
      </c>
      <c r="S11" s="3755"/>
      <c r="T11" s="3756"/>
      <c r="U11" s="1666">
        <v>9</v>
      </c>
      <c r="V11" s="1764"/>
      <c r="W11" s="1809">
        <f t="shared" ref="W11:W42" si="1">SUM(N11:V11)</f>
        <v>20</v>
      </c>
      <c r="X11" s="1669">
        <v>9</v>
      </c>
      <c r="Y11" s="1669">
        <v>9</v>
      </c>
      <c r="Z11" s="1671" t="s">
        <v>33</v>
      </c>
      <c r="AA11" s="1671">
        <f t="shared" ref="AA11:AA42" si="2">IF(Z11="O",100,IF(Z11="A+",90,IF(Z11="A",80,IF(Z11="B+",70,IF(Z11="B",60,IF(Z11="C",55,IF(Z11="P",50,IF(Z11="F",39))))))))</f>
        <v>60</v>
      </c>
    </row>
    <row r="12" spans="1:29" ht="40.5" customHeight="1" x14ac:dyDescent="0.3">
      <c r="A12" s="1685">
        <v>3</v>
      </c>
      <c r="B12" s="1808">
        <v>5191412106</v>
      </c>
      <c r="C12" s="1812">
        <v>1</v>
      </c>
      <c r="D12" s="1688">
        <v>1</v>
      </c>
      <c r="E12" s="1689">
        <v>1</v>
      </c>
      <c r="F12" s="1687"/>
      <c r="G12" s="1813"/>
      <c r="H12" s="1778">
        <v>7</v>
      </c>
      <c r="I12" s="1691">
        <v>6</v>
      </c>
      <c r="J12" s="1813">
        <v>6</v>
      </c>
      <c r="K12" s="1793"/>
      <c r="L12" s="1793"/>
      <c r="M12" s="1661">
        <f t="shared" si="0"/>
        <v>22</v>
      </c>
      <c r="N12" s="1687">
        <v>2</v>
      </c>
      <c r="O12" s="1688">
        <v>2</v>
      </c>
      <c r="P12" s="1693">
        <v>2</v>
      </c>
      <c r="Q12" s="1687">
        <v>6</v>
      </c>
      <c r="R12" s="1671">
        <v>6</v>
      </c>
      <c r="S12" s="3755"/>
      <c r="T12" s="3756"/>
      <c r="U12" s="1691">
        <v>11</v>
      </c>
      <c r="V12" s="1778"/>
      <c r="W12" s="1809">
        <f t="shared" si="1"/>
        <v>29</v>
      </c>
      <c r="X12" s="1669">
        <v>9</v>
      </c>
      <c r="Y12" s="1669">
        <v>9</v>
      </c>
      <c r="Z12" s="1813" t="s">
        <v>33</v>
      </c>
      <c r="AA12" s="1671">
        <f t="shared" si="2"/>
        <v>60</v>
      </c>
    </row>
    <row r="13" spans="1:29" ht="40.5" customHeight="1" x14ac:dyDescent="0.3">
      <c r="A13" s="1638">
        <v>4</v>
      </c>
      <c r="B13" s="1808">
        <v>5191421007</v>
      </c>
      <c r="C13" s="1809">
        <v>1</v>
      </c>
      <c r="D13" s="1663">
        <v>1</v>
      </c>
      <c r="E13" s="1682">
        <v>2</v>
      </c>
      <c r="F13" s="1662"/>
      <c r="G13" s="1671"/>
      <c r="H13" s="1764">
        <v>8</v>
      </c>
      <c r="I13" s="1666">
        <v>6</v>
      </c>
      <c r="J13" s="1671">
        <v>6</v>
      </c>
      <c r="K13" s="1793"/>
      <c r="L13" s="1793"/>
      <c r="M13" s="1661">
        <f t="shared" si="0"/>
        <v>24</v>
      </c>
      <c r="N13" s="1662">
        <v>2</v>
      </c>
      <c r="O13" s="1663">
        <v>2</v>
      </c>
      <c r="P13" s="1762">
        <v>2</v>
      </c>
      <c r="Q13" s="1662">
        <v>6</v>
      </c>
      <c r="R13" s="1671">
        <v>6</v>
      </c>
      <c r="S13" s="3755"/>
      <c r="T13" s="3756"/>
      <c r="U13" s="1666"/>
      <c r="V13" s="1764">
        <v>10</v>
      </c>
      <c r="W13" s="1809">
        <f t="shared" si="1"/>
        <v>28</v>
      </c>
      <c r="X13" s="1669">
        <v>10</v>
      </c>
      <c r="Y13" s="1669">
        <v>10</v>
      </c>
      <c r="Z13" s="1671" t="s">
        <v>32</v>
      </c>
      <c r="AA13" s="1671">
        <f t="shared" si="2"/>
        <v>70</v>
      </c>
    </row>
    <row r="14" spans="1:29" ht="40.5" customHeight="1" x14ac:dyDescent="0.3">
      <c r="A14" s="1638">
        <v>5</v>
      </c>
      <c r="B14" s="1808">
        <v>5191421008</v>
      </c>
      <c r="C14" s="1809">
        <v>1</v>
      </c>
      <c r="D14" s="1663">
        <v>2</v>
      </c>
      <c r="E14" s="1682"/>
      <c r="F14" s="1662">
        <v>4</v>
      </c>
      <c r="G14" s="1671">
        <v>3</v>
      </c>
      <c r="H14" s="1764"/>
      <c r="I14" s="1666"/>
      <c r="J14" s="1671"/>
      <c r="K14" s="1793">
        <v>3</v>
      </c>
      <c r="L14" s="1793">
        <v>4</v>
      </c>
      <c r="M14" s="1661">
        <f t="shared" si="0"/>
        <v>17</v>
      </c>
      <c r="N14" s="1662">
        <v>2</v>
      </c>
      <c r="O14" s="1663">
        <v>2</v>
      </c>
      <c r="P14" s="1762">
        <v>2</v>
      </c>
      <c r="Q14" s="1662"/>
      <c r="R14" s="1671"/>
      <c r="S14" s="3755">
        <v>10</v>
      </c>
      <c r="T14" s="3756"/>
      <c r="U14" s="1666">
        <v>11</v>
      </c>
      <c r="V14" s="1764"/>
      <c r="W14" s="1809">
        <f t="shared" si="1"/>
        <v>27</v>
      </c>
      <c r="X14" s="1669">
        <v>9</v>
      </c>
      <c r="Y14" s="1669">
        <v>9</v>
      </c>
      <c r="Z14" s="1671" t="s">
        <v>32</v>
      </c>
      <c r="AA14" s="1671">
        <f t="shared" si="2"/>
        <v>70</v>
      </c>
    </row>
    <row r="15" spans="1:29" ht="40.5" customHeight="1" x14ac:dyDescent="0.3">
      <c r="A15" s="1685">
        <v>6</v>
      </c>
      <c r="B15" s="1808">
        <v>5191421009</v>
      </c>
      <c r="C15" s="1809">
        <v>1</v>
      </c>
      <c r="D15" s="1663">
        <v>1</v>
      </c>
      <c r="E15" s="1682">
        <v>1</v>
      </c>
      <c r="F15" s="1662">
        <v>2</v>
      </c>
      <c r="G15" s="1671">
        <v>4</v>
      </c>
      <c r="H15" s="1764"/>
      <c r="I15" s="1666">
        <v>6</v>
      </c>
      <c r="J15" s="1671">
        <v>2</v>
      </c>
      <c r="K15" s="1793"/>
      <c r="L15" s="1793"/>
      <c r="M15" s="1661">
        <f t="shared" si="0"/>
        <v>17</v>
      </c>
      <c r="N15" s="1662">
        <v>1</v>
      </c>
      <c r="O15" s="1663">
        <v>2</v>
      </c>
      <c r="P15" s="1762">
        <v>2</v>
      </c>
      <c r="Q15" s="1662">
        <v>6</v>
      </c>
      <c r="R15" s="1671">
        <v>6</v>
      </c>
      <c r="S15" s="3755"/>
      <c r="T15" s="3756"/>
      <c r="U15" s="1666">
        <v>10</v>
      </c>
      <c r="V15" s="1764"/>
      <c r="W15" s="1809">
        <f t="shared" si="1"/>
        <v>27</v>
      </c>
      <c r="X15" s="1669">
        <v>9</v>
      </c>
      <c r="Y15" s="1669">
        <v>9</v>
      </c>
      <c r="Z15" s="1671" t="s">
        <v>32</v>
      </c>
      <c r="AA15" s="1671">
        <f t="shared" si="2"/>
        <v>70</v>
      </c>
    </row>
    <row r="16" spans="1:29" ht="40.5" customHeight="1" x14ac:dyDescent="0.3">
      <c r="A16" s="1638">
        <v>7</v>
      </c>
      <c r="B16" s="1808">
        <v>5191421010</v>
      </c>
      <c r="C16" s="1764">
        <v>2</v>
      </c>
      <c r="D16" s="1666">
        <v>1</v>
      </c>
      <c r="E16" s="1666">
        <v>1</v>
      </c>
      <c r="F16" s="1666">
        <v>4</v>
      </c>
      <c r="G16" s="1671">
        <v>2</v>
      </c>
      <c r="H16" s="1764"/>
      <c r="I16" s="1666">
        <v>6</v>
      </c>
      <c r="J16" s="1671">
        <v>6</v>
      </c>
      <c r="K16" s="1793"/>
      <c r="L16" s="1793"/>
      <c r="M16" s="1661">
        <f t="shared" si="0"/>
        <v>22</v>
      </c>
      <c r="N16" s="1662"/>
      <c r="O16" s="1663"/>
      <c r="P16" s="1762"/>
      <c r="Q16" s="1662"/>
      <c r="R16" s="1671"/>
      <c r="S16" s="3755">
        <v>7</v>
      </c>
      <c r="T16" s="3756"/>
      <c r="U16" s="1666">
        <v>11</v>
      </c>
      <c r="V16" s="1764"/>
      <c r="W16" s="1809">
        <f t="shared" si="1"/>
        <v>18</v>
      </c>
      <c r="X16" s="1669">
        <v>9</v>
      </c>
      <c r="Y16" s="1669">
        <v>9</v>
      </c>
      <c r="Z16" s="1671" t="s">
        <v>31</v>
      </c>
      <c r="AA16" s="1671">
        <f t="shared" si="2"/>
        <v>55</v>
      </c>
    </row>
    <row r="17" spans="1:27" ht="40.5" customHeight="1" x14ac:dyDescent="0.3">
      <c r="A17" s="1638">
        <v>8</v>
      </c>
      <c r="B17" s="1808">
        <v>5191421011</v>
      </c>
      <c r="C17" s="1809">
        <v>1</v>
      </c>
      <c r="D17" s="1663">
        <v>1</v>
      </c>
      <c r="E17" s="1682">
        <v>2</v>
      </c>
      <c r="F17" s="1662">
        <v>4</v>
      </c>
      <c r="G17" s="1671">
        <v>5</v>
      </c>
      <c r="H17" s="1764"/>
      <c r="I17" s="1666">
        <v>6</v>
      </c>
      <c r="J17" s="1671">
        <v>6</v>
      </c>
      <c r="K17" s="1793"/>
      <c r="L17" s="1793"/>
      <c r="M17" s="1661">
        <f t="shared" si="0"/>
        <v>25</v>
      </c>
      <c r="N17" s="1662">
        <v>2</v>
      </c>
      <c r="O17" s="1663">
        <v>2</v>
      </c>
      <c r="P17" s="1762">
        <v>2</v>
      </c>
      <c r="Q17" s="1662">
        <v>6</v>
      </c>
      <c r="R17" s="1671">
        <v>6</v>
      </c>
      <c r="S17" s="3755"/>
      <c r="T17" s="3756"/>
      <c r="U17" s="1666">
        <v>10</v>
      </c>
      <c r="V17" s="1764"/>
      <c r="W17" s="1809">
        <f t="shared" si="1"/>
        <v>28</v>
      </c>
      <c r="X17" s="1669">
        <v>10</v>
      </c>
      <c r="Y17" s="1669">
        <v>10</v>
      </c>
      <c r="Z17" s="1671" t="s">
        <v>27</v>
      </c>
      <c r="AA17" s="1671">
        <f t="shared" si="2"/>
        <v>80</v>
      </c>
    </row>
    <row r="18" spans="1:27" ht="40.5" customHeight="1" x14ac:dyDescent="0.3">
      <c r="A18" s="1685">
        <v>9</v>
      </c>
      <c r="B18" s="1808">
        <v>5191421013</v>
      </c>
      <c r="C18" s="1809">
        <v>2</v>
      </c>
      <c r="D18" s="1663">
        <v>2</v>
      </c>
      <c r="E18" s="1682">
        <v>2</v>
      </c>
      <c r="F18" s="1662">
        <v>4</v>
      </c>
      <c r="G18" s="1671">
        <v>5</v>
      </c>
      <c r="H18" s="1764"/>
      <c r="I18" s="1666">
        <v>5</v>
      </c>
      <c r="J18" s="1671">
        <v>6</v>
      </c>
      <c r="K18" s="1793"/>
      <c r="L18" s="1793"/>
      <c r="M18" s="1661">
        <f t="shared" si="0"/>
        <v>26</v>
      </c>
      <c r="N18" s="1662">
        <v>1</v>
      </c>
      <c r="O18" s="1663">
        <v>2</v>
      </c>
      <c r="P18" s="1762">
        <v>2</v>
      </c>
      <c r="Q18" s="1662">
        <v>5</v>
      </c>
      <c r="R18" s="1671">
        <v>6</v>
      </c>
      <c r="S18" s="3755"/>
      <c r="T18" s="3756"/>
      <c r="U18" s="1666">
        <v>11</v>
      </c>
      <c r="V18" s="1764"/>
      <c r="W18" s="1809">
        <f t="shared" si="1"/>
        <v>27</v>
      </c>
      <c r="X18" s="1669">
        <v>10</v>
      </c>
      <c r="Y18" s="1669">
        <v>10</v>
      </c>
      <c r="Z18" s="1671" t="s">
        <v>27</v>
      </c>
      <c r="AA18" s="1671">
        <f t="shared" si="2"/>
        <v>80</v>
      </c>
    </row>
    <row r="19" spans="1:27" ht="40.5" customHeight="1" x14ac:dyDescent="0.3">
      <c r="A19" s="1638">
        <v>10</v>
      </c>
      <c r="B19" s="1808">
        <v>5191421014</v>
      </c>
      <c r="C19" s="1809">
        <v>1</v>
      </c>
      <c r="D19" s="1663">
        <v>1</v>
      </c>
      <c r="E19" s="1682">
        <v>1</v>
      </c>
      <c r="F19" s="1662">
        <v>4</v>
      </c>
      <c r="G19" s="1671">
        <v>5</v>
      </c>
      <c r="H19" s="1764"/>
      <c r="I19" s="1666">
        <v>3</v>
      </c>
      <c r="J19" s="1671">
        <v>6</v>
      </c>
      <c r="K19" s="1793"/>
      <c r="L19" s="1793"/>
      <c r="M19" s="1661">
        <f t="shared" si="0"/>
        <v>21</v>
      </c>
      <c r="N19" s="1662">
        <v>2</v>
      </c>
      <c r="O19" s="1663">
        <v>2</v>
      </c>
      <c r="P19" s="1762">
        <v>2</v>
      </c>
      <c r="Q19" s="1662">
        <v>6</v>
      </c>
      <c r="R19" s="1671">
        <v>6</v>
      </c>
      <c r="S19" s="3755"/>
      <c r="T19" s="3756"/>
      <c r="U19" s="1666">
        <v>12</v>
      </c>
      <c r="V19" s="1764"/>
      <c r="W19" s="1809">
        <f t="shared" si="1"/>
        <v>30</v>
      </c>
      <c r="X19" s="1669">
        <v>10</v>
      </c>
      <c r="Y19" s="1669">
        <v>10</v>
      </c>
      <c r="Z19" s="1671" t="s">
        <v>32</v>
      </c>
      <c r="AA19" s="1671">
        <f t="shared" si="2"/>
        <v>70</v>
      </c>
    </row>
    <row r="20" spans="1:27" ht="40.5" customHeight="1" x14ac:dyDescent="0.3">
      <c r="A20" s="1638">
        <v>11</v>
      </c>
      <c r="B20" s="1808">
        <v>5191421015</v>
      </c>
      <c r="C20" s="1809">
        <v>2</v>
      </c>
      <c r="D20" s="1663">
        <v>1</v>
      </c>
      <c r="E20" s="1682">
        <v>1</v>
      </c>
      <c r="F20" s="1662"/>
      <c r="G20" s="1671"/>
      <c r="H20" s="1764"/>
      <c r="I20" s="1666">
        <v>5</v>
      </c>
      <c r="J20" s="1671">
        <v>5</v>
      </c>
      <c r="K20" s="1793">
        <v>2</v>
      </c>
      <c r="L20" s="1793">
        <v>4</v>
      </c>
      <c r="M20" s="1661">
        <f t="shared" si="0"/>
        <v>20</v>
      </c>
      <c r="N20" s="1662">
        <v>2</v>
      </c>
      <c r="O20" s="1663">
        <v>2</v>
      </c>
      <c r="P20" s="1762">
        <v>1</v>
      </c>
      <c r="Q20" s="1662">
        <v>6</v>
      </c>
      <c r="R20" s="1671">
        <v>6</v>
      </c>
      <c r="S20" s="3755"/>
      <c r="T20" s="3756"/>
      <c r="U20" s="1666">
        <v>12</v>
      </c>
      <c r="V20" s="1764"/>
      <c r="W20" s="1809">
        <f t="shared" si="1"/>
        <v>29</v>
      </c>
      <c r="X20" s="1669">
        <v>9</v>
      </c>
      <c r="Y20" s="1669">
        <v>9</v>
      </c>
      <c r="Z20" s="1671" t="s">
        <v>32</v>
      </c>
      <c r="AA20" s="1671">
        <f t="shared" si="2"/>
        <v>70</v>
      </c>
    </row>
    <row r="21" spans="1:27" ht="40.5" customHeight="1" x14ac:dyDescent="0.3">
      <c r="A21" s="1685">
        <v>12</v>
      </c>
      <c r="B21" s="1808">
        <v>5191421016</v>
      </c>
      <c r="C21" s="1809">
        <v>2</v>
      </c>
      <c r="D21" s="1663">
        <v>1</v>
      </c>
      <c r="E21" s="1682"/>
      <c r="F21" s="1662"/>
      <c r="G21" s="1671"/>
      <c r="H21" s="1764"/>
      <c r="I21" s="1666">
        <v>5</v>
      </c>
      <c r="J21" s="1671">
        <v>5</v>
      </c>
      <c r="K21" s="1793">
        <v>3</v>
      </c>
      <c r="L21" s="1793"/>
      <c r="M21" s="1661">
        <f t="shared" si="0"/>
        <v>16</v>
      </c>
      <c r="N21" s="1662">
        <v>2</v>
      </c>
      <c r="O21" s="1663">
        <v>2</v>
      </c>
      <c r="P21" s="1762">
        <v>2</v>
      </c>
      <c r="Q21" s="1662">
        <v>6</v>
      </c>
      <c r="R21" s="1671">
        <v>6</v>
      </c>
      <c r="S21" s="3755"/>
      <c r="T21" s="3756"/>
      <c r="U21" s="1666">
        <v>12</v>
      </c>
      <c r="V21" s="1764"/>
      <c r="W21" s="1809">
        <f t="shared" si="1"/>
        <v>30</v>
      </c>
      <c r="X21" s="1669">
        <v>8</v>
      </c>
      <c r="Y21" s="1669">
        <v>8</v>
      </c>
      <c r="Z21" s="1671" t="s">
        <v>28</v>
      </c>
      <c r="AA21" s="1671">
        <f t="shared" si="2"/>
        <v>50</v>
      </c>
    </row>
    <row r="22" spans="1:27" ht="40.5" customHeight="1" x14ac:dyDescent="0.3">
      <c r="A22" s="1638">
        <v>13</v>
      </c>
      <c r="B22" s="1808">
        <v>5191421019</v>
      </c>
      <c r="C22" s="1809">
        <v>2</v>
      </c>
      <c r="D22" s="1663">
        <v>1</v>
      </c>
      <c r="E22" s="1682">
        <v>1</v>
      </c>
      <c r="F22" s="1662"/>
      <c r="G22" s="1671"/>
      <c r="H22" s="1764">
        <v>8</v>
      </c>
      <c r="I22" s="1666">
        <v>5</v>
      </c>
      <c r="J22" s="1671">
        <v>6</v>
      </c>
      <c r="K22" s="1793"/>
      <c r="L22" s="1793"/>
      <c r="M22" s="1661">
        <f t="shared" si="0"/>
        <v>23</v>
      </c>
      <c r="N22" s="1662"/>
      <c r="O22" s="1663"/>
      <c r="P22" s="1762"/>
      <c r="Q22" s="1662"/>
      <c r="R22" s="1671"/>
      <c r="S22" s="3755"/>
      <c r="T22" s="3756"/>
      <c r="U22" s="1666"/>
      <c r="V22" s="1764"/>
      <c r="W22" s="1809">
        <f t="shared" si="1"/>
        <v>0</v>
      </c>
      <c r="X22" s="1669">
        <v>10</v>
      </c>
      <c r="Y22" s="1669">
        <v>10</v>
      </c>
      <c r="Z22" s="1671" t="s">
        <v>30</v>
      </c>
      <c r="AA22" s="1671">
        <f t="shared" si="2"/>
        <v>90</v>
      </c>
    </row>
    <row r="23" spans="1:27" ht="40.5" customHeight="1" x14ac:dyDescent="0.3">
      <c r="A23" s="1638">
        <v>14</v>
      </c>
      <c r="B23" s="1808">
        <v>5191421020</v>
      </c>
      <c r="C23" s="1809">
        <v>2</v>
      </c>
      <c r="D23" s="1663">
        <v>2</v>
      </c>
      <c r="E23" s="1682">
        <v>2</v>
      </c>
      <c r="F23" s="1662"/>
      <c r="G23" s="1815"/>
      <c r="H23" s="1764">
        <v>8</v>
      </c>
      <c r="I23" s="1666">
        <v>4</v>
      </c>
      <c r="J23" s="1671">
        <v>6</v>
      </c>
      <c r="K23" s="1793"/>
      <c r="L23" s="1793"/>
      <c r="M23" s="1661">
        <f t="shared" si="0"/>
        <v>24</v>
      </c>
      <c r="N23" s="1662">
        <v>1</v>
      </c>
      <c r="O23" s="1663">
        <v>2</v>
      </c>
      <c r="P23" s="1762">
        <v>2</v>
      </c>
      <c r="Q23" s="1662">
        <v>6</v>
      </c>
      <c r="R23" s="1671">
        <v>6</v>
      </c>
      <c r="S23" s="3755"/>
      <c r="T23" s="3756"/>
      <c r="U23" s="1666"/>
      <c r="V23" s="1764">
        <v>12</v>
      </c>
      <c r="W23" s="1809">
        <f t="shared" si="1"/>
        <v>29</v>
      </c>
      <c r="X23" s="1669">
        <v>10</v>
      </c>
      <c r="Y23" s="1669">
        <v>10</v>
      </c>
      <c r="Z23" s="1671" t="s">
        <v>27</v>
      </c>
      <c r="AA23" s="1671">
        <f t="shared" si="2"/>
        <v>80</v>
      </c>
    </row>
    <row r="24" spans="1:27" ht="40.5" customHeight="1" x14ac:dyDescent="0.3">
      <c r="A24" s="1685">
        <v>15</v>
      </c>
      <c r="B24" s="1808">
        <v>5191421021</v>
      </c>
      <c r="C24" s="1809">
        <v>1</v>
      </c>
      <c r="D24" s="1663">
        <v>1</v>
      </c>
      <c r="E24" s="1682">
        <v>1</v>
      </c>
      <c r="F24" s="1662">
        <v>3</v>
      </c>
      <c r="G24" s="1671">
        <v>5</v>
      </c>
      <c r="H24" s="1764"/>
      <c r="I24" s="1666"/>
      <c r="J24" s="1671"/>
      <c r="K24" s="1793">
        <v>4</v>
      </c>
      <c r="L24" s="1793">
        <v>5</v>
      </c>
      <c r="M24" s="1661">
        <f t="shared" si="0"/>
        <v>20</v>
      </c>
      <c r="N24" s="1662">
        <v>2</v>
      </c>
      <c r="O24" s="1663">
        <v>1</v>
      </c>
      <c r="P24" s="1762">
        <v>2</v>
      </c>
      <c r="Q24" s="1662"/>
      <c r="R24" s="1671">
        <v>4</v>
      </c>
      <c r="S24" s="3763"/>
      <c r="T24" s="3756"/>
      <c r="U24" s="1666"/>
      <c r="V24" s="1764">
        <v>10</v>
      </c>
      <c r="W24" s="1809">
        <f t="shared" si="1"/>
        <v>19</v>
      </c>
      <c r="X24" s="1669">
        <v>9</v>
      </c>
      <c r="Y24" s="1669">
        <v>9</v>
      </c>
      <c r="Z24" s="1671" t="s">
        <v>33</v>
      </c>
      <c r="AA24" s="1671">
        <f t="shared" si="2"/>
        <v>60</v>
      </c>
    </row>
    <row r="25" spans="1:27" ht="40.5" customHeight="1" x14ac:dyDescent="0.3">
      <c r="A25" s="1638">
        <v>16</v>
      </c>
      <c r="B25" s="1808">
        <v>5191421022</v>
      </c>
      <c r="C25" s="1811"/>
      <c r="D25" s="1663"/>
      <c r="E25" s="1682"/>
      <c r="F25" s="1662"/>
      <c r="G25" s="1671"/>
      <c r="H25" s="1764"/>
      <c r="I25" s="1666">
        <v>2</v>
      </c>
      <c r="J25" s="1671">
        <v>3</v>
      </c>
      <c r="K25" s="1793">
        <v>4</v>
      </c>
      <c r="L25" s="1793">
        <v>4</v>
      </c>
      <c r="M25" s="1661">
        <f t="shared" si="0"/>
        <v>13</v>
      </c>
      <c r="N25" s="1662">
        <v>2</v>
      </c>
      <c r="O25" s="1663">
        <v>2</v>
      </c>
      <c r="P25" s="1762">
        <v>2</v>
      </c>
      <c r="Q25" s="1662">
        <v>4</v>
      </c>
      <c r="R25" s="1671">
        <v>6</v>
      </c>
      <c r="S25" s="1774"/>
      <c r="T25" s="1667"/>
      <c r="U25" s="1666">
        <v>12</v>
      </c>
      <c r="V25" s="1764"/>
      <c r="W25" s="1809">
        <f t="shared" si="1"/>
        <v>28</v>
      </c>
      <c r="X25" s="1669">
        <v>9</v>
      </c>
      <c r="Y25" s="1669">
        <v>9</v>
      </c>
      <c r="Z25" s="1671" t="s">
        <v>33</v>
      </c>
      <c r="AA25" s="1671">
        <f t="shared" si="2"/>
        <v>60</v>
      </c>
    </row>
    <row r="26" spans="1:27" ht="40.5" customHeight="1" x14ac:dyDescent="0.3">
      <c r="A26" s="1638">
        <v>17</v>
      </c>
      <c r="B26" s="1808">
        <v>5191421026</v>
      </c>
      <c r="C26" s="1809">
        <v>1</v>
      </c>
      <c r="D26" s="1671">
        <v>1</v>
      </c>
      <c r="E26" s="1665">
        <v>2</v>
      </c>
      <c r="F26" s="1666">
        <v>2</v>
      </c>
      <c r="G26" s="1671">
        <v>4</v>
      </c>
      <c r="H26" s="1764"/>
      <c r="I26" s="1666"/>
      <c r="J26" s="1671"/>
      <c r="K26" s="1793">
        <v>4</v>
      </c>
      <c r="L26" s="1793">
        <v>4</v>
      </c>
      <c r="M26" s="1661">
        <f t="shared" si="0"/>
        <v>18</v>
      </c>
      <c r="N26" s="1662">
        <v>2</v>
      </c>
      <c r="O26" s="1663">
        <v>1</v>
      </c>
      <c r="P26" s="1762">
        <v>1</v>
      </c>
      <c r="Q26" s="1662"/>
      <c r="R26" s="1671"/>
      <c r="S26" s="3763">
        <v>8</v>
      </c>
      <c r="T26" s="3756"/>
      <c r="U26" s="1666"/>
      <c r="V26" s="1764">
        <v>6</v>
      </c>
      <c r="W26" s="1809">
        <f t="shared" si="1"/>
        <v>18</v>
      </c>
      <c r="X26" s="1669">
        <v>9</v>
      </c>
      <c r="Y26" s="1669">
        <v>9</v>
      </c>
      <c r="Z26" s="1671" t="s">
        <v>28</v>
      </c>
      <c r="AA26" s="1671">
        <f t="shared" si="2"/>
        <v>50</v>
      </c>
    </row>
    <row r="27" spans="1:27" ht="40.5" customHeight="1" x14ac:dyDescent="0.3">
      <c r="A27" s="1685">
        <v>18</v>
      </c>
      <c r="B27" s="1808">
        <v>5191421027</v>
      </c>
      <c r="C27" s="1764">
        <v>2</v>
      </c>
      <c r="D27" s="1671">
        <v>2</v>
      </c>
      <c r="E27" s="1665">
        <v>2</v>
      </c>
      <c r="F27" s="1666"/>
      <c r="G27" s="1671"/>
      <c r="H27" s="1764">
        <v>8</v>
      </c>
      <c r="I27" s="1666">
        <v>5</v>
      </c>
      <c r="J27" s="1671">
        <v>6</v>
      </c>
      <c r="K27" s="1793"/>
      <c r="L27" s="1793"/>
      <c r="M27" s="1661">
        <f t="shared" si="0"/>
        <v>25</v>
      </c>
      <c r="N27" s="1662">
        <v>1</v>
      </c>
      <c r="O27" s="1671">
        <v>2</v>
      </c>
      <c r="P27" s="1779"/>
      <c r="Q27" s="1666"/>
      <c r="R27" s="1671"/>
      <c r="S27" s="3763">
        <v>5</v>
      </c>
      <c r="T27" s="3756"/>
      <c r="U27" s="1666"/>
      <c r="V27" s="1764">
        <v>5</v>
      </c>
      <c r="W27" s="1809">
        <f t="shared" si="1"/>
        <v>13</v>
      </c>
      <c r="X27" s="1669">
        <v>9</v>
      </c>
      <c r="Y27" s="1669">
        <v>9</v>
      </c>
      <c r="Z27" s="1671" t="s">
        <v>27</v>
      </c>
      <c r="AA27" s="1671">
        <f t="shared" si="2"/>
        <v>80</v>
      </c>
    </row>
    <row r="28" spans="1:27" ht="40.5" customHeight="1" x14ac:dyDescent="0.3">
      <c r="A28" s="1638">
        <v>19</v>
      </c>
      <c r="B28" s="1808">
        <v>5191421028</v>
      </c>
      <c r="C28" s="1809">
        <v>2</v>
      </c>
      <c r="D28" s="1671">
        <v>2</v>
      </c>
      <c r="E28" s="1665">
        <v>2</v>
      </c>
      <c r="F28" s="1666"/>
      <c r="G28" s="1671"/>
      <c r="H28" s="1764">
        <v>12</v>
      </c>
      <c r="I28" s="1666"/>
      <c r="J28" s="1671"/>
      <c r="K28" s="1793">
        <v>6</v>
      </c>
      <c r="L28" s="1793">
        <v>6</v>
      </c>
      <c r="M28" s="1661">
        <f t="shared" si="0"/>
        <v>30</v>
      </c>
      <c r="N28" s="1666">
        <v>2</v>
      </c>
      <c r="O28" s="1671">
        <v>2</v>
      </c>
      <c r="P28" s="1779">
        <v>2</v>
      </c>
      <c r="Q28" s="1666">
        <v>6</v>
      </c>
      <c r="R28" s="1671">
        <v>6</v>
      </c>
      <c r="S28" s="1774"/>
      <c r="T28" s="1667"/>
      <c r="U28" s="1666">
        <v>12</v>
      </c>
      <c r="V28" s="1764"/>
      <c r="W28" s="1809">
        <f t="shared" si="1"/>
        <v>30</v>
      </c>
      <c r="X28" s="1669">
        <v>10</v>
      </c>
      <c r="Y28" s="1669">
        <v>10</v>
      </c>
      <c r="Z28" s="1671" t="s">
        <v>30</v>
      </c>
      <c r="AA28" s="1671">
        <f t="shared" si="2"/>
        <v>90</v>
      </c>
    </row>
    <row r="29" spans="1:27" ht="40.5" customHeight="1" x14ac:dyDescent="0.3">
      <c r="A29" s="1638">
        <v>20</v>
      </c>
      <c r="B29" s="1808">
        <v>5191421032</v>
      </c>
      <c r="C29" s="1816"/>
      <c r="D29" s="1701"/>
      <c r="E29" s="1701"/>
      <c r="F29" s="1701">
        <v>4</v>
      </c>
      <c r="G29" s="1701">
        <v>3</v>
      </c>
      <c r="H29" s="1701"/>
      <c r="I29" s="1701">
        <v>5</v>
      </c>
      <c r="J29" s="1701">
        <v>4</v>
      </c>
      <c r="K29" s="1793"/>
      <c r="L29" s="1793"/>
      <c r="M29" s="1661">
        <f t="shared" si="0"/>
        <v>16</v>
      </c>
      <c r="N29" s="1662"/>
      <c r="O29" s="1671"/>
      <c r="P29" s="1779"/>
      <c r="Q29" s="1666"/>
      <c r="R29" s="1671"/>
      <c r="S29" s="3755">
        <v>3</v>
      </c>
      <c r="T29" s="3756"/>
      <c r="U29" s="1666">
        <v>4</v>
      </c>
      <c r="V29" s="1764"/>
      <c r="W29" s="1809">
        <f t="shared" si="1"/>
        <v>7</v>
      </c>
      <c r="X29" s="1669">
        <v>9</v>
      </c>
      <c r="Y29" s="1669">
        <v>9</v>
      </c>
      <c r="Z29" s="1671" t="s">
        <v>29</v>
      </c>
      <c r="AA29" s="1671">
        <f t="shared" si="2"/>
        <v>39</v>
      </c>
    </row>
    <row r="30" spans="1:27" ht="40.5" customHeight="1" x14ac:dyDescent="0.3">
      <c r="A30" s="1685">
        <v>21</v>
      </c>
      <c r="B30" s="1808">
        <v>5191421033</v>
      </c>
      <c r="C30" s="1809">
        <v>2</v>
      </c>
      <c r="D30" s="1671">
        <v>2</v>
      </c>
      <c r="E30" s="1665">
        <v>2</v>
      </c>
      <c r="F30" s="1666"/>
      <c r="G30" s="1671"/>
      <c r="H30" s="1764">
        <v>12</v>
      </c>
      <c r="I30" s="1666">
        <v>6</v>
      </c>
      <c r="J30" s="1671">
        <v>6</v>
      </c>
      <c r="K30" s="1793"/>
      <c r="L30" s="1793"/>
      <c r="M30" s="1661">
        <f t="shared" si="0"/>
        <v>30</v>
      </c>
      <c r="N30" s="1662">
        <v>2</v>
      </c>
      <c r="O30" s="1671">
        <v>2</v>
      </c>
      <c r="P30" s="1779">
        <v>2</v>
      </c>
      <c r="Q30" s="1666"/>
      <c r="R30" s="1671"/>
      <c r="S30" s="3755">
        <v>12</v>
      </c>
      <c r="T30" s="3756"/>
      <c r="U30" s="1666">
        <v>6</v>
      </c>
      <c r="V30" s="1764"/>
      <c r="W30" s="1809">
        <f t="shared" si="1"/>
        <v>24</v>
      </c>
      <c r="X30" s="1669">
        <v>10</v>
      </c>
      <c r="Y30" s="1669">
        <v>10</v>
      </c>
      <c r="Z30" s="1671" t="s">
        <v>27</v>
      </c>
      <c r="AA30" s="1671">
        <f t="shared" si="2"/>
        <v>80</v>
      </c>
    </row>
    <row r="31" spans="1:27" ht="40.5" customHeight="1" x14ac:dyDescent="0.3">
      <c r="A31" s="1638">
        <v>22</v>
      </c>
      <c r="B31" s="1808">
        <v>5191421034</v>
      </c>
      <c r="C31" s="1809">
        <v>1</v>
      </c>
      <c r="D31" s="1671">
        <v>2</v>
      </c>
      <c r="E31" s="1665">
        <v>2</v>
      </c>
      <c r="F31" s="1666">
        <v>6</v>
      </c>
      <c r="G31" s="1671">
        <v>6</v>
      </c>
      <c r="H31" s="1764"/>
      <c r="I31" s="1666">
        <v>6</v>
      </c>
      <c r="J31" s="1671">
        <v>6</v>
      </c>
      <c r="K31" s="1793"/>
      <c r="L31" s="1793"/>
      <c r="M31" s="1661">
        <f t="shared" si="0"/>
        <v>29</v>
      </c>
      <c r="N31" s="1662"/>
      <c r="O31" s="1671">
        <v>1</v>
      </c>
      <c r="P31" s="1779">
        <v>1</v>
      </c>
      <c r="Q31" s="1666"/>
      <c r="R31" s="1671"/>
      <c r="S31" s="3755">
        <v>6</v>
      </c>
      <c r="T31" s="3756"/>
      <c r="U31" s="1666">
        <v>11</v>
      </c>
      <c r="V31" s="1764"/>
      <c r="W31" s="1809">
        <f t="shared" si="1"/>
        <v>19</v>
      </c>
      <c r="X31" s="1669">
        <v>10</v>
      </c>
      <c r="Y31" s="1669">
        <v>10</v>
      </c>
      <c r="Z31" s="1671" t="s">
        <v>30</v>
      </c>
      <c r="AA31" s="1671">
        <f t="shared" si="2"/>
        <v>90</v>
      </c>
    </row>
    <row r="32" spans="1:27" ht="40.5" customHeight="1" x14ac:dyDescent="0.3">
      <c r="A32" s="1638">
        <v>23</v>
      </c>
      <c r="B32" s="1808">
        <v>5191421036</v>
      </c>
      <c r="C32" s="1809"/>
      <c r="D32" s="1671">
        <v>1</v>
      </c>
      <c r="E32" s="1665"/>
      <c r="F32" s="1666">
        <v>4</v>
      </c>
      <c r="G32" s="1671">
        <v>4</v>
      </c>
      <c r="H32" s="1764"/>
      <c r="I32" s="1666">
        <v>6</v>
      </c>
      <c r="J32" s="1671">
        <v>6</v>
      </c>
      <c r="K32" s="1793"/>
      <c r="L32" s="1793"/>
      <c r="M32" s="1661">
        <f t="shared" si="0"/>
        <v>21</v>
      </c>
      <c r="N32" s="1662">
        <v>2</v>
      </c>
      <c r="O32" s="1671">
        <v>1</v>
      </c>
      <c r="P32" s="1779">
        <v>1</v>
      </c>
      <c r="Q32" s="1666">
        <v>6</v>
      </c>
      <c r="R32" s="1671">
        <v>6</v>
      </c>
      <c r="S32" s="3755"/>
      <c r="T32" s="3756"/>
      <c r="U32" s="1666">
        <v>11</v>
      </c>
      <c r="V32" s="1764"/>
      <c r="W32" s="1809">
        <f t="shared" si="1"/>
        <v>27</v>
      </c>
      <c r="X32" s="1669">
        <v>9</v>
      </c>
      <c r="Y32" s="1669">
        <v>9</v>
      </c>
      <c r="Z32" s="1671" t="s">
        <v>27</v>
      </c>
      <c r="AA32" s="1671">
        <f t="shared" si="2"/>
        <v>80</v>
      </c>
    </row>
    <row r="33" spans="1:27" ht="40.5" customHeight="1" x14ac:dyDescent="0.3">
      <c r="A33" s="1685">
        <v>24</v>
      </c>
      <c r="B33" s="1808">
        <v>5191421039</v>
      </c>
      <c r="C33" s="1809">
        <v>2</v>
      </c>
      <c r="D33" s="1671">
        <v>2</v>
      </c>
      <c r="E33" s="1665">
        <v>2</v>
      </c>
      <c r="F33" s="1666">
        <v>4</v>
      </c>
      <c r="G33" s="1671">
        <v>4</v>
      </c>
      <c r="H33" s="1764"/>
      <c r="I33" s="1666">
        <v>6</v>
      </c>
      <c r="J33" s="1671">
        <v>6</v>
      </c>
      <c r="K33" s="1793"/>
      <c r="L33" s="1793"/>
      <c r="M33" s="1661">
        <f t="shared" si="0"/>
        <v>26</v>
      </c>
      <c r="N33" s="1662">
        <v>2</v>
      </c>
      <c r="O33" s="1671">
        <v>1</v>
      </c>
      <c r="P33" s="1779">
        <v>2</v>
      </c>
      <c r="Q33" s="1666">
        <v>5</v>
      </c>
      <c r="R33" s="1671">
        <v>6</v>
      </c>
      <c r="S33" s="3755"/>
      <c r="T33" s="3756"/>
      <c r="U33" s="1666">
        <v>11</v>
      </c>
      <c r="V33" s="1764"/>
      <c r="W33" s="1809">
        <f t="shared" si="1"/>
        <v>27</v>
      </c>
      <c r="X33" s="1669">
        <v>10</v>
      </c>
      <c r="Y33" s="1669">
        <v>10</v>
      </c>
      <c r="Z33" s="1671" t="s">
        <v>27</v>
      </c>
      <c r="AA33" s="1671">
        <f t="shared" si="2"/>
        <v>80</v>
      </c>
    </row>
    <row r="34" spans="1:27" ht="40.5" customHeight="1" x14ac:dyDescent="0.3">
      <c r="A34" s="1638">
        <v>25</v>
      </c>
      <c r="B34" s="1808">
        <v>5191421043</v>
      </c>
      <c r="C34" s="1809">
        <v>2</v>
      </c>
      <c r="D34" s="1671">
        <v>2</v>
      </c>
      <c r="E34" s="1665">
        <v>2</v>
      </c>
      <c r="F34" s="1666">
        <v>4</v>
      </c>
      <c r="G34" s="1671">
        <v>6</v>
      </c>
      <c r="H34" s="1764"/>
      <c r="I34" s="1666">
        <v>6</v>
      </c>
      <c r="J34" s="1671">
        <v>6</v>
      </c>
      <c r="K34" s="1793"/>
      <c r="L34" s="1793"/>
      <c r="M34" s="1661">
        <f t="shared" si="0"/>
        <v>28</v>
      </c>
      <c r="N34" s="1662">
        <v>2</v>
      </c>
      <c r="O34" s="1671">
        <v>2</v>
      </c>
      <c r="P34" s="1779">
        <v>1</v>
      </c>
      <c r="Q34" s="1666">
        <v>6</v>
      </c>
      <c r="R34" s="1671">
        <v>6</v>
      </c>
      <c r="S34" s="3755"/>
      <c r="T34" s="3756"/>
      <c r="U34" s="1666">
        <v>12</v>
      </c>
      <c r="V34" s="1764"/>
      <c r="W34" s="1809">
        <f t="shared" si="1"/>
        <v>29</v>
      </c>
      <c r="X34" s="1669">
        <v>10</v>
      </c>
      <c r="Y34" s="1669">
        <v>10</v>
      </c>
      <c r="Z34" s="1670" t="s">
        <v>30</v>
      </c>
      <c r="AA34" s="1671">
        <f t="shared" si="2"/>
        <v>90</v>
      </c>
    </row>
    <row r="35" spans="1:27" ht="40.5" customHeight="1" x14ac:dyDescent="0.3">
      <c r="A35" s="1638">
        <v>26</v>
      </c>
      <c r="B35" s="1808">
        <v>5191421044</v>
      </c>
      <c r="C35" s="1809">
        <v>2</v>
      </c>
      <c r="D35" s="1671">
        <v>2</v>
      </c>
      <c r="E35" s="1665">
        <v>2</v>
      </c>
      <c r="F35" s="1666">
        <v>4</v>
      </c>
      <c r="G35" s="1671">
        <v>4</v>
      </c>
      <c r="H35" s="1764"/>
      <c r="I35" s="1666">
        <v>6</v>
      </c>
      <c r="J35" s="1671">
        <v>6</v>
      </c>
      <c r="K35" s="1793"/>
      <c r="L35" s="1793"/>
      <c r="M35" s="1661">
        <f t="shared" si="0"/>
        <v>26</v>
      </c>
      <c r="N35" s="1662">
        <v>1</v>
      </c>
      <c r="O35" s="1671">
        <v>1</v>
      </c>
      <c r="P35" s="1779">
        <v>1</v>
      </c>
      <c r="Q35" s="1666">
        <v>6</v>
      </c>
      <c r="R35" s="1671">
        <v>6</v>
      </c>
      <c r="S35" s="3755"/>
      <c r="T35" s="3756"/>
      <c r="U35" s="1666">
        <v>10</v>
      </c>
      <c r="V35" s="1764"/>
      <c r="W35" s="1809">
        <f t="shared" si="1"/>
        <v>25</v>
      </c>
      <c r="X35" s="1669">
        <v>10</v>
      </c>
      <c r="Y35" s="1669">
        <v>10</v>
      </c>
      <c r="Z35" s="1670" t="s">
        <v>30</v>
      </c>
      <c r="AA35" s="1671">
        <f t="shared" si="2"/>
        <v>90</v>
      </c>
    </row>
    <row r="36" spans="1:27" ht="40.5" customHeight="1" x14ac:dyDescent="0.3">
      <c r="A36" s="1685">
        <v>27</v>
      </c>
      <c r="B36" s="1808">
        <v>5191421045</v>
      </c>
      <c r="C36" s="1809">
        <v>1</v>
      </c>
      <c r="D36" s="1671">
        <v>1</v>
      </c>
      <c r="E36" s="1665"/>
      <c r="F36" s="1666">
        <v>2</v>
      </c>
      <c r="G36" s="1671">
        <v>3</v>
      </c>
      <c r="H36" s="1764"/>
      <c r="I36" s="1666">
        <v>6</v>
      </c>
      <c r="J36" s="1671">
        <v>6</v>
      </c>
      <c r="K36" s="1793"/>
      <c r="L36" s="1793"/>
      <c r="M36" s="1661">
        <f t="shared" si="0"/>
        <v>19</v>
      </c>
      <c r="N36" s="1662">
        <v>1</v>
      </c>
      <c r="O36" s="1671">
        <v>1</v>
      </c>
      <c r="P36" s="1779">
        <v>1</v>
      </c>
      <c r="Q36" s="1666">
        <v>5</v>
      </c>
      <c r="R36" s="1671">
        <v>4</v>
      </c>
      <c r="S36" s="3755"/>
      <c r="T36" s="3756"/>
      <c r="U36" s="1666">
        <v>6</v>
      </c>
      <c r="V36" s="1764"/>
      <c r="W36" s="1809">
        <f t="shared" si="1"/>
        <v>18</v>
      </c>
      <c r="X36" s="1669">
        <v>9</v>
      </c>
      <c r="Y36" s="1669">
        <v>9</v>
      </c>
      <c r="Z36" s="1670" t="s">
        <v>32</v>
      </c>
      <c r="AA36" s="1671">
        <f t="shared" si="2"/>
        <v>70</v>
      </c>
    </row>
    <row r="37" spans="1:27" ht="40.5" customHeight="1" x14ac:dyDescent="0.3">
      <c r="A37" s="1638">
        <v>28</v>
      </c>
      <c r="B37" s="1808">
        <v>5191421046</v>
      </c>
      <c r="C37" s="1811">
        <v>2</v>
      </c>
      <c r="D37" s="1671">
        <v>2</v>
      </c>
      <c r="E37" s="1665">
        <v>2</v>
      </c>
      <c r="F37" s="1666"/>
      <c r="G37" s="1671"/>
      <c r="H37" s="1764">
        <v>6</v>
      </c>
      <c r="I37" s="1666">
        <v>6</v>
      </c>
      <c r="J37" s="1671">
        <v>6</v>
      </c>
      <c r="K37" s="1793"/>
      <c r="L37" s="1793"/>
      <c r="M37" s="1661">
        <f t="shared" si="0"/>
        <v>24</v>
      </c>
      <c r="N37" s="1662">
        <v>2</v>
      </c>
      <c r="O37" s="1671">
        <v>2</v>
      </c>
      <c r="P37" s="1779">
        <v>2</v>
      </c>
      <c r="Q37" s="1666">
        <v>4</v>
      </c>
      <c r="R37" s="1671">
        <v>3</v>
      </c>
      <c r="S37" s="3755"/>
      <c r="T37" s="3756"/>
      <c r="U37" s="1666"/>
      <c r="V37" s="1764">
        <v>8</v>
      </c>
      <c r="W37" s="1809">
        <f t="shared" si="1"/>
        <v>21</v>
      </c>
      <c r="X37" s="1669">
        <v>9</v>
      </c>
      <c r="Y37" s="1669">
        <v>9</v>
      </c>
      <c r="Z37" s="1670" t="s">
        <v>33</v>
      </c>
      <c r="AA37" s="1671">
        <f t="shared" si="2"/>
        <v>60</v>
      </c>
    </row>
    <row r="38" spans="1:27" ht="40.5" customHeight="1" x14ac:dyDescent="0.3">
      <c r="A38" s="1638">
        <v>29</v>
      </c>
      <c r="B38" s="1808">
        <v>5191421049</v>
      </c>
      <c r="C38" s="1764">
        <v>2</v>
      </c>
      <c r="D38" s="1671">
        <v>2</v>
      </c>
      <c r="E38" s="1665">
        <v>1</v>
      </c>
      <c r="F38" s="1666">
        <v>6</v>
      </c>
      <c r="G38" s="1671">
        <v>5</v>
      </c>
      <c r="H38" s="1764"/>
      <c r="I38" s="1666">
        <v>6</v>
      </c>
      <c r="J38" s="1671">
        <v>6</v>
      </c>
      <c r="K38" s="1793"/>
      <c r="L38" s="1793"/>
      <c r="M38" s="1661">
        <f t="shared" si="0"/>
        <v>28</v>
      </c>
      <c r="N38" s="1662">
        <v>2</v>
      </c>
      <c r="O38" s="1671">
        <v>2</v>
      </c>
      <c r="P38" s="1779">
        <v>2</v>
      </c>
      <c r="Q38" s="1666">
        <v>6</v>
      </c>
      <c r="R38" s="1671">
        <v>6</v>
      </c>
      <c r="S38" s="3755"/>
      <c r="T38" s="3756"/>
      <c r="U38" s="1666"/>
      <c r="V38" s="1764">
        <v>12</v>
      </c>
      <c r="W38" s="1809">
        <f t="shared" si="1"/>
        <v>30</v>
      </c>
      <c r="X38" s="1669">
        <v>10</v>
      </c>
      <c r="Y38" s="1669">
        <v>10</v>
      </c>
      <c r="Z38" s="1671" t="s">
        <v>27</v>
      </c>
      <c r="AA38" s="1671">
        <f t="shared" si="2"/>
        <v>80</v>
      </c>
    </row>
    <row r="39" spans="1:27" ht="40.5" customHeight="1" x14ac:dyDescent="0.3">
      <c r="A39" s="1685">
        <v>30</v>
      </c>
      <c r="B39" s="1808">
        <v>5191421051</v>
      </c>
      <c r="C39" s="1817">
        <v>2</v>
      </c>
      <c r="D39" s="1654">
        <v>2</v>
      </c>
      <c r="E39" s="1654">
        <v>2</v>
      </c>
      <c r="F39" s="1701"/>
      <c r="G39" s="1701"/>
      <c r="H39" s="1701">
        <v>9</v>
      </c>
      <c r="I39" s="1701">
        <v>5</v>
      </c>
      <c r="J39" s="1701">
        <v>5</v>
      </c>
      <c r="K39" s="1793"/>
      <c r="L39" s="1793"/>
      <c r="M39" s="1661">
        <f t="shared" si="0"/>
        <v>25</v>
      </c>
      <c r="N39" s="1666">
        <v>2</v>
      </c>
      <c r="O39" s="1671">
        <v>2</v>
      </c>
      <c r="P39" s="1779">
        <v>2</v>
      </c>
      <c r="Q39" s="1666">
        <v>6</v>
      </c>
      <c r="R39" s="1671">
        <v>6</v>
      </c>
      <c r="S39" s="3755"/>
      <c r="T39" s="3756"/>
      <c r="U39" s="1666">
        <v>9</v>
      </c>
      <c r="V39" s="1764"/>
      <c r="W39" s="1809">
        <f t="shared" si="1"/>
        <v>27</v>
      </c>
      <c r="X39" s="1669">
        <v>10</v>
      </c>
      <c r="Y39" s="1669">
        <v>10</v>
      </c>
      <c r="Z39" s="1671" t="s">
        <v>27</v>
      </c>
      <c r="AA39" s="1671">
        <f t="shared" si="2"/>
        <v>80</v>
      </c>
    </row>
    <row r="40" spans="1:27" ht="40.5" customHeight="1" x14ac:dyDescent="0.3">
      <c r="A40" s="1638">
        <v>31</v>
      </c>
      <c r="B40" s="1808">
        <v>5191421052</v>
      </c>
      <c r="C40" s="1809">
        <v>2</v>
      </c>
      <c r="D40" s="1671">
        <v>2</v>
      </c>
      <c r="E40" s="1665">
        <v>2</v>
      </c>
      <c r="F40" s="1666"/>
      <c r="G40" s="1671"/>
      <c r="H40" s="1764">
        <v>6</v>
      </c>
      <c r="I40" s="1666">
        <v>6</v>
      </c>
      <c r="J40" s="1671">
        <v>6</v>
      </c>
      <c r="K40" s="1793"/>
      <c r="L40" s="1793"/>
      <c r="M40" s="1661">
        <f t="shared" si="0"/>
        <v>24</v>
      </c>
      <c r="N40" s="1662">
        <v>2</v>
      </c>
      <c r="O40" s="1671">
        <v>1</v>
      </c>
      <c r="P40" s="1779"/>
      <c r="Q40" s="1666">
        <v>5</v>
      </c>
      <c r="R40" s="1671">
        <v>6</v>
      </c>
      <c r="S40" s="3755"/>
      <c r="T40" s="3756"/>
      <c r="U40" s="1666">
        <v>11</v>
      </c>
      <c r="V40" s="1764"/>
      <c r="W40" s="1809">
        <f t="shared" si="1"/>
        <v>25</v>
      </c>
      <c r="X40" s="1669">
        <v>10</v>
      </c>
      <c r="Y40" s="1669">
        <v>10</v>
      </c>
      <c r="Z40" s="1671" t="s">
        <v>30</v>
      </c>
      <c r="AA40" s="1671">
        <f t="shared" si="2"/>
        <v>90</v>
      </c>
    </row>
    <row r="41" spans="1:27" ht="40.5" customHeight="1" x14ac:dyDescent="0.3">
      <c r="A41" s="1638">
        <v>32</v>
      </c>
      <c r="B41" s="1808">
        <v>5191421053</v>
      </c>
      <c r="C41" s="1809">
        <v>2</v>
      </c>
      <c r="D41" s="1671">
        <v>2</v>
      </c>
      <c r="E41" s="1665">
        <v>2</v>
      </c>
      <c r="F41" s="1666">
        <v>5</v>
      </c>
      <c r="G41" s="1671">
        <v>5</v>
      </c>
      <c r="H41" s="1764"/>
      <c r="I41" s="1666">
        <v>5</v>
      </c>
      <c r="J41" s="1671"/>
      <c r="K41" s="1793"/>
      <c r="L41" s="1793"/>
      <c r="M41" s="1661">
        <f t="shared" si="0"/>
        <v>21</v>
      </c>
      <c r="N41" s="1666">
        <v>2</v>
      </c>
      <c r="O41" s="1671">
        <v>2</v>
      </c>
      <c r="P41" s="1779">
        <v>2</v>
      </c>
      <c r="Q41" s="1666">
        <v>4</v>
      </c>
      <c r="R41" s="1671">
        <v>4</v>
      </c>
      <c r="S41" s="3755"/>
      <c r="T41" s="3756"/>
      <c r="U41" s="1666">
        <v>11</v>
      </c>
      <c r="V41" s="1764"/>
      <c r="W41" s="1809">
        <f t="shared" si="1"/>
        <v>25</v>
      </c>
      <c r="X41" s="1669">
        <v>9</v>
      </c>
      <c r="Y41" s="1669">
        <v>9</v>
      </c>
      <c r="Z41" s="1671" t="s">
        <v>27</v>
      </c>
      <c r="AA41" s="1671">
        <f t="shared" si="2"/>
        <v>80</v>
      </c>
    </row>
    <row r="42" spans="1:27" ht="40.5" customHeight="1" x14ac:dyDescent="0.3">
      <c r="A42" s="1685">
        <v>33</v>
      </c>
      <c r="B42" s="1808">
        <v>5191421058</v>
      </c>
      <c r="C42" s="1809">
        <v>2</v>
      </c>
      <c r="D42" s="1671">
        <v>2</v>
      </c>
      <c r="E42" s="1665"/>
      <c r="F42" s="1666"/>
      <c r="G42" s="1671"/>
      <c r="H42" s="1764"/>
      <c r="I42" s="1666">
        <v>6</v>
      </c>
      <c r="J42" s="1671"/>
      <c r="K42" s="1793"/>
      <c r="L42" s="1793"/>
      <c r="M42" s="1661">
        <f t="shared" si="0"/>
        <v>10</v>
      </c>
      <c r="N42" s="1662">
        <v>2</v>
      </c>
      <c r="O42" s="1671">
        <v>2</v>
      </c>
      <c r="P42" s="1779">
        <v>2</v>
      </c>
      <c r="Q42" s="1666"/>
      <c r="R42" s="1671">
        <v>3</v>
      </c>
      <c r="S42" s="3755"/>
      <c r="T42" s="3756"/>
      <c r="U42" s="1666">
        <v>5</v>
      </c>
      <c r="V42" s="1764"/>
      <c r="W42" s="1663">
        <f t="shared" si="1"/>
        <v>14</v>
      </c>
      <c r="X42" s="1669">
        <v>9</v>
      </c>
      <c r="Y42" s="1669">
        <v>9</v>
      </c>
      <c r="Z42" s="1671" t="s">
        <v>31</v>
      </c>
      <c r="AA42" s="1671">
        <f t="shared" si="2"/>
        <v>55</v>
      </c>
    </row>
    <row r="43" spans="1:27" ht="40.5" customHeight="1" x14ac:dyDescent="0.3">
      <c r="A43" s="3773" t="s">
        <v>34</v>
      </c>
      <c r="C43" s="1716">
        <f t="shared" ref="C43:L43" si="3">COUNT(C10:C42)</f>
        <v>30</v>
      </c>
      <c r="D43" s="1716">
        <f t="shared" si="3"/>
        <v>31</v>
      </c>
      <c r="E43" s="1716">
        <f t="shared" si="3"/>
        <v>26</v>
      </c>
      <c r="F43" s="1716">
        <f t="shared" si="3"/>
        <v>18</v>
      </c>
      <c r="G43" s="1716">
        <f t="shared" si="3"/>
        <v>18</v>
      </c>
      <c r="H43" s="1716">
        <f t="shared" si="3"/>
        <v>11</v>
      </c>
      <c r="I43" s="1716">
        <f t="shared" si="3"/>
        <v>29</v>
      </c>
      <c r="J43" s="1716">
        <f t="shared" si="3"/>
        <v>27</v>
      </c>
      <c r="K43" s="1716">
        <f t="shared" si="3"/>
        <v>7</v>
      </c>
      <c r="L43" s="1716">
        <f t="shared" si="3"/>
        <v>6</v>
      </c>
      <c r="M43" s="1716"/>
      <c r="N43" s="1716">
        <f t="shared" ref="N43:V43" si="4">COUNT(N10:N42)</f>
        <v>29</v>
      </c>
      <c r="O43" s="1716">
        <f t="shared" si="4"/>
        <v>30</v>
      </c>
      <c r="P43" s="1716">
        <f t="shared" si="4"/>
        <v>28</v>
      </c>
      <c r="Q43" s="1716">
        <f t="shared" si="4"/>
        <v>23</v>
      </c>
      <c r="R43" s="1716">
        <f t="shared" si="4"/>
        <v>25</v>
      </c>
      <c r="S43" s="3760">
        <f t="shared" si="4"/>
        <v>7</v>
      </c>
      <c r="T43" s="3760"/>
      <c r="U43" s="1716">
        <f t="shared" si="4"/>
        <v>25</v>
      </c>
      <c r="V43" s="1716">
        <f t="shared" si="4"/>
        <v>7</v>
      </c>
      <c r="W43" s="1818"/>
    </row>
    <row r="44" spans="1:27" ht="40.5" customHeight="1" x14ac:dyDescent="0.3">
      <c r="A44" s="3774"/>
      <c r="B44" s="1650">
        <v>55</v>
      </c>
      <c r="C44" s="1718">
        <f>C9*(B44/100)</f>
        <v>1.1000000000000001</v>
      </c>
      <c r="D44" s="1718">
        <f>D9*(B44/100)</f>
        <v>1.1000000000000001</v>
      </c>
      <c r="E44" s="1718">
        <f>E9*(B44/100)</f>
        <v>1.1000000000000001</v>
      </c>
      <c r="F44" s="1718">
        <f>F9*(B44/100)</f>
        <v>3.3000000000000003</v>
      </c>
      <c r="G44" s="1718">
        <f>G9*(B44/100)</f>
        <v>3.3000000000000003</v>
      </c>
      <c r="H44" s="1718">
        <f>H9*(B44/100)</f>
        <v>6.6000000000000005</v>
      </c>
      <c r="I44" s="1718">
        <f>I9*(B44/100)</f>
        <v>3.3000000000000003</v>
      </c>
      <c r="J44" s="1718">
        <f>J9*(B44/100)</f>
        <v>3.3000000000000003</v>
      </c>
      <c r="K44" s="1718">
        <f>K9*(B44/100)</f>
        <v>3.3000000000000003</v>
      </c>
      <c r="L44" s="1718">
        <f>L9*(B44/100)</f>
        <v>3.3000000000000003</v>
      </c>
      <c r="M44" s="1716"/>
      <c r="N44" s="1718">
        <f>N9*(B44/100)</f>
        <v>1.1000000000000001</v>
      </c>
      <c r="O44" s="1718">
        <f>O9*(B44/100)</f>
        <v>1.1000000000000001</v>
      </c>
      <c r="P44" s="1718">
        <f>P9*(B44/100)</f>
        <v>1.1000000000000001</v>
      </c>
      <c r="Q44" s="1718">
        <f>Q9*(B44/100)</f>
        <v>3.3000000000000003</v>
      </c>
      <c r="R44" s="1718">
        <f>R9*(B44/100)</f>
        <v>3.3000000000000003</v>
      </c>
      <c r="S44" s="3761">
        <f>S9*(B44/100)</f>
        <v>6.6000000000000005</v>
      </c>
      <c r="T44" s="3761"/>
      <c r="U44" s="1718">
        <f>U9*(B44/100)</f>
        <v>6.6000000000000005</v>
      </c>
      <c r="V44" s="1718">
        <f>V9*(B44/100)</f>
        <v>6.6000000000000005</v>
      </c>
      <c r="W44" s="1818"/>
    </row>
    <row r="45" spans="1:27" ht="40.5" customHeight="1" x14ac:dyDescent="0.3">
      <c r="A45" s="3692" t="s">
        <v>35</v>
      </c>
      <c r="B45" s="3692"/>
      <c r="C45" s="1716">
        <f t="shared" ref="C45:L45" si="5">COUNTIF(C10:C42,"&gt;=" &amp;C44)</f>
        <v>20</v>
      </c>
      <c r="D45" s="1716">
        <f t="shared" si="5"/>
        <v>18</v>
      </c>
      <c r="E45" s="1716">
        <f t="shared" si="5"/>
        <v>17</v>
      </c>
      <c r="F45" s="1716">
        <f t="shared" si="5"/>
        <v>13</v>
      </c>
      <c r="G45" s="1716">
        <f t="shared" si="5"/>
        <v>13</v>
      </c>
      <c r="H45" s="1716">
        <f t="shared" si="5"/>
        <v>8</v>
      </c>
      <c r="I45" s="1716">
        <f t="shared" si="5"/>
        <v>27</v>
      </c>
      <c r="J45" s="1716">
        <f t="shared" si="5"/>
        <v>25</v>
      </c>
      <c r="K45" s="1716">
        <f t="shared" si="5"/>
        <v>4</v>
      </c>
      <c r="L45" s="1716">
        <f t="shared" si="5"/>
        <v>6</v>
      </c>
      <c r="M45" s="1716"/>
      <c r="N45" s="1716">
        <f t="shared" ref="N45:V45" si="6">COUNTIF(N10:N42,"&gt;=" &amp;N44)</f>
        <v>22</v>
      </c>
      <c r="O45" s="1716">
        <f t="shared" si="6"/>
        <v>22</v>
      </c>
      <c r="P45" s="1716">
        <f t="shared" si="6"/>
        <v>21</v>
      </c>
      <c r="Q45" s="1716">
        <f t="shared" si="6"/>
        <v>22</v>
      </c>
      <c r="R45" s="1716">
        <f t="shared" si="6"/>
        <v>23</v>
      </c>
      <c r="S45" s="3740">
        <f t="shared" si="6"/>
        <v>4</v>
      </c>
      <c r="T45" s="3740"/>
      <c r="U45" s="1716">
        <f t="shared" si="6"/>
        <v>21</v>
      </c>
      <c r="V45" s="1716">
        <f t="shared" si="6"/>
        <v>5</v>
      </c>
      <c r="W45" s="1818"/>
      <c r="Z45" s="1716"/>
      <c r="AA45" s="1038">
        <f>COUNTIF(AA10:AA42,"&gt;="&amp;B44)</f>
        <v>30</v>
      </c>
    </row>
    <row r="46" spans="1:27" ht="40.5" customHeight="1" x14ac:dyDescent="0.3">
      <c r="A46" s="3693" t="s">
        <v>36</v>
      </c>
      <c r="B46" s="3693"/>
      <c r="C46" s="1716">
        <f t="shared" ref="C46:V46" si="7">C45/C43</f>
        <v>0.66666666666666663</v>
      </c>
      <c r="D46" s="1716">
        <f t="shared" si="7"/>
        <v>0.58064516129032262</v>
      </c>
      <c r="E46" s="1716">
        <f t="shared" si="7"/>
        <v>0.65384615384615385</v>
      </c>
      <c r="F46" s="1716">
        <f t="shared" si="7"/>
        <v>0.72222222222222221</v>
      </c>
      <c r="G46" s="1716">
        <f t="shared" si="7"/>
        <v>0.72222222222222221</v>
      </c>
      <c r="H46" s="1716">
        <f t="shared" si="7"/>
        <v>0.72727272727272729</v>
      </c>
      <c r="I46" s="1716">
        <f t="shared" si="7"/>
        <v>0.93103448275862066</v>
      </c>
      <c r="J46" s="1716">
        <f t="shared" si="7"/>
        <v>0.92592592592592593</v>
      </c>
      <c r="K46" s="1716">
        <f t="shared" si="7"/>
        <v>0.5714285714285714</v>
      </c>
      <c r="L46" s="1716">
        <f>L45/L43</f>
        <v>1</v>
      </c>
      <c r="M46" s="1716"/>
      <c r="N46" s="1716">
        <f t="shared" si="7"/>
        <v>0.75862068965517238</v>
      </c>
      <c r="O46" s="1716">
        <f t="shared" si="7"/>
        <v>0.73333333333333328</v>
      </c>
      <c r="P46" s="1716">
        <f t="shared" si="7"/>
        <v>0.75</v>
      </c>
      <c r="Q46" s="1716">
        <f t="shared" si="7"/>
        <v>0.95652173913043481</v>
      </c>
      <c r="R46" s="1716">
        <f t="shared" si="7"/>
        <v>0.92</v>
      </c>
      <c r="S46" s="3754">
        <f t="shared" si="7"/>
        <v>0.5714285714285714</v>
      </c>
      <c r="T46" s="3754"/>
      <c r="U46" s="1716">
        <f t="shared" si="7"/>
        <v>0.84</v>
      </c>
      <c r="V46" s="1716">
        <f t="shared" si="7"/>
        <v>0.7142857142857143</v>
      </c>
      <c r="W46" s="1818"/>
      <c r="Z46" s="1716"/>
      <c r="AA46" s="1038">
        <f>(AA45/A42)*100</f>
        <v>90.909090909090907</v>
      </c>
    </row>
    <row r="47" spans="1:27" ht="40.5" customHeight="1" x14ac:dyDescent="0.3">
      <c r="C47" s="1637" t="s">
        <v>22</v>
      </c>
      <c r="D47" s="1637" t="s">
        <v>21</v>
      </c>
      <c r="E47" s="1646" t="s">
        <v>21</v>
      </c>
      <c r="F47" s="3762" t="s">
        <v>20</v>
      </c>
      <c r="G47" s="3683"/>
      <c r="H47" s="1807" t="s">
        <v>20</v>
      </c>
      <c r="I47" s="3766" t="s">
        <v>21</v>
      </c>
      <c r="J47" s="3767"/>
      <c r="K47" s="3768" t="s">
        <v>42</v>
      </c>
      <c r="L47" s="3769"/>
      <c r="M47" s="1646"/>
      <c r="N47" s="1637" t="s">
        <v>41</v>
      </c>
      <c r="O47" s="1638" t="s">
        <v>43</v>
      </c>
      <c r="P47" s="1752" t="s">
        <v>43</v>
      </c>
      <c r="Q47" s="1637" t="s">
        <v>41</v>
      </c>
      <c r="R47" s="1638" t="s">
        <v>41</v>
      </c>
      <c r="S47" s="3681" t="s">
        <v>42</v>
      </c>
      <c r="T47" s="3759"/>
      <c r="U47" s="1637" t="s">
        <v>43</v>
      </c>
      <c r="V47" s="1638" t="s">
        <v>43</v>
      </c>
      <c r="W47" s="1716"/>
      <c r="X47" s="1716"/>
    </row>
    <row r="48" spans="1:27" ht="40.5" customHeight="1" x14ac:dyDescent="0.3"/>
    <row r="49" spans="1:23" ht="40.5" customHeight="1" x14ac:dyDescent="0.3">
      <c r="D49" s="1650" t="s">
        <v>38</v>
      </c>
      <c r="E49" s="3694" t="s">
        <v>39</v>
      </c>
      <c r="F49" s="3694"/>
      <c r="G49" s="3694" t="s">
        <v>37</v>
      </c>
      <c r="H49" s="3694"/>
      <c r="I49" s="1719"/>
      <c r="J49" s="1650"/>
    </row>
    <row r="50" spans="1:23" ht="40.5" customHeight="1" x14ac:dyDescent="0.3">
      <c r="B50" s="1638" t="s">
        <v>22</v>
      </c>
      <c r="C50" s="1671">
        <f>AVERAGE(C46,F46,G46,H46)*100</f>
        <v>70.959595959595958</v>
      </c>
      <c r="D50" s="1671">
        <f t="shared" ref="D50:D53" si="8">IF(C50&gt;=70,3,IF(AND(C50&gt;=60,C50&lt;70),2,IF(AND(C50&gt;=50,C50&lt;60),1)))</f>
        <v>3</v>
      </c>
      <c r="E50" s="3686">
        <v>3</v>
      </c>
      <c r="F50" s="3686"/>
      <c r="G50" s="1793">
        <f>(70/100)*E50+(30/100)*D50</f>
        <v>2.9999999999999996</v>
      </c>
      <c r="H50" s="1720"/>
      <c r="I50" s="1720"/>
      <c r="J50" s="1720"/>
    </row>
    <row r="51" spans="1:23" ht="40.5" customHeight="1" x14ac:dyDescent="0.3">
      <c r="B51" s="1638" t="s">
        <v>40</v>
      </c>
      <c r="C51" s="1671">
        <f>AVERAGE(D46,E46,I46,J46)*100</f>
        <v>77.286293095525579</v>
      </c>
      <c r="D51" s="1671">
        <f t="shared" si="8"/>
        <v>3</v>
      </c>
      <c r="E51" s="3686">
        <v>3</v>
      </c>
      <c r="F51" s="3686"/>
      <c r="G51" s="1793">
        <f t="shared" ref="G51:G54" si="9">(70/100)*E51+(30/100)*D51</f>
        <v>2.9999999999999996</v>
      </c>
      <c r="H51" s="1720"/>
      <c r="I51" s="1720"/>
      <c r="J51" s="1720"/>
    </row>
    <row r="52" spans="1:23" ht="40.5" customHeight="1" x14ac:dyDescent="0.3">
      <c r="B52" s="1638" t="s">
        <v>41</v>
      </c>
      <c r="C52" s="1671">
        <f>AVERAGE(N46,Q46,R46)*100</f>
        <v>87.838080959520241</v>
      </c>
      <c r="D52" s="1671">
        <f t="shared" si="8"/>
        <v>3</v>
      </c>
      <c r="E52" s="3686">
        <v>3</v>
      </c>
      <c r="F52" s="3686"/>
      <c r="G52" s="1793">
        <f t="shared" si="9"/>
        <v>2.9999999999999996</v>
      </c>
      <c r="H52" s="1720"/>
      <c r="I52" s="1720"/>
      <c r="J52" s="1720"/>
    </row>
    <row r="53" spans="1:23" ht="40.5" customHeight="1" x14ac:dyDescent="0.3">
      <c r="B53" s="1638" t="s">
        <v>42</v>
      </c>
      <c r="C53" s="1671">
        <f>AVERAGE(S46,K46,L46)*100</f>
        <v>71.428571428571431</v>
      </c>
      <c r="D53" s="1671">
        <f t="shared" si="8"/>
        <v>3</v>
      </c>
      <c r="E53" s="3686">
        <v>3</v>
      </c>
      <c r="F53" s="3686"/>
      <c r="G53" s="1793">
        <f t="shared" si="9"/>
        <v>2.9999999999999996</v>
      </c>
      <c r="H53" s="1720"/>
      <c r="I53" s="1720"/>
      <c r="J53" s="1720"/>
    </row>
    <row r="54" spans="1:23" ht="40.5" customHeight="1" x14ac:dyDescent="0.3">
      <c r="B54" s="1729" t="s">
        <v>43</v>
      </c>
      <c r="C54" s="1671">
        <f>AVERAGE(O46,P46,U46,V46)*100</f>
        <v>75.94047619047619</v>
      </c>
      <c r="D54" s="1654">
        <v>3</v>
      </c>
      <c r="E54" s="3776">
        <v>3</v>
      </c>
      <c r="F54" s="3777"/>
      <c r="G54" s="1793">
        <f t="shared" si="9"/>
        <v>2.9999999999999996</v>
      </c>
      <c r="H54" s="1721"/>
      <c r="I54" s="1721"/>
      <c r="J54" s="1721"/>
    </row>
    <row r="55" spans="1:23" ht="40.5" customHeight="1" x14ac:dyDescent="0.3">
      <c r="B55" s="1819"/>
      <c r="C55" s="3775" t="s">
        <v>44</v>
      </c>
      <c r="D55" s="3775"/>
      <c r="E55" s="3775"/>
      <c r="F55" s="3775"/>
      <c r="G55" s="1017">
        <f>AVERAGE(G50,G50:G54)</f>
        <v>2.9999999999999996</v>
      </c>
      <c r="H55" s="1721"/>
      <c r="I55" s="1721"/>
      <c r="J55" s="1721"/>
    </row>
    <row r="56" spans="1:23" ht="40.5" customHeight="1" x14ac:dyDescent="0.3">
      <c r="A56" s="2775" t="s">
        <v>134</v>
      </c>
      <c r="B56" s="2775"/>
    </row>
    <row r="57" spans="1:23" ht="40.5" customHeight="1" x14ac:dyDescent="0.3"/>
    <row r="58" spans="1:23" ht="40.5" customHeight="1" x14ac:dyDescent="0.3">
      <c r="B58" s="1654" t="s">
        <v>45</v>
      </c>
      <c r="C58" s="1795" t="s">
        <v>68</v>
      </c>
      <c r="D58" s="1795" t="s">
        <v>69</v>
      </c>
      <c r="E58" s="1795" t="s">
        <v>70</v>
      </c>
      <c r="F58" s="1795" t="s">
        <v>71</v>
      </c>
      <c r="G58" s="1795" t="s">
        <v>72</v>
      </c>
      <c r="H58" s="1795" t="s">
        <v>73</v>
      </c>
      <c r="I58" s="1795" t="s">
        <v>74</v>
      </c>
      <c r="J58" s="1796" t="s">
        <v>75</v>
      </c>
      <c r="K58" s="1795" t="s">
        <v>76</v>
      </c>
      <c r="L58" s="1795" t="s">
        <v>77</v>
      </c>
      <c r="M58" s="1795" t="s">
        <v>78</v>
      </c>
      <c r="N58" s="1795" t="s">
        <v>79</v>
      </c>
      <c r="T58" s="1626"/>
      <c r="W58" s="1038"/>
    </row>
    <row r="59" spans="1:23" ht="40.5" customHeight="1" x14ac:dyDescent="0.3">
      <c r="B59" s="1797" t="s">
        <v>20</v>
      </c>
      <c r="C59" s="1820">
        <v>3</v>
      </c>
      <c r="D59" s="1820">
        <v>3</v>
      </c>
      <c r="E59" s="1820">
        <v>1</v>
      </c>
      <c r="F59" s="1820"/>
      <c r="G59" s="1820"/>
      <c r="H59" s="1820"/>
      <c r="I59" s="1820">
        <v>2</v>
      </c>
      <c r="J59" s="1820"/>
      <c r="K59" s="1820">
        <v>3</v>
      </c>
      <c r="L59" s="1820">
        <v>2</v>
      </c>
      <c r="M59" s="1820"/>
      <c r="N59" s="1820"/>
      <c r="T59" s="1626"/>
      <c r="W59" s="1038"/>
    </row>
    <row r="60" spans="1:23" ht="40.5" customHeight="1" x14ac:dyDescent="0.3">
      <c r="B60" s="1797" t="s">
        <v>21</v>
      </c>
      <c r="C60" s="1820">
        <v>3</v>
      </c>
      <c r="D60" s="1820">
        <v>3</v>
      </c>
      <c r="E60" s="1820">
        <v>2</v>
      </c>
      <c r="F60" s="1820">
        <v>3</v>
      </c>
      <c r="G60" s="1820">
        <v>3</v>
      </c>
      <c r="H60" s="1820"/>
      <c r="I60" s="1820">
        <v>2</v>
      </c>
      <c r="J60" s="1820"/>
      <c r="K60" s="1820">
        <v>3</v>
      </c>
      <c r="L60" s="1820">
        <v>2</v>
      </c>
      <c r="M60" s="1820"/>
      <c r="N60" s="1820">
        <v>3</v>
      </c>
      <c r="T60" s="1626"/>
      <c r="W60" s="1038"/>
    </row>
    <row r="61" spans="1:23" ht="40.5" customHeight="1" x14ac:dyDescent="0.3">
      <c r="B61" s="1797" t="s">
        <v>23</v>
      </c>
      <c r="C61" s="1820">
        <v>3</v>
      </c>
      <c r="D61" s="1820">
        <v>2</v>
      </c>
      <c r="E61" s="1820">
        <v>2</v>
      </c>
      <c r="F61" s="1820">
        <v>3</v>
      </c>
      <c r="G61" s="1820">
        <v>3</v>
      </c>
      <c r="H61" s="1820"/>
      <c r="I61" s="1820">
        <v>3</v>
      </c>
      <c r="J61" s="1820"/>
      <c r="K61" s="1820">
        <v>3</v>
      </c>
      <c r="L61" s="1820">
        <v>2</v>
      </c>
      <c r="M61" s="1820"/>
      <c r="N61" s="1820">
        <v>3</v>
      </c>
      <c r="T61" s="1626"/>
      <c r="W61" s="1038"/>
    </row>
    <row r="62" spans="1:23" ht="40.5" customHeight="1" x14ac:dyDescent="0.3">
      <c r="B62" s="1654" t="s">
        <v>25</v>
      </c>
      <c r="C62" s="1820">
        <v>3</v>
      </c>
      <c r="D62" s="1820">
        <v>3</v>
      </c>
      <c r="E62" s="1820">
        <v>2</v>
      </c>
      <c r="F62" s="1820">
        <v>2</v>
      </c>
      <c r="G62" s="1820">
        <v>3</v>
      </c>
      <c r="H62" s="1820"/>
      <c r="I62" s="1820">
        <v>3</v>
      </c>
      <c r="J62" s="1820"/>
      <c r="K62" s="1820">
        <v>3</v>
      </c>
      <c r="L62" s="1820"/>
      <c r="M62" s="1820"/>
      <c r="N62" s="1820">
        <v>3</v>
      </c>
      <c r="T62" s="1626"/>
      <c r="W62" s="1038"/>
    </row>
    <row r="63" spans="1:23" ht="40.5" customHeight="1" x14ac:dyDescent="0.3">
      <c r="B63" s="1654" t="s">
        <v>24</v>
      </c>
      <c r="C63" s="1820">
        <v>3</v>
      </c>
      <c r="D63" s="1820">
        <v>2</v>
      </c>
      <c r="E63" s="1820">
        <v>2</v>
      </c>
      <c r="F63" s="1820">
        <v>2</v>
      </c>
      <c r="G63" s="1820">
        <v>3</v>
      </c>
      <c r="H63" s="1820"/>
      <c r="I63" s="1820">
        <v>2</v>
      </c>
      <c r="J63" s="1820"/>
      <c r="K63" s="1820">
        <v>3</v>
      </c>
      <c r="L63" s="1820">
        <v>3</v>
      </c>
      <c r="M63" s="1820"/>
      <c r="N63" s="1820">
        <v>3</v>
      </c>
      <c r="T63" s="1626"/>
      <c r="W63" s="1038"/>
    </row>
    <row r="64" spans="1:23" ht="40.5" customHeight="1" x14ac:dyDescent="0.3">
      <c r="B64" s="1729" t="s">
        <v>10</v>
      </c>
      <c r="C64" s="1671">
        <f>AVERAGE(C59:C63)</f>
        <v>3</v>
      </c>
      <c r="D64" s="1671">
        <f t="shared" ref="D64:N64" si="10">AVERAGE(D59:D63)</f>
        <v>2.6</v>
      </c>
      <c r="E64" s="1671">
        <f t="shared" si="10"/>
        <v>1.8</v>
      </c>
      <c r="F64" s="1671">
        <f t="shared" si="10"/>
        <v>2.5</v>
      </c>
      <c r="G64" s="1671">
        <f t="shared" si="10"/>
        <v>3</v>
      </c>
      <c r="H64" s="1671"/>
      <c r="I64" s="1671">
        <f t="shared" si="10"/>
        <v>2.4</v>
      </c>
      <c r="J64" s="1671"/>
      <c r="K64" s="1671">
        <f t="shared" si="10"/>
        <v>3</v>
      </c>
      <c r="L64" s="1671">
        <f t="shared" si="10"/>
        <v>2.25</v>
      </c>
      <c r="M64" s="1671"/>
      <c r="N64" s="1671">
        <f t="shared" si="10"/>
        <v>3</v>
      </c>
      <c r="T64" s="1626"/>
      <c r="W64" s="1038"/>
    </row>
    <row r="65" spans="1:23" ht="40.5" customHeight="1" x14ac:dyDescent="0.3">
      <c r="B65" s="1729" t="s">
        <v>58</v>
      </c>
      <c r="C65" s="3681">
        <f>AVERAGE(C64:N64)</f>
        <v>2.6166666666666663</v>
      </c>
      <c r="D65" s="3682"/>
      <c r="E65" s="3682"/>
      <c r="F65" s="3682"/>
      <c r="G65" s="3682"/>
      <c r="H65" s="3682"/>
      <c r="I65" s="3682"/>
      <c r="J65" s="3682"/>
      <c r="K65" s="3682"/>
      <c r="L65" s="3682"/>
      <c r="M65" s="3682"/>
      <c r="N65" s="3683"/>
      <c r="O65" s="1730"/>
      <c r="P65" s="1730"/>
      <c r="Q65" s="1730"/>
    </row>
    <row r="66" spans="1:23" ht="40.5" customHeight="1" x14ac:dyDescent="0.3">
      <c r="A66" s="2775" t="s">
        <v>148</v>
      </c>
      <c r="B66" s="2775"/>
    </row>
    <row r="67" spans="1:23" ht="40.5" customHeight="1" x14ac:dyDescent="0.3"/>
    <row r="68" spans="1:23" ht="40.5" customHeight="1" x14ac:dyDescent="0.3">
      <c r="B68" s="1654" t="s">
        <v>45</v>
      </c>
      <c r="C68" s="1795" t="s">
        <v>68</v>
      </c>
      <c r="D68" s="1795" t="s">
        <v>69</v>
      </c>
      <c r="E68" s="1795" t="s">
        <v>70</v>
      </c>
      <c r="F68" s="1795" t="s">
        <v>71</v>
      </c>
      <c r="G68" s="1795" t="s">
        <v>72</v>
      </c>
      <c r="H68" s="1795" t="s">
        <v>73</v>
      </c>
      <c r="I68" s="1795" t="s">
        <v>74</v>
      </c>
      <c r="J68" s="1796" t="s">
        <v>75</v>
      </c>
      <c r="K68" s="1795" t="s">
        <v>76</v>
      </c>
      <c r="L68" s="1795" t="s">
        <v>77</v>
      </c>
      <c r="M68" s="1795" t="s">
        <v>78</v>
      </c>
      <c r="N68" s="1795" t="s">
        <v>79</v>
      </c>
      <c r="T68" s="1626"/>
      <c r="W68" s="1038"/>
    </row>
    <row r="69" spans="1:23" ht="40.5" customHeight="1" x14ac:dyDescent="0.3">
      <c r="B69" s="1797" t="s">
        <v>20</v>
      </c>
      <c r="C69" s="1732">
        <f>G50*C59/3</f>
        <v>2.9999999999999996</v>
      </c>
      <c r="D69" s="1732">
        <f>G50*D59/3</f>
        <v>2.9999999999999996</v>
      </c>
      <c r="E69" s="1732">
        <f>G50*E59/3</f>
        <v>0.99999999999999989</v>
      </c>
      <c r="F69" s="1732"/>
      <c r="G69" s="1732"/>
      <c r="H69" s="1732"/>
      <c r="I69" s="1732">
        <f>G50*I59/3</f>
        <v>1.9999999999999998</v>
      </c>
      <c r="J69" s="1732"/>
      <c r="K69" s="1732">
        <f>G50*K59/3</f>
        <v>2.9999999999999996</v>
      </c>
      <c r="L69" s="1732">
        <f>G50*L59/3</f>
        <v>1.9999999999999998</v>
      </c>
      <c r="M69" s="1732"/>
      <c r="N69" s="1732"/>
      <c r="T69" s="1626"/>
      <c r="W69" s="1038"/>
    </row>
    <row r="70" spans="1:23" ht="40.5" customHeight="1" x14ac:dyDescent="0.3">
      <c r="B70" s="1797" t="s">
        <v>21</v>
      </c>
      <c r="C70" s="1732">
        <f>G51*C60/3</f>
        <v>2.9999999999999996</v>
      </c>
      <c r="D70" s="1732">
        <f>G51*D60/3</f>
        <v>2.9999999999999996</v>
      </c>
      <c r="E70" s="1732">
        <f>G51*E60/3</f>
        <v>1.9999999999999998</v>
      </c>
      <c r="F70" s="1732">
        <f>G51*F60/3</f>
        <v>2.9999999999999996</v>
      </c>
      <c r="G70" s="1732">
        <f>G51*G60/3</f>
        <v>2.9999999999999996</v>
      </c>
      <c r="H70" s="1732"/>
      <c r="I70" s="1732">
        <f>G51*I60/3</f>
        <v>1.9999999999999998</v>
      </c>
      <c r="J70" s="1732"/>
      <c r="K70" s="1732">
        <f>G51*K60/3</f>
        <v>2.9999999999999996</v>
      </c>
      <c r="L70" s="1732">
        <f>G51*L60/3</f>
        <v>1.9999999999999998</v>
      </c>
      <c r="M70" s="1732"/>
      <c r="N70" s="1732">
        <f>G51*N60/3</f>
        <v>2.9999999999999996</v>
      </c>
      <c r="T70" s="1626"/>
      <c r="W70" s="1038"/>
    </row>
    <row r="71" spans="1:23" ht="40.5" customHeight="1" x14ac:dyDescent="0.3">
      <c r="B71" s="1797" t="s">
        <v>23</v>
      </c>
      <c r="C71" s="1732">
        <f>G52*C61/3</f>
        <v>2.9999999999999996</v>
      </c>
      <c r="D71" s="1732">
        <f>G52*D61/3</f>
        <v>1.9999999999999998</v>
      </c>
      <c r="E71" s="1732">
        <f>G52*E61/3</f>
        <v>1.9999999999999998</v>
      </c>
      <c r="F71" s="1732">
        <f>G52*F61/3</f>
        <v>2.9999999999999996</v>
      </c>
      <c r="G71" s="1732">
        <f>G52*G61/3</f>
        <v>2.9999999999999996</v>
      </c>
      <c r="H71" s="1732"/>
      <c r="I71" s="1732">
        <f>G52*I61/3</f>
        <v>2.9999999999999996</v>
      </c>
      <c r="J71" s="1732"/>
      <c r="K71" s="1732">
        <f>G52*K61/3</f>
        <v>2.9999999999999996</v>
      </c>
      <c r="L71" s="1732">
        <f>G52*L61/3</f>
        <v>1.9999999999999998</v>
      </c>
      <c r="M71" s="1732"/>
      <c r="N71" s="1732">
        <f>G52*N61/3</f>
        <v>2.9999999999999996</v>
      </c>
      <c r="T71" s="1626"/>
      <c r="W71" s="1038"/>
    </row>
    <row r="72" spans="1:23" ht="40.5" customHeight="1" x14ac:dyDescent="0.3">
      <c r="B72" s="1797" t="s">
        <v>25</v>
      </c>
      <c r="C72" s="1732">
        <f>G53*C62/3</f>
        <v>2.9999999999999996</v>
      </c>
      <c r="D72" s="1732">
        <f>G53*D62/3</f>
        <v>2.9999999999999996</v>
      </c>
      <c r="E72" s="1732">
        <f>G53*E62/3</f>
        <v>1.9999999999999998</v>
      </c>
      <c r="F72" s="1732">
        <f>G53*F62/3</f>
        <v>1.9999999999999998</v>
      </c>
      <c r="G72" s="1732">
        <f>G53*G62/3</f>
        <v>2.9999999999999996</v>
      </c>
      <c r="H72" s="1732"/>
      <c r="I72" s="1732">
        <f>G53*I62/3</f>
        <v>2.9999999999999996</v>
      </c>
      <c r="J72" s="1732"/>
      <c r="K72" s="1732">
        <f>G53*K62/3</f>
        <v>2.9999999999999996</v>
      </c>
      <c r="L72" s="1732"/>
      <c r="M72" s="1732"/>
      <c r="N72" s="1732">
        <f>G53*N62/3</f>
        <v>2.9999999999999996</v>
      </c>
      <c r="T72" s="1626"/>
      <c r="W72" s="1038"/>
    </row>
    <row r="73" spans="1:23" ht="40.5" customHeight="1" x14ac:dyDescent="0.3">
      <c r="B73" s="1797" t="s">
        <v>24</v>
      </c>
      <c r="C73" s="1732">
        <f>G54*C63/3</f>
        <v>2.9999999999999996</v>
      </c>
      <c r="D73" s="1732">
        <f>G54*D63/3</f>
        <v>1.9999999999999998</v>
      </c>
      <c r="E73" s="1732">
        <f>G54*E63/3</f>
        <v>1.9999999999999998</v>
      </c>
      <c r="F73" s="1732">
        <f>G54*F63/3</f>
        <v>1.9999999999999998</v>
      </c>
      <c r="G73" s="1732">
        <f>G54*G63/3</f>
        <v>2.9999999999999996</v>
      </c>
      <c r="H73" s="1732"/>
      <c r="I73" s="1732">
        <f>G54*I63/3</f>
        <v>1.9999999999999998</v>
      </c>
      <c r="J73" s="1732"/>
      <c r="K73" s="1732">
        <f>G54*K63/3</f>
        <v>2.9999999999999996</v>
      </c>
      <c r="L73" s="1732">
        <f>G54*L63/3</f>
        <v>2.9999999999999996</v>
      </c>
      <c r="M73" s="1732"/>
      <c r="N73" s="1732">
        <f>G54*N63/3</f>
        <v>2.9999999999999996</v>
      </c>
      <c r="T73" s="1626"/>
      <c r="W73" s="1038"/>
    </row>
    <row r="74" spans="1:23" ht="40.5" customHeight="1" x14ac:dyDescent="0.3">
      <c r="B74" s="1798" t="s">
        <v>10</v>
      </c>
      <c r="C74" s="1799">
        <f>AVERAGE(C69:C73)</f>
        <v>2.9999999999999996</v>
      </c>
      <c r="D74" s="1799">
        <f t="shared" ref="D74:N74" si="11">AVERAGE(D69:D73)</f>
        <v>2.5999999999999996</v>
      </c>
      <c r="E74" s="1799">
        <f t="shared" si="11"/>
        <v>1.7999999999999996</v>
      </c>
      <c r="F74" s="1799">
        <f t="shared" si="11"/>
        <v>2.4999999999999996</v>
      </c>
      <c r="G74" s="1799">
        <f t="shared" si="11"/>
        <v>2.9999999999999996</v>
      </c>
      <c r="H74" s="1799"/>
      <c r="I74" s="1799">
        <f t="shared" si="11"/>
        <v>2.3999999999999995</v>
      </c>
      <c r="J74" s="1799"/>
      <c r="K74" s="1799">
        <f t="shared" si="11"/>
        <v>2.9999999999999996</v>
      </c>
      <c r="L74" s="1799">
        <f t="shared" si="11"/>
        <v>2.2499999999999996</v>
      </c>
      <c r="M74" s="1799"/>
      <c r="N74" s="1799">
        <f t="shared" si="11"/>
        <v>2.9999999999999996</v>
      </c>
      <c r="T74" s="1626"/>
      <c r="W74" s="1038"/>
    </row>
    <row r="75" spans="1:23" ht="40.5" customHeight="1" x14ac:dyDescent="0.3">
      <c r="B75" s="1729" t="s">
        <v>58</v>
      </c>
      <c r="C75" s="3752">
        <f>AVERAGE(C74:N74)</f>
        <v>2.6166666666666663</v>
      </c>
      <c r="D75" s="3743"/>
      <c r="E75" s="3743"/>
      <c r="F75" s="3743"/>
      <c r="G75" s="3743"/>
      <c r="H75" s="3743"/>
      <c r="I75" s="3743"/>
      <c r="J75" s="3743"/>
      <c r="K75" s="3743"/>
      <c r="L75" s="3743"/>
      <c r="M75" s="3743"/>
      <c r="N75" s="3753"/>
      <c r="O75" s="1733"/>
      <c r="P75" s="1733"/>
      <c r="Q75" s="1733"/>
    </row>
    <row r="76" spans="1:23" ht="40.5" customHeight="1" x14ac:dyDescent="0.3"/>
    <row r="77" spans="1:23" ht="40.5" customHeight="1" x14ac:dyDescent="0.3">
      <c r="A77" s="2775" t="s">
        <v>137</v>
      </c>
      <c r="B77" s="2775"/>
      <c r="C77" s="1721"/>
      <c r="D77" s="1721"/>
      <c r="K77" s="2775" t="s">
        <v>149</v>
      </c>
      <c r="L77" s="2775"/>
      <c r="M77" s="2775"/>
      <c r="N77" s="1721"/>
      <c r="O77" s="1721"/>
    </row>
    <row r="78" spans="1:23" ht="40.5" customHeight="1" x14ac:dyDescent="0.3">
      <c r="A78" s="1039"/>
      <c r="B78" s="1039"/>
      <c r="C78" s="1721"/>
      <c r="D78" s="1721"/>
      <c r="K78" s="1039"/>
      <c r="L78" s="1039"/>
      <c r="M78" s="1724"/>
      <c r="N78" s="1721"/>
      <c r="O78" s="1721"/>
    </row>
    <row r="79" spans="1:23" ht="40.5" customHeight="1" x14ac:dyDescent="0.3">
      <c r="B79" s="1654" t="s">
        <v>59</v>
      </c>
      <c r="C79" s="1795" t="s">
        <v>60</v>
      </c>
      <c r="D79" s="1795" t="s">
        <v>61</v>
      </c>
      <c r="E79" s="1795" t="s">
        <v>62</v>
      </c>
      <c r="M79" s="1734" t="s">
        <v>59</v>
      </c>
      <c r="N79" s="1795" t="s">
        <v>60</v>
      </c>
      <c r="O79" s="1795" t="s">
        <v>61</v>
      </c>
      <c r="P79" s="1795" t="s">
        <v>62</v>
      </c>
    </row>
    <row r="80" spans="1:23" ht="40.5" customHeight="1" x14ac:dyDescent="0.3">
      <c r="B80" s="1735" t="s">
        <v>20</v>
      </c>
      <c r="C80" s="936">
        <v>3</v>
      </c>
      <c r="D80" s="936">
        <v>3</v>
      </c>
      <c r="E80" s="936">
        <v>2</v>
      </c>
      <c r="M80" s="1736" t="s">
        <v>20</v>
      </c>
      <c r="N80" s="1732">
        <f>G50*C80/3</f>
        <v>2.9999999999999996</v>
      </c>
      <c r="O80" s="1732">
        <f>G50*D80/3</f>
        <v>2.9999999999999996</v>
      </c>
      <c r="P80" s="1732">
        <f>G50*E80/3</f>
        <v>1.9999999999999998</v>
      </c>
    </row>
    <row r="81" spans="1:17" ht="40.5" customHeight="1" x14ac:dyDescent="0.3">
      <c r="B81" s="1797" t="s">
        <v>21</v>
      </c>
      <c r="C81" s="936">
        <v>3</v>
      </c>
      <c r="D81" s="936">
        <v>2</v>
      </c>
      <c r="E81" s="936">
        <v>3</v>
      </c>
      <c r="M81" s="1800" t="s">
        <v>21</v>
      </c>
      <c r="N81" s="1732">
        <f>G51*C81/3</f>
        <v>2.9999999999999996</v>
      </c>
      <c r="O81" s="1732">
        <f>G51*D81/3</f>
        <v>1.9999999999999998</v>
      </c>
      <c r="P81" s="1732">
        <f>G51*E81/3</f>
        <v>2.9999999999999996</v>
      </c>
    </row>
    <row r="82" spans="1:17" ht="40.5" customHeight="1" x14ac:dyDescent="0.3">
      <c r="B82" s="1797" t="s">
        <v>23</v>
      </c>
      <c r="C82" s="936">
        <v>3</v>
      </c>
      <c r="D82" s="936">
        <v>2</v>
      </c>
      <c r="E82" s="936">
        <v>3</v>
      </c>
      <c r="M82" s="1800" t="s">
        <v>23</v>
      </c>
      <c r="N82" s="1732">
        <f>G52*C82/3</f>
        <v>2.9999999999999996</v>
      </c>
      <c r="O82" s="1732">
        <f>G52*D82/3</f>
        <v>1.9999999999999998</v>
      </c>
      <c r="P82" s="1732">
        <f>G52*E82/3</f>
        <v>2.9999999999999996</v>
      </c>
    </row>
    <row r="83" spans="1:17" ht="40.5" customHeight="1" x14ac:dyDescent="0.3">
      <c r="B83" s="1797" t="s">
        <v>25</v>
      </c>
      <c r="C83" s="1821">
        <v>3</v>
      </c>
      <c r="D83" s="936">
        <v>3</v>
      </c>
      <c r="E83" s="936">
        <v>2</v>
      </c>
      <c r="M83" s="1800" t="s">
        <v>25</v>
      </c>
      <c r="N83" s="1732">
        <f>G53*C83/3</f>
        <v>2.9999999999999996</v>
      </c>
      <c r="O83" s="1732">
        <f>G53*D83/3</f>
        <v>2.9999999999999996</v>
      </c>
      <c r="P83" s="1732">
        <f>G53*E83/3</f>
        <v>1.9999999999999998</v>
      </c>
    </row>
    <row r="84" spans="1:17" ht="40.5" customHeight="1" x14ac:dyDescent="0.3">
      <c r="B84" s="1797" t="s">
        <v>24</v>
      </c>
      <c r="C84" s="938">
        <v>3</v>
      </c>
      <c r="D84" s="936">
        <v>2</v>
      </c>
      <c r="E84" s="936">
        <v>2</v>
      </c>
      <c r="M84" s="1800" t="s">
        <v>24</v>
      </c>
      <c r="N84" s="1732">
        <f>G54*C84/3</f>
        <v>2.9999999999999996</v>
      </c>
      <c r="O84" s="1732">
        <f>G54*D84/3</f>
        <v>1.9999999999999998</v>
      </c>
      <c r="P84" s="1732">
        <f>G54*E84/3</f>
        <v>1.9999999999999998</v>
      </c>
    </row>
    <row r="85" spans="1:17" ht="40.5" customHeight="1" x14ac:dyDescent="0.3">
      <c r="B85" s="1756" t="s">
        <v>10</v>
      </c>
      <c r="C85" s="1739">
        <f>AVERAGE(C80:C84)</f>
        <v>3</v>
      </c>
      <c r="D85" s="1739">
        <f t="shared" ref="D85:E85" si="12">AVERAGE(D80:D84)</f>
        <v>2.4</v>
      </c>
      <c r="E85" s="1739">
        <f t="shared" si="12"/>
        <v>2.4</v>
      </c>
      <c r="M85" s="1801" t="s">
        <v>10</v>
      </c>
      <c r="N85" s="1732">
        <f>AVERAGE(N80:N84)</f>
        <v>2.9999999999999996</v>
      </c>
      <c r="O85" s="1732">
        <f>AVERAGE(O80:O84)</f>
        <v>2.3999999999999995</v>
      </c>
      <c r="P85" s="1732">
        <f>AVERAGE(P80:P84)</f>
        <v>2.3999999999999995</v>
      </c>
    </row>
    <row r="86" spans="1:17" ht="40.5" customHeight="1" x14ac:dyDescent="0.3">
      <c r="A86" s="1716"/>
      <c r="B86" s="1752" t="s">
        <v>58</v>
      </c>
      <c r="C86" s="3681">
        <f>AVERAGE(C85:E85)</f>
        <v>2.6</v>
      </c>
      <c r="D86" s="3682"/>
      <c r="E86" s="3683"/>
      <c r="F86" s="1716"/>
      <c r="G86" s="1716"/>
      <c r="H86" s="1716"/>
      <c r="I86" s="1716"/>
      <c r="J86" s="1716"/>
      <c r="K86" s="1716"/>
      <c r="L86" s="1716"/>
      <c r="M86" s="1802" t="s">
        <v>58</v>
      </c>
      <c r="N86" s="3681">
        <f>AVERAGE(N85:P85)</f>
        <v>2.5999999999999992</v>
      </c>
      <c r="O86" s="3682"/>
      <c r="P86" s="3683"/>
      <c r="Q86" s="1716"/>
    </row>
    <row r="89" spans="1:17" ht="45" customHeight="1" x14ac:dyDescent="0.3">
      <c r="A89" s="3747"/>
      <c r="B89" s="3747"/>
      <c r="C89" s="3747"/>
      <c r="D89" s="3747"/>
      <c r="E89" s="3747"/>
      <c r="F89" s="3747"/>
      <c r="G89" s="3747"/>
      <c r="H89" s="3747"/>
      <c r="I89" s="3747"/>
      <c r="J89" s="3747"/>
      <c r="K89" s="3747"/>
      <c r="L89" s="3747"/>
      <c r="M89" s="3747"/>
      <c r="N89" s="3747"/>
      <c r="O89" s="3747"/>
      <c r="P89" s="3747"/>
      <c r="Q89" s="3747"/>
    </row>
    <row r="90" spans="1:17" ht="45" customHeight="1" x14ac:dyDescent="0.3">
      <c r="A90" s="1742"/>
      <c r="B90" s="1742"/>
      <c r="C90" s="1742"/>
      <c r="D90" s="1742"/>
      <c r="E90" s="1742"/>
      <c r="F90" s="1742"/>
      <c r="G90" s="1742"/>
      <c r="H90" s="1742"/>
      <c r="I90" s="1742"/>
      <c r="J90" s="1742"/>
      <c r="K90" s="1742"/>
      <c r="L90" s="1742"/>
      <c r="M90" s="1742"/>
      <c r="N90" s="1742"/>
      <c r="O90" s="1742"/>
      <c r="P90" s="1742"/>
      <c r="Q90" s="1742"/>
    </row>
    <row r="91" spans="1:17" ht="45" customHeight="1" x14ac:dyDescent="0.3">
      <c r="A91" s="3741"/>
      <c r="B91" s="3741"/>
      <c r="C91" s="3741"/>
      <c r="D91" s="3741"/>
      <c r="E91" s="3741"/>
      <c r="F91" s="3741"/>
      <c r="G91" s="3741"/>
      <c r="H91" s="3741"/>
      <c r="I91" s="3741"/>
      <c r="J91" s="3741"/>
      <c r="K91" s="3741"/>
      <c r="L91" s="3741"/>
      <c r="M91" s="3741"/>
      <c r="N91" s="3741"/>
      <c r="O91" s="3741"/>
      <c r="P91" s="3741"/>
      <c r="Q91" s="3741"/>
    </row>
    <row r="92" spans="1:17" ht="45" customHeight="1" x14ac:dyDescent="0.3">
      <c r="A92" s="3741"/>
      <c r="B92" s="3741"/>
      <c r="C92" s="3741"/>
      <c r="D92" s="3741"/>
      <c r="E92" s="3741"/>
      <c r="F92" s="3741"/>
      <c r="G92" s="3741"/>
      <c r="H92" s="3741"/>
      <c r="I92" s="3741"/>
      <c r="J92" s="3741"/>
      <c r="K92" s="3741"/>
      <c r="L92" s="3741"/>
      <c r="M92" s="3741"/>
      <c r="N92" s="3741"/>
      <c r="O92" s="3741"/>
      <c r="P92" s="3741"/>
      <c r="Q92" s="3741"/>
    </row>
    <row r="93" spans="1:17" ht="45" customHeight="1" x14ac:dyDescent="0.3">
      <c r="A93" s="3741"/>
      <c r="B93" s="3741"/>
      <c r="C93" s="3741"/>
      <c r="D93" s="3741"/>
      <c r="E93" s="3741"/>
      <c r="F93" s="3741"/>
      <c r="G93" s="3741"/>
      <c r="H93" s="3741"/>
      <c r="I93" s="3741"/>
      <c r="J93" s="3741"/>
      <c r="K93" s="3741"/>
      <c r="L93" s="3741"/>
      <c r="M93" s="3741"/>
      <c r="N93" s="3741"/>
      <c r="O93" s="3741"/>
      <c r="P93" s="3741"/>
      <c r="Q93" s="3741"/>
    </row>
    <row r="94" spans="1:17" ht="45" customHeight="1" x14ac:dyDescent="0.3">
      <c r="A94" s="3741"/>
      <c r="B94" s="3741"/>
      <c r="C94" s="3741"/>
      <c r="D94" s="3741"/>
      <c r="E94" s="3741"/>
      <c r="F94" s="3741"/>
      <c r="G94" s="3741"/>
      <c r="H94" s="3741"/>
      <c r="I94" s="3741"/>
      <c r="J94" s="3741"/>
      <c r="K94" s="3741"/>
      <c r="L94" s="3741"/>
      <c r="M94" s="3741"/>
      <c r="N94" s="3741"/>
      <c r="O94" s="3741"/>
      <c r="P94" s="3741"/>
      <c r="Q94" s="3741"/>
    </row>
    <row r="95" spans="1:17" ht="45" customHeight="1" x14ac:dyDescent="0.3">
      <c r="A95" s="3741"/>
      <c r="B95" s="3741"/>
      <c r="C95" s="3741"/>
      <c r="D95" s="3741"/>
      <c r="E95" s="3741"/>
      <c r="F95" s="3741"/>
      <c r="G95" s="3741"/>
      <c r="H95" s="3741"/>
      <c r="I95" s="3741"/>
      <c r="J95" s="3741"/>
      <c r="K95" s="3741"/>
      <c r="L95" s="3741"/>
      <c r="M95" s="3741"/>
      <c r="N95" s="3741"/>
      <c r="O95" s="3741"/>
      <c r="P95" s="3741"/>
      <c r="Q95" s="3741"/>
    </row>
    <row r="96" spans="1:17" ht="45" customHeight="1" x14ac:dyDescent="0.3">
      <c r="A96" s="3741"/>
      <c r="B96" s="3741"/>
      <c r="C96" s="3741"/>
      <c r="D96" s="3741"/>
      <c r="E96" s="3741"/>
      <c r="F96" s="3741"/>
      <c r="G96" s="3741"/>
      <c r="H96" s="3741"/>
      <c r="I96" s="3741"/>
      <c r="J96" s="3741"/>
      <c r="K96" s="3741"/>
      <c r="L96" s="3741"/>
      <c r="M96" s="3741"/>
      <c r="N96" s="3741"/>
      <c r="O96" s="3741"/>
      <c r="P96" s="3741"/>
      <c r="Q96" s="3741"/>
    </row>
    <row r="97" spans="1:17" ht="45" customHeight="1" x14ac:dyDescent="0.3">
      <c r="A97" s="3747"/>
      <c r="B97" s="3747"/>
      <c r="C97" s="3747"/>
      <c r="D97" s="3747"/>
      <c r="E97" s="3747"/>
      <c r="F97" s="3747"/>
      <c r="G97" s="3747"/>
      <c r="H97" s="3747"/>
      <c r="I97" s="3747"/>
      <c r="J97" s="3747"/>
      <c r="K97" s="3747"/>
      <c r="L97" s="3747"/>
      <c r="M97" s="3747"/>
      <c r="N97" s="3747"/>
      <c r="O97" s="3747"/>
      <c r="P97" s="3747"/>
      <c r="Q97" s="3747"/>
    </row>
    <row r="98" spans="1:17" ht="45" customHeight="1" x14ac:dyDescent="0.3">
      <c r="A98" s="3749"/>
      <c r="B98" s="3749"/>
      <c r="C98" s="3749"/>
      <c r="D98" s="3749"/>
      <c r="E98" s="3749"/>
      <c r="F98" s="3749"/>
      <c r="G98" s="3749"/>
      <c r="H98" s="3749"/>
      <c r="I98" s="3749"/>
      <c r="J98" s="3749"/>
      <c r="K98" s="3749"/>
      <c r="L98" s="3749"/>
      <c r="M98" s="3749"/>
      <c r="N98" s="3749"/>
      <c r="O98" s="3749"/>
      <c r="P98" s="3749"/>
      <c r="Q98" s="3749"/>
    </row>
    <row r="99" spans="1:17" ht="45" customHeight="1" x14ac:dyDescent="0.3">
      <c r="A99" s="3748"/>
      <c r="B99" s="3748"/>
      <c r="C99" s="3748"/>
      <c r="D99" s="3748"/>
      <c r="E99" s="3748"/>
      <c r="F99" s="3748"/>
      <c r="G99" s="3748"/>
      <c r="H99" s="3748"/>
      <c r="I99" s="3748"/>
      <c r="J99" s="3748"/>
      <c r="K99" s="3748"/>
      <c r="L99" s="3748"/>
      <c r="M99" s="3748"/>
      <c r="N99" s="3748"/>
      <c r="O99" s="3748"/>
      <c r="P99" s="3748"/>
      <c r="Q99" s="3748"/>
    </row>
    <row r="100" spans="1:17" ht="45" customHeight="1" x14ac:dyDescent="0.3">
      <c r="A100" s="3750"/>
      <c r="B100" s="3750"/>
      <c r="C100" s="3750"/>
      <c r="D100" s="3750"/>
      <c r="E100" s="3750"/>
      <c r="F100" s="3750"/>
      <c r="G100" s="3750"/>
      <c r="H100" s="3750"/>
      <c r="I100" s="3750"/>
      <c r="J100" s="3750"/>
      <c r="K100" s="3750"/>
      <c r="L100" s="3750"/>
      <c r="M100" s="3750"/>
      <c r="N100" s="3750"/>
      <c r="O100" s="3750"/>
      <c r="P100" s="3750"/>
      <c r="Q100" s="3750"/>
    </row>
    <row r="101" spans="1:17" ht="45" customHeight="1" x14ac:dyDescent="0.3">
      <c r="A101" s="3751"/>
      <c r="B101" s="3751"/>
      <c r="C101" s="3751"/>
      <c r="D101" s="3751"/>
      <c r="E101" s="3751"/>
      <c r="F101" s="3751"/>
      <c r="G101" s="3751"/>
      <c r="H101" s="3751"/>
      <c r="I101" s="3751"/>
      <c r="J101" s="3751"/>
      <c r="K101" s="3751"/>
      <c r="L101" s="3751"/>
      <c r="M101" s="3751"/>
      <c r="N101" s="3751"/>
      <c r="O101" s="3751"/>
      <c r="P101" s="3751"/>
      <c r="Q101" s="3751"/>
    </row>
    <row r="102" spans="1:17" ht="45" customHeight="1" x14ac:dyDescent="0.3">
      <c r="A102" s="3751"/>
      <c r="B102" s="3751"/>
      <c r="C102" s="3751"/>
      <c r="D102" s="3751"/>
      <c r="E102" s="3751"/>
      <c r="F102" s="3751"/>
      <c r="G102" s="3751"/>
      <c r="H102" s="3751"/>
      <c r="I102" s="3751"/>
      <c r="J102" s="3751"/>
      <c r="K102" s="3751"/>
      <c r="L102" s="3751"/>
      <c r="M102" s="3751"/>
      <c r="N102" s="3751"/>
      <c r="O102" s="3751"/>
      <c r="P102" s="3751"/>
      <c r="Q102" s="3751"/>
    </row>
    <row r="103" spans="1:17" ht="45" customHeight="1" x14ac:dyDescent="0.3">
      <c r="A103" s="3748"/>
      <c r="B103" s="3748"/>
      <c r="C103" s="3748"/>
      <c r="D103" s="3748"/>
      <c r="E103" s="3748"/>
      <c r="F103" s="3748"/>
      <c r="G103" s="3748"/>
      <c r="H103" s="3748"/>
      <c r="I103" s="3748"/>
      <c r="J103" s="3748"/>
      <c r="K103" s="3748"/>
      <c r="L103" s="3748"/>
      <c r="M103" s="3748"/>
      <c r="N103" s="3748"/>
      <c r="O103" s="3748"/>
      <c r="P103" s="3748"/>
      <c r="Q103" s="3748"/>
    </row>
  </sheetData>
  <mergeCells count="102">
    <mergeCell ref="Z6:Z8"/>
    <mergeCell ref="AA6:AA8"/>
    <mergeCell ref="A2:B2"/>
    <mergeCell ref="C2:M2"/>
    <mergeCell ref="O2:W2"/>
    <mergeCell ref="A3:B3"/>
    <mergeCell ref="C3:M3"/>
    <mergeCell ref="O3:W3"/>
    <mergeCell ref="Y6:Y8"/>
    <mergeCell ref="S7:T7"/>
    <mergeCell ref="C4:M4"/>
    <mergeCell ref="O4:W4"/>
    <mergeCell ref="A5:B5"/>
    <mergeCell ref="C5:N5"/>
    <mergeCell ref="O5:X5"/>
    <mergeCell ref="A6:A8"/>
    <mergeCell ref="B6:B7"/>
    <mergeCell ref="C6:E6"/>
    <mergeCell ref="F6:G6"/>
    <mergeCell ref="I6:J6"/>
    <mergeCell ref="K6:L6"/>
    <mergeCell ref="N6:P6"/>
    <mergeCell ref="Q6:R6"/>
    <mergeCell ref="S6:T6"/>
    <mergeCell ref="X6:X8"/>
    <mergeCell ref="S16:T16"/>
    <mergeCell ref="F8:G8"/>
    <mergeCell ref="I8:J8"/>
    <mergeCell ref="K8:L8"/>
    <mergeCell ref="S8:T8"/>
    <mergeCell ref="S9:T9"/>
    <mergeCell ref="S10:T10"/>
    <mergeCell ref="S11:T11"/>
    <mergeCell ref="S12:T12"/>
    <mergeCell ref="S13:T13"/>
    <mergeCell ref="S14:T14"/>
    <mergeCell ref="S15:T15"/>
    <mergeCell ref="S30:T30"/>
    <mergeCell ref="S17:T17"/>
    <mergeCell ref="S18:T18"/>
    <mergeCell ref="S19:T19"/>
    <mergeCell ref="S20:T20"/>
    <mergeCell ref="S21:T21"/>
    <mergeCell ref="S22:T22"/>
    <mergeCell ref="S23:T23"/>
    <mergeCell ref="S24:T24"/>
    <mergeCell ref="S26:T26"/>
    <mergeCell ref="S27:T27"/>
    <mergeCell ref="S29:T29"/>
    <mergeCell ref="S42:T42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3:T43"/>
    <mergeCell ref="S44:T44"/>
    <mergeCell ref="A45:B45"/>
    <mergeCell ref="S45:T45"/>
    <mergeCell ref="A46:B46"/>
    <mergeCell ref="S46:T46"/>
    <mergeCell ref="A43:A44"/>
    <mergeCell ref="C55:F55"/>
    <mergeCell ref="F47:G47"/>
    <mergeCell ref="I47:J47"/>
    <mergeCell ref="K47:L47"/>
    <mergeCell ref="S47:T47"/>
    <mergeCell ref="E49:F49"/>
    <mergeCell ref="G49:H49"/>
    <mergeCell ref="E50:F50"/>
    <mergeCell ref="E51:F51"/>
    <mergeCell ref="E52:F52"/>
    <mergeCell ref="E53:F53"/>
    <mergeCell ref="E54:F54"/>
    <mergeCell ref="A93:Q93"/>
    <mergeCell ref="A56:B56"/>
    <mergeCell ref="C65:N65"/>
    <mergeCell ref="A66:B66"/>
    <mergeCell ref="C75:N75"/>
    <mergeCell ref="A77:B77"/>
    <mergeCell ref="K77:M77"/>
    <mergeCell ref="C86:E86"/>
    <mergeCell ref="N86:P86"/>
    <mergeCell ref="A89:Q89"/>
    <mergeCell ref="A91:Q91"/>
    <mergeCell ref="A92:Q92"/>
    <mergeCell ref="A100:Q100"/>
    <mergeCell ref="A101:Q101"/>
    <mergeCell ref="A102:Q102"/>
    <mergeCell ref="A103:Q103"/>
    <mergeCell ref="A94:Q94"/>
    <mergeCell ref="A95:Q95"/>
    <mergeCell ref="A96:Q96"/>
    <mergeCell ref="A97:Q97"/>
    <mergeCell ref="A98:Q98"/>
    <mergeCell ref="A99:Q99"/>
  </mergeCells>
  <conditionalFormatting sqref="X10:Y42">
    <cfRule type="containsText" dxfId="48" priority="2" operator="containsText" text="F">
      <formula>NOT(ISERROR(SEARCH("F",X10)))</formula>
    </cfRule>
  </conditionalFormatting>
  <conditionalFormatting sqref="Z34:Z37">
    <cfRule type="containsText" dxfId="47" priority="1" operator="containsText" text="F">
      <formula>NOT(ISERROR(SEARCH("F",Z34)))</formula>
    </cfRule>
  </conditionalFormatting>
  <pageMargins left="0.7" right="0.7" top="0.75" bottom="0.75" header="0.3" footer="0.3"/>
  <pageSetup paperSize="8" scale="2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3"/>
  <sheetViews>
    <sheetView topLeftCell="A71" zoomScale="60" zoomScaleNormal="60" workbookViewId="0">
      <selection activeCell="B77" sqref="B77"/>
    </sheetView>
  </sheetViews>
  <sheetFormatPr defaultColWidth="9.140625" defaultRowHeight="37.5" customHeight="1" x14ac:dyDescent="0.25"/>
  <cols>
    <col min="1" max="1" width="15.140625" style="354" bestFit="1" customWidth="1"/>
    <col min="2" max="2" width="18.28515625" style="354" bestFit="1" customWidth="1"/>
    <col min="3" max="13" width="13.42578125" style="354" customWidth="1"/>
    <col min="14" max="14" width="13.42578125" style="332" customWidth="1"/>
    <col min="15" max="25" width="13.42578125" style="354" customWidth="1"/>
    <col min="26" max="26" width="13.42578125" style="332" customWidth="1"/>
    <col min="27" max="30" width="13.42578125" style="354" customWidth="1"/>
    <col min="31" max="31" width="8" style="354" customWidth="1"/>
    <col min="32" max="32" width="17.7109375" style="354" bestFit="1" customWidth="1"/>
    <col min="33" max="33" width="17.140625" style="354" bestFit="1" customWidth="1"/>
    <col min="34" max="16384" width="9.140625" style="354"/>
  </cols>
  <sheetData>
    <row r="1" spans="1:32" ht="37.5" customHeight="1" x14ac:dyDescent="0.25">
      <c r="A1" s="333"/>
    </row>
    <row r="2" spans="1:32" ht="37.5" customHeight="1" x14ac:dyDescent="0.25">
      <c r="A2" s="3124" t="s">
        <v>0</v>
      </c>
      <c r="B2" s="3125"/>
      <c r="C2" s="3126" t="s">
        <v>296</v>
      </c>
      <c r="D2" s="3374"/>
      <c r="E2" s="3374"/>
      <c r="F2" s="3374"/>
      <c r="G2" s="3374"/>
      <c r="H2" s="3374"/>
      <c r="I2" s="3374"/>
      <c r="J2" s="3374"/>
      <c r="K2" s="3374"/>
      <c r="L2" s="3374"/>
      <c r="M2" s="3374"/>
      <c r="N2" s="3128"/>
      <c r="O2" s="721" t="s">
        <v>63</v>
      </c>
      <c r="P2" s="3129" t="s">
        <v>271</v>
      </c>
      <c r="Q2" s="3781"/>
      <c r="R2" s="3781"/>
      <c r="S2" s="3781"/>
      <c r="T2" s="3781"/>
      <c r="U2" s="3781"/>
      <c r="V2" s="3781"/>
      <c r="W2" s="3781"/>
      <c r="X2" s="3781"/>
      <c r="Y2" s="3781"/>
      <c r="Z2" s="3781"/>
      <c r="AA2" s="735"/>
      <c r="AB2" s="735"/>
      <c r="AC2" s="735"/>
      <c r="AD2" s="735"/>
      <c r="AE2" s="735"/>
      <c r="AF2" s="735"/>
    </row>
    <row r="3" spans="1:32" ht="37.5" customHeight="1" x14ac:dyDescent="0.25">
      <c r="A3" s="3124" t="s">
        <v>1</v>
      </c>
      <c r="B3" s="3125"/>
      <c r="C3" s="3126" t="s">
        <v>283</v>
      </c>
      <c r="D3" s="3374"/>
      <c r="E3" s="3374"/>
      <c r="F3" s="3374"/>
      <c r="G3" s="3374"/>
      <c r="H3" s="3374"/>
      <c r="I3" s="3374"/>
      <c r="J3" s="3374"/>
      <c r="K3" s="3374"/>
      <c r="L3" s="3374"/>
      <c r="M3" s="3374"/>
      <c r="N3" s="3128"/>
      <c r="O3" s="723" t="s">
        <v>64</v>
      </c>
      <c r="P3" s="3129" t="s">
        <v>232</v>
      </c>
      <c r="Q3" s="3781"/>
      <c r="R3" s="3781"/>
      <c r="S3" s="3781"/>
      <c r="T3" s="3781"/>
      <c r="U3" s="3781"/>
      <c r="V3" s="3781"/>
      <c r="W3" s="3781"/>
      <c r="X3" s="3781"/>
      <c r="Y3" s="3781"/>
      <c r="Z3" s="3781"/>
      <c r="AA3" s="735"/>
      <c r="AB3" s="735"/>
      <c r="AC3" s="735"/>
      <c r="AD3" s="735"/>
      <c r="AE3" s="735"/>
      <c r="AF3" s="735"/>
    </row>
    <row r="4" spans="1:32" ht="37.5" customHeight="1" thickBot="1" x14ac:dyDescent="0.3">
      <c r="A4" s="772"/>
      <c r="B4" s="773" t="s">
        <v>2</v>
      </c>
      <c r="C4" s="3588" t="s">
        <v>288</v>
      </c>
      <c r="D4" s="3589"/>
      <c r="E4" s="3589"/>
      <c r="F4" s="3589"/>
      <c r="G4" s="3589"/>
      <c r="H4" s="3589"/>
      <c r="I4" s="3589"/>
      <c r="J4" s="3589"/>
      <c r="K4" s="3589"/>
      <c r="L4" s="3589"/>
      <c r="M4" s="3589"/>
      <c r="N4" s="3590"/>
      <c r="O4" s="773" t="s">
        <v>65</v>
      </c>
      <c r="P4" s="3782" t="s">
        <v>66</v>
      </c>
      <c r="Q4" s="3783"/>
      <c r="R4" s="3783"/>
      <c r="S4" s="3783"/>
      <c r="T4" s="3783"/>
      <c r="U4" s="3783"/>
      <c r="V4" s="3783"/>
      <c r="W4" s="3783"/>
      <c r="X4" s="3783"/>
      <c r="Y4" s="3783"/>
      <c r="Z4" s="3783"/>
      <c r="AA4" s="735"/>
      <c r="AB4" s="735"/>
      <c r="AC4" s="735"/>
      <c r="AD4" s="735"/>
      <c r="AE4" s="735"/>
      <c r="AF4" s="735"/>
    </row>
    <row r="5" spans="1:32" ht="37.5" customHeight="1" thickBot="1" x14ac:dyDescent="0.3">
      <c r="A5" s="3064"/>
      <c r="B5" s="3591"/>
      <c r="C5" s="3294" t="s">
        <v>3</v>
      </c>
      <c r="D5" s="3295"/>
      <c r="E5" s="3295"/>
      <c r="F5" s="3295"/>
      <c r="G5" s="3295"/>
      <c r="H5" s="3295"/>
      <c r="I5" s="3295"/>
      <c r="J5" s="3295"/>
      <c r="K5" s="3295"/>
      <c r="L5" s="3295"/>
      <c r="M5" s="3295"/>
      <c r="N5" s="3295"/>
      <c r="O5" s="3592"/>
      <c r="P5" s="3088" t="s">
        <v>4</v>
      </c>
      <c r="Q5" s="3089"/>
      <c r="R5" s="3089"/>
      <c r="S5" s="3089"/>
      <c r="T5" s="3089"/>
      <c r="U5" s="3089"/>
      <c r="V5" s="3089"/>
      <c r="W5" s="3089"/>
      <c r="X5" s="3089"/>
      <c r="Y5" s="3089"/>
      <c r="Z5" s="3089"/>
      <c r="AA5" s="3089"/>
      <c r="AB5" s="502"/>
      <c r="AC5" s="65"/>
      <c r="AD5" s="65"/>
      <c r="AE5" s="65"/>
      <c r="AF5" s="66"/>
    </row>
    <row r="6" spans="1:32" ht="46.5" customHeight="1" thickBot="1" x14ac:dyDescent="0.3">
      <c r="A6" s="3066"/>
      <c r="B6" s="3595" t="s">
        <v>5</v>
      </c>
      <c r="C6" s="3584" t="s">
        <v>6</v>
      </c>
      <c r="D6" s="3585"/>
      <c r="E6" s="3596"/>
      <c r="F6" s="3586" t="s">
        <v>7</v>
      </c>
      <c r="G6" s="3779"/>
      <c r="H6" s="3780" t="s">
        <v>8</v>
      </c>
      <c r="I6" s="3610"/>
      <c r="J6" s="3096" t="s">
        <v>9</v>
      </c>
      <c r="K6" s="3098"/>
      <c r="L6" s="3098" t="s">
        <v>236</v>
      </c>
      <c r="M6" s="3119"/>
      <c r="N6" s="501" t="s">
        <v>146</v>
      </c>
      <c r="O6" s="3584" t="s">
        <v>6</v>
      </c>
      <c r="P6" s="3585"/>
      <c r="Q6" s="3585"/>
      <c r="R6" s="3586" t="s">
        <v>7</v>
      </c>
      <c r="S6" s="3587"/>
      <c r="T6" s="3098" t="s">
        <v>8</v>
      </c>
      <c r="U6" s="3119"/>
      <c r="V6" s="3586" t="s">
        <v>9</v>
      </c>
      <c r="W6" s="3779"/>
      <c r="X6" s="3780" t="s">
        <v>236</v>
      </c>
      <c r="Y6" s="3779"/>
      <c r="Z6" s="512" t="s">
        <v>147</v>
      </c>
      <c r="AA6" s="3601" t="s">
        <v>151</v>
      </c>
      <c r="AB6" s="3601" t="s">
        <v>152</v>
      </c>
      <c r="AC6" s="503" t="s">
        <v>11</v>
      </c>
      <c r="AD6" s="504" t="s">
        <v>12</v>
      </c>
    </row>
    <row r="7" spans="1:32" ht="46.5" customHeight="1" x14ac:dyDescent="0.25">
      <c r="A7" s="3067"/>
      <c r="B7" s="3069"/>
      <c r="C7" s="80" t="s">
        <v>13</v>
      </c>
      <c r="D7" s="510" t="s">
        <v>14</v>
      </c>
      <c r="E7" s="319" t="s">
        <v>15</v>
      </c>
      <c r="F7" s="80" t="s">
        <v>13</v>
      </c>
      <c r="G7" s="510" t="s">
        <v>14</v>
      </c>
      <c r="H7" s="510" t="s">
        <v>13</v>
      </c>
      <c r="I7" s="510" t="s">
        <v>14</v>
      </c>
      <c r="J7" s="80" t="s">
        <v>13</v>
      </c>
      <c r="K7" s="513" t="s">
        <v>14</v>
      </c>
      <c r="L7" s="511" t="s">
        <v>13</v>
      </c>
      <c r="M7" s="510" t="s">
        <v>14</v>
      </c>
      <c r="N7" s="682"/>
      <c r="O7" s="80" t="s">
        <v>13</v>
      </c>
      <c r="P7" s="510" t="s">
        <v>14</v>
      </c>
      <c r="Q7" s="513" t="s">
        <v>15</v>
      </c>
      <c r="R7" s="80" t="s">
        <v>13</v>
      </c>
      <c r="S7" s="510" t="s">
        <v>14</v>
      </c>
      <c r="T7" s="513" t="s">
        <v>13</v>
      </c>
      <c r="U7" s="510" t="s">
        <v>14</v>
      </c>
      <c r="V7" s="80" t="s">
        <v>13</v>
      </c>
      <c r="W7" s="510" t="s">
        <v>14</v>
      </c>
      <c r="X7" s="510" t="s">
        <v>13</v>
      </c>
      <c r="Y7" s="510" t="s">
        <v>14</v>
      </c>
      <c r="Z7" s="426"/>
      <c r="AA7" s="3304"/>
      <c r="AB7" s="3304"/>
      <c r="AD7" s="514"/>
      <c r="AE7" s="509"/>
    </row>
    <row r="8" spans="1:32" ht="46.5" customHeight="1" x14ac:dyDescent="0.25">
      <c r="A8" s="3068"/>
      <c r="B8" s="507" t="s">
        <v>19</v>
      </c>
      <c r="C8" s="72" t="s">
        <v>22</v>
      </c>
      <c r="D8" s="72" t="s">
        <v>21</v>
      </c>
      <c r="E8" s="683" t="s">
        <v>21</v>
      </c>
      <c r="F8" s="72" t="s">
        <v>22</v>
      </c>
      <c r="G8" s="72" t="s">
        <v>22</v>
      </c>
      <c r="H8" s="508" t="s">
        <v>21</v>
      </c>
      <c r="I8" s="508" t="s">
        <v>21</v>
      </c>
      <c r="J8" s="710" t="s">
        <v>21</v>
      </c>
      <c r="K8" s="710" t="s">
        <v>21</v>
      </c>
      <c r="L8" s="72" t="s">
        <v>40</v>
      </c>
      <c r="M8" s="710" t="s">
        <v>21</v>
      </c>
      <c r="N8" s="683"/>
      <c r="O8" s="72" t="s">
        <v>41</v>
      </c>
      <c r="P8" s="726" t="s">
        <v>42</v>
      </c>
      <c r="Q8" s="508" t="s">
        <v>42</v>
      </c>
      <c r="R8" s="72" t="s">
        <v>41</v>
      </c>
      <c r="S8" s="726" t="s">
        <v>41</v>
      </c>
      <c r="T8" s="508" t="s">
        <v>41</v>
      </c>
      <c r="U8" s="726" t="s">
        <v>41</v>
      </c>
      <c r="V8" s="72" t="s">
        <v>42</v>
      </c>
      <c r="W8" s="72" t="s">
        <v>42</v>
      </c>
      <c r="X8" s="726" t="s">
        <v>42</v>
      </c>
      <c r="Y8" s="726" t="s">
        <v>42</v>
      </c>
      <c r="Z8" s="426" t="s">
        <v>237</v>
      </c>
      <c r="AA8" s="3048"/>
      <c r="AB8" s="3048"/>
      <c r="AC8" s="426"/>
      <c r="AD8" s="514"/>
      <c r="AE8" s="509"/>
    </row>
    <row r="9" spans="1:32" ht="46.5" customHeight="1" x14ac:dyDescent="0.25">
      <c r="A9" s="510" t="s">
        <v>18</v>
      </c>
      <c r="B9" s="513" t="s">
        <v>26</v>
      </c>
      <c r="C9" s="72">
        <v>2</v>
      </c>
      <c r="D9" s="726">
        <v>2</v>
      </c>
      <c r="E9" s="81">
        <v>2</v>
      </c>
      <c r="F9" s="72">
        <v>6</v>
      </c>
      <c r="G9" s="726">
        <v>6</v>
      </c>
      <c r="H9" s="726">
        <v>6</v>
      </c>
      <c r="I9" s="726">
        <v>6</v>
      </c>
      <c r="J9" s="72">
        <v>6</v>
      </c>
      <c r="K9" s="465">
        <v>6</v>
      </c>
      <c r="L9" s="510">
        <v>6</v>
      </c>
      <c r="M9" s="510">
        <v>6</v>
      </c>
      <c r="N9" s="684">
        <v>30</v>
      </c>
      <c r="O9" s="72">
        <v>2</v>
      </c>
      <c r="P9" s="726">
        <v>2</v>
      </c>
      <c r="Q9" s="508">
        <v>2</v>
      </c>
      <c r="R9" s="72">
        <v>6</v>
      </c>
      <c r="S9" s="726">
        <v>6</v>
      </c>
      <c r="T9" s="508">
        <v>6</v>
      </c>
      <c r="U9" s="726">
        <v>6</v>
      </c>
      <c r="V9" s="726">
        <v>6</v>
      </c>
      <c r="W9" s="726">
        <v>6</v>
      </c>
      <c r="X9" s="726">
        <v>6</v>
      </c>
      <c r="Y9" s="726">
        <v>6</v>
      </c>
      <c r="Z9" s="426">
        <v>30</v>
      </c>
      <c r="AA9" s="499">
        <v>10</v>
      </c>
      <c r="AB9" s="499">
        <v>10</v>
      </c>
      <c r="AC9" s="499"/>
      <c r="AD9" s="734"/>
      <c r="AE9" s="330"/>
    </row>
    <row r="10" spans="1:32" ht="46.5" customHeight="1" x14ac:dyDescent="0.25">
      <c r="A10" s="510">
        <v>1</v>
      </c>
      <c r="B10" s="779">
        <v>5191421001</v>
      </c>
      <c r="C10" s="100">
        <v>2</v>
      </c>
      <c r="D10" s="428">
        <v>2</v>
      </c>
      <c r="E10" s="99">
        <v>2</v>
      </c>
      <c r="F10" s="686"/>
      <c r="G10" s="428"/>
      <c r="H10" s="775">
        <v>5</v>
      </c>
      <c r="I10" s="775">
        <v>5</v>
      </c>
      <c r="J10" s="686">
        <v>4</v>
      </c>
      <c r="K10" s="30"/>
      <c r="L10" s="739"/>
      <c r="M10" s="739"/>
      <c r="N10" s="740">
        <v>25</v>
      </c>
      <c r="O10" s="85">
        <v>2</v>
      </c>
      <c r="P10" s="727">
        <v>1</v>
      </c>
      <c r="Q10" s="467">
        <v>2</v>
      </c>
      <c r="R10" s="85">
        <v>5</v>
      </c>
      <c r="S10" s="725">
        <v>5</v>
      </c>
      <c r="T10" s="513"/>
      <c r="U10" s="510"/>
      <c r="V10" s="741">
        <v>3</v>
      </c>
      <c r="W10" s="87">
        <v>2</v>
      </c>
      <c r="X10" s="433"/>
      <c r="Y10" s="434"/>
      <c r="Z10" s="740">
        <v>20</v>
      </c>
      <c r="AA10" s="689">
        <v>10</v>
      </c>
      <c r="AB10" s="689">
        <v>9</v>
      </c>
      <c r="AC10" s="9" t="s">
        <v>30</v>
      </c>
      <c r="AD10" s="354">
        <f>IF(AC10="O",100,IF(AC10="A+",90,IF(AC10="A",80,IF(AC10="B+",70,IF(AC10="B",60,IF(AC10="C",55,IF(AC10="P",50,IF(AC10="F",39))))))))</f>
        <v>90</v>
      </c>
    </row>
    <row r="11" spans="1:32" ht="46.5" customHeight="1" x14ac:dyDescent="0.25">
      <c r="A11" s="780">
        <v>2</v>
      </c>
      <c r="B11" s="694">
        <v>5191421002</v>
      </c>
      <c r="C11" s="775">
        <v>2</v>
      </c>
      <c r="D11" s="500">
        <v>2</v>
      </c>
      <c r="E11" s="781">
        <v>2</v>
      </c>
      <c r="F11" s="686">
        <v>4</v>
      </c>
      <c r="G11" s="428">
        <v>6</v>
      </c>
      <c r="H11" s="782"/>
      <c r="I11" s="782"/>
      <c r="J11" s="783">
        <v>5</v>
      </c>
      <c r="K11" s="784">
        <v>6</v>
      </c>
      <c r="L11" s="739"/>
      <c r="M11" s="450"/>
      <c r="N11" s="740">
        <v>27</v>
      </c>
      <c r="O11" s="783">
        <v>2</v>
      </c>
      <c r="P11" s="784">
        <v>2</v>
      </c>
      <c r="Q11" s="785">
        <v>1</v>
      </c>
      <c r="R11" s="783"/>
      <c r="S11" s="784"/>
      <c r="T11" s="508"/>
      <c r="U11" s="726"/>
      <c r="V11" s="839"/>
      <c r="W11" s="839"/>
      <c r="X11" s="782">
        <v>5</v>
      </c>
      <c r="Y11" s="787">
        <v>5</v>
      </c>
      <c r="Z11" s="740">
        <v>15</v>
      </c>
      <c r="AA11" s="788">
        <v>10</v>
      </c>
      <c r="AB11" s="788">
        <v>10</v>
      </c>
      <c r="AC11" s="789" t="s">
        <v>27</v>
      </c>
      <c r="AD11" s="792">
        <f t="shared" ref="AD11:AD34" si="0">IF(AC11="O",100,IF(AC11="A+",90,IF(AC11="A",80,IF(AC11="B+",70,IF(AC11="B",60,IF(AC11="C",55,IF(AC11="P",50,IF(AC11="F",39))))))))</f>
        <v>80</v>
      </c>
    </row>
    <row r="12" spans="1:32" ht="46.5" customHeight="1" x14ac:dyDescent="0.25">
      <c r="A12" s="824">
        <v>3</v>
      </c>
      <c r="B12" s="696">
        <v>5191421005</v>
      </c>
      <c r="C12" s="697">
        <v>2</v>
      </c>
      <c r="D12" s="698">
        <v>2</v>
      </c>
      <c r="E12" s="699">
        <v>2</v>
      </c>
      <c r="F12" s="697"/>
      <c r="G12" s="724"/>
      <c r="H12" s="700">
        <v>6</v>
      </c>
      <c r="I12" s="700">
        <v>6</v>
      </c>
      <c r="J12" s="701">
        <v>6</v>
      </c>
      <c r="K12" s="724">
        <v>6</v>
      </c>
      <c r="L12" s="739"/>
      <c r="M12" s="739"/>
      <c r="N12" s="740">
        <v>30</v>
      </c>
      <c r="O12" s="697"/>
      <c r="P12" s="698">
        <v>2</v>
      </c>
      <c r="Q12" s="715">
        <v>1</v>
      </c>
      <c r="R12" s="697">
        <v>4</v>
      </c>
      <c r="S12" s="725">
        <v>4</v>
      </c>
      <c r="T12" s="508"/>
      <c r="U12" s="726"/>
      <c r="V12" s="839"/>
      <c r="W12" s="839"/>
      <c r="X12" s="700">
        <v>5</v>
      </c>
      <c r="Y12" s="702">
        <v>5</v>
      </c>
      <c r="Z12" s="740">
        <v>21</v>
      </c>
      <c r="AA12" s="704">
        <v>10</v>
      </c>
      <c r="AB12" s="704">
        <v>9</v>
      </c>
      <c r="AC12" s="789" t="s">
        <v>82</v>
      </c>
      <c r="AD12" s="792">
        <f t="shared" si="0"/>
        <v>100</v>
      </c>
    </row>
    <row r="13" spans="1:32" ht="46.5" customHeight="1" x14ac:dyDescent="0.25">
      <c r="A13" s="780">
        <v>4</v>
      </c>
      <c r="B13" s="779">
        <v>5191421012</v>
      </c>
      <c r="C13" s="85">
        <v>1</v>
      </c>
      <c r="D13" s="727">
        <v>2</v>
      </c>
      <c r="E13" s="688">
        <v>2</v>
      </c>
      <c r="F13" s="85"/>
      <c r="G13" s="725"/>
      <c r="H13" s="433">
        <v>4</v>
      </c>
      <c r="I13" s="433">
        <v>5</v>
      </c>
      <c r="J13" s="87">
        <v>5</v>
      </c>
      <c r="K13" s="725">
        <v>5</v>
      </c>
      <c r="L13" s="739"/>
      <c r="M13" s="739"/>
      <c r="N13" s="740">
        <v>24</v>
      </c>
      <c r="O13" s="85">
        <v>1</v>
      </c>
      <c r="P13" s="727">
        <v>1</v>
      </c>
      <c r="Q13" s="467">
        <v>1</v>
      </c>
      <c r="R13" s="85">
        <v>3</v>
      </c>
      <c r="S13" s="725">
        <v>3</v>
      </c>
      <c r="T13" s="508"/>
      <c r="U13" s="726"/>
      <c r="V13" s="741"/>
      <c r="W13" s="87"/>
      <c r="X13" s="433">
        <v>4</v>
      </c>
      <c r="Y13" s="506">
        <v>4</v>
      </c>
      <c r="Z13" s="740">
        <v>17</v>
      </c>
      <c r="AA13" s="689">
        <v>10</v>
      </c>
      <c r="AB13" s="689">
        <v>9</v>
      </c>
      <c r="AC13" s="9" t="s">
        <v>27</v>
      </c>
      <c r="AD13" s="792">
        <f t="shared" si="0"/>
        <v>80</v>
      </c>
    </row>
    <row r="14" spans="1:32" ht="46.5" customHeight="1" x14ac:dyDescent="0.25">
      <c r="A14" s="824">
        <v>5</v>
      </c>
      <c r="B14" s="779">
        <v>5191421017</v>
      </c>
      <c r="C14" s="85">
        <v>2</v>
      </c>
      <c r="D14" s="727">
        <v>2</v>
      </c>
      <c r="E14" s="688">
        <v>2</v>
      </c>
      <c r="F14" s="85"/>
      <c r="G14" s="725"/>
      <c r="H14" s="433">
        <v>4</v>
      </c>
      <c r="I14" s="433">
        <v>5</v>
      </c>
      <c r="J14" s="87">
        <v>5</v>
      </c>
      <c r="K14" s="725">
        <v>5</v>
      </c>
      <c r="L14" s="739"/>
      <c r="M14" s="739"/>
      <c r="N14" s="740">
        <v>25</v>
      </c>
      <c r="O14" s="85">
        <v>2</v>
      </c>
      <c r="P14" s="727">
        <v>2</v>
      </c>
      <c r="Q14" s="467">
        <v>2</v>
      </c>
      <c r="R14" s="85">
        <v>4</v>
      </c>
      <c r="S14" s="725">
        <v>4</v>
      </c>
      <c r="T14" s="508"/>
      <c r="U14" s="726"/>
      <c r="V14" s="741"/>
      <c r="W14" s="87"/>
      <c r="X14" s="433">
        <v>6</v>
      </c>
      <c r="Y14" s="506">
        <v>5</v>
      </c>
      <c r="Z14" s="740">
        <v>25</v>
      </c>
      <c r="AA14" s="689">
        <v>10</v>
      </c>
      <c r="AB14" s="689">
        <v>10</v>
      </c>
      <c r="AC14" s="9" t="s">
        <v>30</v>
      </c>
      <c r="AD14" s="792">
        <f t="shared" si="0"/>
        <v>90</v>
      </c>
    </row>
    <row r="15" spans="1:32" ht="46.5" customHeight="1" x14ac:dyDescent="0.25">
      <c r="A15" s="780">
        <v>6</v>
      </c>
      <c r="B15" s="779">
        <v>5191421018</v>
      </c>
      <c r="C15" s="100">
        <v>2</v>
      </c>
      <c r="D15" s="727"/>
      <c r="E15" s="688">
        <v>2</v>
      </c>
      <c r="F15" s="85">
        <v>4</v>
      </c>
      <c r="G15" s="725">
        <v>4</v>
      </c>
      <c r="H15" s="433"/>
      <c r="I15" s="433"/>
      <c r="J15" s="87">
        <v>3</v>
      </c>
      <c r="K15" s="725">
        <v>3</v>
      </c>
      <c r="L15" s="739"/>
      <c r="M15" s="739"/>
      <c r="N15" s="740">
        <v>18</v>
      </c>
      <c r="O15" s="85"/>
      <c r="P15" s="727">
        <v>1</v>
      </c>
      <c r="Q15" s="467"/>
      <c r="R15" s="85"/>
      <c r="S15" s="725"/>
      <c r="T15" s="508">
        <v>2</v>
      </c>
      <c r="U15" s="726">
        <v>3</v>
      </c>
      <c r="V15" s="741"/>
      <c r="W15" s="87"/>
      <c r="X15" s="433">
        <v>3</v>
      </c>
      <c r="Y15" s="506">
        <v>3</v>
      </c>
      <c r="Z15" s="740">
        <v>12</v>
      </c>
      <c r="AA15" s="689">
        <v>9</v>
      </c>
      <c r="AB15" s="689">
        <v>9</v>
      </c>
      <c r="AC15" s="9" t="s">
        <v>33</v>
      </c>
      <c r="AD15" s="792">
        <f t="shared" si="0"/>
        <v>60</v>
      </c>
    </row>
    <row r="16" spans="1:32" ht="46.5" customHeight="1" x14ac:dyDescent="0.25">
      <c r="A16" s="824">
        <v>7</v>
      </c>
      <c r="B16" s="779">
        <v>5191421023</v>
      </c>
      <c r="C16" s="85">
        <v>1</v>
      </c>
      <c r="D16" s="725">
        <v>2</v>
      </c>
      <c r="E16" s="86"/>
      <c r="F16" s="87"/>
      <c r="G16" s="725"/>
      <c r="H16" s="433">
        <v>5</v>
      </c>
      <c r="I16" s="433">
        <v>4</v>
      </c>
      <c r="J16" s="87">
        <v>6</v>
      </c>
      <c r="K16" s="725">
        <v>5</v>
      </c>
      <c r="L16" s="739"/>
      <c r="M16" s="739"/>
      <c r="N16" s="740">
        <v>23</v>
      </c>
      <c r="O16" s="85"/>
      <c r="P16" s="725">
        <v>2</v>
      </c>
      <c r="Q16" s="466">
        <v>1</v>
      </c>
      <c r="R16" s="87">
        <v>4</v>
      </c>
      <c r="S16" s="725">
        <v>4</v>
      </c>
      <c r="T16" s="508"/>
      <c r="U16" s="726"/>
      <c r="V16" s="741"/>
      <c r="W16" s="87"/>
      <c r="X16" s="433">
        <v>5</v>
      </c>
      <c r="Y16" s="506">
        <v>4</v>
      </c>
      <c r="Z16" s="740">
        <v>20</v>
      </c>
      <c r="AA16" s="689">
        <v>10</v>
      </c>
      <c r="AB16" s="689">
        <v>9</v>
      </c>
      <c r="AC16" s="9" t="s">
        <v>32</v>
      </c>
      <c r="AD16" s="792">
        <f t="shared" si="0"/>
        <v>70</v>
      </c>
    </row>
    <row r="17" spans="1:30" ht="46.5" customHeight="1" x14ac:dyDescent="0.25">
      <c r="A17" s="780">
        <v>8</v>
      </c>
      <c r="B17" s="779">
        <v>5191421024</v>
      </c>
      <c r="C17" s="85"/>
      <c r="D17" s="725">
        <v>2</v>
      </c>
      <c r="E17" s="86">
        <v>1</v>
      </c>
      <c r="F17" s="87">
        <v>5</v>
      </c>
      <c r="G17" s="725">
        <v>4</v>
      </c>
      <c r="H17" s="433"/>
      <c r="I17" s="433"/>
      <c r="J17" s="87"/>
      <c r="K17" s="725"/>
      <c r="L17" s="739"/>
      <c r="M17" s="739"/>
      <c r="N17" s="740">
        <v>12</v>
      </c>
      <c r="O17" s="85"/>
      <c r="P17" s="725">
        <v>2</v>
      </c>
      <c r="Q17" s="466"/>
      <c r="R17" s="87"/>
      <c r="S17" s="725"/>
      <c r="T17" s="508">
        <v>2</v>
      </c>
      <c r="U17" s="726">
        <v>2</v>
      </c>
      <c r="V17" s="741"/>
      <c r="W17" s="87"/>
      <c r="X17" s="433">
        <v>3</v>
      </c>
      <c r="Y17" s="506">
        <v>3</v>
      </c>
      <c r="Z17" s="740">
        <v>12</v>
      </c>
      <c r="AA17" s="689">
        <v>9</v>
      </c>
      <c r="AB17" s="689">
        <v>9</v>
      </c>
      <c r="AC17" s="9" t="s">
        <v>32</v>
      </c>
      <c r="AD17" s="792">
        <f t="shared" si="0"/>
        <v>70</v>
      </c>
    </row>
    <row r="18" spans="1:30" ht="46.5" customHeight="1" x14ac:dyDescent="0.25">
      <c r="A18" s="824">
        <v>9</v>
      </c>
      <c r="B18" s="779">
        <v>5191421025</v>
      </c>
      <c r="C18" s="85">
        <v>2</v>
      </c>
      <c r="D18" s="725">
        <v>2</v>
      </c>
      <c r="E18" s="86">
        <v>2</v>
      </c>
      <c r="F18" s="87"/>
      <c r="G18" s="725"/>
      <c r="H18" s="433">
        <v>6</v>
      </c>
      <c r="I18" s="433">
        <v>5</v>
      </c>
      <c r="J18" s="87"/>
      <c r="K18" s="725"/>
      <c r="L18" s="725">
        <v>3</v>
      </c>
      <c r="M18" s="725">
        <v>6</v>
      </c>
      <c r="N18" s="740">
        <v>26</v>
      </c>
      <c r="O18" s="85">
        <v>2</v>
      </c>
      <c r="P18" s="725">
        <v>2</v>
      </c>
      <c r="Q18" s="466">
        <v>2</v>
      </c>
      <c r="R18" s="87">
        <v>5</v>
      </c>
      <c r="S18" s="725">
        <v>6</v>
      </c>
      <c r="T18" s="513"/>
      <c r="U18" s="510"/>
      <c r="V18" s="741">
        <v>5</v>
      </c>
      <c r="W18" s="87">
        <v>5</v>
      </c>
      <c r="X18" s="433"/>
      <c r="Y18" s="506"/>
      <c r="Z18" s="740">
        <v>27</v>
      </c>
      <c r="AA18" s="689">
        <v>10</v>
      </c>
      <c r="AB18" s="689">
        <v>10</v>
      </c>
      <c r="AC18" s="9" t="s">
        <v>82</v>
      </c>
      <c r="AD18" s="792">
        <f t="shared" si="0"/>
        <v>100</v>
      </c>
    </row>
    <row r="19" spans="1:30" ht="46.5" customHeight="1" x14ac:dyDescent="0.25">
      <c r="A19" s="780">
        <v>10</v>
      </c>
      <c r="B19" s="779">
        <v>5191421029</v>
      </c>
      <c r="C19" s="85">
        <v>2</v>
      </c>
      <c r="D19" s="725">
        <v>2</v>
      </c>
      <c r="E19" s="86">
        <v>2</v>
      </c>
      <c r="F19" s="87"/>
      <c r="G19" s="725"/>
      <c r="H19" s="433">
        <v>5</v>
      </c>
      <c r="I19" s="433">
        <v>5</v>
      </c>
      <c r="J19" s="87">
        <v>6</v>
      </c>
      <c r="K19" s="725">
        <v>6</v>
      </c>
      <c r="L19" s="739"/>
      <c r="M19" s="739"/>
      <c r="N19" s="740">
        <v>29</v>
      </c>
      <c r="O19" s="85"/>
      <c r="P19" s="725">
        <v>2</v>
      </c>
      <c r="Q19" s="466">
        <v>2</v>
      </c>
      <c r="R19" s="87">
        <v>6</v>
      </c>
      <c r="S19" s="725">
        <v>6</v>
      </c>
      <c r="T19" s="508"/>
      <c r="U19" s="726"/>
      <c r="V19" s="741"/>
      <c r="W19" s="87"/>
      <c r="X19" s="433">
        <v>5</v>
      </c>
      <c r="Y19" s="506">
        <v>4</v>
      </c>
      <c r="Z19" s="740">
        <v>25</v>
      </c>
      <c r="AA19" s="689">
        <v>10</v>
      </c>
      <c r="AB19" s="689">
        <v>10</v>
      </c>
      <c r="AC19" s="9" t="s">
        <v>30</v>
      </c>
      <c r="AD19" s="792">
        <f t="shared" si="0"/>
        <v>90</v>
      </c>
    </row>
    <row r="20" spans="1:30" ht="46.5" customHeight="1" x14ac:dyDescent="0.25">
      <c r="A20" s="824">
        <v>11</v>
      </c>
      <c r="B20" s="779">
        <v>5191421030</v>
      </c>
      <c r="C20" s="100">
        <v>1</v>
      </c>
      <c r="D20" s="725"/>
      <c r="E20" s="86">
        <v>2</v>
      </c>
      <c r="F20" s="87"/>
      <c r="G20" s="725"/>
      <c r="H20" s="433"/>
      <c r="I20" s="433">
        <v>5</v>
      </c>
      <c r="J20" s="87"/>
      <c r="K20" s="725">
        <v>4</v>
      </c>
      <c r="L20" s="739"/>
      <c r="M20" s="739"/>
      <c r="N20" s="740">
        <v>12</v>
      </c>
      <c r="O20" s="85"/>
      <c r="P20" s="725"/>
      <c r="Q20" s="466">
        <v>2</v>
      </c>
      <c r="R20" s="87">
        <v>3</v>
      </c>
      <c r="S20" s="725">
        <v>3</v>
      </c>
      <c r="T20" s="508"/>
      <c r="U20" s="726"/>
      <c r="V20" s="741"/>
      <c r="W20" s="87"/>
      <c r="X20" s="433">
        <v>3</v>
      </c>
      <c r="Y20" s="506"/>
      <c r="Z20" s="740">
        <v>12</v>
      </c>
      <c r="AA20" s="689">
        <v>9</v>
      </c>
      <c r="AB20" s="689">
        <v>9</v>
      </c>
      <c r="AC20" s="9" t="s">
        <v>33</v>
      </c>
      <c r="AD20" s="792">
        <f t="shared" si="0"/>
        <v>60</v>
      </c>
    </row>
    <row r="21" spans="1:30" ht="46.5" customHeight="1" x14ac:dyDescent="0.25">
      <c r="A21" s="780">
        <v>12</v>
      </c>
      <c r="B21" s="779">
        <v>5191421031</v>
      </c>
      <c r="C21" s="87">
        <v>1</v>
      </c>
      <c r="D21" s="725">
        <v>2</v>
      </c>
      <c r="E21" s="86">
        <v>2</v>
      </c>
      <c r="F21" s="87"/>
      <c r="G21" s="725"/>
      <c r="H21" s="433">
        <v>6</v>
      </c>
      <c r="I21" s="433">
        <v>6</v>
      </c>
      <c r="J21" s="87">
        <v>6</v>
      </c>
      <c r="K21" s="725">
        <v>6</v>
      </c>
      <c r="L21" s="739"/>
      <c r="M21" s="739"/>
      <c r="N21" s="740">
        <v>29</v>
      </c>
      <c r="O21" s="85">
        <v>2</v>
      </c>
      <c r="P21" s="725">
        <v>2</v>
      </c>
      <c r="Q21" s="466">
        <v>2</v>
      </c>
      <c r="R21" s="87">
        <v>5</v>
      </c>
      <c r="S21" s="725">
        <v>5</v>
      </c>
      <c r="T21" s="513"/>
      <c r="U21" s="510"/>
      <c r="V21" s="741"/>
      <c r="W21" s="87"/>
      <c r="X21" s="433">
        <v>5</v>
      </c>
      <c r="Y21" s="506">
        <v>5</v>
      </c>
      <c r="Z21" s="740">
        <v>26</v>
      </c>
      <c r="AA21" s="689">
        <v>10</v>
      </c>
      <c r="AB21" s="689">
        <v>10</v>
      </c>
      <c r="AC21" s="9" t="s">
        <v>82</v>
      </c>
      <c r="AD21" s="792">
        <f t="shared" si="0"/>
        <v>100</v>
      </c>
    </row>
    <row r="22" spans="1:30" ht="46.5" customHeight="1" x14ac:dyDescent="0.25">
      <c r="A22" s="824">
        <v>13</v>
      </c>
      <c r="B22" s="779">
        <v>5191421035</v>
      </c>
      <c r="C22" s="85"/>
      <c r="D22" s="725">
        <v>2</v>
      </c>
      <c r="E22" s="86">
        <v>1</v>
      </c>
      <c r="F22" s="87"/>
      <c r="G22" s="725"/>
      <c r="H22" s="433">
        <v>6</v>
      </c>
      <c r="I22" s="433">
        <v>5</v>
      </c>
      <c r="J22" s="87"/>
      <c r="K22" s="725"/>
      <c r="L22" s="739"/>
      <c r="M22" s="739"/>
      <c r="N22" s="740">
        <v>14</v>
      </c>
      <c r="O22" s="85"/>
      <c r="P22" s="725"/>
      <c r="Q22" s="466"/>
      <c r="R22" s="87">
        <v>5</v>
      </c>
      <c r="S22" s="725">
        <v>6</v>
      </c>
      <c r="T22" s="508"/>
      <c r="U22" s="726"/>
      <c r="V22" s="741"/>
      <c r="W22" s="87"/>
      <c r="X22" s="433">
        <v>6</v>
      </c>
      <c r="Y22" s="506">
        <v>4</v>
      </c>
      <c r="Z22" s="740">
        <v>21</v>
      </c>
      <c r="AA22" s="689">
        <v>10</v>
      </c>
      <c r="AB22" s="689">
        <v>9</v>
      </c>
      <c r="AC22" s="9" t="s">
        <v>30</v>
      </c>
      <c r="AD22" s="792">
        <f t="shared" si="0"/>
        <v>90</v>
      </c>
    </row>
    <row r="23" spans="1:30" ht="46.5" customHeight="1" x14ac:dyDescent="0.25">
      <c r="A23" s="780">
        <v>14</v>
      </c>
      <c r="B23" s="779">
        <v>5191421037</v>
      </c>
      <c r="C23" s="85"/>
      <c r="D23" s="725"/>
      <c r="E23" s="86"/>
      <c r="F23" s="87">
        <v>2</v>
      </c>
      <c r="G23" s="725">
        <v>1</v>
      </c>
      <c r="H23" s="433"/>
      <c r="I23" s="433"/>
      <c r="J23" s="87">
        <v>4</v>
      </c>
      <c r="K23" s="725">
        <v>5</v>
      </c>
      <c r="L23" s="739"/>
      <c r="M23" s="739"/>
      <c r="N23" s="740">
        <v>12</v>
      </c>
      <c r="O23" s="85"/>
      <c r="P23" s="725">
        <v>1</v>
      </c>
      <c r="Q23" s="466">
        <v>1</v>
      </c>
      <c r="R23" s="87">
        <v>3</v>
      </c>
      <c r="S23" s="725"/>
      <c r="T23" s="513"/>
      <c r="U23" s="510"/>
      <c r="V23" s="741"/>
      <c r="W23" s="87"/>
      <c r="X23" s="433">
        <v>3</v>
      </c>
      <c r="Y23" s="506">
        <v>4</v>
      </c>
      <c r="Z23" s="740">
        <v>12</v>
      </c>
      <c r="AA23" s="689">
        <v>9</v>
      </c>
      <c r="AB23" s="689">
        <v>9</v>
      </c>
      <c r="AC23" s="717" t="s">
        <v>154</v>
      </c>
      <c r="AD23" s="792" t="b">
        <f t="shared" si="0"/>
        <v>0</v>
      </c>
    </row>
    <row r="24" spans="1:30" ht="46.5" customHeight="1" x14ac:dyDescent="0.25">
      <c r="A24" s="824">
        <v>15</v>
      </c>
      <c r="B24" s="779">
        <v>5191421038</v>
      </c>
      <c r="C24" s="85"/>
      <c r="D24" s="725"/>
      <c r="E24" s="86">
        <v>2</v>
      </c>
      <c r="F24" s="87"/>
      <c r="G24" s="725"/>
      <c r="H24" s="433">
        <v>5</v>
      </c>
      <c r="I24" s="433">
        <v>5</v>
      </c>
      <c r="J24" s="87">
        <v>5</v>
      </c>
      <c r="K24" s="725">
        <v>3</v>
      </c>
      <c r="L24" s="739"/>
      <c r="M24" s="739"/>
      <c r="N24" s="740">
        <v>20</v>
      </c>
      <c r="O24" s="85"/>
      <c r="P24" s="725">
        <v>2</v>
      </c>
      <c r="Q24" s="466"/>
      <c r="R24" s="87">
        <v>6</v>
      </c>
      <c r="S24" s="725">
        <v>6</v>
      </c>
      <c r="T24" s="508"/>
      <c r="U24" s="726"/>
      <c r="V24" s="741"/>
      <c r="W24" s="87"/>
      <c r="X24" s="433"/>
      <c r="Y24" s="506"/>
      <c r="Z24" s="740">
        <v>14</v>
      </c>
      <c r="AA24" s="689">
        <v>10</v>
      </c>
      <c r="AB24" s="689">
        <v>9</v>
      </c>
      <c r="AC24" s="9" t="s">
        <v>27</v>
      </c>
      <c r="AD24" s="792">
        <f t="shared" si="0"/>
        <v>80</v>
      </c>
    </row>
    <row r="25" spans="1:30" ht="46.5" customHeight="1" x14ac:dyDescent="0.25">
      <c r="A25" s="780">
        <v>16</v>
      </c>
      <c r="B25" s="779">
        <v>5191421040</v>
      </c>
      <c r="C25" s="100">
        <v>2</v>
      </c>
      <c r="D25" s="725">
        <v>2</v>
      </c>
      <c r="E25" s="86">
        <v>2</v>
      </c>
      <c r="F25" s="87"/>
      <c r="G25" s="725"/>
      <c r="H25" s="433">
        <v>6</v>
      </c>
      <c r="I25" s="433">
        <v>6</v>
      </c>
      <c r="J25" s="87">
        <v>6</v>
      </c>
      <c r="K25" s="725">
        <v>4</v>
      </c>
      <c r="L25" s="739"/>
      <c r="M25" s="739"/>
      <c r="N25" s="740">
        <v>28</v>
      </c>
      <c r="O25" s="85">
        <v>1</v>
      </c>
      <c r="P25" s="725">
        <v>1</v>
      </c>
      <c r="Q25" s="466">
        <v>2</v>
      </c>
      <c r="R25" s="87">
        <v>6</v>
      </c>
      <c r="S25" s="725">
        <v>3</v>
      </c>
      <c r="T25" s="513"/>
      <c r="U25" s="510"/>
      <c r="V25" s="741"/>
      <c r="W25" s="87"/>
      <c r="X25" s="433">
        <v>2</v>
      </c>
      <c r="Y25" s="506"/>
      <c r="Z25" s="740">
        <v>15</v>
      </c>
      <c r="AA25" s="689">
        <v>10</v>
      </c>
      <c r="AB25" s="689">
        <v>9</v>
      </c>
      <c r="AC25" s="9" t="s">
        <v>30</v>
      </c>
      <c r="AD25" s="792">
        <f t="shared" si="0"/>
        <v>90</v>
      </c>
    </row>
    <row r="26" spans="1:30" ht="46.5" customHeight="1" x14ac:dyDescent="0.25">
      <c r="A26" s="824">
        <v>17</v>
      </c>
      <c r="B26" s="779">
        <v>5191421042</v>
      </c>
      <c r="C26" s="85"/>
      <c r="D26" s="725"/>
      <c r="E26" s="86">
        <v>2</v>
      </c>
      <c r="F26" s="87"/>
      <c r="G26" s="725"/>
      <c r="H26" s="433">
        <v>5</v>
      </c>
      <c r="I26" s="433"/>
      <c r="J26" s="87"/>
      <c r="K26" s="725">
        <v>5</v>
      </c>
      <c r="L26" s="739"/>
      <c r="M26" s="739"/>
      <c r="N26" s="740">
        <v>12</v>
      </c>
      <c r="O26" s="85"/>
      <c r="P26" s="725"/>
      <c r="Q26" s="466"/>
      <c r="R26" s="87"/>
      <c r="S26" s="725"/>
      <c r="T26" s="508"/>
      <c r="U26" s="726"/>
      <c r="V26" s="741">
        <v>3</v>
      </c>
      <c r="W26" s="87">
        <v>3</v>
      </c>
      <c r="X26" s="433">
        <v>5</v>
      </c>
      <c r="Y26" s="506">
        <v>3</v>
      </c>
      <c r="Z26" s="740">
        <v>14</v>
      </c>
      <c r="AA26" s="689">
        <v>10</v>
      </c>
      <c r="AB26" s="689">
        <v>10</v>
      </c>
      <c r="AC26" s="9" t="s">
        <v>31</v>
      </c>
      <c r="AD26" s="792">
        <f t="shared" si="0"/>
        <v>55</v>
      </c>
    </row>
    <row r="27" spans="1:30" ht="46.5" customHeight="1" x14ac:dyDescent="0.25">
      <c r="A27" s="780">
        <v>18</v>
      </c>
      <c r="B27" s="779">
        <v>5191421047</v>
      </c>
      <c r="C27" s="85"/>
      <c r="D27" s="725"/>
      <c r="E27" s="86">
        <v>2</v>
      </c>
      <c r="F27" s="87">
        <v>5</v>
      </c>
      <c r="G27" s="725"/>
      <c r="H27" s="433"/>
      <c r="I27" s="433"/>
      <c r="J27" s="87">
        <v>5</v>
      </c>
      <c r="K27" s="725"/>
      <c r="L27" s="739"/>
      <c r="M27" s="739"/>
      <c r="N27" s="740">
        <v>12</v>
      </c>
      <c r="O27" s="85">
        <v>2</v>
      </c>
      <c r="P27" s="725">
        <v>2</v>
      </c>
      <c r="Q27" s="466">
        <v>2</v>
      </c>
      <c r="R27" s="87"/>
      <c r="S27" s="725">
        <v>6</v>
      </c>
      <c r="T27" s="508"/>
      <c r="U27" s="726"/>
      <c r="V27" s="741"/>
      <c r="W27" s="87"/>
      <c r="X27" s="433"/>
      <c r="Y27" s="506"/>
      <c r="Z27" s="740">
        <v>12</v>
      </c>
      <c r="AA27" s="689">
        <v>9</v>
      </c>
      <c r="AB27" s="689">
        <v>9</v>
      </c>
      <c r="AC27" s="9" t="s">
        <v>29</v>
      </c>
      <c r="AD27" s="792">
        <f t="shared" si="0"/>
        <v>39</v>
      </c>
    </row>
    <row r="28" spans="1:30" ht="46.5" customHeight="1" x14ac:dyDescent="0.25">
      <c r="A28" s="824">
        <v>19</v>
      </c>
      <c r="B28" s="779">
        <v>5191421048</v>
      </c>
      <c r="C28" s="85">
        <v>2</v>
      </c>
      <c r="D28" s="725">
        <v>2</v>
      </c>
      <c r="E28" s="86">
        <v>2</v>
      </c>
      <c r="F28" s="87"/>
      <c r="G28" s="725"/>
      <c r="H28" s="433">
        <v>2</v>
      </c>
      <c r="I28" s="433">
        <v>2</v>
      </c>
      <c r="J28" s="87">
        <v>6</v>
      </c>
      <c r="K28" s="725">
        <v>6</v>
      </c>
      <c r="L28" s="739"/>
      <c r="M28" s="739"/>
      <c r="N28" s="740">
        <v>22</v>
      </c>
      <c r="O28" s="85"/>
      <c r="P28" s="725">
        <v>2</v>
      </c>
      <c r="Q28" s="466"/>
      <c r="R28" s="87">
        <v>5</v>
      </c>
      <c r="S28" s="725">
        <v>3</v>
      </c>
      <c r="T28" s="508"/>
      <c r="U28" s="726"/>
      <c r="V28" s="741">
        <v>4</v>
      </c>
      <c r="W28" s="87">
        <v>3</v>
      </c>
      <c r="X28" s="433"/>
      <c r="Y28" s="506"/>
      <c r="Z28" s="740">
        <v>17</v>
      </c>
      <c r="AA28" s="689">
        <v>10</v>
      </c>
      <c r="AB28" s="689">
        <v>9</v>
      </c>
      <c r="AC28" s="9" t="s">
        <v>30</v>
      </c>
      <c r="AD28" s="792">
        <f t="shared" si="0"/>
        <v>90</v>
      </c>
    </row>
    <row r="29" spans="1:30" ht="46.5" customHeight="1" x14ac:dyDescent="0.25">
      <c r="A29" s="780">
        <v>20</v>
      </c>
      <c r="B29" s="779">
        <v>5191421050</v>
      </c>
      <c r="C29" s="85"/>
      <c r="D29" s="725"/>
      <c r="E29" s="86"/>
      <c r="F29" s="87"/>
      <c r="G29" s="725"/>
      <c r="H29" s="433"/>
      <c r="I29" s="433"/>
      <c r="J29" s="87"/>
      <c r="K29" s="725"/>
      <c r="L29" s="739"/>
      <c r="M29" s="739"/>
      <c r="N29" s="740">
        <v>0</v>
      </c>
      <c r="O29" s="790">
        <v>2</v>
      </c>
      <c r="P29" s="784">
        <v>2</v>
      </c>
      <c r="Q29" s="791"/>
      <c r="R29" s="783"/>
      <c r="S29" s="725"/>
      <c r="T29" s="508">
        <v>5</v>
      </c>
      <c r="U29" s="726">
        <v>4</v>
      </c>
      <c r="V29" s="786">
        <v>5</v>
      </c>
      <c r="W29" s="783">
        <v>3</v>
      </c>
      <c r="X29" s="433"/>
      <c r="Y29" s="506"/>
      <c r="Z29" s="740">
        <v>21</v>
      </c>
      <c r="AA29" s="689">
        <v>10</v>
      </c>
      <c r="AB29" s="689">
        <v>9</v>
      </c>
      <c r="AC29" s="9" t="s">
        <v>33</v>
      </c>
      <c r="AD29" s="792">
        <f t="shared" si="0"/>
        <v>60</v>
      </c>
    </row>
    <row r="30" spans="1:30" ht="46.5" customHeight="1" x14ac:dyDescent="0.25">
      <c r="A30" s="824">
        <v>21</v>
      </c>
      <c r="B30" s="779">
        <v>5191421054</v>
      </c>
      <c r="C30" s="790">
        <v>1</v>
      </c>
      <c r="D30" s="784">
        <v>2</v>
      </c>
      <c r="E30" s="781">
        <v>2</v>
      </c>
      <c r="F30" s="783"/>
      <c r="G30" s="725"/>
      <c r="H30" s="782">
        <v>6</v>
      </c>
      <c r="I30" s="782">
        <v>5</v>
      </c>
      <c r="J30" s="783"/>
      <c r="K30" s="784"/>
      <c r="L30" s="725">
        <v>5</v>
      </c>
      <c r="M30" s="725">
        <v>6</v>
      </c>
      <c r="N30" s="740">
        <v>27</v>
      </c>
      <c r="O30" s="790">
        <v>2</v>
      </c>
      <c r="P30" s="784">
        <v>2</v>
      </c>
      <c r="Q30" s="791">
        <v>2</v>
      </c>
      <c r="R30" s="783">
        <v>6</v>
      </c>
      <c r="S30" s="790">
        <v>6</v>
      </c>
      <c r="T30" s="784"/>
      <c r="U30" s="791"/>
      <c r="V30" s="783"/>
      <c r="W30" s="783"/>
      <c r="X30" s="782">
        <v>5</v>
      </c>
      <c r="Y30" s="506">
        <v>3</v>
      </c>
      <c r="Z30" s="740">
        <v>24</v>
      </c>
      <c r="AA30" s="689">
        <v>10</v>
      </c>
      <c r="AB30" s="689">
        <v>9</v>
      </c>
      <c r="AC30" s="9" t="s">
        <v>30</v>
      </c>
      <c r="AD30" s="792">
        <f t="shared" si="0"/>
        <v>90</v>
      </c>
    </row>
    <row r="31" spans="1:30" ht="46.5" customHeight="1" x14ac:dyDescent="0.25">
      <c r="A31" s="780">
        <v>22</v>
      </c>
      <c r="B31" s="779">
        <v>5191421055</v>
      </c>
      <c r="C31" s="790"/>
      <c r="D31" s="784">
        <v>2</v>
      </c>
      <c r="E31" s="781">
        <v>2</v>
      </c>
      <c r="F31" s="783"/>
      <c r="G31" s="725"/>
      <c r="H31" s="782">
        <v>4</v>
      </c>
      <c r="I31" s="782">
        <v>5</v>
      </c>
      <c r="J31" s="783">
        <v>5</v>
      </c>
      <c r="K31" s="784"/>
      <c r="L31" s="739"/>
      <c r="M31" s="739"/>
      <c r="N31" s="740">
        <v>18</v>
      </c>
      <c r="O31" s="790">
        <v>2</v>
      </c>
      <c r="P31" s="784">
        <v>2</v>
      </c>
      <c r="Q31" s="791">
        <v>2</v>
      </c>
      <c r="R31" s="783">
        <v>6</v>
      </c>
      <c r="S31" s="725">
        <v>6</v>
      </c>
      <c r="T31" s="513"/>
      <c r="U31" s="510"/>
      <c r="V31" s="786"/>
      <c r="W31" s="783"/>
      <c r="X31" s="782">
        <v>6</v>
      </c>
      <c r="Y31" s="506">
        <v>3</v>
      </c>
      <c r="Z31" s="740">
        <v>27</v>
      </c>
      <c r="AA31" s="689">
        <v>9</v>
      </c>
      <c r="AB31" s="689">
        <v>10</v>
      </c>
      <c r="AC31" s="9" t="s">
        <v>27</v>
      </c>
      <c r="AD31" s="792">
        <f t="shared" si="0"/>
        <v>80</v>
      </c>
    </row>
    <row r="32" spans="1:30" ht="46.5" customHeight="1" x14ac:dyDescent="0.25">
      <c r="A32" s="824">
        <v>23</v>
      </c>
      <c r="B32" s="779">
        <v>5191421056</v>
      </c>
      <c r="C32" s="790"/>
      <c r="D32" s="784">
        <v>2</v>
      </c>
      <c r="E32" s="781">
        <v>2</v>
      </c>
      <c r="F32" s="783"/>
      <c r="G32" s="725"/>
      <c r="H32" s="782">
        <v>3</v>
      </c>
      <c r="I32" s="782">
        <v>5</v>
      </c>
      <c r="J32" s="783">
        <v>5</v>
      </c>
      <c r="K32" s="784">
        <v>4</v>
      </c>
      <c r="L32" s="739"/>
      <c r="M32" s="739"/>
      <c r="N32" s="740">
        <v>21</v>
      </c>
      <c r="O32" s="790">
        <v>2</v>
      </c>
      <c r="P32" s="784">
        <v>2</v>
      </c>
      <c r="Q32" s="791">
        <v>2</v>
      </c>
      <c r="R32" s="783">
        <v>6</v>
      </c>
      <c r="S32" s="725">
        <v>6</v>
      </c>
      <c r="T32" s="508"/>
      <c r="U32" s="726"/>
      <c r="V32" s="786"/>
      <c r="W32" s="783"/>
      <c r="X32" s="782">
        <v>4</v>
      </c>
      <c r="Y32" s="506">
        <v>2</v>
      </c>
      <c r="Z32" s="743">
        <v>24</v>
      </c>
      <c r="AA32" s="689">
        <v>10</v>
      </c>
      <c r="AB32" s="689">
        <v>9</v>
      </c>
      <c r="AC32" s="9" t="s">
        <v>30</v>
      </c>
      <c r="AD32" s="792">
        <f t="shared" si="0"/>
        <v>90</v>
      </c>
    </row>
    <row r="33" spans="1:30" ht="46.5" customHeight="1" x14ac:dyDescent="0.25">
      <c r="A33" s="780">
        <v>24</v>
      </c>
      <c r="B33" s="779">
        <v>5191421057</v>
      </c>
      <c r="C33" s="790">
        <v>2</v>
      </c>
      <c r="D33" s="784">
        <v>2</v>
      </c>
      <c r="E33" s="781">
        <v>2</v>
      </c>
      <c r="F33" s="783"/>
      <c r="G33" s="725"/>
      <c r="H33" s="782">
        <v>6</v>
      </c>
      <c r="I33" s="782">
        <v>6</v>
      </c>
      <c r="J33" s="783"/>
      <c r="K33" s="784"/>
      <c r="L33" s="725">
        <v>6</v>
      </c>
      <c r="M33" s="725">
        <v>6</v>
      </c>
      <c r="N33" s="740">
        <v>30</v>
      </c>
      <c r="O33" s="790">
        <v>2</v>
      </c>
      <c r="P33" s="784">
        <v>2</v>
      </c>
      <c r="Q33" s="791">
        <v>2</v>
      </c>
      <c r="R33" s="783">
        <v>6</v>
      </c>
      <c r="S33" s="725">
        <v>6</v>
      </c>
      <c r="T33" s="508"/>
      <c r="U33" s="726"/>
      <c r="V33" s="786"/>
      <c r="W33" s="783"/>
      <c r="X33" s="782">
        <v>5</v>
      </c>
      <c r="Y33" s="787">
        <v>4</v>
      </c>
      <c r="Z33" s="742">
        <v>27</v>
      </c>
      <c r="AA33" s="788">
        <v>10</v>
      </c>
      <c r="AB33" s="788">
        <v>10</v>
      </c>
      <c r="AC33" s="103" t="s">
        <v>30</v>
      </c>
      <c r="AD33" s="792">
        <f t="shared" si="0"/>
        <v>90</v>
      </c>
    </row>
    <row r="34" spans="1:30" ht="46.5" customHeight="1" thickBot="1" x14ac:dyDescent="0.3">
      <c r="A34" s="824">
        <v>25</v>
      </c>
      <c r="B34" s="779">
        <v>5191421058</v>
      </c>
      <c r="C34" s="94"/>
      <c r="D34" s="410"/>
      <c r="E34" s="91"/>
      <c r="F34" s="92"/>
      <c r="G34" s="410"/>
      <c r="H34" s="706"/>
      <c r="I34" s="706"/>
      <c r="J34" s="92"/>
      <c r="K34" s="410"/>
      <c r="L34" s="739"/>
      <c r="M34" s="739"/>
      <c r="N34" s="740"/>
      <c r="O34" s="94"/>
      <c r="P34" s="410"/>
      <c r="Q34" s="104"/>
      <c r="R34" s="92"/>
      <c r="S34" s="410"/>
      <c r="T34" s="508"/>
      <c r="U34" s="726"/>
      <c r="V34" s="744"/>
      <c r="W34" s="92"/>
      <c r="X34" s="706"/>
      <c r="Y34" s="718"/>
      <c r="Z34" s="740"/>
      <c r="AA34" s="689"/>
      <c r="AB34" s="689"/>
      <c r="AC34" s="435"/>
      <c r="AD34" s="792" t="b">
        <f t="shared" si="0"/>
        <v>0</v>
      </c>
    </row>
    <row r="35" spans="1:30" ht="46.5" customHeight="1" x14ac:dyDescent="0.25">
      <c r="C35" s="515">
        <f t="shared" ref="C35:M35" si="1">COUNT(C10:C34)</f>
        <v>15</v>
      </c>
      <c r="D35" s="793">
        <f t="shared" si="1"/>
        <v>17</v>
      </c>
      <c r="E35" s="793">
        <f t="shared" si="1"/>
        <v>21</v>
      </c>
      <c r="F35" s="793">
        <f t="shared" si="1"/>
        <v>5</v>
      </c>
      <c r="G35" s="793">
        <f t="shared" si="1"/>
        <v>4</v>
      </c>
      <c r="H35" s="793">
        <f t="shared" si="1"/>
        <v>17</v>
      </c>
      <c r="I35" s="793">
        <f t="shared" si="1"/>
        <v>17</v>
      </c>
      <c r="J35" s="793">
        <f t="shared" si="1"/>
        <v>16</v>
      </c>
      <c r="K35" s="793">
        <f t="shared" si="1"/>
        <v>15</v>
      </c>
      <c r="L35" s="793">
        <f t="shared" si="1"/>
        <v>3</v>
      </c>
      <c r="M35" s="793">
        <f t="shared" si="1"/>
        <v>3</v>
      </c>
      <c r="N35" s="515"/>
      <c r="O35" s="515">
        <f>COUNT(O10:O34)</f>
        <v>13</v>
      </c>
      <c r="P35" s="793">
        <f t="shared" ref="P35:AB35" si="2">COUNT(P10:P34)</f>
        <v>21</v>
      </c>
      <c r="Q35" s="793">
        <f t="shared" si="2"/>
        <v>17</v>
      </c>
      <c r="R35" s="793">
        <f t="shared" si="2"/>
        <v>18</v>
      </c>
      <c r="S35" s="793">
        <f t="shared" si="2"/>
        <v>18</v>
      </c>
      <c r="T35" s="793">
        <f t="shared" si="2"/>
        <v>3</v>
      </c>
      <c r="U35" s="793">
        <f t="shared" si="2"/>
        <v>3</v>
      </c>
      <c r="V35" s="793">
        <f t="shared" si="2"/>
        <v>5</v>
      </c>
      <c r="W35" s="793">
        <f t="shared" si="2"/>
        <v>5</v>
      </c>
      <c r="X35" s="793">
        <f t="shared" si="2"/>
        <v>18</v>
      </c>
      <c r="Y35" s="793">
        <f t="shared" si="2"/>
        <v>16</v>
      </c>
      <c r="Z35" s="354"/>
      <c r="AA35" s="793">
        <f t="shared" si="2"/>
        <v>24</v>
      </c>
      <c r="AB35" s="793">
        <f t="shared" si="2"/>
        <v>24</v>
      </c>
    </row>
    <row r="36" spans="1:30" ht="46.5" customHeight="1" x14ac:dyDescent="0.25">
      <c r="A36" s="328" t="s">
        <v>34</v>
      </c>
      <c r="B36" s="734">
        <v>55</v>
      </c>
      <c r="C36" s="719">
        <f>C9*(B36/100)</f>
        <v>1.1000000000000001</v>
      </c>
      <c r="D36" s="719">
        <f>D9*(B36/100)</f>
        <v>1.1000000000000001</v>
      </c>
      <c r="E36" s="719">
        <f>E9*(B36/100)</f>
        <v>1.1000000000000001</v>
      </c>
      <c r="F36" s="719">
        <f>F9*(B36/100)</f>
        <v>3.3000000000000003</v>
      </c>
      <c r="G36" s="719">
        <v>3</v>
      </c>
      <c r="H36" s="719">
        <v>3</v>
      </c>
      <c r="I36" s="719">
        <v>3</v>
      </c>
      <c r="J36" s="719">
        <v>3</v>
      </c>
      <c r="K36" s="719">
        <v>3</v>
      </c>
      <c r="L36" s="719">
        <v>3</v>
      </c>
      <c r="M36" s="769">
        <v>3</v>
      </c>
      <c r="N36" s="515"/>
      <c r="O36" s="719">
        <f>O9*(B36/100)</f>
        <v>1.1000000000000001</v>
      </c>
      <c r="P36" s="719">
        <f>P9*(B36/100)</f>
        <v>1.1000000000000001</v>
      </c>
      <c r="Q36" s="719">
        <f>Q9*(B36/100)</f>
        <v>1.1000000000000001</v>
      </c>
      <c r="R36" s="719">
        <f>R9*(B36/100)</f>
        <v>3.3000000000000003</v>
      </c>
      <c r="S36" s="719">
        <f>S9*(B36/100)</f>
        <v>3.3000000000000003</v>
      </c>
      <c r="T36" s="719">
        <f>T9*(B36/100)</f>
        <v>3.3000000000000003</v>
      </c>
      <c r="U36" s="719">
        <f>U9*(B36/100)</f>
        <v>3.3000000000000003</v>
      </c>
      <c r="V36" s="719">
        <v>3</v>
      </c>
      <c r="W36" s="719">
        <f>W9*(B36/100)</f>
        <v>3.3000000000000003</v>
      </c>
      <c r="X36" s="719">
        <v>3</v>
      </c>
      <c r="Y36" s="719">
        <v>3</v>
      </c>
      <c r="Z36" s="354"/>
      <c r="AA36" s="769">
        <v>3</v>
      </c>
      <c r="AB36" s="769">
        <v>4</v>
      </c>
    </row>
    <row r="37" spans="1:30" ht="46.5" customHeight="1" x14ac:dyDescent="0.25">
      <c r="A37" s="3075" t="s">
        <v>35</v>
      </c>
      <c r="B37" s="3075"/>
      <c r="C37" s="515">
        <f t="shared" ref="C37:M37" si="3">COUNTIF(C11:C34,"&gt;=" &amp;C36)</f>
        <v>9</v>
      </c>
      <c r="D37" s="793">
        <f t="shared" si="3"/>
        <v>16</v>
      </c>
      <c r="E37" s="793">
        <f t="shared" si="3"/>
        <v>18</v>
      </c>
      <c r="F37" s="793">
        <f t="shared" si="3"/>
        <v>4</v>
      </c>
      <c r="G37" s="793">
        <f t="shared" si="3"/>
        <v>3</v>
      </c>
      <c r="H37" s="793">
        <f t="shared" si="3"/>
        <v>15</v>
      </c>
      <c r="I37" s="793">
        <f t="shared" si="3"/>
        <v>15</v>
      </c>
      <c r="J37" s="793">
        <f t="shared" si="3"/>
        <v>15</v>
      </c>
      <c r="K37" s="793">
        <f t="shared" si="3"/>
        <v>15</v>
      </c>
      <c r="L37" s="793">
        <f t="shared" si="3"/>
        <v>3</v>
      </c>
      <c r="M37" s="793">
        <f t="shared" si="3"/>
        <v>3</v>
      </c>
      <c r="N37" s="515"/>
      <c r="O37" s="515">
        <f t="shared" ref="O37:Y37" si="4">COUNTIF(O10:O29,"&gt;=" &amp;O36)</f>
        <v>7</v>
      </c>
      <c r="P37" s="793">
        <f t="shared" si="4"/>
        <v>12</v>
      </c>
      <c r="Q37" s="793">
        <f t="shared" si="4"/>
        <v>8</v>
      </c>
      <c r="R37" s="793">
        <f t="shared" si="4"/>
        <v>11</v>
      </c>
      <c r="S37" s="793">
        <f t="shared" si="4"/>
        <v>10</v>
      </c>
      <c r="T37" s="793">
        <f t="shared" si="4"/>
        <v>1</v>
      </c>
      <c r="U37" s="793">
        <f t="shared" si="4"/>
        <v>1</v>
      </c>
      <c r="V37" s="793">
        <f t="shared" si="4"/>
        <v>5</v>
      </c>
      <c r="W37" s="793">
        <f t="shared" si="4"/>
        <v>1</v>
      </c>
      <c r="X37" s="793">
        <f t="shared" si="4"/>
        <v>13</v>
      </c>
      <c r="Y37" s="793">
        <f t="shared" si="4"/>
        <v>12</v>
      </c>
      <c r="Z37" s="354"/>
      <c r="AA37" s="793">
        <f>COUNTIF(AA10:AA29,"&gt;=" &amp;AA36)</f>
        <v>20</v>
      </c>
      <c r="AB37" s="793">
        <f>COUNTIF(AB10:AB29,"&gt;=" &amp;AB36)</f>
        <v>20</v>
      </c>
      <c r="AC37" s="515">
        <f>COUNTIF(AD10:AD34,"&gt;="&amp;B36)</f>
        <v>22</v>
      </c>
    </row>
    <row r="38" spans="1:30" ht="46.5" customHeight="1" x14ac:dyDescent="0.25">
      <c r="A38" s="3061" t="s">
        <v>36</v>
      </c>
      <c r="B38" s="3061"/>
      <c r="C38" s="515">
        <f t="shared" ref="C38:Y38" si="5">C37/C35</f>
        <v>0.6</v>
      </c>
      <c r="D38" s="793">
        <f t="shared" si="5"/>
        <v>0.94117647058823528</v>
      </c>
      <c r="E38" s="793">
        <f t="shared" si="5"/>
        <v>0.8571428571428571</v>
      </c>
      <c r="F38" s="793">
        <f t="shared" si="5"/>
        <v>0.8</v>
      </c>
      <c r="G38" s="793">
        <f t="shared" si="5"/>
        <v>0.75</v>
      </c>
      <c r="H38" s="793">
        <f t="shared" si="5"/>
        <v>0.88235294117647056</v>
      </c>
      <c r="I38" s="793">
        <f t="shared" si="5"/>
        <v>0.88235294117647056</v>
      </c>
      <c r="J38" s="793">
        <f t="shared" si="5"/>
        <v>0.9375</v>
      </c>
      <c r="K38" s="793">
        <f t="shared" si="5"/>
        <v>1</v>
      </c>
      <c r="L38" s="793">
        <f t="shared" si="5"/>
        <v>1</v>
      </c>
      <c r="M38" s="793">
        <f t="shared" si="5"/>
        <v>1</v>
      </c>
      <c r="N38" s="515"/>
      <c r="O38" s="515">
        <f t="shared" si="5"/>
        <v>0.53846153846153844</v>
      </c>
      <c r="P38" s="793">
        <f t="shared" si="5"/>
        <v>0.5714285714285714</v>
      </c>
      <c r="Q38" s="793">
        <f t="shared" si="5"/>
        <v>0.47058823529411764</v>
      </c>
      <c r="R38" s="793">
        <f t="shared" si="5"/>
        <v>0.61111111111111116</v>
      </c>
      <c r="S38" s="793">
        <f t="shared" si="5"/>
        <v>0.55555555555555558</v>
      </c>
      <c r="T38" s="793">
        <f t="shared" si="5"/>
        <v>0.33333333333333331</v>
      </c>
      <c r="U38" s="793">
        <f t="shared" si="5"/>
        <v>0.33333333333333331</v>
      </c>
      <c r="V38" s="793">
        <f t="shared" si="5"/>
        <v>1</v>
      </c>
      <c r="W38" s="793">
        <f t="shared" si="5"/>
        <v>0.2</v>
      </c>
      <c r="X38" s="793">
        <f t="shared" si="5"/>
        <v>0.72222222222222221</v>
      </c>
      <c r="Y38" s="793">
        <f t="shared" si="5"/>
        <v>0.75</v>
      </c>
      <c r="Z38" s="354"/>
      <c r="AA38" s="793">
        <f t="shared" ref="AA38:AB38" si="6">AA37/AA35</f>
        <v>0.83333333333333337</v>
      </c>
      <c r="AB38" s="793">
        <f t="shared" si="6"/>
        <v>0.83333333333333337</v>
      </c>
      <c r="AC38" s="515">
        <f>(AC37/A33)*100</f>
        <v>91.666666666666657</v>
      </c>
    </row>
    <row r="39" spans="1:30" ht="46.5" customHeight="1" x14ac:dyDescent="0.25">
      <c r="C39" s="818" t="s">
        <v>22</v>
      </c>
      <c r="D39" s="818" t="s">
        <v>21</v>
      </c>
      <c r="E39" s="831" t="s">
        <v>21</v>
      </c>
      <c r="F39" s="818" t="s">
        <v>22</v>
      </c>
      <c r="G39" s="818" t="s">
        <v>22</v>
      </c>
      <c r="H39" s="827" t="s">
        <v>21</v>
      </c>
      <c r="I39" s="827" t="s">
        <v>21</v>
      </c>
      <c r="J39" s="848" t="s">
        <v>21</v>
      </c>
      <c r="K39" s="848" t="s">
        <v>21</v>
      </c>
      <c r="L39" s="818" t="s">
        <v>40</v>
      </c>
      <c r="M39" s="848" t="s">
        <v>21</v>
      </c>
      <c r="N39" s="515"/>
      <c r="O39" s="818" t="s">
        <v>41</v>
      </c>
      <c r="P39" s="826" t="s">
        <v>42</v>
      </c>
      <c r="Q39" s="827" t="s">
        <v>42</v>
      </c>
      <c r="R39" s="818" t="s">
        <v>41</v>
      </c>
      <c r="S39" s="826" t="s">
        <v>41</v>
      </c>
      <c r="T39" s="827" t="s">
        <v>41</v>
      </c>
      <c r="U39" s="826" t="s">
        <v>41</v>
      </c>
      <c r="V39" s="818" t="s">
        <v>42</v>
      </c>
      <c r="W39" s="818" t="s">
        <v>42</v>
      </c>
      <c r="X39" s="826" t="s">
        <v>42</v>
      </c>
      <c r="Y39" s="826" t="s">
        <v>42</v>
      </c>
      <c r="Z39" s="515"/>
      <c r="AA39" s="827" t="s">
        <v>158</v>
      </c>
      <c r="AB39" s="826" t="s">
        <v>238</v>
      </c>
    </row>
    <row r="41" spans="1:30" s="792" customFormat="1" ht="37.5" customHeight="1" x14ac:dyDescent="0.25">
      <c r="D41" s="805" t="s">
        <v>38</v>
      </c>
      <c r="E41" s="2837" t="s">
        <v>39</v>
      </c>
      <c r="F41" s="2837"/>
      <c r="G41" s="2837" t="s">
        <v>37</v>
      </c>
      <c r="H41" s="2837"/>
      <c r="I41" s="2837"/>
      <c r="N41" s="806"/>
      <c r="Z41" s="806"/>
    </row>
    <row r="42" spans="1:30" s="792" customFormat="1" ht="37.5" customHeight="1" x14ac:dyDescent="0.25">
      <c r="B42" s="805" t="s">
        <v>22</v>
      </c>
      <c r="C42" s="793">
        <f>AVERAGE(C38,F38,G38,AA38)*100</f>
        <v>74.583333333333329</v>
      </c>
      <c r="D42" s="793">
        <f t="shared" ref="D42:D45" si="7">IF(C42&gt;=70,3,IF(AND(C42&gt;=60,C42&lt;70),2,IF(AND(C42&gt;=50,C42&lt;60),1)))</f>
        <v>3</v>
      </c>
      <c r="E42" s="3604">
        <f>IF(AC38&gt;=70,3,IF(AND(AC38&gt;=60,AC38&lt;70),2,IF(AND(AC38&gt;=50,AC38&lt;60),1)))</f>
        <v>3</v>
      </c>
      <c r="F42" s="3604"/>
      <c r="G42" s="329">
        <f>(70/100)*E42+(30/100)*D42</f>
        <v>2.9999999999999996</v>
      </c>
      <c r="H42" s="329"/>
      <c r="I42" s="329"/>
      <c r="N42" s="806"/>
      <c r="Z42" s="806"/>
    </row>
    <row r="43" spans="1:30" s="792" customFormat="1" ht="37.5" customHeight="1" x14ac:dyDescent="0.25">
      <c r="B43" s="805" t="s">
        <v>40</v>
      </c>
      <c r="C43" s="793">
        <f>AVERAGE(D38,E38,H38,I38,J38,K38,L38,M38,AA38)*100</f>
        <v>92.598428260192961</v>
      </c>
      <c r="D43" s="793">
        <f t="shared" si="7"/>
        <v>3</v>
      </c>
      <c r="E43" s="3604">
        <f>IF(AC38&gt;=70,3,IF(AND(AC38&gt;=60,AC38&lt;70),2,IF(AND(AC38&gt;=50,AC38&lt;60),1)))</f>
        <v>3</v>
      </c>
      <c r="F43" s="3604"/>
      <c r="G43" s="329">
        <f t="shared" ref="G43:G45" si="8">(70/100)*E43+(30/100)*D43</f>
        <v>2.9999999999999996</v>
      </c>
      <c r="H43" s="329"/>
      <c r="I43" s="329"/>
      <c r="N43" s="806"/>
      <c r="Z43" s="806"/>
    </row>
    <row r="44" spans="1:30" s="792" customFormat="1" ht="37.5" customHeight="1" x14ac:dyDescent="0.25">
      <c r="B44" s="805" t="s">
        <v>41</v>
      </c>
      <c r="C44" s="793">
        <f>AVERAGE(O38,R38,S38,T38,U38,AB38)*100</f>
        <v>53.418803418803421</v>
      </c>
      <c r="D44" s="793">
        <f t="shared" si="7"/>
        <v>1</v>
      </c>
      <c r="E44" s="3604">
        <f>IF(AC38&gt;=70,3,IF(AND(AC38&gt;=60,AC38&lt;70),2,IF(AND(AC38&gt;=50,AC38&lt;60),1)))</f>
        <v>3</v>
      </c>
      <c r="F44" s="3604"/>
      <c r="G44" s="329">
        <f t="shared" si="8"/>
        <v>2.3999999999999995</v>
      </c>
      <c r="H44" s="329"/>
      <c r="I44" s="329"/>
      <c r="N44" s="806"/>
      <c r="Z44" s="806"/>
    </row>
    <row r="45" spans="1:30" s="792" customFormat="1" ht="37.5" customHeight="1" x14ac:dyDescent="0.25">
      <c r="B45" s="805" t="s">
        <v>42</v>
      </c>
      <c r="C45" s="793">
        <f>AVERAGE(P38,Q38,V38,W38,X38,Y38,AB38)*100</f>
        <v>64.965319461117772</v>
      </c>
      <c r="D45" s="793">
        <f t="shared" si="7"/>
        <v>2</v>
      </c>
      <c r="E45" s="3604">
        <f>IF(AC38&gt;=70,3,IF(AND(AC38&gt;=60,AC38&lt;70),2,IF(AND(AC38&gt;=50,AC38&lt;60),1)))</f>
        <v>3</v>
      </c>
      <c r="F45" s="3604"/>
      <c r="G45" s="329">
        <f t="shared" si="8"/>
        <v>2.6999999999999997</v>
      </c>
      <c r="H45" s="329"/>
      <c r="I45" s="329"/>
      <c r="N45" s="806"/>
      <c r="Z45" s="806"/>
    </row>
    <row r="46" spans="1:30" s="792" customFormat="1" ht="37.5" customHeight="1" x14ac:dyDescent="0.25">
      <c r="B46" s="2872" t="s">
        <v>44</v>
      </c>
      <c r="C46" s="2872"/>
      <c r="D46" s="2872"/>
      <c r="E46" s="2872"/>
      <c r="F46" s="2872"/>
      <c r="G46" s="342">
        <f>AVERAGE(G42:G45)</f>
        <v>2.7749999999999995</v>
      </c>
      <c r="H46" s="342"/>
      <c r="I46" s="342"/>
      <c r="N46" s="806"/>
      <c r="Z46" s="806"/>
    </row>
    <row r="48" spans="1:30" ht="37.5" customHeight="1" x14ac:dyDescent="0.25">
      <c r="A48" s="3041" t="s">
        <v>134</v>
      </c>
      <c r="B48" s="3041"/>
      <c r="C48" s="722"/>
      <c r="D48" s="722"/>
      <c r="E48" s="722"/>
      <c r="F48" s="722"/>
      <c r="G48" s="722"/>
      <c r="H48" s="722"/>
      <c r="I48" s="722"/>
      <c r="J48" s="722"/>
      <c r="K48" s="722"/>
      <c r="L48" s="722"/>
      <c r="M48" s="722"/>
      <c r="N48" s="70"/>
      <c r="O48" s="722"/>
      <c r="P48" s="722"/>
      <c r="Q48" s="722"/>
      <c r="R48" s="722"/>
    </row>
    <row r="49" spans="1:26" ht="37.5" customHeight="1" x14ac:dyDescent="0.25">
      <c r="A49" s="722"/>
      <c r="B49" s="722"/>
      <c r="C49" s="722"/>
      <c r="D49" s="722"/>
      <c r="E49" s="722"/>
      <c r="F49" s="722"/>
      <c r="G49" s="722"/>
      <c r="H49" s="722"/>
      <c r="I49" s="722"/>
      <c r="J49" s="722"/>
      <c r="K49" s="722"/>
      <c r="L49" s="722"/>
      <c r="M49" s="722"/>
      <c r="N49" s="70"/>
      <c r="O49" s="722"/>
      <c r="P49" s="722"/>
      <c r="Q49" s="722"/>
      <c r="R49" s="722"/>
    </row>
    <row r="50" spans="1:26" ht="37.5" customHeight="1" x14ac:dyDescent="0.25">
      <c r="A50" s="722"/>
      <c r="B50" s="730" t="s">
        <v>45</v>
      </c>
      <c r="C50" s="776" t="s">
        <v>68</v>
      </c>
      <c r="D50" s="776" t="s">
        <v>69</v>
      </c>
      <c r="E50" s="776" t="s">
        <v>70</v>
      </c>
      <c r="F50" s="776" t="s">
        <v>71</v>
      </c>
      <c r="G50" s="776" t="s">
        <v>72</v>
      </c>
      <c r="H50" s="776" t="s">
        <v>73</v>
      </c>
      <c r="I50" s="776" t="s">
        <v>74</v>
      </c>
      <c r="J50" s="777" t="s">
        <v>75</v>
      </c>
      <c r="K50" s="776" t="s">
        <v>76</v>
      </c>
      <c r="L50" s="776" t="s">
        <v>77</v>
      </c>
      <c r="M50" s="776" t="s">
        <v>78</v>
      </c>
      <c r="N50" s="776" t="s">
        <v>79</v>
      </c>
      <c r="U50" s="332"/>
      <c r="V50" s="332"/>
      <c r="Z50" s="354"/>
    </row>
    <row r="51" spans="1:26" ht="37.5" customHeight="1" x14ac:dyDescent="0.25">
      <c r="A51" s="722"/>
      <c r="B51" s="456" t="s">
        <v>20</v>
      </c>
      <c r="C51" s="745">
        <v>3</v>
      </c>
      <c r="D51" s="745">
        <v>3</v>
      </c>
      <c r="E51" s="745">
        <v>2</v>
      </c>
      <c r="F51" s="745">
        <v>3</v>
      </c>
      <c r="G51" s="745"/>
      <c r="H51" s="21"/>
      <c r="I51" s="745">
        <v>3</v>
      </c>
      <c r="J51" s="745">
        <v>2</v>
      </c>
      <c r="K51" s="745">
        <v>3</v>
      </c>
      <c r="L51" s="745">
        <v>3</v>
      </c>
      <c r="M51" s="745">
        <v>2</v>
      </c>
      <c r="N51" s="745"/>
      <c r="T51" s="332"/>
      <c r="U51" s="332"/>
      <c r="Z51" s="354"/>
    </row>
    <row r="52" spans="1:26" ht="37.5" customHeight="1" x14ac:dyDescent="0.25">
      <c r="A52" s="722"/>
      <c r="B52" s="456" t="s">
        <v>21</v>
      </c>
      <c r="C52" s="745">
        <v>3</v>
      </c>
      <c r="D52" s="745">
        <v>3</v>
      </c>
      <c r="E52" s="745">
        <v>2</v>
      </c>
      <c r="F52" s="745">
        <v>3</v>
      </c>
      <c r="G52" s="745">
        <v>3</v>
      </c>
      <c r="H52" s="21"/>
      <c r="I52" s="745">
        <v>2</v>
      </c>
      <c r="J52" s="745">
        <v>2</v>
      </c>
      <c r="K52" s="745">
        <v>3</v>
      </c>
      <c r="L52" s="745">
        <v>3</v>
      </c>
      <c r="M52" s="745">
        <v>2</v>
      </c>
      <c r="N52" s="745">
        <v>3</v>
      </c>
      <c r="T52" s="332"/>
      <c r="U52" s="332"/>
      <c r="Z52" s="354"/>
    </row>
    <row r="53" spans="1:26" ht="37.5" customHeight="1" x14ac:dyDescent="0.25">
      <c r="A53" s="722"/>
      <c r="B53" s="456" t="s">
        <v>23</v>
      </c>
      <c r="C53" s="745">
        <v>3</v>
      </c>
      <c r="D53" s="745">
        <v>3</v>
      </c>
      <c r="E53" s="745">
        <v>2</v>
      </c>
      <c r="F53" s="745">
        <v>3</v>
      </c>
      <c r="G53" s="745">
        <v>3</v>
      </c>
      <c r="H53" s="21"/>
      <c r="I53" s="745">
        <v>3</v>
      </c>
      <c r="J53" s="745">
        <v>2</v>
      </c>
      <c r="K53" s="745">
        <v>3</v>
      </c>
      <c r="L53" s="745">
        <v>3</v>
      </c>
      <c r="M53" s="745">
        <v>2</v>
      </c>
      <c r="N53" s="745">
        <v>3</v>
      </c>
      <c r="T53" s="332"/>
      <c r="U53" s="332"/>
      <c r="Z53" s="354"/>
    </row>
    <row r="54" spans="1:26" ht="37.5" customHeight="1" x14ac:dyDescent="0.25">
      <c r="A54" s="722"/>
      <c r="B54" s="456" t="s">
        <v>25</v>
      </c>
      <c r="C54" s="745">
        <v>3</v>
      </c>
      <c r="D54" s="745">
        <v>3</v>
      </c>
      <c r="E54" s="745">
        <v>1</v>
      </c>
      <c r="F54" s="745">
        <v>3</v>
      </c>
      <c r="G54" s="745">
        <v>3</v>
      </c>
      <c r="H54" s="21"/>
      <c r="I54" s="745">
        <v>2</v>
      </c>
      <c r="J54" s="745">
        <v>2</v>
      </c>
      <c r="K54" s="745">
        <v>3</v>
      </c>
      <c r="L54" s="745">
        <v>3</v>
      </c>
      <c r="M54" s="745">
        <v>2</v>
      </c>
      <c r="N54" s="745">
        <v>3</v>
      </c>
      <c r="T54" s="332"/>
      <c r="U54" s="332"/>
      <c r="Z54" s="354"/>
    </row>
    <row r="55" spans="1:26" ht="37.5" customHeight="1" x14ac:dyDescent="0.25">
      <c r="A55" s="722"/>
      <c r="B55" s="778" t="s">
        <v>10</v>
      </c>
      <c r="C55" s="37">
        <f>AVERAGE(C51:C54)</f>
        <v>3</v>
      </c>
      <c r="D55" s="37">
        <f>AVERAGE(D51:D54)</f>
        <v>3</v>
      </c>
      <c r="E55" s="37">
        <f>AVERAGE(E51:E54)</f>
        <v>1.75</v>
      </c>
      <c r="F55" s="37">
        <f>AVERAGE(F51:F54)</f>
        <v>3</v>
      </c>
      <c r="G55" s="37">
        <f>AVERAGE(G51:G54)</f>
        <v>3</v>
      </c>
      <c r="H55" s="37"/>
      <c r="I55" s="37">
        <f>AVERAGE(I51:I54)</f>
        <v>2.5</v>
      </c>
      <c r="J55" s="37">
        <f t="shared" ref="J55:N55" si="9">AVERAGE(J51:J54)</f>
        <v>2</v>
      </c>
      <c r="K55" s="37">
        <f t="shared" si="9"/>
        <v>3</v>
      </c>
      <c r="L55" s="37">
        <f t="shared" si="9"/>
        <v>3</v>
      </c>
      <c r="M55" s="37">
        <f t="shared" si="9"/>
        <v>2</v>
      </c>
      <c r="N55" s="37">
        <f t="shared" si="9"/>
        <v>3</v>
      </c>
      <c r="T55" s="332"/>
      <c r="U55" s="332"/>
      <c r="Z55" s="354"/>
    </row>
    <row r="56" spans="1:26" ht="37.5" customHeight="1" x14ac:dyDescent="0.25">
      <c r="A56" s="722"/>
      <c r="B56" s="731" t="s">
        <v>58</v>
      </c>
      <c r="C56" s="3113">
        <f>AVERAGE(C55:N55)</f>
        <v>2.6590909090909092</v>
      </c>
      <c r="D56" s="3284"/>
      <c r="E56" s="3284"/>
      <c r="F56" s="3284"/>
      <c r="G56" s="3284"/>
      <c r="H56" s="3284"/>
      <c r="I56" s="3284"/>
      <c r="J56" s="3284"/>
      <c r="K56" s="3284"/>
      <c r="L56" s="3284"/>
      <c r="M56" s="3284"/>
      <c r="N56" s="3284"/>
      <c r="O56" s="3115"/>
      <c r="P56" s="497"/>
      <c r="Q56" s="497"/>
      <c r="R56" s="497"/>
    </row>
    <row r="57" spans="1:26" ht="37.5" customHeight="1" x14ac:dyDescent="0.25">
      <c r="A57" s="722"/>
      <c r="B57" s="722"/>
      <c r="C57" s="336"/>
      <c r="D57" s="722"/>
      <c r="E57" s="722"/>
      <c r="F57" s="722"/>
      <c r="G57" s="722"/>
      <c r="H57" s="722"/>
      <c r="I57" s="722"/>
      <c r="J57" s="722"/>
      <c r="K57" s="722"/>
      <c r="L57" s="722"/>
      <c r="M57" s="722"/>
      <c r="N57" s="70"/>
      <c r="O57" s="722"/>
      <c r="P57" s="722"/>
      <c r="Q57" s="722"/>
      <c r="R57" s="722"/>
    </row>
    <row r="58" spans="1:26" ht="37.5" customHeight="1" x14ac:dyDescent="0.25">
      <c r="A58" s="722"/>
      <c r="B58" s="722"/>
      <c r="C58" s="722"/>
      <c r="D58" s="722"/>
      <c r="E58" s="722"/>
      <c r="F58" s="722"/>
      <c r="G58" s="722"/>
      <c r="H58" s="722"/>
      <c r="I58" s="722"/>
      <c r="J58" s="722"/>
      <c r="K58" s="722"/>
      <c r="L58" s="722"/>
      <c r="M58" s="722"/>
      <c r="N58" s="70"/>
      <c r="O58" s="722"/>
      <c r="P58" s="722"/>
      <c r="Q58" s="722"/>
      <c r="R58" s="722"/>
    </row>
    <row r="59" spans="1:26" ht="37.5" customHeight="1" x14ac:dyDescent="0.25">
      <c r="A59" s="3041" t="s">
        <v>148</v>
      </c>
      <c r="B59" s="3041"/>
      <c r="C59" s="722"/>
      <c r="D59" s="722"/>
      <c r="E59" s="722"/>
      <c r="F59" s="722"/>
      <c r="G59" s="722"/>
      <c r="H59" s="722"/>
      <c r="I59" s="722"/>
      <c r="J59" s="722"/>
      <c r="K59" s="722"/>
      <c r="L59" s="722"/>
      <c r="M59" s="722"/>
      <c r="N59" s="70"/>
      <c r="O59" s="722"/>
      <c r="P59" s="722"/>
      <c r="Q59" s="722"/>
      <c r="R59" s="722"/>
    </row>
    <row r="60" spans="1:26" ht="37.5" customHeight="1" x14ac:dyDescent="0.25">
      <c r="A60" s="722"/>
      <c r="B60" s="722"/>
      <c r="C60" s="722"/>
      <c r="D60" s="722"/>
      <c r="E60" s="722"/>
      <c r="F60" s="722"/>
      <c r="G60" s="722"/>
      <c r="H60" s="722"/>
      <c r="I60" s="722"/>
      <c r="J60" s="722"/>
      <c r="K60" s="722"/>
      <c r="L60" s="722"/>
      <c r="M60" s="722"/>
      <c r="N60" s="70"/>
      <c r="O60" s="722"/>
      <c r="P60" s="722"/>
      <c r="Q60" s="722"/>
      <c r="R60" s="722"/>
    </row>
    <row r="61" spans="1:26" ht="37.5" customHeight="1" x14ac:dyDescent="0.25">
      <c r="A61" s="722"/>
      <c r="B61" s="730" t="s">
        <v>45</v>
      </c>
      <c r="C61" s="776" t="s">
        <v>68</v>
      </c>
      <c r="D61" s="776" t="s">
        <v>69</v>
      </c>
      <c r="E61" s="776" t="s">
        <v>70</v>
      </c>
      <c r="F61" s="776" t="s">
        <v>71</v>
      </c>
      <c r="G61" s="776" t="s">
        <v>72</v>
      </c>
      <c r="H61" s="776" t="s">
        <v>73</v>
      </c>
      <c r="I61" s="776" t="s">
        <v>74</v>
      </c>
      <c r="J61" s="777" t="s">
        <v>75</v>
      </c>
      <c r="K61" s="776" t="s">
        <v>76</v>
      </c>
      <c r="L61" s="776" t="s">
        <v>77</v>
      </c>
      <c r="M61" s="776" t="s">
        <v>78</v>
      </c>
      <c r="N61" s="776" t="s">
        <v>79</v>
      </c>
      <c r="T61" s="332"/>
      <c r="U61" s="332"/>
      <c r="Z61" s="354"/>
    </row>
    <row r="62" spans="1:26" ht="37.5" customHeight="1" x14ac:dyDescent="0.25">
      <c r="A62" s="722"/>
      <c r="B62" s="456" t="s">
        <v>20</v>
      </c>
      <c r="C62" s="747">
        <f>G42*C51/3</f>
        <v>2.9999999999999996</v>
      </c>
      <c r="D62" s="747">
        <f>G42*D51/3</f>
        <v>2.9999999999999996</v>
      </c>
      <c r="E62" s="747">
        <f>G42*E51/3</f>
        <v>1.9999999999999998</v>
      </c>
      <c r="F62" s="747">
        <f>G42*F51/3</f>
        <v>2.9999999999999996</v>
      </c>
      <c r="G62" s="747"/>
      <c r="H62" s="747"/>
      <c r="I62" s="747">
        <f>G42*I51/3</f>
        <v>2.9999999999999996</v>
      </c>
      <c r="J62" s="747">
        <f>G42*J51/3</f>
        <v>1.9999999999999998</v>
      </c>
      <c r="K62" s="747">
        <f>G42*K51/3</f>
        <v>2.9999999999999996</v>
      </c>
      <c r="L62" s="747">
        <f>G42*L51/3</f>
        <v>2.9999999999999996</v>
      </c>
      <c r="M62" s="747">
        <f>G42*M51/3</f>
        <v>1.9999999999999998</v>
      </c>
      <c r="N62" s="747"/>
      <c r="T62" s="332"/>
      <c r="U62" s="332"/>
      <c r="Z62" s="354"/>
    </row>
    <row r="63" spans="1:26" ht="37.5" customHeight="1" x14ac:dyDescent="0.25">
      <c r="A63" s="722"/>
      <c r="B63" s="456" t="s">
        <v>21</v>
      </c>
      <c r="C63" s="747">
        <f>G43*C52/3</f>
        <v>2.9999999999999996</v>
      </c>
      <c r="D63" s="747">
        <f>G43*D52/3</f>
        <v>2.9999999999999996</v>
      </c>
      <c r="E63" s="747">
        <f>G43*E52/3</f>
        <v>1.9999999999999998</v>
      </c>
      <c r="F63" s="747">
        <f>G43*F52/3</f>
        <v>2.9999999999999996</v>
      </c>
      <c r="G63" s="747">
        <f>G43*G52/3</f>
        <v>2.9999999999999996</v>
      </c>
      <c r="H63" s="747"/>
      <c r="I63" s="747">
        <f>G43*I52/3</f>
        <v>1.9999999999999998</v>
      </c>
      <c r="J63" s="747">
        <f>G43*J52/3</f>
        <v>1.9999999999999998</v>
      </c>
      <c r="K63" s="747">
        <f>G43*K52/3</f>
        <v>2.9999999999999996</v>
      </c>
      <c r="L63" s="747">
        <f>G43*L52/3</f>
        <v>2.9999999999999996</v>
      </c>
      <c r="M63" s="747">
        <f>G43*M52/3</f>
        <v>1.9999999999999998</v>
      </c>
      <c r="N63" s="747">
        <f>G43*N52/3</f>
        <v>2.9999999999999996</v>
      </c>
      <c r="T63" s="332"/>
      <c r="U63" s="332"/>
      <c r="Z63" s="354"/>
    </row>
    <row r="64" spans="1:26" ht="37.5" customHeight="1" x14ac:dyDescent="0.25">
      <c r="A64" s="722"/>
      <c r="B64" s="456" t="s">
        <v>23</v>
      </c>
      <c r="C64" s="747">
        <f>G44*C53/3</f>
        <v>2.3999999999999995</v>
      </c>
      <c r="D64" s="747">
        <f>G44*D53/3</f>
        <v>2.3999999999999995</v>
      </c>
      <c r="E64" s="747">
        <f>G44*E53/3</f>
        <v>1.5999999999999996</v>
      </c>
      <c r="F64" s="747">
        <f>G44*F53/3</f>
        <v>2.3999999999999995</v>
      </c>
      <c r="G64" s="747">
        <f>G44*G53/3</f>
        <v>2.3999999999999995</v>
      </c>
      <c r="H64" s="747"/>
      <c r="I64" s="747">
        <f>G44*I53/3</f>
        <v>2.3999999999999995</v>
      </c>
      <c r="J64" s="747">
        <f>G44*J53/3</f>
        <v>1.5999999999999996</v>
      </c>
      <c r="K64" s="747">
        <f>G44*K53/3</f>
        <v>2.3999999999999995</v>
      </c>
      <c r="L64" s="747">
        <f>G44*L53/3</f>
        <v>2.3999999999999995</v>
      </c>
      <c r="M64" s="747">
        <f>G44*M53/3</f>
        <v>1.5999999999999996</v>
      </c>
      <c r="N64" s="747">
        <f>G44*N53/3</f>
        <v>2.3999999999999995</v>
      </c>
      <c r="T64" s="332"/>
      <c r="U64" s="332"/>
      <c r="Z64" s="354"/>
    </row>
    <row r="65" spans="1:26" ht="37.5" customHeight="1" x14ac:dyDescent="0.25">
      <c r="A65" s="722"/>
      <c r="B65" s="456" t="s">
        <v>25</v>
      </c>
      <c r="C65" s="747">
        <f>G45*C54/3</f>
        <v>2.6999999999999997</v>
      </c>
      <c r="D65" s="747">
        <f>G45*D54/3</f>
        <v>2.6999999999999997</v>
      </c>
      <c r="E65" s="747">
        <f>G45*E54/3</f>
        <v>0.89999999999999991</v>
      </c>
      <c r="F65" s="747">
        <f>G45*F54/3</f>
        <v>2.6999999999999997</v>
      </c>
      <c r="G65" s="747">
        <f>G45*G54/3</f>
        <v>2.6999999999999997</v>
      </c>
      <c r="H65" s="747"/>
      <c r="I65" s="747">
        <f>G45*I54/3</f>
        <v>1.7999999999999998</v>
      </c>
      <c r="J65" s="747">
        <f>G45*J54/3</f>
        <v>1.7999999999999998</v>
      </c>
      <c r="K65" s="747">
        <f>G45*K54/3</f>
        <v>2.6999999999999997</v>
      </c>
      <c r="L65" s="747">
        <f>G45*L54/3</f>
        <v>2.6999999999999997</v>
      </c>
      <c r="M65" s="747">
        <f>G45*M54/3</f>
        <v>1.7999999999999998</v>
      </c>
      <c r="N65" s="747">
        <f>G45*N54/3</f>
        <v>2.6999999999999997</v>
      </c>
      <c r="T65" s="332"/>
      <c r="U65" s="332"/>
      <c r="Z65" s="354"/>
    </row>
    <row r="66" spans="1:26" ht="37.5" customHeight="1" x14ac:dyDescent="0.25">
      <c r="A66" s="722"/>
      <c r="B66" s="778" t="s">
        <v>10</v>
      </c>
      <c r="C66" s="747">
        <f>AVERAGE(C62:C65)</f>
        <v>2.7749999999999995</v>
      </c>
      <c r="D66" s="747">
        <f t="shared" ref="D66:N66" si="10">AVERAGE(D62:D65)</f>
        <v>2.7749999999999995</v>
      </c>
      <c r="E66" s="747">
        <f t="shared" si="10"/>
        <v>1.625</v>
      </c>
      <c r="F66" s="747">
        <f t="shared" si="10"/>
        <v>2.7749999999999995</v>
      </c>
      <c r="G66" s="747">
        <f t="shared" si="10"/>
        <v>2.6999999999999993</v>
      </c>
      <c r="H66" s="747"/>
      <c r="I66" s="747">
        <f t="shared" si="10"/>
        <v>2.2999999999999998</v>
      </c>
      <c r="J66" s="747">
        <f t="shared" si="10"/>
        <v>1.8499999999999999</v>
      </c>
      <c r="K66" s="747">
        <f t="shared" si="10"/>
        <v>2.7749999999999995</v>
      </c>
      <c r="L66" s="747">
        <f t="shared" si="10"/>
        <v>2.7749999999999995</v>
      </c>
      <c r="M66" s="747">
        <f t="shared" si="10"/>
        <v>1.8499999999999999</v>
      </c>
      <c r="N66" s="747">
        <f t="shared" si="10"/>
        <v>2.6999999999999993</v>
      </c>
      <c r="T66" s="332"/>
      <c r="U66" s="332"/>
      <c r="Z66" s="354"/>
    </row>
    <row r="67" spans="1:26" ht="37.5" customHeight="1" x14ac:dyDescent="0.25">
      <c r="A67" s="722"/>
      <c r="B67" s="731" t="s">
        <v>58</v>
      </c>
      <c r="C67" s="3102">
        <f>AVERAGE(C66:N66)</f>
        <v>2.4454545454545453</v>
      </c>
      <c r="D67" s="3285"/>
      <c r="E67" s="3285"/>
      <c r="F67" s="3285"/>
      <c r="G67" s="3285"/>
      <c r="H67" s="3285"/>
      <c r="I67" s="3285"/>
      <c r="J67" s="3285"/>
      <c r="K67" s="3285"/>
      <c r="L67" s="3285"/>
      <c r="M67" s="3285"/>
      <c r="N67" s="3285"/>
      <c r="O67" s="3104"/>
      <c r="P67" s="69"/>
      <c r="Q67" s="69"/>
      <c r="R67" s="69"/>
    </row>
    <row r="68" spans="1:26" ht="37.5" customHeight="1" x14ac:dyDescent="0.25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0"/>
      <c r="O68" s="722"/>
      <c r="P68" s="722"/>
      <c r="Q68" s="722"/>
      <c r="R68" s="722"/>
    </row>
    <row r="69" spans="1:26" ht="37.5" customHeight="1" x14ac:dyDescent="0.25">
      <c r="A69" s="3041" t="s">
        <v>137</v>
      </c>
      <c r="B69" s="3041"/>
      <c r="C69" s="732"/>
      <c r="D69" s="732"/>
      <c r="E69" s="722"/>
      <c r="F69" s="722"/>
      <c r="G69" s="722"/>
      <c r="H69" s="722"/>
      <c r="I69" s="722"/>
      <c r="J69" s="722"/>
      <c r="K69" s="722"/>
      <c r="L69" s="3041" t="s">
        <v>149</v>
      </c>
      <c r="M69" s="3041"/>
      <c r="N69" s="3041"/>
      <c r="O69" s="732"/>
      <c r="P69" s="732"/>
      <c r="Q69" s="722"/>
      <c r="R69" s="722"/>
    </row>
    <row r="70" spans="1:26" ht="37.5" customHeight="1" x14ac:dyDescent="0.25">
      <c r="A70" s="729"/>
      <c r="B70" s="729"/>
      <c r="C70" s="732"/>
      <c r="D70" s="732"/>
      <c r="E70" s="722"/>
      <c r="F70" s="722"/>
      <c r="G70" s="722"/>
      <c r="H70" s="722"/>
      <c r="I70" s="722"/>
      <c r="J70" s="722"/>
      <c r="K70" s="722"/>
      <c r="L70" s="729"/>
      <c r="M70" s="729"/>
      <c r="N70" s="34"/>
      <c r="O70" s="732"/>
      <c r="P70" s="732"/>
      <c r="Q70" s="722"/>
      <c r="R70" s="722"/>
    </row>
    <row r="71" spans="1:26" ht="37.5" customHeight="1" x14ac:dyDescent="0.25">
      <c r="A71" s="722"/>
      <c r="B71" s="746" t="s">
        <v>297</v>
      </c>
      <c r="C71" s="748" t="s">
        <v>87</v>
      </c>
      <c r="D71" s="748" t="s">
        <v>88</v>
      </c>
      <c r="E71" s="748" t="s">
        <v>85</v>
      </c>
      <c r="F71" s="722"/>
      <c r="G71" s="722"/>
      <c r="H71" s="722"/>
      <c r="I71" s="722"/>
      <c r="J71" s="722"/>
      <c r="K71" s="722"/>
      <c r="L71" s="722"/>
      <c r="M71" s="722"/>
      <c r="N71" s="746" t="s">
        <v>297</v>
      </c>
      <c r="O71" s="748" t="s">
        <v>87</v>
      </c>
      <c r="P71" s="748" t="s">
        <v>88</v>
      </c>
      <c r="Q71" s="748" t="s">
        <v>85</v>
      </c>
      <c r="R71" s="722"/>
    </row>
    <row r="72" spans="1:26" ht="37.5" customHeight="1" x14ac:dyDescent="0.25">
      <c r="A72" s="722"/>
      <c r="B72" s="572" t="s">
        <v>22</v>
      </c>
      <c r="C72" s="856">
        <v>3</v>
      </c>
      <c r="D72" s="856">
        <v>3</v>
      </c>
      <c r="E72" s="856">
        <v>3</v>
      </c>
      <c r="F72" s="722"/>
      <c r="G72" s="722"/>
      <c r="H72" s="722"/>
      <c r="I72" s="722"/>
      <c r="J72" s="722"/>
      <c r="K72" s="722"/>
      <c r="L72" s="722"/>
      <c r="M72" s="722"/>
      <c r="N72" s="572" t="s">
        <v>22</v>
      </c>
      <c r="O72" s="747">
        <f>G42*C72/3</f>
        <v>2.9999999999999996</v>
      </c>
      <c r="P72" s="747">
        <f>G42*D72/3</f>
        <v>2.9999999999999996</v>
      </c>
      <c r="Q72" s="747">
        <f>G42*E72/3</f>
        <v>2.9999999999999996</v>
      </c>
      <c r="R72" s="722"/>
    </row>
    <row r="73" spans="1:26" ht="37.5" customHeight="1" x14ac:dyDescent="0.25">
      <c r="A73" s="722"/>
      <c r="B73" s="572" t="s">
        <v>40</v>
      </c>
      <c r="C73" s="856">
        <v>3</v>
      </c>
      <c r="D73" s="856">
        <v>3</v>
      </c>
      <c r="E73" s="856">
        <v>3</v>
      </c>
      <c r="F73" s="722"/>
      <c r="G73" s="722"/>
      <c r="H73" s="722"/>
      <c r="I73" s="722"/>
      <c r="J73" s="722"/>
      <c r="K73" s="722"/>
      <c r="L73" s="722"/>
      <c r="M73" s="722"/>
      <c r="N73" s="572" t="s">
        <v>40</v>
      </c>
      <c r="O73" s="747">
        <f t="shared" ref="O73:O75" si="11">G43*C73/3</f>
        <v>2.9999999999999996</v>
      </c>
      <c r="P73" s="747">
        <f t="shared" ref="P73:P75" si="12">G43*D73/3</f>
        <v>2.9999999999999996</v>
      </c>
      <c r="Q73" s="747">
        <f t="shared" ref="Q73:Q75" si="13">G43*E73/3</f>
        <v>2.9999999999999996</v>
      </c>
      <c r="R73" s="722"/>
    </row>
    <row r="74" spans="1:26" ht="37.5" customHeight="1" x14ac:dyDescent="0.25">
      <c r="A74" s="722"/>
      <c r="B74" s="572" t="s">
        <v>41</v>
      </c>
      <c r="C74" s="856">
        <v>3</v>
      </c>
      <c r="D74" s="856">
        <v>3</v>
      </c>
      <c r="E74" s="856">
        <v>3</v>
      </c>
      <c r="F74" s="722"/>
      <c r="G74" s="722"/>
      <c r="H74" s="722"/>
      <c r="I74" s="722"/>
      <c r="J74" s="722"/>
      <c r="K74" s="722"/>
      <c r="L74" s="722"/>
      <c r="M74" s="722"/>
      <c r="N74" s="572" t="s">
        <v>41</v>
      </c>
      <c r="O74" s="747">
        <f t="shared" si="11"/>
        <v>2.3999999999999995</v>
      </c>
      <c r="P74" s="747">
        <f t="shared" si="12"/>
        <v>2.3999999999999995</v>
      </c>
      <c r="Q74" s="747">
        <f t="shared" si="13"/>
        <v>2.3999999999999995</v>
      </c>
      <c r="R74" s="722"/>
    </row>
    <row r="75" spans="1:26" ht="37.5" customHeight="1" x14ac:dyDescent="0.25">
      <c r="A75" s="722"/>
      <c r="B75" s="572" t="s">
        <v>42</v>
      </c>
      <c r="C75" s="749">
        <v>3</v>
      </c>
      <c r="D75" s="856">
        <v>3</v>
      </c>
      <c r="E75" s="856">
        <v>3</v>
      </c>
      <c r="F75" s="722"/>
      <c r="G75" s="722"/>
      <c r="H75" s="722"/>
      <c r="I75" s="722"/>
      <c r="J75" s="722"/>
      <c r="K75" s="722"/>
      <c r="L75" s="722"/>
      <c r="M75" s="722"/>
      <c r="N75" s="572" t="s">
        <v>42</v>
      </c>
      <c r="O75" s="747">
        <f t="shared" si="11"/>
        <v>2.6999999999999997</v>
      </c>
      <c r="P75" s="747">
        <f t="shared" si="12"/>
        <v>2.6999999999999997</v>
      </c>
      <c r="Q75" s="747">
        <f t="shared" si="13"/>
        <v>2.6999999999999997</v>
      </c>
      <c r="R75" s="722"/>
    </row>
    <row r="76" spans="1:26" ht="37.5" customHeight="1" x14ac:dyDescent="0.25">
      <c r="A76" s="728"/>
      <c r="B76" s="748" t="s">
        <v>284</v>
      </c>
      <c r="C76" s="750">
        <f>AVERAGE(C72:C75)</f>
        <v>3</v>
      </c>
      <c r="D76" s="750">
        <f t="shared" ref="D76:E76" si="14">AVERAGE(D72:D75)</f>
        <v>3</v>
      </c>
      <c r="E76" s="750">
        <f t="shared" si="14"/>
        <v>3</v>
      </c>
      <c r="F76" s="728"/>
      <c r="G76" s="728"/>
      <c r="H76" s="728"/>
      <c r="I76" s="728"/>
      <c r="J76" s="728"/>
      <c r="K76" s="728"/>
      <c r="L76" s="728"/>
      <c r="M76" s="728"/>
      <c r="N76" s="748" t="s">
        <v>284</v>
      </c>
      <c r="O76" s="750">
        <f>AVERAGE(O72:O75)</f>
        <v>2.7749999999999995</v>
      </c>
      <c r="P76" s="750">
        <f t="shared" ref="P76:Q76" si="15">AVERAGE(P72:P75)</f>
        <v>2.7749999999999995</v>
      </c>
      <c r="Q76" s="750">
        <f t="shared" si="15"/>
        <v>2.7749999999999995</v>
      </c>
      <c r="R76" s="728"/>
    </row>
    <row r="77" spans="1:26" ht="37.5" customHeight="1" x14ac:dyDescent="0.25">
      <c r="A77" s="722"/>
      <c r="B77" s="2371" t="s">
        <v>58</v>
      </c>
      <c r="C77" s="3018">
        <f>AVERAGE(C76:E76)</f>
        <v>3</v>
      </c>
      <c r="D77" s="3778"/>
      <c r="E77" s="3020"/>
      <c r="F77" s="722"/>
      <c r="G77" s="722"/>
      <c r="H77" s="722"/>
      <c r="I77" s="722"/>
      <c r="J77" s="722"/>
      <c r="K77" s="722"/>
      <c r="L77" s="722"/>
      <c r="M77" s="722"/>
      <c r="N77" s="2386" t="s">
        <v>58</v>
      </c>
      <c r="O77" s="3018">
        <f>AVERAGE(O76:Q76)</f>
        <v>2.7749999999999999</v>
      </c>
      <c r="P77" s="3778"/>
      <c r="Q77" s="3020"/>
      <c r="R77" s="722"/>
    </row>
    <row r="79" spans="1:26" ht="37.5" customHeight="1" x14ac:dyDescent="0.25">
      <c r="A79" s="3054"/>
      <c r="B79" s="3054"/>
      <c r="C79" s="3054"/>
      <c r="D79" s="3054"/>
      <c r="E79" s="3054"/>
      <c r="F79" s="3054"/>
      <c r="G79" s="3054"/>
      <c r="H79" s="3054"/>
      <c r="I79" s="3054"/>
      <c r="J79" s="3054"/>
      <c r="K79" s="3054"/>
      <c r="L79" s="3054"/>
      <c r="M79" s="3054"/>
      <c r="N79" s="3054"/>
      <c r="O79" s="3054"/>
      <c r="P79" s="3054"/>
      <c r="Q79" s="3054"/>
      <c r="R79" s="3054"/>
    </row>
    <row r="80" spans="1:26" ht="37.5" customHeight="1" x14ac:dyDescent="0.25">
      <c r="A80" s="505"/>
      <c r="B80" s="505"/>
      <c r="C80" s="505"/>
      <c r="D80" s="505"/>
      <c r="E80" s="505"/>
      <c r="F80" s="505"/>
      <c r="G80" s="505"/>
      <c r="H80" s="505"/>
      <c r="I80" s="505"/>
      <c r="J80" s="505"/>
      <c r="K80" s="505"/>
      <c r="L80" s="505"/>
      <c r="M80" s="505"/>
      <c r="N80" s="505"/>
      <c r="O80" s="505"/>
      <c r="P80" s="505"/>
      <c r="Q80" s="505"/>
      <c r="R80" s="505"/>
    </row>
    <row r="81" spans="1:18" ht="37.5" customHeight="1" x14ac:dyDescent="0.25">
      <c r="A81" s="3053"/>
      <c r="B81" s="3053"/>
      <c r="C81" s="3053"/>
      <c r="D81" s="3053"/>
      <c r="E81" s="3053"/>
      <c r="F81" s="3053"/>
      <c r="G81" s="3053"/>
      <c r="H81" s="3053"/>
      <c r="I81" s="3053"/>
      <c r="J81" s="3053"/>
      <c r="K81" s="3053"/>
      <c r="L81" s="3053"/>
      <c r="M81" s="3053"/>
      <c r="N81" s="3053"/>
      <c r="O81" s="3053"/>
      <c r="P81" s="3053"/>
      <c r="Q81" s="3053"/>
      <c r="R81" s="3053"/>
    </row>
    <row r="82" spans="1:18" ht="37.5" customHeight="1" x14ac:dyDescent="0.25">
      <c r="A82" s="3053"/>
      <c r="B82" s="3053"/>
      <c r="C82" s="3053"/>
      <c r="D82" s="3053"/>
      <c r="E82" s="3053"/>
      <c r="F82" s="3053"/>
      <c r="G82" s="3053"/>
      <c r="H82" s="3053"/>
      <c r="I82" s="3053"/>
      <c r="J82" s="3053"/>
      <c r="K82" s="3053"/>
      <c r="L82" s="3053"/>
      <c r="M82" s="3053"/>
      <c r="N82" s="3053"/>
      <c r="O82" s="3053"/>
      <c r="P82" s="3053"/>
      <c r="Q82" s="3053"/>
      <c r="R82" s="3053"/>
    </row>
    <row r="83" spans="1:18" ht="37.5" customHeight="1" x14ac:dyDescent="0.25">
      <c r="A83" s="3053"/>
      <c r="B83" s="3053"/>
      <c r="C83" s="3053"/>
      <c r="D83" s="3053"/>
      <c r="E83" s="3053"/>
      <c r="F83" s="3053"/>
      <c r="G83" s="3053"/>
      <c r="H83" s="3053"/>
      <c r="I83" s="3053"/>
      <c r="J83" s="3053"/>
      <c r="K83" s="3053"/>
      <c r="L83" s="3053"/>
      <c r="M83" s="3053"/>
      <c r="N83" s="3053"/>
      <c r="O83" s="3053"/>
      <c r="P83" s="3053"/>
      <c r="Q83" s="3053"/>
      <c r="R83" s="3053"/>
    </row>
    <row r="84" spans="1:18" ht="37.5" customHeight="1" x14ac:dyDescent="0.25">
      <c r="A84" s="3053"/>
      <c r="B84" s="3053"/>
      <c r="C84" s="3053"/>
      <c r="D84" s="3053"/>
      <c r="E84" s="3053"/>
      <c r="F84" s="3053"/>
      <c r="G84" s="3053"/>
      <c r="H84" s="3053"/>
      <c r="I84" s="3053"/>
      <c r="J84" s="3053"/>
      <c r="K84" s="3053"/>
      <c r="L84" s="3053"/>
      <c r="M84" s="3053"/>
      <c r="N84" s="3053"/>
      <c r="O84" s="3053"/>
      <c r="P84" s="3053"/>
      <c r="Q84" s="3053"/>
      <c r="R84" s="3053"/>
    </row>
    <row r="85" spans="1:18" ht="37.5" customHeight="1" x14ac:dyDescent="0.25">
      <c r="A85" s="3053"/>
      <c r="B85" s="3053"/>
      <c r="C85" s="3053"/>
      <c r="D85" s="3053"/>
      <c r="E85" s="3053"/>
      <c r="F85" s="3053"/>
      <c r="G85" s="3053"/>
      <c r="H85" s="3053"/>
      <c r="I85" s="3053"/>
      <c r="J85" s="3053"/>
      <c r="K85" s="3053"/>
      <c r="L85" s="3053"/>
      <c r="M85" s="3053"/>
      <c r="N85" s="3053"/>
      <c r="O85" s="3053"/>
      <c r="P85" s="3053"/>
      <c r="Q85" s="3053"/>
      <c r="R85" s="3053"/>
    </row>
    <row r="86" spans="1:18" ht="37.5" customHeight="1" x14ac:dyDescent="0.25">
      <c r="A86" s="3053"/>
      <c r="B86" s="3053"/>
      <c r="C86" s="3053"/>
      <c r="D86" s="3053"/>
      <c r="E86" s="3053"/>
      <c r="F86" s="3053"/>
      <c r="G86" s="3053"/>
      <c r="H86" s="3053"/>
      <c r="I86" s="3053"/>
      <c r="J86" s="3053"/>
      <c r="K86" s="3053"/>
      <c r="L86" s="3053"/>
      <c r="M86" s="3053"/>
      <c r="N86" s="3053"/>
      <c r="O86" s="3053"/>
      <c r="P86" s="3053"/>
      <c r="Q86" s="3053"/>
      <c r="R86" s="3053"/>
    </row>
    <row r="87" spans="1:18" ht="37.5" customHeight="1" x14ac:dyDescent="0.25">
      <c r="A87" s="3054"/>
      <c r="B87" s="3054"/>
      <c r="C87" s="3054"/>
      <c r="D87" s="3054"/>
      <c r="E87" s="3054"/>
      <c r="F87" s="3054"/>
      <c r="G87" s="3054"/>
      <c r="H87" s="3054"/>
      <c r="I87" s="3054"/>
      <c r="J87" s="3054"/>
      <c r="K87" s="3054"/>
      <c r="L87" s="3054"/>
      <c r="M87" s="3054"/>
      <c r="N87" s="3054"/>
      <c r="O87" s="3054"/>
      <c r="P87" s="3054"/>
      <c r="Q87" s="3054"/>
      <c r="R87" s="3054"/>
    </row>
    <row r="88" spans="1:18" ht="37.5" customHeight="1" x14ac:dyDescent="0.25">
      <c r="A88" s="3055"/>
      <c r="B88" s="3055"/>
      <c r="C88" s="3055"/>
      <c r="D88" s="3055"/>
      <c r="E88" s="3055"/>
      <c r="F88" s="3055"/>
      <c r="G88" s="3055"/>
      <c r="H88" s="3055"/>
      <c r="I88" s="3055"/>
      <c r="J88" s="3055"/>
      <c r="K88" s="3055"/>
      <c r="L88" s="3055"/>
      <c r="M88" s="3055"/>
      <c r="N88" s="3055"/>
      <c r="O88" s="3055"/>
      <c r="P88" s="3055"/>
      <c r="Q88" s="3055"/>
      <c r="R88" s="3055"/>
    </row>
    <row r="89" spans="1:18" ht="37.5" customHeight="1" x14ac:dyDescent="0.25">
      <c r="A89" s="2983"/>
      <c r="B89" s="2983"/>
      <c r="C89" s="2983"/>
      <c r="D89" s="2983"/>
      <c r="E89" s="2983"/>
      <c r="F89" s="2983"/>
      <c r="G89" s="2983"/>
      <c r="H89" s="2983"/>
      <c r="I89" s="2983"/>
      <c r="J89" s="2983"/>
      <c r="K89" s="2983"/>
      <c r="L89" s="2983"/>
      <c r="M89" s="2983"/>
      <c r="N89" s="2983"/>
      <c r="O89" s="2983"/>
      <c r="P89" s="2983"/>
      <c r="Q89" s="2983"/>
      <c r="R89" s="2983"/>
    </row>
    <row r="90" spans="1:18" ht="37.5" customHeight="1" x14ac:dyDescent="0.25">
      <c r="A90" s="3045"/>
      <c r="B90" s="3045"/>
      <c r="C90" s="3045"/>
      <c r="D90" s="3045"/>
      <c r="E90" s="3045"/>
      <c r="F90" s="3045"/>
      <c r="G90" s="3045"/>
      <c r="H90" s="3045"/>
      <c r="I90" s="3045"/>
      <c r="J90" s="3045"/>
      <c r="K90" s="3045"/>
      <c r="L90" s="3045"/>
      <c r="M90" s="3045"/>
      <c r="N90" s="3045"/>
      <c r="O90" s="3045"/>
      <c r="P90" s="3045"/>
      <c r="Q90" s="3045"/>
      <c r="R90" s="3045"/>
    </row>
    <row r="91" spans="1:18" ht="37.5" customHeight="1" x14ac:dyDescent="0.25">
      <c r="A91" s="3046"/>
      <c r="B91" s="3046"/>
      <c r="C91" s="3046"/>
      <c r="D91" s="3046"/>
      <c r="E91" s="3046"/>
      <c r="F91" s="3046"/>
      <c r="G91" s="3046"/>
      <c r="H91" s="3046"/>
      <c r="I91" s="3046"/>
      <c r="J91" s="3046"/>
      <c r="K91" s="3046"/>
      <c r="L91" s="3046"/>
      <c r="M91" s="3046"/>
      <c r="N91" s="3046"/>
      <c r="O91" s="3046"/>
      <c r="P91" s="3046"/>
      <c r="Q91" s="3046"/>
      <c r="R91" s="3046"/>
    </row>
    <row r="92" spans="1:18" ht="37.5" customHeight="1" x14ac:dyDescent="0.25">
      <c r="A92" s="3046"/>
      <c r="B92" s="3046"/>
      <c r="C92" s="3046"/>
      <c r="D92" s="3046"/>
      <c r="E92" s="3046"/>
      <c r="F92" s="3046"/>
      <c r="G92" s="3046"/>
      <c r="H92" s="3046"/>
      <c r="I92" s="3046"/>
      <c r="J92" s="3046"/>
      <c r="K92" s="3046"/>
      <c r="L92" s="3046"/>
      <c r="M92" s="3046"/>
      <c r="N92" s="3046"/>
      <c r="O92" s="3046"/>
      <c r="P92" s="3046"/>
      <c r="Q92" s="3046"/>
      <c r="R92" s="3046"/>
    </row>
    <row r="93" spans="1:18" ht="37.5" customHeight="1" x14ac:dyDescent="0.25">
      <c r="A93" s="2983"/>
      <c r="B93" s="2983"/>
      <c r="C93" s="2983"/>
      <c r="D93" s="2983"/>
      <c r="E93" s="2983"/>
      <c r="F93" s="2983"/>
      <c r="G93" s="2983"/>
      <c r="H93" s="2983"/>
      <c r="I93" s="2983"/>
      <c r="J93" s="2983"/>
      <c r="K93" s="2983"/>
      <c r="L93" s="2983"/>
      <c r="M93" s="2983"/>
      <c r="N93" s="2983"/>
      <c r="O93" s="2983"/>
      <c r="P93" s="2983"/>
      <c r="Q93" s="2983"/>
      <c r="R93" s="2983"/>
    </row>
  </sheetData>
  <mergeCells count="56">
    <mergeCell ref="P2:Z2"/>
    <mergeCell ref="A3:B3"/>
    <mergeCell ref="C3:N3"/>
    <mergeCell ref="P3:Z3"/>
    <mergeCell ref="E41:F41"/>
    <mergeCell ref="G41:I41"/>
    <mergeCell ref="C6:E6"/>
    <mergeCell ref="F6:G6"/>
    <mergeCell ref="H6:I6"/>
    <mergeCell ref="A2:B2"/>
    <mergeCell ref="C2:N2"/>
    <mergeCell ref="C4:N4"/>
    <mergeCell ref="P4:Z4"/>
    <mergeCell ref="A5:B5"/>
    <mergeCell ref="C5:O5"/>
    <mergeCell ref="P5:AA5"/>
    <mergeCell ref="A48:B48"/>
    <mergeCell ref="X6:Y6"/>
    <mergeCell ref="AA6:AA8"/>
    <mergeCell ref="E44:F44"/>
    <mergeCell ref="E45:F45"/>
    <mergeCell ref="E42:F42"/>
    <mergeCell ref="B46:F46"/>
    <mergeCell ref="AB6:AB8"/>
    <mergeCell ref="A37:B37"/>
    <mergeCell ref="A38:B38"/>
    <mergeCell ref="E43:F43"/>
    <mergeCell ref="J6:K6"/>
    <mergeCell ref="L6:M6"/>
    <mergeCell ref="O6:Q6"/>
    <mergeCell ref="R6:S6"/>
    <mergeCell ref="T6:U6"/>
    <mergeCell ref="V6:W6"/>
    <mergeCell ref="A6:A8"/>
    <mergeCell ref="B6:B7"/>
    <mergeCell ref="A84:R84"/>
    <mergeCell ref="C56:O56"/>
    <mergeCell ref="A59:B59"/>
    <mergeCell ref="C67:O67"/>
    <mergeCell ref="A69:B69"/>
    <mergeCell ref="L69:N69"/>
    <mergeCell ref="C77:E77"/>
    <mergeCell ref="A79:R79"/>
    <mergeCell ref="A81:R81"/>
    <mergeCell ref="A82:R82"/>
    <mergeCell ref="A83:R83"/>
    <mergeCell ref="O77:Q77"/>
    <mergeCell ref="A91:R91"/>
    <mergeCell ref="A92:R92"/>
    <mergeCell ref="A93:R93"/>
    <mergeCell ref="A85:R85"/>
    <mergeCell ref="A86:R86"/>
    <mergeCell ref="A87:R87"/>
    <mergeCell ref="A88:R88"/>
    <mergeCell ref="A89:R89"/>
    <mergeCell ref="A90:R90"/>
  </mergeCells>
  <conditionalFormatting sqref="AA10:AB34 AC25:AC26">
    <cfRule type="containsText" dxfId="46" priority="14" operator="containsText" text="F">
      <formula>NOT(ISERROR(SEARCH("F",AA10)))</formula>
    </cfRule>
  </conditionalFormatting>
  <conditionalFormatting sqref="AC10">
    <cfRule type="containsText" dxfId="45" priority="13" operator="containsText" text="F">
      <formula>NOT(ISERROR(SEARCH("F",AC10)))</formula>
    </cfRule>
  </conditionalFormatting>
  <conditionalFormatting sqref="AC11">
    <cfRule type="containsText" dxfId="44" priority="12" operator="containsText" text="F">
      <formula>NOT(ISERROR(SEARCH("F",AC11)))</formula>
    </cfRule>
  </conditionalFormatting>
  <conditionalFormatting sqref="AC12">
    <cfRule type="containsText" dxfId="43" priority="11" operator="containsText" text="F">
      <formula>NOT(ISERROR(SEARCH("F",AC12)))</formula>
    </cfRule>
  </conditionalFormatting>
  <conditionalFormatting sqref="AC13">
    <cfRule type="containsText" dxfId="42" priority="10" operator="containsText" text="F">
      <formula>NOT(ISERROR(SEARCH("F",AC13)))</formula>
    </cfRule>
  </conditionalFormatting>
  <conditionalFormatting sqref="AC14:AC15">
    <cfRule type="containsText" dxfId="41" priority="9" operator="containsText" text="F">
      <formula>NOT(ISERROR(SEARCH("F",AC14)))</formula>
    </cfRule>
  </conditionalFormatting>
  <conditionalFormatting sqref="AC16:AC18">
    <cfRule type="containsText" dxfId="40" priority="8" operator="containsText" text="F">
      <formula>NOT(ISERROR(SEARCH("F",AC16)))</formula>
    </cfRule>
  </conditionalFormatting>
  <conditionalFormatting sqref="AC19:AC21">
    <cfRule type="containsText" dxfId="39" priority="7" operator="containsText" text="F">
      <formula>NOT(ISERROR(SEARCH("F",AC19)))</formula>
    </cfRule>
  </conditionalFormatting>
  <conditionalFormatting sqref="AC22">
    <cfRule type="containsText" dxfId="38" priority="6" operator="containsText" text="F">
      <formula>NOT(ISERROR(SEARCH("F",AC22)))</formula>
    </cfRule>
  </conditionalFormatting>
  <conditionalFormatting sqref="AC23:AC24">
    <cfRule type="containsText" dxfId="37" priority="5" operator="containsText" text="F">
      <formula>NOT(ISERROR(SEARCH("F",AC23)))</formula>
    </cfRule>
  </conditionalFormatting>
  <conditionalFormatting sqref="AC27:AC28">
    <cfRule type="containsText" dxfId="36" priority="3" operator="containsText" text="F">
      <formula>NOT(ISERROR(SEARCH("F",AC27)))</formula>
    </cfRule>
  </conditionalFormatting>
  <conditionalFormatting sqref="AC29">
    <cfRule type="containsText" dxfId="35" priority="2" operator="containsText" text="F">
      <formula>NOT(ISERROR(SEARCH("F",AC29)))</formula>
    </cfRule>
  </conditionalFormatting>
  <conditionalFormatting sqref="AC30:AC33">
    <cfRule type="containsText" dxfId="34" priority="1" operator="containsText" text="F">
      <formula>NOT(ISERROR(SEARCH("F",AC30)))</formula>
    </cfRule>
  </conditionalFormatting>
  <pageMargins left="0.7" right="0.7" top="0.75" bottom="0.75" header="0.3" footer="0.3"/>
  <pageSetup paperSize="8" scale="32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9"/>
  <sheetViews>
    <sheetView topLeftCell="A90" zoomScale="90" zoomScaleNormal="90" workbookViewId="0">
      <selection activeCell="C97" sqref="C97"/>
    </sheetView>
  </sheetViews>
  <sheetFormatPr defaultRowHeight="15.75" x14ac:dyDescent="0.25"/>
  <cols>
    <col min="1" max="1" width="14.5703125" style="792" customWidth="1"/>
    <col min="2" max="2" width="21.5703125" style="792" customWidth="1"/>
    <col min="3" max="3" width="18.7109375" style="792" customWidth="1"/>
    <col min="4" max="4" width="12.5703125" style="792" customWidth="1"/>
    <col min="5" max="5" width="10.7109375" style="792" customWidth="1"/>
    <col min="6" max="6" width="11.85546875" style="792" bestFit="1" customWidth="1"/>
    <col min="7" max="7" width="19.28515625" style="792" customWidth="1"/>
    <col min="8" max="8" width="14.140625" style="792" customWidth="1"/>
    <col min="9" max="14" width="11.85546875" style="792" bestFit="1" customWidth="1"/>
    <col min="15" max="16384" width="9.14062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332</v>
      </c>
      <c r="D2" s="802" t="s">
        <v>63</v>
      </c>
      <c r="E2" s="765" t="s">
        <v>329</v>
      </c>
      <c r="F2" s="735"/>
      <c r="G2" s="735"/>
      <c r="H2" s="735"/>
    </row>
    <row r="3" spans="1:8" x14ac:dyDescent="0.25">
      <c r="A3" s="3301" t="s">
        <v>1</v>
      </c>
      <c r="B3" s="3301"/>
      <c r="C3" s="894" t="s">
        <v>333</v>
      </c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334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764">
        <v>38</v>
      </c>
      <c r="D9" s="867" t="s">
        <v>82</v>
      </c>
      <c r="E9" s="866">
        <f>IF(D9="O",100,IF(D9="A+",90,IF(D9="A",80,IF(D9="B+",70,IF(D9="B",60,IF(D9="C",55,IF(D9="P",50,IF(D9="F",39))))))))</f>
        <v>100</v>
      </c>
    </row>
    <row r="10" spans="1:8" ht="18.75" x14ac:dyDescent="0.25">
      <c r="A10" s="839">
        <v>2</v>
      </c>
      <c r="B10" s="898">
        <v>5191421002</v>
      </c>
      <c r="C10" s="764">
        <v>47</v>
      </c>
      <c r="D10" s="867" t="s">
        <v>30</v>
      </c>
      <c r="E10" s="866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764">
        <v>47</v>
      </c>
      <c r="D11" s="867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764">
        <v>42</v>
      </c>
      <c r="D12" s="870" t="s">
        <v>30</v>
      </c>
      <c r="E12" s="866">
        <f t="shared" si="0"/>
        <v>90</v>
      </c>
    </row>
    <row r="13" spans="1:8" ht="18.75" x14ac:dyDescent="0.25">
      <c r="A13" s="839">
        <v>5</v>
      </c>
      <c r="B13" s="899">
        <v>5191421005</v>
      </c>
      <c r="C13" s="764">
        <v>37</v>
      </c>
      <c r="D13" s="867" t="s">
        <v>30</v>
      </c>
      <c r="E13" s="866">
        <f t="shared" si="0"/>
        <v>90</v>
      </c>
    </row>
    <row r="14" spans="1:8" ht="18.75" x14ac:dyDescent="0.25">
      <c r="A14" s="839">
        <v>6</v>
      </c>
      <c r="B14" s="897">
        <v>5191421006</v>
      </c>
      <c r="C14" s="764">
        <v>46</v>
      </c>
      <c r="D14" s="867" t="s">
        <v>32</v>
      </c>
      <c r="E14" s="866">
        <f t="shared" si="0"/>
        <v>70</v>
      </c>
    </row>
    <row r="15" spans="1:8" ht="18.75" x14ac:dyDescent="0.25">
      <c r="A15" s="839">
        <v>7</v>
      </c>
      <c r="B15" s="897">
        <v>5191421007</v>
      </c>
      <c r="C15" s="764">
        <v>44</v>
      </c>
      <c r="D15" s="867" t="s">
        <v>30</v>
      </c>
      <c r="E15" s="866">
        <f t="shared" si="0"/>
        <v>90</v>
      </c>
    </row>
    <row r="16" spans="1:8" ht="18.75" x14ac:dyDescent="0.25">
      <c r="A16" s="839">
        <v>8</v>
      </c>
      <c r="B16" s="897">
        <v>5191421008</v>
      </c>
      <c r="C16" s="764">
        <v>42</v>
      </c>
      <c r="D16" s="867" t="s">
        <v>33</v>
      </c>
      <c r="E16" s="866">
        <f t="shared" si="0"/>
        <v>60</v>
      </c>
    </row>
    <row r="17" spans="1:5" ht="18.75" x14ac:dyDescent="0.25">
      <c r="A17" s="839">
        <v>9</v>
      </c>
      <c r="B17" s="897">
        <v>5191421009</v>
      </c>
      <c r="C17" s="764">
        <v>46</v>
      </c>
      <c r="D17" s="867" t="s">
        <v>82</v>
      </c>
      <c r="E17" s="866">
        <f t="shared" si="0"/>
        <v>100</v>
      </c>
    </row>
    <row r="18" spans="1:5" ht="18.75" x14ac:dyDescent="0.25">
      <c r="A18" s="839">
        <v>10</v>
      </c>
      <c r="B18" s="897">
        <v>5191421010</v>
      </c>
      <c r="C18" s="764">
        <v>45</v>
      </c>
      <c r="D18" s="867" t="s">
        <v>30</v>
      </c>
      <c r="E18" s="866">
        <f t="shared" si="0"/>
        <v>90</v>
      </c>
    </row>
    <row r="19" spans="1:5" ht="18.75" x14ac:dyDescent="0.25">
      <c r="A19" s="839">
        <v>11</v>
      </c>
      <c r="B19" s="897">
        <v>5191421011</v>
      </c>
      <c r="C19" s="764">
        <v>48</v>
      </c>
      <c r="D19" s="867" t="s">
        <v>32</v>
      </c>
      <c r="E19" s="866">
        <f t="shared" si="0"/>
        <v>70</v>
      </c>
    </row>
    <row r="20" spans="1:5" ht="18.75" x14ac:dyDescent="0.25">
      <c r="A20" s="839">
        <v>12</v>
      </c>
      <c r="B20" s="897">
        <v>5191421012</v>
      </c>
      <c r="C20" s="764">
        <v>33</v>
      </c>
      <c r="D20" s="867" t="s">
        <v>30</v>
      </c>
      <c r="E20" s="866">
        <f t="shared" si="0"/>
        <v>90</v>
      </c>
    </row>
    <row r="21" spans="1:5" ht="18.75" x14ac:dyDescent="0.25">
      <c r="A21" s="839">
        <v>13</v>
      </c>
      <c r="B21" s="897">
        <v>5191421013</v>
      </c>
      <c r="C21" s="764">
        <v>48</v>
      </c>
      <c r="D21" s="846" t="s">
        <v>31</v>
      </c>
      <c r="E21" s="866">
        <f t="shared" si="0"/>
        <v>55</v>
      </c>
    </row>
    <row r="22" spans="1:5" ht="18.75" x14ac:dyDescent="0.25">
      <c r="A22" s="839">
        <v>14</v>
      </c>
      <c r="B22" s="897">
        <v>5191421014</v>
      </c>
      <c r="C22" s="764">
        <v>45</v>
      </c>
      <c r="D22" s="867" t="s">
        <v>32</v>
      </c>
      <c r="E22" s="866">
        <f t="shared" si="0"/>
        <v>70</v>
      </c>
    </row>
    <row r="23" spans="1:5" ht="18.75" x14ac:dyDescent="0.25">
      <c r="A23" s="839">
        <v>15</v>
      </c>
      <c r="B23" s="897">
        <v>5191421015</v>
      </c>
      <c r="C23" s="764">
        <v>41</v>
      </c>
      <c r="D23" s="867" t="s">
        <v>30</v>
      </c>
      <c r="E23" s="866">
        <f t="shared" si="0"/>
        <v>90</v>
      </c>
    </row>
    <row r="24" spans="1:5" ht="18.75" x14ac:dyDescent="0.25">
      <c r="A24" s="839">
        <v>16</v>
      </c>
      <c r="B24" s="897">
        <v>5191421016</v>
      </c>
      <c r="C24" s="764">
        <v>30</v>
      </c>
      <c r="D24" s="867" t="s">
        <v>27</v>
      </c>
      <c r="E24" s="866">
        <f t="shared" si="0"/>
        <v>80</v>
      </c>
    </row>
    <row r="25" spans="1:5" ht="18.75" x14ac:dyDescent="0.25">
      <c r="A25" s="839">
        <v>17</v>
      </c>
      <c r="B25" s="897">
        <v>5191421017</v>
      </c>
      <c r="C25" s="764">
        <v>43</v>
      </c>
      <c r="D25" s="867" t="s">
        <v>27</v>
      </c>
      <c r="E25" s="866">
        <f t="shared" si="0"/>
        <v>80</v>
      </c>
    </row>
    <row r="26" spans="1:5" ht="18.75" x14ac:dyDescent="0.25">
      <c r="A26" s="839">
        <v>18</v>
      </c>
      <c r="B26" s="897">
        <v>5191421018</v>
      </c>
      <c r="C26" s="764">
        <v>30</v>
      </c>
      <c r="D26" s="867" t="s">
        <v>32</v>
      </c>
      <c r="E26" s="866">
        <f t="shared" si="0"/>
        <v>70</v>
      </c>
    </row>
    <row r="27" spans="1:5" ht="18.75" x14ac:dyDescent="0.25">
      <c r="A27" s="839">
        <v>19</v>
      </c>
      <c r="B27" s="897">
        <v>5191421019</v>
      </c>
      <c r="C27" s="764">
        <v>47</v>
      </c>
      <c r="D27" s="867" t="s">
        <v>30</v>
      </c>
      <c r="E27" s="866">
        <f t="shared" si="0"/>
        <v>90</v>
      </c>
    </row>
    <row r="28" spans="1:5" ht="18.75" x14ac:dyDescent="0.25">
      <c r="A28" s="839">
        <v>20</v>
      </c>
      <c r="B28" s="897">
        <v>5191421020</v>
      </c>
      <c r="C28" s="764">
        <v>48</v>
      </c>
      <c r="D28" s="867" t="s">
        <v>82</v>
      </c>
      <c r="E28" s="866">
        <f t="shared" si="0"/>
        <v>100</v>
      </c>
    </row>
    <row r="29" spans="1:5" ht="18.75" x14ac:dyDescent="0.25">
      <c r="A29" s="839">
        <v>21</v>
      </c>
      <c r="B29" s="897">
        <v>5191421021</v>
      </c>
      <c r="C29" s="764">
        <v>43</v>
      </c>
      <c r="D29" s="867" t="s">
        <v>32</v>
      </c>
      <c r="E29" s="866">
        <f t="shared" si="0"/>
        <v>70</v>
      </c>
    </row>
    <row r="30" spans="1:5" ht="18.75" x14ac:dyDescent="0.25">
      <c r="A30" s="839">
        <v>22</v>
      </c>
      <c r="B30" s="897">
        <v>5191421022</v>
      </c>
      <c r="C30" s="764">
        <v>31</v>
      </c>
      <c r="D30" s="867" t="s">
        <v>27</v>
      </c>
      <c r="E30" s="866">
        <f t="shared" si="0"/>
        <v>80</v>
      </c>
    </row>
    <row r="31" spans="1:5" ht="18.75" x14ac:dyDescent="0.25">
      <c r="A31" s="839">
        <v>23</v>
      </c>
      <c r="B31" s="897">
        <v>5191421023</v>
      </c>
      <c r="C31" s="764">
        <v>39</v>
      </c>
      <c r="D31" s="867" t="s">
        <v>29</v>
      </c>
      <c r="E31" s="866">
        <f t="shared" si="0"/>
        <v>39</v>
      </c>
    </row>
    <row r="32" spans="1:5" ht="18.75" x14ac:dyDescent="0.25">
      <c r="A32" s="839">
        <v>24</v>
      </c>
      <c r="B32" s="897">
        <v>5191421024</v>
      </c>
      <c r="C32" s="764">
        <v>38</v>
      </c>
      <c r="D32" s="867" t="s">
        <v>32</v>
      </c>
      <c r="E32" s="866">
        <f t="shared" si="0"/>
        <v>70</v>
      </c>
    </row>
    <row r="33" spans="1:5" ht="18.75" x14ac:dyDescent="0.25">
      <c r="A33" s="839">
        <v>25</v>
      </c>
      <c r="B33" s="897">
        <v>5191421025</v>
      </c>
      <c r="C33" s="764">
        <v>48</v>
      </c>
      <c r="D33" s="867" t="s">
        <v>32</v>
      </c>
      <c r="E33" s="866">
        <f t="shared" si="0"/>
        <v>70</v>
      </c>
    </row>
    <row r="34" spans="1:5" ht="18.75" x14ac:dyDescent="0.25">
      <c r="A34" s="839">
        <v>26</v>
      </c>
      <c r="B34" s="897">
        <v>5191421026</v>
      </c>
      <c r="C34" s="764">
        <v>42</v>
      </c>
      <c r="D34" s="867" t="s">
        <v>27</v>
      </c>
      <c r="E34" s="866">
        <f t="shared" si="0"/>
        <v>80</v>
      </c>
    </row>
    <row r="35" spans="1:5" ht="18.75" x14ac:dyDescent="0.25">
      <c r="A35" s="839">
        <v>27</v>
      </c>
      <c r="B35" s="897">
        <v>5191421027</v>
      </c>
      <c r="C35" s="764">
        <v>41</v>
      </c>
      <c r="D35" s="867" t="s">
        <v>30</v>
      </c>
      <c r="E35" s="866">
        <f t="shared" si="0"/>
        <v>90</v>
      </c>
    </row>
    <row r="36" spans="1:5" ht="18.75" x14ac:dyDescent="0.25">
      <c r="A36" s="839">
        <v>28</v>
      </c>
      <c r="B36" s="897">
        <v>5191421028</v>
      </c>
      <c r="C36" s="764">
        <v>47</v>
      </c>
      <c r="D36" s="867" t="s">
        <v>82</v>
      </c>
      <c r="E36" s="866">
        <f t="shared" si="0"/>
        <v>100</v>
      </c>
    </row>
    <row r="37" spans="1:5" ht="18.75" x14ac:dyDescent="0.25">
      <c r="A37" s="839">
        <v>29</v>
      </c>
      <c r="B37" s="897">
        <v>5191421029</v>
      </c>
      <c r="C37" s="764">
        <v>44</v>
      </c>
      <c r="D37" s="867" t="s">
        <v>27</v>
      </c>
      <c r="E37" s="866">
        <f t="shared" si="0"/>
        <v>80</v>
      </c>
    </row>
    <row r="38" spans="1:5" ht="18.75" x14ac:dyDescent="0.25">
      <c r="A38" s="839">
        <v>30</v>
      </c>
      <c r="B38" s="897">
        <v>5191421030</v>
      </c>
      <c r="C38" s="764">
        <v>30</v>
      </c>
      <c r="D38" s="867" t="s">
        <v>27</v>
      </c>
      <c r="E38" s="866">
        <f t="shared" si="0"/>
        <v>80</v>
      </c>
    </row>
    <row r="39" spans="1:5" ht="18.75" x14ac:dyDescent="0.25">
      <c r="A39" s="839">
        <v>31</v>
      </c>
      <c r="B39" s="897">
        <v>5191421031</v>
      </c>
      <c r="C39" s="764">
        <v>46</v>
      </c>
      <c r="D39" s="867" t="s">
        <v>32</v>
      </c>
      <c r="E39" s="866">
        <f t="shared" si="0"/>
        <v>70</v>
      </c>
    </row>
    <row r="40" spans="1:5" ht="18.75" x14ac:dyDescent="0.25">
      <c r="A40" s="839">
        <v>32</v>
      </c>
      <c r="B40" s="897">
        <v>5191421032</v>
      </c>
      <c r="C40" s="764">
        <v>30</v>
      </c>
      <c r="D40" s="867" t="s">
        <v>27</v>
      </c>
      <c r="E40" s="866">
        <f t="shared" si="0"/>
        <v>80</v>
      </c>
    </row>
    <row r="41" spans="1:5" ht="18.75" x14ac:dyDescent="0.25">
      <c r="A41" s="839">
        <v>33</v>
      </c>
      <c r="B41" s="897">
        <v>5191421033</v>
      </c>
      <c r="C41" s="764">
        <v>47</v>
      </c>
      <c r="D41" s="868" t="s">
        <v>82</v>
      </c>
      <c r="E41" s="866">
        <f t="shared" si="0"/>
        <v>100</v>
      </c>
    </row>
    <row r="42" spans="1:5" ht="18.75" x14ac:dyDescent="0.25">
      <c r="A42" s="839">
        <v>34</v>
      </c>
      <c r="B42" s="897">
        <v>5191421034</v>
      </c>
      <c r="C42" s="764">
        <v>47</v>
      </c>
      <c r="D42" s="869" t="s">
        <v>32</v>
      </c>
      <c r="E42" s="866">
        <f t="shared" si="0"/>
        <v>70</v>
      </c>
    </row>
    <row r="43" spans="1:5" ht="18.75" x14ac:dyDescent="0.25">
      <c r="A43" s="839">
        <v>35</v>
      </c>
      <c r="B43" s="897">
        <v>5191421035</v>
      </c>
      <c r="C43" s="764">
        <v>38</v>
      </c>
      <c r="D43" s="867" t="s">
        <v>32</v>
      </c>
      <c r="E43" s="866">
        <f t="shared" si="0"/>
        <v>70</v>
      </c>
    </row>
    <row r="44" spans="1:5" ht="18.75" x14ac:dyDescent="0.25">
      <c r="A44" s="839">
        <v>36</v>
      </c>
      <c r="B44" s="897">
        <v>5191421036</v>
      </c>
      <c r="C44" s="764">
        <v>47</v>
      </c>
      <c r="D44" s="867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764">
        <v>30</v>
      </c>
      <c r="D45" s="867" t="s">
        <v>31</v>
      </c>
      <c r="E45" s="866">
        <f t="shared" si="0"/>
        <v>55</v>
      </c>
    </row>
    <row r="46" spans="1:5" ht="18.75" x14ac:dyDescent="0.25">
      <c r="A46" s="839">
        <v>38</v>
      </c>
      <c r="B46" s="897">
        <v>5191421038</v>
      </c>
      <c r="C46" s="764">
        <v>35</v>
      </c>
      <c r="D46" s="867" t="s">
        <v>32</v>
      </c>
      <c r="E46" s="866">
        <f t="shared" si="0"/>
        <v>70</v>
      </c>
    </row>
    <row r="47" spans="1:5" ht="18.75" x14ac:dyDescent="0.25">
      <c r="A47" s="839">
        <v>39</v>
      </c>
      <c r="B47" s="897">
        <v>5191421039</v>
      </c>
      <c r="C47" s="764">
        <v>48</v>
      </c>
      <c r="D47" s="867" t="s">
        <v>82</v>
      </c>
      <c r="E47" s="866">
        <f t="shared" si="0"/>
        <v>100</v>
      </c>
    </row>
    <row r="48" spans="1:5" ht="18.75" x14ac:dyDescent="0.25">
      <c r="A48" s="839">
        <v>40</v>
      </c>
      <c r="B48" s="897">
        <v>5191421040</v>
      </c>
      <c r="C48" s="764">
        <v>35</v>
      </c>
      <c r="D48" s="867" t="s">
        <v>27</v>
      </c>
      <c r="E48" s="866">
        <f t="shared" si="0"/>
        <v>80</v>
      </c>
    </row>
    <row r="49" spans="1:5" ht="18.75" x14ac:dyDescent="0.25">
      <c r="A49" s="839">
        <v>41</v>
      </c>
      <c r="B49" s="897">
        <v>5191421041</v>
      </c>
      <c r="C49" s="764">
        <v>32</v>
      </c>
      <c r="D49" s="867" t="s">
        <v>32</v>
      </c>
      <c r="E49" s="866">
        <f t="shared" si="0"/>
        <v>70</v>
      </c>
    </row>
    <row r="50" spans="1:5" ht="18.75" x14ac:dyDescent="0.25">
      <c r="A50" s="839">
        <v>42</v>
      </c>
      <c r="B50" s="897">
        <v>5191421042</v>
      </c>
      <c r="C50" s="764">
        <v>30</v>
      </c>
      <c r="D50" s="867" t="s">
        <v>33</v>
      </c>
      <c r="E50" s="866">
        <f t="shared" si="0"/>
        <v>60</v>
      </c>
    </row>
    <row r="51" spans="1:5" ht="18.75" x14ac:dyDescent="0.25">
      <c r="A51" s="839">
        <v>43</v>
      </c>
      <c r="B51" s="897">
        <v>5191421043</v>
      </c>
      <c r="C51" s="764">
        <v>48</v>
      </c>
      <c r="D51" s="867" t="s">
        <v>82</v>
      </c>
      <c r="E51" s="866">
        <f t="shared" si="0"/>
        <v>100</v>
      </c>
    </row>
    <row r="52" spans="1:5" ht="18.75" x14ac:dyDescent="0.25">
      <c r="A52" s="839">
        <v>44</v>
      </c>
      <c r="B52" s="897">
        <v>5191421044</v>
      </c>
      <c r="C52" s="764">
        <v>48</v>
      </c>
      <c r="D52" s="867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764">
        <v>30</v>
      </c>
      <c r="D53" s="867" t="s">
        <v>31</v>
      </c>
      <c r="E53" s="866">
        <f t="shared" si="0"/>
        <v>55</v>
      </c>
    </row>
    <row r="54" spans="1:5" ht="18.75" x14ac:dyDescent="0.25">
      <c r="A54" s="839">
        <v>46</v>
      </c>
      <c r="B54" s="897">
        <v>5191421046</v>
      </c>
      <c r="C54" s="764">
        <v>41</v>
      </c>
      <c r="D54" s="867" t="s">
        <v>30</v>
      </c>
      <c r="E54" s="866">
        <f t="shared" si="0"/>
        <v>90</v>
      </c>
    </row>
    <row r="55" spans="1:5" ht="18.75" x14ac:dyDescent="0.25">
      <c r="A55" s="839">
        <v>47</v>
      </c>
      <c r="B55" s="897">
        <v>5191421047</v>
      </c>
      <c r="C55" s="764">
        <v>30</v>
      </c>
      <c r="D55" s="867" t="s">
        <v>31</v>
      </c>
      <c r="E55" s="866">
        <f t="shared" si="0"/>
        <v>55</v>
      </c>
    </row>
    <row r="56" spans="1:5" ht="18.75" x14ac:dyDescent="0.25">
      <c r="A56" s="839">
        <v>48</v>
      </c>
      <c r="B56" s="897">
        <v>5191421048</v>
      </c>
      <c r="C56" s="764">
        <v>39</v>
      </c>
      <c r="D56" s="867" t="s">
        <v>27</v>
      </c>
      <c r="E56" s="866">
        <f t="shared" si="0"/>
        <v>80</v>
      </c>
    </row>
    <row r="57" spans="1:5" ht="18.75" x14ac:dyDescent="0.25">
      <c r="A57" s="839">
        <v>49</v>
      </c>
      <c r="B57" s="897">
        <v>5191421049</v>
      </c>
      <c r="C57" s="764">
        <v>32</v>
      </c>
      <c r="D57" s="867" t="s">
        <v>33</v>
      </c>
      <c r="E57" s="866">
        <f t="shared" si="0"/>
        <v>60</v>
      </c>
    </row>
    <row r="58" spans="1:5" ht="18.75" x14ac:dyDescent="0.25">
      <c r="A58" s="839">
        <v>50</v>
      </c>
      <c r="B58" s="897">
        <v>5191421050</v>
      </c>
      <c r="C58" s="764">
        <v>30</v>
      </c>
      <c r="D58" s="867" t="s">
        <v>32</v>
      </c>
      <c r="E58" s="866">
        <f t="shared" si="0"/>
        <v>70</v>
      </c>
    </row>
    <row r="59" spans="1:5" ht="18.75" x14ac:dyDescent="0.25">
      <c r="A59" s="839">
        <v>51</v>
      </c>
      <c r="B59" s="897">
        <v>5191421051</v>
      </c>
      <c r="C59" s="764">
        <v>45</v>
      </c>
      <c r="D59" s="867" t="s">
        <v>30</v>
      </c>
      <c r="E59" s="866">
        <f t="shared" si="0"/>
        <v>90</v>
      </c>
    </row>
    <row r="60" spans="1:5" ht="18.75" x14ac:dyDescent="0.25">
      <c r="A60" s="839">
        <v>52</v>
      </c>
      <c r="B60" s="897">
        <v>5191421052</v>
      </c>
      <c r="C60" s="764">
        <v>48</v>
      </c>
      <c r="D60" s="867" t="s">
        <v>82</v>
      </c>
      <c r="E60" s="866">
        <f t="shared" si="0"/>
        <v>100</v>
      </c>
    </row>
    <row r="61" spans="1:5" ht="18.75" x14ac:dyDescent="0.25">
      <c r="A61" s="839">
        <v>53</v>
      </c>
      <c r="B61" s="897">
        <v>5191421053</v>
      </c>
      <c r="C61" s="764">
        <v>48</v>
      </c>
      <c r="D61" s="867" t="s">
        <v>82</v>
      </c>
      <c r="E61" s="866">
        <f t="shared" si="0"/>
        <v>100</v>
      </c>
    </row>
    <row r="62" spans="1:5" ht="18.75" x14ac:dyDescent="0.25">
      <c r="A62" s="839">
        <v>54</v>
      </c>
      <c r="B62" s="897">
        <v>5191421054</v>
      </c>
      <c r="C62" s="764">
        <v>41</v>
      </c>
      <c r="D62" s="867" t="s">
        <v>30</v>
      </c>
      <c r="E62" s="866">
        <f t="shared" si="0"/>
        <v>90</v>
      </c>
    </row>
    <row r="63" spans="1:5" ht="18.75" x14ac:dyDescent="0.25">
      <c r="A63" s="839">
        <v>55</v>
      </c>
      <c r="B63" s="897">
        <v>5191421055</v>
      </c>
      <c r="C63" s="764">
        <v>40</v>
      </c>
      <c r="D63" s="867" t="s">
        <v>30</v>
      </c>
      <c r="E63" s="866">
        <f t="shared" si="0"/>
        <v>90</v>
      </c>
    </row>
    <row r="64" spans="1:5" ht="18.75" x14ac:dyDescent="0.25">
      <c r="A64" s="839">
        <v>56</v>
      </c>
      <c r="B64" s="897">
        <v>5191421056</v>
      </c>
      <c r="C64" s="764">
        <v>41</v>
      </c>
      <c r="D64" s="867" t="s">
        <v>27</v>
      </c>
      <c r="E64" s="866">
        <f t="shared" si="0"/>
        <v>80</v>
      </c>
    </row>
    <row r="65" spans="1:14" ht="18.75" x14ac:dyDescent="0.25">
      <c r="A65" s="839">
        <v>57</v>
      </c>
      <c r="B65" s="897">
        <v>5191421057</v>
      </c>
      <c r="C65" s="764">
        <v>44</v>
      </c>
      <c r="D65" s="868" t="s">
        <v>82</v>
      </c>
      <c r="E65" s="866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764">
        <v>36</v>
      </c>
      <c r="D66" s="869" t="s">
        <v>27</v>
      </c>
      <c r="E66" s="866">
        <f t="shared" si="0"/>
        <v>80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46</v>
      </c>
      <c r="D69" s="793"/>
      <c r="E69" s="793">
        <f>COUNTIF(E9:E66,"&gt;="&amp;B68)</f>
        <v>50</v>
      </c>
    </row>
    <row r="70" spans="1:14" x14ac:dyDescent="0.25">
      <c r="A70" s="3306" t="s">
        <v>36</v>
      </c>
      <c r="B70" s="3306"/>
      <c r="C70" s="36">
        <f>C69/C67</f>
        <v>0.7931034482758621</v>
      </c>
      <c r="D70" s="793"/>
      <c r="E70" s="36">
        <f>(E69/A66)*100</f>
        <v>86.206896551724128</v>
      </c>
    </row>
    <row r="72" spans="1:14" ht="31.5" x14ac:dyDescent="0.25">
      <c r="D72" s="805" t="s">
        <v>38</v>
      </c>
      <c r="E72" s="805" t="s">
        <v>39</v>
      </c>
      <c r="F72" s="855" t="s">
        <v>37</v>
      </c>
      <c r="H72" s="13"/>
    </row>
    <row r="73" spans="1:14" x14ac:dyDescent="0.25">
      <c r="B73" s="805" t="s">
        <v>22</v>
      </c>
      <c r="C73" s="36">
        <f>AVERAGE(C70)*100</f>
        <v>79.310344827586206</v>
      </c>
      <c r="D73" s="793">
        <f>IF(C73&gt;=70,3,IF(AND(C73&gt;=60,C73&lt;70),2,IF(AND(C73&gt;=50,C73&lt;60),1)))</f>
        <v>3</v>
      </c>
      <c r="E73" s="793">
        <f>IF(E70&gt;=70,3,IF(AND(E70&gt;=60,E70&lt;70),2,IF(AND(E70&gt;=50,E70&lt;60),1)))</f>
        <v>3</v>
      </c>
      <c r="F73" s="793">
        <f>(50/100)*E73+(50/100)*D73</f>
        <v>3</v>
      </c>
      <c r="H73" s="329"/>
    </row>
    <row r="74" spans="1:14" x14ac:dyDescent="0.25">
      <c r="B74" s="805" t="s">
        <v>40</v>
      </c>
      <c r="C74" s="36">
        <f>AVERAGE(C70)*100</f>
        <v>79.310344827586206</v>
      </c>
      <c r="D74" s="793">
        <f t="shared" ref="D74:D76" si="1">IF(C74&gt;=70,3,IF(AND(C74&gt;=60,C74&lt;70),2,IF(AND(C74&gt;=50,C74&lt;60),1)))</f>
        <v>3</v>
      </c>
      <c r="E74" s="793">
        <f>IF(E70&gt;=70,3,IF(AND(E70&gt;=60,E70&lt;70),2,IF(AND(E70&gt;=50,E70&lt;60),1)))</f>
        <v>3</v>
      </c>
      <c r="F74" s="793">
        <f>(50/100)*E74+(50/100)*D74</f>
        <v>3</v>
      </c>
      <c r="H74" s="329"/>
    </row>
    <row r="75" spans="1:14" x14ac:dyDescent="0.25">
      <c r="B75" s="805" t="s">
        <v>41</v>
      </c>
      <c r="C75" s="36">
        <f>AVERAGE(C70)*100</f>
        <v>79.310344827586206</v>
      </c>
      <c r="D75" s="793">
        <f t="shared" si="1"/>
        <v>3</v>
      </c>
      <c r="E75" s="793">
        <f>IF(E70&gt;=70,3,IF(AND(E70&gt;=60,E70&lt;70),2,IF(AND(E70&gt;=50,E70&lt;60),1)))</f>
        <v>3</v>
      </c>
      <c r="F75" s="793">
        <f>(50/100)*E75+(50/100)*D75</f>
        <v>3</v>
      </c>
      <c r="H75" s="329"/>
    </row>
    <row r="76" spans="1:14" x14ac:dyDescent="0.25">
      <c r="B76" s="805" t="s">
        <v>42</v>
      </c>
      <c r="C76" s="36">
        <f>AVERAGE(C70)*100</f>
        <v>79.310344827586206</v>
      </c>
      <c r="D76" s="793">
        <f t="shared" si="1"/>
        <v>3</v>
      </c>
      <c r="E76" s="793">
        <f>IF(E70&gt;=70,3,IF(AND(E70&gt;=60,E70&lt;70),2,IF(AND(E70&gt;=50,E70&lt;60),1)))</f>
        <v>3</v>
      </c>
      <c r="F76" s="793">
        <f>(50/100)*E76+(50/100)*D76</f>
        <v>3</v>
      </c>
      <c r="H76" s="329"/>
    </row>
    <row r="77" spans="1:14" x14ac:dyDescent="0.25">
      <c r="B77" s="755" t="s">
        <v>44</v>
      </c>
      <c r="C77" s="755"/>
      <c r="D77" s="755"/>
      <c r="E77" s="755"/>
      <c r="F77" s="793">
        <f>AVERAGE(F73:F73)</f>
        <v>3</v>
      </c>
      <c r="H77" s="342"/>
    </row>
    <row r="79" spans="1:14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4" x14ac:dyDescent="0.25">
      <c r="A80" s="2872" t="s">
        <v>134</v>
      </c>
      <c r="B80" s="2872"/>
      <c r="C80" s="472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859" t="s">
        <v>45</v>
      </c>
      <c r="C82" s="20" t="s">
        <v>46</v>
      </c>
      <c r="D82" s="20" t="s">
        <v>135</v>
      </c>
      <c r="E82" s="20" t="s">
        <v>48</v>
      </c>
      <c r="F82" s="20" t="s">
        <v>49</v>
      </c>
      <c r="G82" s="20" t="s">
        <v>50</v>
      </c>
      <c r="H82" s="20" t="s">
        <v>136</v>
      </c>
      <c r="I82" s="20" t="s">
        <v>52</v>
      </c>
      <c r="J82" s="20" t="s">
        <v>53</v>
      </c>
      <c r="K82" s="20" t="s">
        <v>54</v>
      </c>
      <c r="L82" s="20" t="s">
        <v>55</v>
      </c>
      <c r="M82" s="20" t="s">
        <v>56</v>
      </c>
      <c r="N82" s="20" t="s">
        <v>57</v>
      </c>
    </row>
    <row r="83" spans="1:14" x14ac:dyDescent="0.25">
      <c r="B83" s="20" t="s">
        <v>22</v>
      </c>
      <c r="C83" s="745">
        <v>3</v>
      </c>
      <c r="D83" s="745">
        <v>1</v>
      </c>
      <c r="E83" s="745"/>
      <c r="F83" s="745"/>
      <c r="G83" s="745">
        <v>3</v>
      </c>
      <c r="H83" s="745"/>
      <c r="I83" s="745"/>
      <c r="J83" s="745"/>
      <c r="K83" s="745">
        <v>3</v>
      </c>
      <c r="L83" s="745">
        <v>3</v>
      </c>
      <c r="M83" s="745">
        <v>3</v>
      </c>
      <c r="N83" s="745">
        <v>2</v>
      </c>
    </row>
    <row r="84" spans="1:14" x14ac:dyDescent="0.25">
      <c r="B84" s="20" t="s">
        <v>40</v>
      </c>
      <c r="C84" s="745">
        <v>3</v>
      </c>
      <c r="D84" s="745">
        <v>3</v>
      </c>
      <c r="E84" s="745"/>
      <c r="F84" s="745">
        <v>3</v>
      </c>
      <c r="G84" s="745">
        <v>3</v>
      </c>
      <c r="H84" s="745"/>
      <c r="I84" s="745"/>
      <c r="J84" s="745"/>
      <c r="K84" s="745">
        <v>3</v>
      </c>
      <c r="L84" s="745">
        <v>3</v>
      </c>
      <c r="M84" s="745">
        <v>3</v>
      </c>
      <c r="N84" s="745">
        <v>3</v>
      </c>
    </row>
    <row r="85" spans="1:14" x14ac:dyDescent="0.25">
      <c r="B85" s="20" t="s">
        <v>41</v>
      </c>
      <c r="C85" s="745">
        <v>3</v>
      </c>
      <c r="D85" s="745">
        <v>3</v>
      </c>
      <c r="E85" s="745">
        <v>2</v>
      </c>
      <c r="F85" s="745">
        <v>3</v>
      </c>
      <c r="G85" s="745">
        <v>3</v>
      </c>
      <c r="H85" s="745"/>
      <c r="I85" s="745">
        <v>2</v>
      </c>
      <c r="J85" s="745">
        <v>2</v>
      </c>
      <c r="K85" s="745">
        <v>3</v>
      </c>
      <c r="L85" s="745">
        <v>3</v>
      </c>
      <c r="M85" s="745">
        <v>3</v>
      </c>
      <c r="N85" s="745">
        <v>3</v>
      </c>
    </row>
    <row r="86" spans="1:14" x14ac:dyDescent="0.25">
      <c r="B86" s="20" t="s">
        <v>42</v>
      </c>
      <c r="C86" s="745">
        <v>3</v>
      </c>
      <c r="D86" s="745">
        <v>3</v>
      </c>
      <c r="E86" s="745"/>
      <c r="F86" s="745">
        <v>2</v>
      </c>
      <c r="G86" s="745">
        <v>3</v>
      </c>
      <c r="H86" s="745"/>
      <c r="I86" s="745">
        <v>2</v>
      </c>
      <c r="J86" s="745"/>
      <c r="K86" s="745">
        <v>3</v>
      </c>
      <c r="L86" s="745">
        <v>3</v>
      </c>
      <c r="M86" s="745">
        <v>3</v>
      </c>
      <c r="N86" s="745">
        <v>2</v>
      </c>
    </row>
    <row r="87" spans="1:14" x14ac:dyDescent="0.25">
      <c r="B87" s="859" t="s">
        <v>10</v>
      </c>
      <c r="C87" s="745">
        <f>AVERAGE(C83:C86)</f>
        <v>3</v>
      </c>
      <c r="D87" s="745">
        <f t="shared" ref="D87:N87" si="2">AVERAGE(D83:D86)</f>
        <v>2.5</v>
      </c>
      <c r="E87" s="745">
        <f t="shared" si="2"/>
        <v>2</v>
      </c>
      <c r="F87" s="745">
        <f t="shared" si="2"/>
        <v>2.6666666666666665</v>
      </c>
      <c r="G87" s="745">
        <f>AVERAGE(G83:G86)</f>
        <v>3</v>
      </c>
      <c r="H87" s="745"/>
      <c r="I87" s="745">
        <f t="shared" si="2"/>
        <v>2</v>
      </c>
      <c r="J87" s="745">
        <f t="shared" si="2"/>
        <v>2</v>
      </c>
      <c r="K87" s="745">
        <f t="shared" si="2"/>
        <v>3</v>
      </c>
      <c r="L87" s="745">
        <f t="shared" si="2"/>
        <v>3</v>
      </c>
      <c r="M87" s="745">
        <f t="shared" si="2"/>
        <v>3</v>
      </c>
      <c r="N87" s="745">
        <f t="shared" si="2"/>
        <v>2.5</v>
      </c>
    </row>
    <row r="88" spans="1:14" x14ac:dyDescent="0.25">
      <c r="B88" s="859" t="s">
        <v>58</v>
      </c>
      <c r="C88" s="3311">
        <f>AVERAGE(C87:N87)</f>
        <v>2.606060606060606</v>
      </c>
      <c r="D88" s="3312"/>
      <c r="E88" s="3312"/>
      <c r="F88" s="3312"/>
      <c r="G88" s="3312"/>
      <c r="H88" s="3312"/>
      <c r="I88" s="3312"/>
      <c r="J88" s="3312"/>
      <c r="K88" s="3312"/>
      <c r="L88" s="3312"/>
      <c r="M88" s="3312"/>
      <c r="N88" s="3313"/>
    </row>
    <row r="90" spans="1:14" x14ac:dyDescent="0.25">
      <c r="A90" s="2872" t="s">
        <v>323</v>
      </c>
      <c r="B90" s="2872"/>
      <c r="C90" s="472"/>
    </row>
    <row r="92" spans="1:14" x14ac:dyDescent="0.25">
      <c r="B92" s="859" t="s">
        <v>45</v>
      </c>
      <c r="C92" s="906" t="s">
        <v>68</v>
      </c>
      <c r="D92" s="906" t="s">
        <v>69</v>
      </c>
      <c r="E92" s="906" t="s">
        <v>70</v>
      </c>
      <c r="F92" s="906" t="s">
        <v>71</v>
      </c>
      <c r="G92" s="906" t="s">
        <v>72</v>
      </c>
      <c r="H92" s="906" t="s">
        <v>73</v>
      </c>
      <c r="I92" s="906" t="s">
        <v>74</v>
      </c>
      <c r="J92" s="906" t="s">
        <v>75</v>
      </c>
      <c r="K92" s="906" t="s">
        <v>76</v>
      </c>
      <c r="L92" s="906" t="s">
        <v>77</v>
      </c>
      <c r="M92" s="906" t="s">
        <v>78</v>
      </c>
      <c r="N92" s="906" t="s">
        <v>79</v>
      </c>
    </row>
    <row r="93" spans="1:14" x14ac:dyDescent="0.25">
      <c r="B93" s="763" t="s">
        <v>20</v>
      </c>
      <c r="C93" s="907">
        <f>F73*C83/3</f>
        <v>3</v>
      </c>
      <c r="D93" s="907">
        <f>F73*D83/3</f>
        <v>1</v>
      </c>
      <c r="E93" s="907"/>
      <c r="F93" s="907"/>
      <c r="G93" s="907">
        <f>F73*G83/3</f>
        <v>3</v>
      </c>
      <c r="H93" s="907"/>
      <c r="I93" s="907"/>
      <c r="J93" s="907"/>
      <c r="K93" s="907">
        <f>F73*K83/3</f>
        <v>3</v>
      </c>
      <c r="L93" s="907">
        <f>F73*L83/3</f>
        <v>3</v>
      </c>
      <c r="M93" s="907">
        <f>F73*M83/3</f>
        <v>3</v>
      </c>
      <c r="N93" s="907">
        <f>F73*N83/3</f>
        <v>2</v>
      </c>
    </row>
    <row r="94" spans="1:14" x14ac:dyDescent="0.25">
      <c r="B94" s="763" t="s">
        <v>21</v>
      </c>
      <c r="C94" s="907">
        <f>F74*C84/3</f>
        <v>3</v>
      </c>
      <c r="D94" s="907">
        <f>F74*D84/3</f>
        <v>3</v>
      </c>
      <c r="E94" s="907"/>
      <c r="F94" s="907">
        <f>F74*F84/3</f>
        <v>3</v>
      </c>
      <c r="G94" s="907">
        <f>F74*G84/3</f>
        <v>3</v>
      </c>
      <c r="H94" s="907"/>
      <c r="I94" s="907"/>
      <c r="J94" s="907"/>
      <c r="K94" s="907">
        <f>F74*K84/3</f>
        <v>3</v>
      </c>
      <c r="L94" s="907">
        <f>F74*L84/3</f>
        <v>3</v>
      </c>
      <c r="M94" s="907">
        <f>F74*M84/3</f>
        <v>3</v>
      </c>
      <c r="N94" s="907">
        <f>F74*N84/3</f>
        <v>3</v>
      </c>
    </row>
    <row r="95" spans="1:14" x14ac:dyDescent="0.25">
      <c r="B95" s="763" t="s">
        <v>23</v>
      </c>
      <c r="C95" s="907">
        <f>F75*C85/3</f>
        <v>3</v>
      </c>
      <c r="D95" s="907">
        <f>F75*D85/3</f>
        <v>3</v>
      </c>
      <c r="E95" s="907">
        <f>F75*E85/3</f>
        <v>2</v>
      </c>
      <c r="F95" s="907">
        <f>F75*F85/3</f>
        <v>3</v>
      </c>
      <c r="G95" s="907">
        <f>F75*G85/3</f>
        <v>3</v>
      </c>
      <c r="H95" s="907"/>
      <c r="I95" s="907">
        <f>F75*I85/3</f>
        <v>2</v>
      </c>
      <c r="J95" s="907">
        <f>F74*J85/3</f>
        <v>2</v>
      </c>
      <c r="K95" s="907">
        <f>F75*K85/3</f>
        <v>3</v>
      </c>
      <c r="L95" s="907">
        <f>F75*L85/3</f>
        <v>3</v>
      </c>
      <c r="M95" s="907">
        <f>F75*M85/3</f>
        <v>3</v>
      </c>
      <c r="N95" s="907">
        <f>F75*N85/3</f>
        <v>3</v>
      </c>
    </row>
    <row r="96" spans="1:14" x14ac:dyDescent="0.25">
      <c r="B96" s="763" t="s">
        <v>25</v>
      </c>
      <c r="C96" s="907">
        <f>F76*C86/3</f>
        <v>3</v>
      </c>
      <c r="D96" s="907">
        <f>F76*D86/3</f>
        <v>3</v>
      </c>
      <c r="E96" s="907"/>
      <c r="F96" s="907">
        <f>F76*F86/3</f>
        <v>2</v>
      </c>
      <c r="G96" s="907">
        <f>F76*G86/3</f>
        <v>3</v>
      </c>
      <c r="H96" s="907"/>
      <c r="I96" s="907">
        <f>F76*I86/3</f>
        <v>2</v>
      </c>
      <c r="J96" s="907"/>
      <c r="K96" s="907">
        <f>F76*K86/3</f>
        <v>3</v>
      </c>
      <c r="L96" s="907">
        <f>F76*L86/3</f>
        <v>3</v>
      </c>
      <c r="M96" s="907">
        <f>F76*M86/3</f>
        <v>3</v>
      </c>
      <c r="N96" s="907">
        <f>F76*N86/3</f>
        <v>2</v>
      </c>
    </row>
    <row r="97" spans="1:14" x14ac:dyDescent="0.25">
      <c r="B97" s="859" t="s">
        <v>10</v>
      </c>
      <c r="C97" s="908">
        <f>AVERAGE(C93:C96)</f>
        <v>3</v>
      </c>
      <c r="D97" s="908">
        <f t="shared" ref="D97:N97" si="3">AVERAGE(D93:D96)</f>
        <v>2.5</v>
      </c>
      <c r="E97" s="908">
        <f t="shared" si="3"/>
        <v>2</v>
      </c>
      <c r="F97" s="908">
        <f t="shared" si="3"/>
        <v>2.6666666666666665</v>
      </c>
      <c r="G97" s="908">
        <f t="shared" si="3"/>
        <v>3</v>
      </c>
      <c r="H97" s="908"/>
      <c r="I97" s="908">
        <f t="shared" si="3"/>
        <v>2</v>
      </c>
      <c r="J97" s="908">
        <f t="shared" si="3"/>
        <v>2</v>
      </c>
      <c r="K97" s="908">
        <f t="shared" si="3"/>
        <v>3</v>
      </c>
      <c r="L97" s="908">
        <f t="shared" si="3"/>
        <v>3</v>
      </c>
      <c r="M97" s="908">
        <f t="shared" si="3"/>
        <v>3</v>
      </c>
      <c r="N97" s="908">
        <f t="shared" si="3"/>
        <v>2.5</v>
      </c>
    </row>
    <row r="98" spans="1:14" x14ac:dyDescent="0.25">
      <c r="B98" s="859" t="s">
        <v>58</v>
      </c>
      <c r="C98" s="3024">
        <f>AVERAGE(C97:N97)</f>
        <v>2.606060606060606</v>
      </c>
      <c r="D98" s="3310"/>
      <c r="E98" s="3310"/>
      <c r="F98" s="3310"/>
      <c r="G98" s="3310"/>
      <c r="H98" s="3310"/>
      <c r="I98" s="3310"/>
      <c r="J98" s="3310"/>
      <c r="K98" s="3310"/>
      <c r="L98" s="3310"/>
      <c r="M98" s="3310"/>
      <c r="N98" s="3026"/>
    </row>
    <row r="100" spans="1:14" x14ac:dyDescent="0.25">
      <c r="B100" s="342"/>
      <c r="C100" s="342"/>
      <c r="D100" s="342"/>
      <c r="E100" s="342"/>
      <c r="F100" s="735"/>
      <c r="G100" s="735"/>
      <c r="H100" s="735"/>
      <c r="I100" s="735"/>
      <c r="J100" s="735"/>
      <c r="K100" s="735"/>
      <c r="L100" s="735"/>
      <c r="M100" s="735"/>
      <c r="N100" s="735"/>
    </row>
    <row r="101" spans="1:14" x14ac:dyDescent="0.25">
      <c r="A101" s="2872" t="s">
        <v>137</v>
      </c>
      <c r="B101" s="2872"/>
      <c r="C101" s="19"/>
      <c r="D101" s="19"/>
      <c r="E101" s="19"/>
      <c r="F101" s="22"/>
      <c r="G101" s="2872" t="s">
        <v>324</v>
      </c>
      <c r="H101" s="2872"/>
      <c r="I101" s="22"/>
      <c r="J101" s="22"/>
      <c r="K101" s="22"/>
      <c r="L101" s="22"/>
      <c r="M101" s="22"/>
      <c r="N101" s="22"/>
    </row>
    <row r="102" spans="1:14" x14ac:dyDescent="0.25">
      <c r="B102" s="472"/>
      <c r="C102" s="472"/>
      <c r="D102" s="19"/>
      <c r="E102" s="19"/>
      <c r="F102" s="22"/>
      <c r="G102" s="2872"/>
      <c r="H102" s="2872"/>
      <c r="I102" s="22"/>
      <c r="J102" s="22"/>
      <c r="K102" s="22"/>
      <c r="L102" s="22"/>
      <c r="M102" s="22"/>
      <c r="N102" s="22"/>
    </row>
    <row r="103" spans="1:14" x14ac:dyDescent="0.25">
      <c r="B103" s="859" t="s">
        <v>59</v>
      </c>
      <c r="C103" s="748" t="s">
        <v>87</v>
      </c>
      <c r="D103" s="748" t="s">
        <v>88</v>
      </c>
      <c r="E103" s="748" t="s">
        <v>85</v>
      </c>
      <c r="F103" s="756"/>
      <c r="G103" s="859" t="s">
        <v>59</v>
      </c>
      <c r="H103" s="906" t="s">
        <v>60</v>
      </c>
      <c r="I103" s="906" t="s">
        <v>61</v>
      </c>
      <c r="J103" s="906" t="s">
        <v>62</v>
      </c>
      <c r="L103" s="756"/>
      <c r="M103" s="756"/>
      <c r="N103" s="756"/>
    </row>
    <row r="104" spans="1:14" x14ac:dyDescent="0.25">
      <c r="B104" s="572" t="s">
        <v>22</v>
      </c>
      <c r="C104" s="856">
        <v>3</v>
      </c>
      <c r="D104" s="856">
        <v>1</v>
      </c>
      <c r="E104" s="856"/>
      <c r="F104" s="756"/>
      <c r="G104" s="860" t="s">
        <v>20</v>
      </c>
      <c r="H104" s="907">
        <f>F73*C104/3</f>
        <v>3</v>
      </c>
      <c r="I104" s="907">
        <f>F73*D104/3</f>
        <v>1</v>
      </c>
      <c r="J104" s="907"/>
      <c r="L104" s="756"/>
      <c r="M104" s="756"/>
      <c r="N104" s="756"/>
    </row>
    <row r="105" spans="1:14" x14ac:dyDescent="0.25">
      <c r="B105" s="572" t="s">
        <v>40</v>
      </c>
      <c r="C105" s="856">
        <v>3</v>
      </c>
      <c r="D105" s="856">
        <v>3</v>
      </c>
      <c r="E105" s="856"/>
      <c r="F105" s="24"/>
      <c r="G105" s="860" t="s">
        <v>21</v>
      </c>
      <c r="H105" s="907">
        <f>F74*C105/3</f>
        <v>3</v>
      </c>
      <c r="I105" s="907">
        <f>F74*D105/3</f>
        <v>3</v>
      </c>
      <c r="J105" s="907"/>
      <c r="L105" s="24"/>
      <c r="M105" s="24"/>
      <c r="N105" s="24"/>
    </row>
    <row r="106" spans="1:14" x14ac:dyDescent="0.25">
      <c r="B106" s="572" t="s">
        <v>41</v>
      </c>
      <c r="C106" s="856">
        <v>3</v>
      </c>
      <c r="D106" s="856">
        <v>3</v>
      </c>
      <c r="E106" s="856">
        <v>2</v>
      </c>
      <c r="F106" s="24"/>
      <c r="G106" s="860" t="s">
        <v>23</v>
      </c>
      <c r="H106" s="907">
        <f>F75*C106/3</f>
        <v>3</v>
      </c>
      <c r="I106" s="907">
        <f>F75*D106/3</f>
        <v>3</v>
      </c>
      <c r="J106" s="907">
        <f>F75*E106/3</f>
        <v>2</v>
      </c>
      <c r="L106" s="24"/>
      <c r="M106" s="24"/>
      <c r="N106" s="24"/>
    </row>
    <row r="107" spans="1:14" x14ac:dyDescent="0.25">
      <c r="B107" s="572" t="s">
        <v>42</v>
      </c>
      <c r="C107" s="749">
        <v>3</v>
      </c>
      <c r="D107" s="856">
        <v>3</v>
      </c>
      <c r="E107" s="856">
        <v>2</v>
      </c>
      <c r="F107" s="24"/>
      <c r="G107" s="860" t="s">
        <v>25</v>
      </c>
      <c r="H107" s="907">
        <f>F76*C107/3</f>
        <v>3</v>
      </c>
      <c r="I107" s="907">
        <f>F76*D107/3</f>
        <v>3</v>
      </c>
      <c r="J107" s="907">
        <f>F76*E107/3</f>
        <v>2</v>
      </c>
      <c r="L107" s="24"/>
      <c r="M107" s="24"/>
      <c r="N107" s="24"/>
    </row>
    <row r="108" spans="1:14" x14ac:dyDescent="0.25">
      <c r="B108" s="859" t="s">
        <v>10</v>
      </c>
      <c r="C108" s="909">
        <f>AVERAGE(C104:C107)</f>
        <v>3</v>
      </c>
      <c r="D108" s="909">
        <f t="shared" ref="D108:E108" si="4">AVERAGE(D104:D107)</f>
        <v>2.5</v>
      </c>
      <c r="E108" s="909">
        <f t="shared" si="4"/>
        <v>2</v>
      </c>
      <c r="F108" s="910"/>
      <c r="G108" s="859" t="s">
        <v>10</v>
      </c>
      <c r="H108" s="911">
        <f>AVERAGE(H104:H107)</f>
        <v>3</v>
      </c>
      <c r="I108" s="911">
        <f t="shared" ref="I108:J108" si="5">AVERAGE(I104:I107)</f>
        <v>2.5</v>
      </c>
      <c r="J108" s="911">
        <f t="shared" si="5"/>
        <v>2</v>
      </c>
      <c r="L108" s="910"/>
      <c r="M108" s="910"/>
      <c r="N108" s="910"/>
    </row>
    <row r="109" spans="1:14" x14ac:dyDescent="0.25">
      <c r="B109" s="859" t="s">
        <v>58</v>
      </c>
      <c r="C109" s="3307">
        <f>AVERAGE(C108:E108)</f>
        <v>2.5</v>
      </c>
      <c r="D109" s="3308"/>
      <c r="E109" s="3309"/>
      <c r="F109" s="912"/>
      <c r="G109" s="859" t="s">
        <v>58</v>
      </c>
      <c r="H109" s="3024">
        <f>AVERAGE(H108:J108)</f>
        <v>2.5</v>
      </c>
      <c r="I109" s="3310"/>
      <c r="J109" s="3026"/>
      <c r="L109" s="912"/>
      <c r="M109" s="912"/>
      <c r="N109" s="912"/>
    </row>
  </sheetData>
  <mergeCells count="19">
    <mergeCell ref="C109:E109"/>
    <mergeCell ref="H109:J109"/>
    <mergeCell ref="C88:N88"/>
    <mergeCell ref="A90:B90"/>
    <mergeCell ref="C98:N98"/>
    <mergeCell ref="A101:B101"/>
    <mergeCell ref="G101:H101"/>
    <mergeCell ref="G102:H102"/>
    <mergeCell ref="D5:D7"/>
    <mergeCell ref="E5:E7"/>
    <mergeCell ref="A69:B69"/>
    <mergeCell ref="A70:B70"/>
    <mergeCell ref="A80:B80"/>
    <mergeCell ref="C5:C7"/>
    <mergeCell ref="A2:B2"/>
    <mergeCell ref="A3:B3"/>
    <mergeCell ref="A4:B4"/>
    <mergeCell ref="A5:A7"/>
    <mergeCell ref="B5:B7"/>
  </mergeCells>
  <conditionalFormatting sqref="D43:D66">
    <cfRule type="containsText" dxfId="33" priority="3" operator="containsText" text="F">
      <formula>NOT(ISERROR(SEARCH("F",D43)))</formula>
    </cfRule>
  </conditionalFormatting>
  <conditionalFormatting sqref="C9:C66">
    <cfRule type="cellIs" dxfId="32" priority="2" operator="lessThan">
      <formula>25</formula>
    </cfRule>
  </conditionalFormatting>
  <conditionalFormatting sqref="D9:D42">
    <cfRule type="containsText" dxfId="31" priority="1" operator="containsText" text="F">
      <formula>NOT(ISERROR(SEARCH("F",D9)))</formula>
    </cfRule>
  </conditionalFormatting>
  <pageMargins left="0.7" right="0.7" top="0.75" bottom="0.75" header="0.3" footer="0.3"/>
  <pageSetup paperSize="8" scale="57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9"/>
  <sheetViews>
    <sheetView topLeftCell="B94" workbookViewId="0">
      <selection activeCell="L79" sqref="L79"/>
    </sheetView>
  </sheetViews>
  <sheetFormatPr defaultRowHeight="15.75" x14ac:dyDescent="0.25"/>
  <cols>
    <col min="1" max="1" width="14.5703125" style="939" customWidth="1"/>
    <col min="2" max="2" width="21.5703125" style="939" customWidth="1"/>
    <col min="3" max="3" width="18.7109375" style="939" customWidth="1"/>
    <col min="4" max="4" width="12.5703125" style="939" customWidth="1"/>
    <col min="5" max="5" width="10.7109375" style="939" customWidth="1"/>
    <col min="6" max="6" width="11.85546875" style="939" bestFit="1" customWidth="1"/>
    <col min="7" max="7" width="19.28515625" style="939" customWidth="1"/>
    <col min="8" max="8" width="14.140625" style="939" customWidth="1"/>
    <col min="9" max="14" width="11.85546875" style="939" bestFit="1" customWidth="1"/>
    <col min="15" max="16384" width="9.140625" style="939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353</v>
      </c>
      <c r="D2" s="959" t="s">
        <v>63</v>
      </c>
      <c r="E2" s="963" t="s">
        <v>329</v>
      </c>
      <c r="F2" s="735"/>
      <c r="G2" s="735"/>
      <c r="H2" s="735"/>
    </row>
    <row r="3" spans="1:8" x14ac:dyDescent="0.25">
      <c r="A3" s="3301" t="s">
        <v>1</v>
      </c>
      <c r="B3" s="3301"/>
      <c r="C3" s="894"/>
      <c r="D3" s="803" t="s">
        <v>64</v>
      </c>
      <c r="E3" s="963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334</v>
      </c>
      <c r="D4" s="959" t="s">
        <v>65</v>
      </c>
      <c r="E4" s="963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955" t="s">
        <v>18</v>
      </c>
      <c r="B8" s="955" t="s">
        <v>26</v>
      </c>
      <c r="C8" s="895">
        <v>50</v>
      </c>
      <c r="D8" s="896"/>
      <c r="E8" s="956">
        <v>100</v>
      </c>
    </row>
    <row r="9" spans="1:8" ht="18.75" x14ac:dyDescent="0.25">
      <c r="A9" s="839">
        <v>1</v>
      </c>
      <c r="B9" s="897">
        <v>5191421001</v>
      </c>
      <c r="C9" s="958">
        <v>38</v>
      </c>
      <c r="D9" s="940" t="s">
        <v>30</v>
      </c>
      <c r="E9" s="965">
        <f>IF(D9="O",100,IF(D9="A+",90,IF(D9="A",80,IF(D9="B+",70,IF(D9="B",60,IF(D9="C",55,IF(D9="P",50,IF(D9="F",39))))))))</f>
        <v>90</v>
      </c>
    </row>
    <row r="10" spans="1:8" ht="18.75" x14ac:dyDescent="0.25">
      <c r="A10" s="839">
        <v>2</v>
      </c>
      <c r="B10" s="898">
        <v>5191421002</v>
      </c>
      <c r="C10" s="958">
        <v>47</v>
      </c>
      <c r="D10" s="940" t="s">
        <v>30</v>
      </c>
      <c r="E10" s="965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958">
        <v>47</v>
      </c>
      <c r="D11" s="940" t="s">
        <v>82</v>
      </c>
      <c r="E11" s="965">
        <f t="shared" si="0"/>
        <v>100</v>
      </c>
    </row>
    <row r="12" spans="1:8" ht="18.75" x14ac:dyDescent="0.25">
      <c r="A12" s="839">
        <v>4</v>
      </c>
      <c r="B12" s="897">
        <v>5191421004</v>
      </c>
      <c r="C12" s="958">
        <v>42</v>
      </c>
      <c r="D12" s="943" t="s">
        <v>30</v>
      </c>
      <c r="E12" s="965">
        <f t="shared" si="0"/>
        <v>90</v>
      </c>
    </row>
    <row r="13" spans="1:8" ht="18.75" x14ac:dyDescent="0.25">
      <c r="A13" s="839">
        <v>5</v>
      </c>
      <c r="B13" s="899">
        <v>5191421005</v>
      </c>
      <c r="C13" s="958">
        <v>37</v>
      </c>
      <c r="D13" s="940" t="s">
        <v>27</v>
      </c>
      <c r="E13" s="965">
        <f t="shared" si="0"/>
        <v>80</v>
      </c>
    </row>
    <row r="14" spans="1:8" ht="18.75" x14ac:dyDescent="0.25">
      <c r="A14" s="839">
        <v>6</v>
      </c>
      <c r="B14" s="897">
        <v>5191421006</v>
      </c>
      <c r="C14" s="958">
        <v>46</v>
      </c>
      <c r="D14" s="940" t="s">
        <v>30</v>
      </c>
      <c r="E14" s="965">
        <f t="shared" si="0"/>
        <v>90</v>
      </c>
    </row>
    <row r="15" spans="1:8" ht="18.75" x14ac:dyDescent="0.25">
      <c r="A15" s="839">
        <v>7</v>
      </c>
      <c r="B15" s="897">
        <v>5191421007</v>
      </c>
      <c r="C15" s="958">
        <v>44</v>
      </c>
      <c r="D15" s="940" t="s">
        <v>30</v>
      </c>
      <c r="E15" s="965">
        <f t="shared" si="0"/>
        <v>90</v>
      </c>
    </row>
    <row r="16" spans="1:8" ht="18.75" x14ac:dyDescent="0.25">
      <c r="A16" s="839">
        <v>8</v>
      </c>
      <c r="B16" s="897">
        <v>5191421008</v>
      </c>
      <c r="C16" s="958">
        <v>42</v>
      </c>
      <c r="D16" s="940" t="s">
        <v>30</v>
      </c>
      <c r="E16" s="965">
        <f t="shared" si="0"/>
        <v>90</v>
      </c>
    </row>
    <row r="17" spans="1:5" ht="18.75" x14ac:dyDescent="0.25">
      <c r="A17" s="839">
        <v>9</v>
      </c>
      <c r="B17" s="897">
        <v>5191421009</v>
      </c>
      <c r="C17" s="958">
        <v>46</v>
      </c>
      <c r="D17" s="940" t="s">
        <v>30</v>
      </c>
      <c r="E17" s="965">
        <f t="shared" si="0"/>
        <v>90</v>
      </c>
    </row>
    <row r="18" spans="1:5" ht="18.75" x14ac:dyDescent="0.25">
      <c r="A18" s="839">
        <v>10</v>
      </c>
      <c r="B18" s="897">
        <v>5191421010</v>
      </c>
      <c r="C18" s="958">
        <v>45</v>
      </c>
      <c r="D18" s="940" t="s">
        <v>30</v>
      </c>
      <c r="E18" s="965">
        <f t="shared" si="0"/>
        <v>90</v>
      </c>
    </row>
    <row r="19" spans="1:5" ht="18.75" x14ac:dyDescent="0.25">
      <c r="A19" s="839">
        <v>11</v>
      </c>
      <c r="B19" s="897">
        <v>5191421011</v>
      </c>
      <c r="C19" s="958">
        <v>48</v>
      </c>
      <c r="D19" s="940" t="s">
        <v>82</v>
      </c>
      <c r="E19" s="965">
        <f t="shared" si="0"/>
        <v>100</v>
      </c>
    </row>
    <row r="20" spans="1:5" ht="18.75" x14ac:dyDescent="0.25">
      <c r="A20" s="839">
        <v>12</v>
      </c>
      <c r="B20" s="897">
        <v>5191421012</v>
      </c>
      <c r="C20" s="958">
        <v>33</v>
      </c>
      <c r="D20" s="940" t="s">
        <v>27</v>
      </c>
      <c r="E20" s="965">
        <f t="shared" si="0"/>
        <v>80</v>
      </c>
    </row>
    <row r="21" spans="1:5" ht="18.75" x14ac:dyDescent="0.25">
      <c r="A21" s="839">
        <v>13</v>
      </c>
      <c r="B21" s="897">
        <v>5191421013</v>
      </c>
      <c r="C21" s="958">
        <v>48</v>
      </c>
      <c r="D21" s="846" t="s">
        <v>82</v>
      </c>
      <c r="E21" s="965">
        <f t="shared" si="0"/>
        <v>100</v>
      </c>
    </row>
    <row r="22" spans="1:5" ht="18.75" x14ac:dyDescent="0.25">
      <c r="A22" s="839">
        <v>14</v>
      </c>
      <c r="B22" s="897">
        <v>5191421014</v>
      </c>
      <c r="C22" s="958">
        <v>45</v>
      </c>
      <c r="D22" s="940" t="s">
        <v>32</v>
      </c>
      <c r="E22" s="965">
        <f t="shared" si="0"/>
        <v>70</v>
      </c>
    </row>
    <row r="23" spans="1:5" ht="18.75" x14ac:dyDescent="0.25">
      <c r="A23" s="839">
        <v>15</v>
      </c>
      <c r="B23" s="897">
        <v>5191421015</v>
      </c>
      <c r="C23" s="958">
        <v>41</v>
      </c>
      <c r="D23" s="940" t="s">
        <v>30</v>
      </c>
      <c r="E23" s="965">
        <f t="shared" si="0"/>
        <v>90</v>
      </c>
    </row>
    <row r="24" spans="1:5" ht="18.75" x14ac:dyDescent="0.25">
      <c r="A24" s="839">
        <v>16</v>
      </c>
      <c r="B24" s="897">
        <v>5191421016</v>
      </c>
      <c r="C24" s="958">
        <v>30</v>
      </c>
      <c r="D24" s="940" t="s">
        <v>32</v>
      </c>
      <c r="E24" s="965">
        <f t="shared" si="0"/>
        <v>70</v>
      </c>
    </row>
    <row r="25" spans="1:5" ht="18.75" x14ac:dyDescent="0.25">
      <c r="A25" s="839">
        <v>17</v>
      </c>
      <c r="B25" s="897">
        <v>5191421017</v>
      </c>
      <c r="C25" s="958">
        <v>43</v>
      </c>
      <c r="D25" s="940" t="s">
        <v>27</v>
      </c>
      <c r="E25" s="965">
        <f t="shared" si="0"/>
        <v>80</v>
      </c>
    </row>
    <row r="26" spans="1:5" ht="18.75" x14ac:dyDescent="0.25">
      <c r="A26" s="839">
        <v>18</v>
      </c>
      <c r="B26" s="897">
        <v>5191421018</v>
      </c>
      <c r="C26" s="958">
        <v>30</v>
      </c>
      <c r="D26" s="940" t="s">
        <v>27</v>
      </c>
      <c r="E26" s="965">
        <f t="shared" si="0"/>
        <v>80</v>
      </c>
    </row>
    <row r="27" spans="1:5" ht="18.75" x14ac:dyDescent="0.25">
      <c r="A27" s="839">
        <v>19</v>
      </c>
      <c r="B27" s="897">
        <v>5191421019</v>
      </c>
      <c r="C27" s="958">
        <v>47</v>
      </c>
      <c r="D27" s="940" t="s">
        <v>82</v>
      </c>
      <c r="E27" s="965">
        <f t="shared" si="0"/>
        <v>100</v>
      </c>
    </row>
    <row r="28" spans="1:5" ht="18.75" x14ac:dyDescent="0.25">
      <c r="A28" s="839">
        <v>20</v>
      </c>
      <c r="B28" s="897">
        <v>5191421020</v>
      </c>
      <c r="C28" s="958">
        <v>48</v>
      </c>
      <c r="D28" s="940" t="s">
        <v>82</v>
      </c>
      <c r="E28" s="965">
        <f t="shared" si="0"/>
        <v>100</v>
      </c>
    </row>
    <row r="29" spans="1:5" ht="18.75" x14ac:dyDescent="0.25">
      <c r="A29" s="839">
        <v>21</v>
      </c>
      <c r="B29" s="897">
        <v>5191421021</v>
      </c>
      <c r="C29" s="958">
        <v>43</v>
      </c>
      <c r="D29" s="940" t="s">
        <v>30</v>
      </c>
      <c r="E29" s="965">
        <f t="shared" si="0"/>
        <v>90</v>
      </c>
    </row>
    <row r="30" spans="1:5" ht="18.75" x14ac:dyDescent="0.25">
      <c r="A30" s="839">
        <v>22</v>
      </c>
      <c r="B30" s="897">
        <v>5191421022</v>
      </c>
      <c r="C30" s="958">
        <v>31</v>
      </c>
      <c r="D30" s="940" t="s">
        <v>27</v>
      </c>
      <c r="E30" s="965">
        <f t="shared" si="0"/>
        <v>80</v>
      </c>
    </row>
    <row r="31" spans="1:5" ht="18.75" x14ac:dyDescent="0.25">
      <c r="A31" s="839">
        <v>23</v>
      </c>
      <c r="B31" s="897">
        <v>5191421023</v>
      </c>
      <c r="C31" s="958">
        <v>39</v>
      </c>
      <c r="D31" s="940" t="s">
        <v>27</v>
      </c>
      <c r="E31" s="965">
        <f t="shared" si="0"/>
        <v>80</v>
      </c>
    </row>
    <row r="32" spans="1:5" ht="18.75" x14ac:dyDescent="0.25">
      <c r="A32" s="839">
        <v>24</v>
      </c>
      <c r="B32" s="897">
        <v>5191421024</v>
      </c>
      <c r="C32" s="958">
        <v>38</v>
      </c>
      <c r="D32" s="940" t="s">
        <v>27</v>
      </c>
      <c r="E32" s="965">
        <f t="shared" si="0"/>
        <v>80</v>
      </c>
    </row>
    <row r="33" spans="1:5" ht="18.75" x14ac:dyDescent="0.25">
      <c r="A33" s="839">
        <v>25</v>
      </c>
      <c r="B33" s="897">
        <v>5191421025</v>
      </c>
      <c r="C33" s="958">
        <v>48</v>
      </c>
      <c r="D33" s="940" t="s">
        <v>82</v>
      </c>
      <c r="E33" s="965">
        <f t="shared" si="0"/>
        <v>100</v>
      </c>
    </row>
    <row r="34" spans="1:5" ht="18.75" x14ac:dyDescent="0.25">
      <c r="A34" s="839">
        <v>26</v>
      </c>
      <c r="B34" s="897">
        <v>5191421026</v>
      </c>
      <c r="C34" s="958">
        <v>42</v>
      </c>
      <c r="D34" s="940" t="s">
        <v>30</v>
      </c>
      <c r="E34" s="965">
        <f t="shared" si="0"/>
        <v>90</v>
      </c>
    </row>
    <row r="35" spans="1:5" ht="18.75" x14ac:dyDescent="0.25">
      <c r="A35" s="839">
        <v>27</v>
      </c>
      <c r="B35" s="897">
        <v>5191421027</v>
      </c>
      <c r="C35" s="958">
        <v>41</v>
      </c>
      <c r="D35" s="940" t="s">
        <v>27</v>
      </c>
      <c r="E35" s="965">
        <f t="shared" si="0"/>
        <v>80</v>
      </c>
    </row>
    <row r="36" spans="1:5" ht="18.75" x14ac:dyDescent="0.25">
      <c r="A36" s="839">
        <v>28</v>
      </c>
      <c r="B36" s="897">
        <v>5191421028</v>
      </c>
      <c r="C36" s="958">
        <v>47</v>
      </c>
      <c r="D36" s="940" t="s">
        <v>82</v>
      </c>
      <c r="E36" s="965">
        <f t="shared" si="0"/>
        <v>100</v>
      </c>
    </row>
    <row r="37" spans="1:5" ht="18.75" x14ac:dyDescent="0.25">
      <c r="A37" s="839">
        <v>29</v>
      </c>
      <c r="B37" s="897">
        <v>5191421029</v>
      </c>
      <c r="C37" s="958">
        <v>44</v>
      </c>
      <c r="D37" s="940" t="s">
        <v>82</v>
      </c>
      <c r="E37" s="965">
        <f t="shared" si="0"/>
        <v>100</v>
      </c>
    </row>
    <row r="38" spans="1:5" ht="18.75" x14ac:dyDescent="0.25">
      <c r="A38" s="839">
        <v>30</v>
      </c>
      <c r="B38" s="897">
        <v>5191421030</v>
      </c>
      <c r="C38" s="958">
        <v>30</v>
      </c>
      <c r="D38" s="940" t="s">
        <v>27</v>
      </c>
      <c r="E38" s="965">
        <f t="shared" si="0"/>
        <v>80</v>
      </c>
    </row>
    <row r="39" spans="1:5" ht="18.75" x14ac:dyDescent="0.25">
      <c r="A39" s="839">
        <v>31</v>
      </c>
      <c r="B39" s="897">
        <v>5191421031</v>
      </c>
      <c r="C39" s="958">
        <v>46</v>
      </c>
      <c r="D39" s="940" t="s">
        <v>27</v>
      </c>
      <c r="E39" s="965">
        <f t="shared" si="0"/>
        <v>80</v>
      </c>
    </row>
    <row r="40" spans="1:5" ht="18.75" x14ac:dyDescent="0.25">
      <c r="A40" s="839">
        <v>32</v>
      </c>
      <c r="B40" s="897">
        <v>5191421032</v>
      </c>
      <c r="C40" s="958">
        <v>30</v>
      </c>
      <c r="D40" s="940" t="s">
        <v>27</v>
      </c>
      <c r="E40" s="965">
        <f t="shared" si="0"/>
        <v>80</v>
      </c>
    </row>
    <row r="41" spans="1:5" ht="18.75" x14ac:dyDescent="0.25">
      <c r="A41" s="839">
        <v>33</v>
      </c>
      <c r="B41" s="897">
        <v>5191421033</v>
      </c>
      <c r="C41" s="958">
        <v>47</v>
      </c>
      <c r="D41" s="941" t="s">
        <v>82</v>
      </c>
      <c r="E41" s="965">
        <f t="shared" si="0"/>
        <v>100</v>
      </c>
    </row>
    <row r="42" spans="1:5" ht="18.75" x14ac:dyDescent="0.25">
      <c r="A42" s="839">
        <v>34</v>
      </c>
      <c r="B42" s="897">
        <v>5191421034</v>
      </c>
      <c r="C42" s="958">
        <v>47</v>
      </c>
      <c r="D42" s="942" t="s">
        <v>82</v>
      </c>
      <c r="E42" s="965">
        <f t="shared" si="0"/>
        <v>100</v>
      </c>
    </row>
    <row r="43" spans="1:5" ht="18.75" x14ac:dyDescent="0.25">
      <c r="A43" s="839">
        <v>35</v>
      </c>
      <c r="B43" s="897">
        <v>5191421035</v>
      </c>
      <c r="C43" s="958">
        <v>38</v>
      </c>
      <c r="D43" s="940" t="s">
        <v>32</v>
      </c>
      <c r="E43" s="965">
        <f t="shared" si="0"/>
        <v>70</v>
      </c>
    </row>
    <row r="44" spans="1:5" ht="18.75" x14ac:dyDescent="0.25">
      <c r="A44" s="839">
        <v>36</v>
      </c>
      <c r="B44" s="897">
        <v>5191421036</v>
      </c>
      <c r="C44" s="958">
        <v>47</v>
      </c>
      <c r="D44" s="940" t="s">
        <v>82</v>
      </c>
      <c r="E44" s="965">
        <f t="shared" si="0"/>
        <v>100</v>
      </c>
    </row>
    <row r="45" spans="1:5" ht="18.75" x14ac:dyDescent="0.25">
      <c r="A45" s="839">
        <v>37</v>
      </c>
      <c r="B45" s="897">
        <v>5191421037</v>
      </c>
      <c r="C45" s="958">
        <v>30</v>
      </c>
      <c r="D45" s="940" t="s">
        <v>31</v>
      </c>
      <c r="E45" s="965">
        <f t="shared" si="0"/>
        <v>55</v>
      </c>
    </row>
    <row r="46" spans="1:5" ht="18.75" x14ac:dyDescent="0.25">
      <c r="A46" s="839">
        <v>38</v>
      </c>
      <c r="B46" s="897">
        <v>5191421038</v>
      </c>
      <c r="C46" s="958">
        <v>35</v>
      </c>
      <c r="D46" s="940" t="s">
        <v>32</v>
      </c>
      <c r="E46" s="965">
        <f t="shared" si="0"/>
        <v>70</v>
      </c>
    </row>
    <row r="47" spans="1:5" ht="18.75" x14ac:dyDescent="0.25">
      <c r="A47" s="839">
        <v>39</v>
      </c>
      <c r="B47" s="897">
        <v>5191421039</v>
      </c>
      <c r="C47" s="958">
        <v>48</v>
      </c>
      <c r="D47" s="940" t="s">
        <v>30</v>
      </c>
      <c r="E47" s="965">
        <f t="shared" si="0"/>
        <v>90</v>
      </c>
    </row>
    <row r="48" spans="1:5" ht="18.75" x14ac:dyDescent="0.25">
      <c r="A48" s="839">
        <v>40</v>
      </c>
      <c r="B48" s="897">
        <v>5191421040</v>
      </c>
      <c r="C48" s="958">
        <v>35</v>
      </c>
      <c r="D48" s="940" t="s">
        <v>30</v>
      </c>
      <c r="E48" s="965">
        <f t="shared" si="0"/>
        <v>90</v>
      </c>
    </row>
    <row r="49" spans="1:5" ht="18.75" x14ac:dyDescent="0.25">
      <c r="A49" s="839">
        <v>41</v>
      </c>
      <c r="B49" s="897">
        <v>5191421041</v>
      </c>
      <c r="C49" s="958">
        <v>32</v>
      </c>
      <c r="D49" s="940" t="s">
        <v>32</v>
      </c>
      <c r="E49" s="965">
        <f t="shared" si="0"/>
        <v>70</v>
      </c>
    </row>
    <row r="50" spans="1:5" ht="18.75" x14ac:dyDescent="0.25">
      <c r="A50" s="839">
        <v>42</v>
      </c>
      <c r="B50" s="897">
        <v>5191421042</v>
      </c>
      <c r="C50" s="958">
        <v>30</v>
      </c>
      <c r="D50" s="940" t="s">
        <v>27</v>
      </c>
      <c r="E50" s="965">
        <f t="shared" si="0"/>
        <v>80</v>
      </c>
    </row>
    <row r="51" spans="1:5" ht="18.75" x14ac:dyDescent="0.25">
      <c r="A51" s="839">
        <v>43</v>
      </c>
      <c r="B51" s="897">
        <v>5191421043</v>
      </c>
      <c r="C51" s="958">
        <v>48</v>
      </c>
      <c r="D51" s="940" t="s">
        <v>82</v>
      </c>
      <c r="E51" s="965">
        <f t="shared" si="0"/>
        <v>100</v>
      </c>
    </row>
    <row r="52" spans="1:5" ht="18.75" x14ac:dyDescent="0.25">
      <c r="A52" s="839">
        <v>44</v>
      </c>
      <c r="B52" s="897">
        <v>5191421044</v>
      </c>
      <c r="C52" s="958">
        <v>48</v>
      </c>
      <c r="D52" s="940" t="s">
        <v>82</v>
      </c>
      <c r="E52" s="965">
        <f t="shared" si="0"/>
        <v>100</v>
      </c>
    </row>
    <row r="53" spans="1:5" ht="18.75" x14ac:dyDescent="0.25">
      <c r="A53" s="839">
        <v>45</v>
      </c>
      <c r="B53" s="897">
        <v>5191421045</v>
      </c>
      <c r="C53" s="958">
        <v>30</v>
      </c>
      <c r="D53" s="940" t="s">
        <v>32</v>
      </c>
      <c r="E53" s="965">
        <f t="shared" si="0"/>
        <v>70</v>
      </c>
    </row>
    <row r="54" spans="1:5" ht="18.75" x14ac:dyDescent="0.25">
      <c r="A54" s="839">
        <v>46</v>
      </c>
      <c r="B54" s="897">
        <v>5191421046</v>
      </c>
      <c r="C54" s="958">
        <v>41</v>
      </c>
      <c r="D54" s="940" t="s">
        <v>30</v>
      </c>
      <c r="E54" s="965">
        <f t="shared" si="0"/>
        <v>90</v>
      </c>
    </row>
    <row r="55" spans="1:5" ht="18.75" x14ac:dyDescent="0.25">
      <c r="A55" s="839">
        <v>47</v>
      </c>
      <c r="B55" s="897">
        <v>5191421047</v>
      </c>
      <c r="C55" s="958">
        <v>30</v>
      </c>
      <c r="D55" s="940" t="s">
        <v>29</v>
      </c>
      <c r="E55" s="965">
        <f t="shared" si="0"/>
        <v>39</v>
      </c>
    </row>
    <row r="56" spans="1:5" ht="18.75" x14ac:dyDescent="0.25">
      <c r="A56" s="839">
        <v>48</v>
      </c>
      <c r="B56" s="897">
        <v>5191421048</v>
      </c>
      <c r="C56" s="958">
        <v>39</v>
      </c>
      <c r="D56" s="940" t="s">
        <v>30</v>
      </c>
      <c r="E56" s="965">
        <f t="shared" si="0"/>
        <v>90</v>
      </c>
    </row>
    <row r="57" spans="1:5" ht="18.75" x14ac:dyDescent="0.25">
      <c r="A57" s="839">
        <v>49</v>
      </c>
      <c r="B57" s="897">
        <v>5191421049</v>
      </c>
      <c r="C57" s="958">
        <v>32</v>
      </c>
      <c r="D57" s="940" t="s">
        <v>32</v>
      </c>
      <c r="E57" s="965">
        <f t="shared" si="0"/>
        <v>70</v>
      </c>
    </row>
    <row r="58" spans="1:5" ht="18.75" x14ac:dyDescent="0.25">
      <c r="A58" s="839">
        <v>50</v>
      </c>
      <c r="B58" s="897">
        <v>5191421050</v>
      </c>
      <c r="C58" s="958">
        <v>30</v>
      </c>
      <c r="D58" s="940" t="s">
        <v>27</v>
      </c>
      <c r="E58" s="965">
        <f t="shared" si="0"/>
        <v>80</v>
      </c>
    </row>
    <row r="59" spans="1:5" ht="18.75" x14ac:dyDescent="0.25">
      <c r="A59" s="839">
        <v>51</v>
      </c>
      <c r="B59" s="897">
        <v>5191421051</v>
      </c>
      <c r="C59" s="958">
        <v>45</v>
      </c>
      <c r="D59" s="940" t="s">
        <v>30</v>
      </c>
      <c r="E59" s="965">
        <f t="shared" si="0"/>
        <v>90</v>
      </c>
    </row>
    <row r="60" spans="1:5" ht="18.75" x14ac:dyDescent="0.25">
      <c r="A60" s="839">
        <v>52</v>
      </c>
      <c r="B60" s="897">
        <v>5191421052</v>
      </c>
      <c r="C60" s="958">
        <v>48</v>
      </c>
      <c r="D60" s="940" t="s">
        <v>82</v>
      </c>
      <c r="E60" s="965">
        <f t="shared" si="0"/>
        <v>100</v>
      </c>
    </row>
    <row r="61" spans="1:5" ht="18.75" x14ac:dyDescent="0.25">
      <c r="A61" s="839">
        <v>53</v>
      </c>
      <c r="B61" s="897">
        <v>5191421053</v>
      </c>
      <c r="C61" s="958">
        <v>48</v>
      </c>
      <c r="D61" s="940" t="s">
        <v>82</v>
      </c>
      <c r="E61" s="965">
        <f t="shared" si="0"/>
        <v>100</v>
      </c>
    </row>
    <row r="62" spans="1:5" ht="18.75" x14ac:dyDescent="0.25">
      <c r="A62" s="839">
        <v>54</v>
      </c>
      <c r="B62" s="897">
        <v>5191421054</v>
      </c>
      <c r="C62" s="958">
        <v>41</v>
      </c>
      <c r="D62" s="940" t="s">
        <v>30</v>
      </c>
      <c r="E62" s="965">
        <f t="shared" si="0"/>
        <v>90</v>
      </c>
    </row>
    <row r="63" spans="1:5" ht="18.75" x14ac:dyDescent="0.25">
      <c r="A63" s="839">
        <v>55</v>
      </c>
      <c r="B63" s="897">
        <v>5191421055</v>
      </c>
      <c r="C63" s="958">
        <v>40</v>
      </c>
      <c r="D63" s="940" t="s">
        <v>30</v>
      </c>
      <c r="E63" s="965">
        <f t="shared" si="0"/>
        <v>90</v>
      </c>
    </row>
    <row r="64" spans="1:5" ht="18.75" x14ac:dyDescent="0.25">
      <c r="A64" s="839">
        <v>56</v>
      </c>
      <c r="B64" s="897">
        <v>5191421056</v>
      </c>
      <c r="C64" s="958">
        <v>41</v>
      </c>
      <c r="D64" s="940" t="s">
        <v>30</v>
      </c>
      <c r="E64" s="965">
        <f t="shared" si="0"/>
        <v>90</v>
      </c>
    </row>
    <row r="65" spans="1:14" ht="18.75" x14ac:dyDescent="0.25">
      <c r="A65" s="839">
        <v>57</v>
      </c>
      <c r="B65" s="897">
        <v>5191421057</v>
      </c>
      <c r="C65" s="958">
        <v>44</v>
      </c>
      <c r="D65" s="941" t="s">
        <v>82</v>
      </c>
      <c r="E65" s="965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958">
        <v>36</v>
      </c>
      <c r="D66" s="942" t="s">
        <v>32</v>
      </c>
      <c r="E66" s="965">
        <f t="shared" si="0"/>
        <v>70</v>
      </c>
    </row>
    <row r="67" spans="1:14" x14ac:dyDescent="0.25">
      <c r="C67" s="962">
        <f>COUNT(C9:C66)</f>
        <v>58</v>
      </c>
      <c r="D67" s="962"/>
    </row>
    <row r="68" spans="1:14" ht="31.5" x14ac:dyDescent="0.25">
      <c r="A68" s="961" t="s">
        <v>34</v>
      </c>
      <c r="B68" s="952">
        <v>65</v>
      </c>
      <c r="C68" s="964">
        <f>C8*(B68/100)</f>
        <v>32.5</v>
      </c>
      <c r="D68" s="962"/>
    </row>
    <row r="69" spans="1:14" x14ac:dyDescent="0.25">
      <c r="A69" s="3305" t="s">
        <v>35</v>
      </c>
      <c r="B69" s="3305"/>
      <c r="C69" s="962">
        <f>COUNTIF(C9:C66,"&gt;=" &amp;C68)</f>
        <v>46</v>
      </c>
      <c r="D69" s="962"/>
      <c r="E69" s="962">
        <f>COUNTIF(E9:E66,"&gt;="&amp;B68)</f>
        <v>56</v>
      </c>
    </row>
    <row r="70" spans="1:14" x14ac:dyDescent="0.25">
      <c r="A70" s="3306" t="s">
        <v>36</v>
      </c>
      <c r="B70" s="3306"/>
      <c r="C70" s="36">
        <f>C69/C67</f>
        <v>0.7931034482758621</v>
      </c>
      <c r="D70" s="962"/>
      <c r="E70" s="36">
        <f>(E69/A66)*100</f>
        <v>96.551724137931032</v>
      </c>
    </row>
    <row r="72" spans="1:14" ht="31.5" x14ac:dyDescent="0.25">
      <c r="D72" s="952" t="s">
        <v>38</v>
      </c>
      <c r="E72" s="952" t="s">
        <v>39</v>
      </c>
      <c r="F72" s="961" t="s">
        <v>37</v>
      </c>
      <c r="H72" s="13"/>
    </row>
    <row r="73" spans="1:14" x14ac:dyDescent="0.25">
      <c r="B73" s="952" t="s">
        <v>22</v>
      </c>
      <c r="C73" s="36">
        <f>AVERAGE(C70)*100</f>
        <v>79.310344827586206</v>
      </c>
      <c r="D73" s="962">
        <f>IF(C73&gt;=70,3,IF(AND(C73&gt;=60,C73&lt;70),2,IF(AND(C73&gt;=50,C73&lt;60),1)))</f>
        <v>3</v>
      </c>
      <c r="E73" s="962">
        <f>IF(E70&gt;=70,3,IF(AND(E70&gt;=60,E70&lt;70),2,IF(AND(E70&gt;=50,E70&lt;60),1)))</f>
        <v>3</v>
      </c>
      <c r="F73" s="962">
        <f>(50/100)*E73+(50/100)*D73</f>
        <v>3</v>
      </c>
      <c r="H73" s="944"/>
    </row>
    <row r="74" spans="1:14" x14ac:dyDescent="0.25">
      <c r="B74" s="952" t="s">
        <v>40</v>
      </c>
      <c r="C74" s="36">
        <f>AVERAGE(C70)*100</f>
        <v>79.310344827586206</v>
      </c>
      <c r="D74" s="962">
        <f t="shared" ref="D74:D76" si="1">IF(C74&gt;=70,3,IF(AND(C74&gt;=60,C74&lt;70),2,IF(AND(C74&gt;=50,C74&lt;60),1)))</f>
        <v>3</v>
      </c>
      <c r="E74" s="962">
        <f>IF(E70&gt;=70,3,IF(AND(E70&gt;=60,E70&lt;70),2,IF(AND(E70&gt;=50,E70&lt;60),1)))</f>
        <v>3</v>
      </c>
      <c r="F74" s="962">
        <f>(50/100)*E74+(50/100)*D74</f>
        <v>3</v>
      </c>
      <c r="H74" s="944"/>
    </row>
    <row r="75" spans="1:14" x14ac:dyDescent="0.25">
      <c r="B75" s="952" t="s">
        <v>41</v>
      </c>
      <c r="C75" s="36">
        <f>AVERAGE(C70)*100</f>
        <v>79.310344827586206</v>
      </c>
      <c r="D75" s="962">
        <f t="shared" si="1"/>
        <v>3</v>
      </c>
      <c r="E75" s="962">
        <f>IF(E70&gt;=70,3,IF(AND(E70&gt;=60,E70&lt;70),2,IF(AND(E70&gt;=50,E70&lt;60),1)))</f>
        <v>3</v>
      </c>
      <c r="F75" s="962">
        <f>(50/100)*E75+(50/100)*D75</f>
        <v>3</v>
      </c>
      <c r="H75" s="944"/>
    </row>
    <row r="76" spans="1:14" x14ac:dyDescent="0.25">
      <c r="B76" s="952" t="s">
        <v>42</v>
      </c>
      <c r="C76" s="36">
        <f>AVERAGE(C70)*100</f>
        <v>79.310344827586206</v>
      </c>
      <c r="D76" s="962">
        <f t="shared" si="1"/>
        <v>3</v>
      </c>
      <c r="E76" s="962">
        <f>IF(E70&gt;=70,3,IF(AND(E70&gt;=60,E70&lt;70),2,IF(AND(E70&gt;=50,E70&lt;60),1)))</f>
        <v>3</v>
      </c>
      <c r="F76" s="962">
        <f>(50/100)*E76+(50/100)*D76</f>
        <v>3</v>
      </c>
      <c r="H76" s="944"/>
    </row>
    <row r="77" spans="1:14" x14ac:dyDescent="0.25">
      <c r="B77" s="951" t="s">
        <v>44</v>
      </c>
      <c r="C77" s="951"/>
      <c r="D77" s="951"/>
      <c r="E77" s="951"/>
      <c r="F77" s="962">
        <f>AVERAGE(F73:F73)</f>
        <v>3</v>
      </c>
      <c r="H77" s="342"/>
    </row>
    <row r="79" spans="1:14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4" x14ac:dyDescent="0.25">
      <c r="A80" s="2872" t="s">
        <v>134</v>
      </c>
      <c r="B80" s="2872"/>
      <c r="C80" s="472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966" t="s">
        <v>45</v>
      </c>
      <c r="C82" s="20" t="s">
        <v>46</v>
      </c>
      <c r="D82" s="20" t="s">
        <v>135</v>
      </c>
      <c r="E82" s="20" t="s">
        <v>48</v>
      </c>
      <c r="F82" s="20" t="s">
        <v>49</v>
      </c>
      <c r="G82" s="20" t="s">
        <v>50</v>
      </c>
      <c r="H82" s="20" t="s">
        <v>136</v>
      </c>
      <c r="I82" s="20" t="s">
        <v>52</v>
      </c>
      <c r="J82" s="20" t="s">
        <v>53</v>
      </c>
      <c r="K82" s="20" t="s">
        <v>54</v>
      </c>
      <c r="L82" s="20" t="s">
        <v>55</v>
      </c>
      <c r="M82" s="20" t="s">
        <v>56</v>
      </c>
      <c r="N82" s="20" t="s">
        <v>57</v>
      </c>
    </row>
    <row r="83" spans="1:14" x14ac:dyDescent="0.25">
      <c r="B83" s="20" t="s">
        <v>22</v>
      </c>
      <c r="C83" s="745">
        <v>3</v>
      </c>
      <c r="D83" s="745">
        <v>2</v>
      </c>
      <c r="E83" s="745">
        <v>2</v>
      </c>
      <c r="F83" s="745">
        <v>2</v>
      </c>
      <c r="G83" s="745">
        <v>3</v>
      </c>
      <c r="H83" s="745"/>
      <c r="I83" s="745"/>
      <c r="J83" s="745"/>
      <c r="K83" s="745">
        <v>3</v>
      </c>
      <c r="L83" s="745">
        <v>3</v>
      </c>
      <c r="M83" s="745">
        <v>3</v>
      </c>
      <c r="N83" s="745">
        <v>2</v>
      </c>
    </row>
    <row r="84" spans="1:14" x14ac:dyDescent="0.25">
      <c r="B84" s="20" t="s">
        <v>40</v>
      </c>
      <c r="C84" s="745">
        <v>3</v>
      </c>
      <c r="D84" s="745">
        <v>2</v>
      </c>
      <c r="E84" s="745">
        <v>2</v>
      </c>
      <c r="F84" s="745">
        <v>3</v>
      </c>
      <c r="G84" s="745">
        <v>3</v>
      </c>
      <c r="H84" s="745"/>
      <c r="I84" s="745"/>
      <c r="J84" s="745"/>
      <c r="K84" s="745">
        <v>3</v>
      </c>
      <c r="L84" s="745">
        <v>3</v>
      </c>
      <c r="M84" s="745">
        <v>3</v>
      </c>
      <c r="N84" s="745">
        <v>3</v>
      </c>
    </row>
    <row r="85" spans="1:14" x14ac:dyDescent="0.25">
      <c r="B85" s="20" t="s">
        <v>41</v>
      </c>
      <c r="C85" s="745">
        <v>3</v>
      </c>
      <c r="D85" s="745">
        <v>3</v>
      </c>
      <c r="E85" s="745">
        <v>3</v>
      </c>
      <c r="F85" s="745">
        <v>3</v>
      </c>
      <c r="G85" s="745">
        <v>3</v>
      </c>
      <c r="H85" s="745"/>
      <c r="I85" s="745">
        <v>2</v>
      </c>
      <c r="J85" s="745"/>
      <c r="K85" s="745">
        <v>3</v>
      </c>
      <c r="L85" s="745">
        <v>3</v>
      </c>
      <c r="M85" s="745">
        <v>3</v>
      </c>
      <c r="N85" s="745">
        <v>3</v>
      </c>
    </row>
    <row r="86" spans="1:14" x14ac:dyDescent="0.25">
      <c r="B86" s="20" t="s">
        <v>42</v>
      </c>
      <c r="C86" s="745">
        <v>3</v>
      </c>
      <c r="D86" s="745">
        <v>3</v>
      </c>
      <c r="E86" s="745">
        <v>3</v>
      </c>
      <c r="F86" s="745">
        <v>2</v>
      </c>
      <c r="G86" s="745">
        <v>3</v>
      </c>
      <c r="H86" s="745"/>
      <c r="I86" s="745">
        <v>2</v>
      </c>
      <c r="J86" s="745">
        <v>2</v>
      </c>
      <c r="K86" s="745">
        <v>3</v>
      </c>
      <c r="L86" s="745">
        <v>3</v>
      </c>
      <c r="M86" s="745">
        <v>3</v>
      </c>
      <c r="N86" s="745">
        <v>3</v>
      </c>
    </row>
    <row r="87" spans="1:14" x14ac:dyDescent="0.25">
      <c r="B87" s="966" t="s">
        <v>10</v>
      </c>
      <c r="C87" s="745">
        <f>AVERAGE(C83:C86)</f>
        <v>3</v>
      </c>
      <c r="D87" s="745">
        <f t="shared" ref="D87:N87" si="2">AVERAGE(D83:D86)</f>
        <v>2.5</v>
      </c>
      <c r="E87" s="745">
        <f t="shared" si="2"/>
        <v>2.5</v>
      </c>
      <c r="F87" s="745">
        <f t="shared" si="2"/>
        <v>2.5</v>
      </c>
      <c r="G87" s="745">
        <f t="shared" si="2"/>
        <v>3</v>
      </c>
      <c r="H87" s="745"/>
      <c r="I87" s="745">
        <f t="shared" si="2"/>
        <v>2</v>
      </c>
      <c r="J87" s="745">
        <f t="shared" si="2"/>
        <v>2</v>
      </c>
      <c r="K87" s="745">
        <f t="shared" si="2"/>
        <v>3</v>
      </c>
      <c r="L87" s="745">
        <f t="shared" si="2"/>
        <v>3</v>
      </c>
      <c r="M87" s="745">
        <f t="shared" si="2"/>
        <v>3</v>
      </c>
      <c r="N87" s="745">
        <f t="shared" si="2"/>
        <v>2.75</v>
      </c>
    </row>
    <row r="88" spans="1:14" x14ac:dyDescent="0.25">
      <c r="B88" s="966" t="s">
        <v>58</v>
      </c>
      <c r="C88" s="3311">
        <f>AVERAGE(C87:N87)</f>
        <v>2.6590909090909092</v>
      </c>
      <c r="D88" s="3312"/>
      <c r="E88" s="3312"/>
      <c r="F88" s="3312"/>
      <c r="G88" s="3312"/>
      <c r="H88" s="3312"/>
      <c r="I88" s="3312"/>
      <c r="J88" s="3312"/>
      <c r="K88" s="3312"/>
      <c r="L88" s="3312"/>
      <c r="M88" s="3312"/>
      <c r="N88" s="3313"/>
    </row>
    <row r="90" spans="1:14" x14ac:dyDescent="0.25">
      <c r="A90" s="2872" t="s">
        <v>323</v>
      </c>
      <c r="B90" s="2872"/>
      <c r="C90" s="472"/>
    </row>
    <row r="92" spans="1:14" x14ac:dyDescent="0.25">
      <c r="B92" s="966" t="s">
        <v>45</v>
      </c>
      <c r="C92" s="960" t="s">
        <v>68</v>
      </c>
      <c r="D92" s="960" t="s">
        <v>69</v>
      </c>
      <c r="E92" s="960" t="s">
        <v>70</v>
      </c>
      <c r="F92" s="960" t="s">
        <v>71</v>
      </c>
      <c r="G92" s="960" t="s">
        <v>72</v>
      </c>
      <c r="H92" s="960" t="s">
        <v>73</v>
      </c>
      <c r="I92" s="960" t="s">
        <v>74</v>
      </c>
      <c r="J92" s="960" t="s">
        <v>75</v>
      </c>
      <c r="K92" s="960" t="s">
        <v>76</v>
      </c>
      <c r="L92" s="960" t="s">
        <v>77</v>
      </c>
      <c r="M92" s="960" t="s">
        <v>78</v>
      </c>
      <c r="N92" s="960" t="s">
        <v>79</v>
      </c>
    </row>
    <row r="93" spans="1:14" x14ac:dyDescent="0.25">
      <c r="B93" s="957" t="s">
        <v>20</v>
      </c>
      <c r="C93" s="907">
        <f>F73*C83/3</f>
        <v>3</v>
      </c>
      <c r="D93" s="907">
        <f>F73*D83/3</f>
        <v>2</v>
      </c>
      <c r="E93" s="907">
        <f>F73*E83/3</f>
        <v>2</v>
      </c>
      <c r="F93" s="907">
        <f>F73*F83/3</f>
        <v>2</v>
      </c>
      <c r="G93" s="907">
        <f>F73*G83/3</f>
        <v>3</v>
      </c>
      <c r="H93" s="907"/>
      <c r="I93" s="907"/>
      <c r="J93" s="907"/>
      <c r="K93" s="907">
        <f>F73*K83/3</f>
        <v>3</v>
      </c>
      <c r="L93" s="907">
        <f>F73*L83/3</f>
        <v>3</v>
      </c>
      <c r="M93" s="907">
        <f>F73*M83/3</f>
        <v>3</v>
      </c>
      <c r="N93" s="907">
        <f>F73*N83/3</f>
        <v>2</v>
      </c>
    </row>
    <row r="94" spans="1:14" x14ac:dyDescent="0.25">
      <c r="B94" s="957" t="s">
        <v>21</v>
      </c>
      <c r="C94" s="907">
        <f>F74*C84/3</f>
        <v>3</v>
      </c>
      <c r="D94" s="907">
        <f>F74*D84/3</f>
        <v>2</v>
      </c>
      <c r="E94" s="907">
        <f>F74*E84/3</f>
        <v>2</v>
      </c>
      <c r="F94" s="907">
        <f>F74*F84/3</f>
        <v>3</v>
      </c>
      <c r="G94" s="907">
        <f>F74*G84/3</f>
        <v>3</v>
      </c>
      <c r="H94" s="907"/>
      <c r="I94" s="907"/>
      <c r="J94" s="907"/>
      <c r="K94" s="907">
        <f>F74*K84/3</f>
        <v>3</v>
      </c>
      <c r="L94" s="907">
        <f>F74*L84/3</f>
        <v>3</v>
      </c>
      <c r="M94" s="907">
        <f>F74*M84/3</f>
        <v>3</v>
      </c>
      <c r="N94" s="907">
        <f>F74*N84/3</f>
        <v>3</v>
      </c>
    </row>
    <row r="95" spans="1:14" x14ac:dyDescent="0.25">
      <c r="B95" s="957" t="s">
        <v>23</v>
      </c>
      <c r="C95" s="907">
        <f>F75*C85/3</f>
        <v>3</v>
      </c>
      <c r="D95" s="907">
        <f>F75*D85/3</f>
        <v>3</v>
      </c>
      <c r="E95" s="907">
        <f>F75*E85/3</f>
        <v>3</v>
      </c>
      <c r="F95" s="907">
        <f>F75*F85/3</f>
        <v>3</v>
      </c>
      <c r="G95" s="907">
        <f>F75*G85/3</f>
        <v>3</v>
      </c>
      <c r="H95" s="907"/>
      <c r="I95" s="907">
        <f>F75*I85/3</f>
        <v>2</v>
      </c>
      <c r="J95" s="907"/>
      <c r="K95" s="907">
        <f>F75*K85/3</f>
        <v>3</v>
      </c>
      <c r="L95" s="907">
        <f>F75*L85/3</f>
        <v>3</v>
      </c>
      <c r="M95" s="907">
        <f>F75*M85/3</f>
        <v>3</v>
      </c>
      <c r="N95" s="907">
        <f>F75*N85/3</f>
        <v>3</v>
      </c>
    </row>
    <row r="96" spans="1:14" x14ac:dyDescent="0.25">
      <c r="B96" s="957" t="s">
        <v>25</v>
      </c>
      <c r="C96" s="907">
        <f>F76*C86/3</f>
        <v>3</v>
      </c>
      <c r="D96" s="907">
        <f>F76*D86/3</f>
        <v>3</v>
      </c>
      <c r="E96" s="907">
        <f>F76*E86/3</f>
        <v>3</v>
      </c>
      <c r="F96" s="907">
        <f>F76*F86/3</f>
        <v>2</v>
      </c>
      <c r="G96" s="907">
        <f>F76*G86/3</f>
        <v>3</v>
      </c>
      <c r="H96" s="907"/>
      <c r="I96" s="907">
        <f>F76*I86/3</f>
        <v>2</v>
      </c>
      <c r="J96" s="907">
        <f>F76*J86/3</f>
        <v>2</v>
      </c>
      <c r="K96" s="907">
        <f>F76*K86/3</f>
        <v>3</v>
      </c>
      <c r="L96" s="907">
        <f>F76*L86/3</f>
        <v>3</v>
      </c>
      <c r="M96" s="907">
        <f>F76*M86/3</f>
        <v>3</v>
      </c>
      <c r="N96" s="907">
        <f>F76*N86/3</f>
        <v>3</v>
      </c>
    </row>
    <row r="97" spans="1:14" x14ac:dyDescent="0.25">
      <c r="B97" s="966" t="s">
        <v>10</v>
      </c>
      <c r="C97" s="908">
        <f>AVERAGE(C93:C96)</f>
        <v>3</v>
      </c>
      <c r="D97" s="908">
        <f t="shared" ref="D97:N97" si="3">AVERAGE(D93:D96)</f>
        <v>2.5</v>
      </c>
      <c r="E97" s="908">
        <f t="shared" si="3"/>
        <v>2.5</v>
      </c>
      <c r="F97" s="908">
        <f t="shared" si="3"/>
        <v>2.5</v>
      </c>
      <c r="G97" s="908">
        <f t="shared" si="3"/>
        <v>3</v>
      </c>
      <c r="H97" s="908"/>
      <c r="I97" s="908">
        <f t="shared" si="3"/>
        <v>2</v>
      </c>
      <c r="J97" s="908">
        <f t="shared" si="3"/>
        <v>2</v>
      </c>
      <c r="K97" s="908">
        <f t="shared" si="3"/>
        <v>3</v>
      </c>
      <c r="L97" s="908">
        <f t="shared" si="3"/>
        <v>3</v>
      </c>
      <c r="M97" s="908">
        <f t="shared" si="3"/>
        <v>3</v>
      </c>
      <c r="N97" s="908">
        <f t="shared" si="3"/>
        <v>2.75</v>
      </c>
    </row>
    <row r="98" spans="1:14" x14ac:dyDescent="0.25">
      <c r="B98" s="966" t="s">
        <v>58</v>
      </c>
      <c r="C98" s="3024">
        <f>AVERAGE(C97:N97)</f>
        <v>2.6590909090909092</v>
      </c>
      <c r="D98" s="3310"/>
      <c r="E98" s="3310"/>
      <c r="F98" s="3310"/>
      <c r="G98" s="3310"/>
      <c r="H98" s="3310"/>
      <c r="I98" s="3310"/>
      <c r="J98" s="3310"/>
      <c r="K98" s="3310"/>
      <c r="L98" s="3310"/>
      <c r="M98" s="3310"/>
      <c r="N98" s="3026"/>
    </row>
    <row r="100" spans="1:14" x14ac:dyDescent="0.25">
      <c r="B100" s="342"/>
      <c r="C100" s="342"/>
      <c r="D100" s="342"/>
      <c r="E100" s="342"/>
      <c r="F100" s="735"/>
      <c r="G100" s="735"/>
      <c r="H100" s="735"/>
      <c r="I100" s="735"/>
      <c r="J100" s="735"/>
      <c r="K100" s="735"/>
      <c r="L100" s="735"/>
      <c r="M100" s="735"/>
      <c r="N100" s="735"/>
    </row>
    <row r="101" spans="1:14" x14ac:dyDescent="0.25">
      <c r="A101" s="2872" t="s">
        <v>137</v>
      </c>
      <c r="B101" s="2872"/>
      <c r="C101" s="19"/>
      <c r="D101" s="19"/>
      <c r="E101" s="19"/>
      <c r="F101" s="22"/>
      <c r="G101" s="2872" t="s">
        <v>324</v>
      </c>
      <c r="H101" s="2872"/>
      <c r="I101" s="22"/>
      <c r="J101" s="22"/>
      <c r="K101" s="22"/>
      <c r="L101" s="22"/>
      <c r="M101" s="22"/>
      <c r="N101" s="22"/>
    </row>
    <row r="102" spans="1:14" x14ac:dyDescent="0.25">
      <c r="B102" s="472"/>
      <c r="C102" s="472"/>
      <c r="D102" s="19"/>
      <c r="E102" s="19"/>
      <c r="F102" s="22"/>
      <c r="G102" s="2872"/>
      <c r="H102" s="2872"/>
      <c r="I102" s="22"/>
      <c r="J102" s="22"/>
      <c r="K102" s="22"/>
      <c r="L102" s="22"/>
      <c r="M102" s="22"/>
      <c r="N102" s="22"/>
    </row>
    <row r="103" spans="1:14" x14ac:dyDescent="0.25">
      <c r="B103" s="966" t="s">
        <v>59</v>
      </c>
      <c r="C103" s="748" t="s">
        <v>87</v>
      </c>
      <c r="D103" s="748" t="s">
        <v>88</v>
      </c>
      <c r="E103" s="748" t="s">
        <v>85</v>
      </c>
      <c r="F103" s="953"/>
      <c r="G103" s="966" t="s">
        <v>59</v>
      </c>
      <c r="H103" s="960" t="s">
        <v>60</v>
      </c>
      <c r="I103" s="960" t="s">
        <v>61</v>
      </c>
      <c r="J103" s="960" t="s">
        <v>62</v>
      </c>
      <c r="L103" s="953"/>
      <c r="M103" s="953"/>
      <c r="N103" s="953"/>
    </row>
    <row r="104" spans="1:14" x14ac:dyDescent="0.25">
      <c r="B104" s="572" t="s">
        <v>22</v>
      </c>
      <c r="C104" s="856">
        <v>3</v>
      </c>
      <c r="D104" s="856">
        <v>1</v>
      </c>
      <c r="E104" s="856"/>
      <c r="F104" s="953"/>
      <c r="G104" s="967" t="s">
        <v>20</v>
      </c>
      <c r="H104" s="907">
        <f>F73*C104/3</f>
        <v>3</v>
      </c>
      <c r="I104" s="907">
        <f>F73*D104/3</f>
        <v>1</v>
      </c>
      <c r="J104" s="907"/>
      <c r="L104" s="953"/>
      <c r="M104" s="953"/>
      <c r="N104" s="953"/>
    </row>
    <row r="105" spans="1:14" x14ac:dyDescent="0.25">
      <c r="B105" s="572" t="s">
        <v>40</v>
      </c>
      <c r="C105" s="856">
        <v>3</v>
      </c>
      <c r="D105" s="856">
        <v>3</v>
      </c>
      <c r="E105" s="856"/>
      <c r="F105" s="24"/>
      <c r="G105" s="967" t="s">
        <v>21</v>
      </c>
      <c r="H105" s="907">
        <f>F74*C105/3</f>
        <v>3</v>
      </c>
      <c r="I105" s="907">
        <f>F74*D105/3</f>
        <v>3</v>
      </c>
      <c r="J105" s="907"/>
      <c r="L105" s="24"/>
      <c r="M105" s="24"/>
      <c r="N105" s="24"/>
    </row>
    <row r="106" spans="1:14" x14ac:dyDescent="0.25">
      <c r="B106" s="572" t="s">
        <v>41</v>
      </c>
      <c r="C106" s="856">
        <v>3</v>
      </c>
      <c r="D106" s="856">
        <v>3</v>
      </c>
      <c r="E106" s="856"/>
      <c r="F106" s="24"/>
      <c r="G106" s="967" t="s">
        <v>23</v>
      </c>
      <c r="H106" s="907">
        <f>F75*C106/3</f>
        <v>3</v>
      </c>
      <c r="I106" s="907">
        <f>F75*D106/3</f>
        <v>3</v>
      </c>
      <c r="J106" s="907"/>
      <c r="L106" s="24"/>
      <c r="M106" s="24"/>
      <c r="N106" s="24"/>
    </row>
    <row r="107" spans="1:14" x14ac:dyDescent="0.25">
      <c r="B107" s="572" t="s">
        <v>42</v>
      </c>
      <c r="C107" s="749">
        <v>3</v>
      </c>
      <c r="D107" s="856">
        <v>3</v>
      </c>
      <c r="E107" s="856">
        <v>2</v>
      </c>
      <c r="F107" s="24"/>
      <c r="G107" s="967" t="s">
        <v>25</v>
      </c>
      <c r="H107" s="907">
        <f>F76*C107/3</f>
        <v>3</v>
      </c>
      <c r="I107" s="907">
        <f>F76*D107/3</f>
        <v>3</v>
      </c>
      <c r="J107" s="907">
        <f>F76*E107/3</f>
        <v>2</v>
      </c>
      <c r="L107" s="24"/>
      <c r="M107" s="24"/>
      <c r="N107" s="24"/>
    </row>
    <row r="108" spans="1:14" x14ac:dyDescent="0.25">
      <c r="B108" s="966" t="s">
        <v>10</v>
      </c>
      <c r="C108" s="909">
        <f>AVERAGE(C104:C107)</f>
        <v>3</v>
      </c>
      <c r="D108" s="909">
        <f t="shared" ref="D108:E108" si="4">AVERAGE(D104:D107)</f>
        <v>2.5</v>
      </c>
      <c r="E108" s="909">
        <f t="shared" si="4"/>
        <v>2</v>
      </c>
      <c r="F108" s="910"/>
      <c r="G108" s="966" t="s">
        <v>10</v>
      </c>
      <c r="H108" s="911">
        <f>AVERAGE(H104:H107)</f>
        <v>3</v>
      </c>
      <c r="I108" s="911">
        <f t="shared" ref="I108:J108" si="5">AVERAGE(I104:I107)</f>
        <v>2.5</v>
      </c>
      <c r="J108" s="911">
        <f t="shared" si="5"/>
        <v>2</v>
      </c>
      <c r="L108" s="910"/>
      <c r="M108" s="910"/>
      <c r="N108" s="910"/>
    </row>
    <row r="109" spans="1:14" x14ac:dyDescent="0.25">
      <c r="B109" s="966" t="s">
        <v>58</v>
      </c>
      <c r="C109" s="3307">
        <f>AVERAGE(C108:E108)</f>
        <v>2.5</v>
      </c>
      <c r="D109" s="3308"/>
      <c r="E109" s="3309"/>
      <c r="F109" s="912"/>
      <c r="G109" s="966" t="s">
        <v>58</v>
      </c>
      <c r="H109" s="3024">
        <f>AVERAGE(H108:J108)</f>
        <v>2.5</v>
      </c>
      <c r="I109" s="3310"/>
      <c r="J109" s="3026"/>
      <c r="L109" s="912"/>
      <c r="M109" s="912"/>
      <c r="N109" s="912"/>
    </row>
  </sheetData>
  <mergeCells count="19">
    <mergeCell ref="A2:B2"/>
    <mergeCell ref="A3:B3"/>
    <mergeCell ref="A4:B4"/>
    <mergeCell ref="A5:A7"/>
    <mergeCell ref="B5:B7"/>
    <mergeCell ref="C109:E109"/>
    <mergeCell ref="H109:J109"/>
    <mergeCell ref="D5:D7"/>
    <mergeCell ref="E5:E7"/>
    <mergeCell ref="A69:B69"/>
    <mergeCell ref="A70:B70"/>
    <mergeCell ref="A80:B80"/>
    <mergeCell ref="C88:N88"/>
    <mergeCell ref="C5:C7"/>
    <mergeCell ref="A90:B90"/>
    <mergeCell ref="C98:N98"/>
    <mergeCell ref="A101:B101"/>
    <mergeCell ref="G101:H101"/>
    <mergeCell ref="G102:H102"/>
  </mergeCells>
  <conditionalFormatting sqref="D43:D66">
    <cfRule type="containsText" dxfId="30" priority="3" operator="containsText" text="F">
      <formula>NOT(ISERROR(SEARCH("F",D43)))</formula>
    </cfRule>
  </conditionalFormatting>
  <conditionalFormatting sqref="C9:C66">
    <cfRule type="cellIs" dxfId="29" priority="2" operator="lessThan">
      <formula>25</formula>
    </cfRule>
  </conditionalFormatting>
  <conditionalFormatting sqref="D9:D42">
    <cfRule type="containsText" dxfId="28" priority="1" operator="containsText" text="F">
      <formula>NOT(ISERROR(SEARCH("F",D9)))</formula>
    </cfRule>
  </conditionalFormatting>
  <pageMargins left="0.7" right="0.7" top="0.75" bottom="0.75" header="0.3" footer="0.3"/>
  <pageSetup paperSize="8" scale="5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1"/>
  <sheetViews>
    <sheetView topLeftCell="A66" zoomScale="64" zoomScaleNormal="59" workbookViewId="0">
      <selection activeCell="H102" sqref="H102"/>
    </sheetView>
  </sheetViews>
  <sheetFormatPr defaultColWidth="9.140625" defaultRowHeight="31.5" customHeight="1" x14ac:dyDescent="0.25"/>
  <cols>
    <col min="1" max="1" width="15.140625" style="2271" bestFit="1" customWidth="1"/>
    <col min="2" max="2" width="18.28515625" style="2271" bestFit="1" customWidth="1"/>
    <col min="3" max="7" width="8.7109375" style="2501" customWidth="1"/>
    <col min="8" max="8" width="9.42578125" style="2501" customWidth="1"/>
    <col min="9" max="9" width="12.140625" style="2501" customWidth="1"/>
    <col min="10" max="12" width="8.7109375" style="2501" customWidth="1"/>
    <col min="13" max="13" width="11.28515625" style="2501" customWidth="1"/>
    <col min="14" max="14" width="10.5703125" style="806" customWidth="1"/>
    <col min="15" max="15" width="10.5703125" style="2271" customWidth="1"/>
    <col min="16" max="18" width="11.140625" style="2271" bestFit="1" customWidth="1"/>
    <col min="19" max="20" width="9.140625" style="2271"/>
    <col min="21" max="22" width="10.42578125" style="2271" customWidth="1"/>
    <col min="23" max="23" width="11.7109375" style="2271" customWidth="1"/>
    <col min="24" max="24" width="8.7109375" style="2271" customWidth="1"/>
    <col min="25" max="25" width="11.28515625" style="2271" customWidth="1"/>
    <col min="26" max="26" width="10.5703125" style="806" customWidth="1"/>
    <col min="27" max="28" width="9.140625" style="2271"/>
    <col min="29" max="29" width="8" style="2271" customWidth="1"/>
    <col min="30" max="30" width="17.140625" style="2271" bestFit="1" customWidth="1"/>
    <col min="31" max="16384" width="9.140625" style="2271"/>
  </cols>
  <sheetData>
    <row r="1" spans="1:29" ht="15.75" x14ac:dyDescent="0.25">
      <c r="A1" s="333"/>
    </row>
    <row r="2" spans="1:29" ht="20.25" x14ac:dyDescent="0.3">
      <c r="A2" s="3663" t="s">
        <v>0</v>
      </c>
      <c r="B2" s="3664"/>
      <c r="C2" s="3665" t="s">
        <v>413</v>
      </c>
      <c r="D2" s="3784"/>
      <c r="E2" s="3784"/>
      <c r="F2" s="3784"/>
      <c r="G2" s="3784"/>
      <c r="H2" s="3784"/>
      <c r="I2" s="3784"/>
      <c r="J2" s="3784"/>
      <c r="K2" s="3784"/>
      <c r="L2" s="3784"/>
      <c r="M2" s="3784"/>
      <c r="N2" s="3666"/>
      <c r="O2" s="861" t="s">
        <v>63</v>
      </c>
      <c r="P2" s="3667" t="s">
        <v>299</v>
      </c>
      <c r="Q2" s="3785"/>
      <c r="R2" s="3785"/>
      <c r="S2" s="3785"/>
      <c r="T2" s="3785"/>
      <c r="U2" s="3785"/>
      <c r="V2" s="3785"/>
      <c r="W2" s="3785"/>
      <c r="X2" s="3785"/>
      <c r="Y2" s="3785"/>
      <c r="Z2" s="3785"/>
      <c r="AA2" s="474"/>
      <c r="AB2" s="474"/>
      <c r="AC2" s="474"/>
    </row>
    <row r="3" spans="1:29" ht="20.25" x14ac:dyDescent="0.3">
      <c r="A3" s="3663" t="s">
        <v>1</v>
      </c>
      <c r="B3" s="3664"/>
      <c r="C3" s="3665" t="s">
        <v>414</v>
      </c>
      <c r="D3" s="3784"/>
      <c r="E3" s="3784"/>
      <c r="F3" s="3784"/>
      <c r="G3" s="3784"/>
      <c r="H3" s="3784"/>
      <c r="I3" s="3784"/>
      <c r="J3" s="3784"/>
      <c r="K3" s="3784"/>
      <c r="L3" s="3784"/>
      <c r="M3" s="3784"/>
      <c r="N3" s="3666"/>
      <c r="O3" s="862" t="s">
        <v>64</v>
      </c>
      <c r="P3" s="3667" t="s">
        <v>232</v>
      </c>
      <c r="Q3" s="3785"/>
      <c r="R3" s="3785"/>
      <c r="S3" s="3785"/>
      <c r="T3" s="3785"/>
      <c r="U3" s="3785"/>
      <c r="V3" s="3785"/>
      <c r="W3" s="3785"/>
      <c r="X3" s="3785"/>
      <c r="Y3" s="3785"/>
      <c r="Z3" s="3785"/>
      <c r="AA3" s="474"/>
      <c r="AB3" s="474"/>
      <c r="AC3" s="474"/>
    </row>
    <row r="4" spans="1:29" ht="21" thickBot="1" x14ac:dyDescent="0.35">
      <c r="A4" s="2552"/>
      <c r="B4" s="2553" t="s">
        <v>2</v>
      </c>
      <c r="C4" s="3786" t="s">
        <v>301</v>
      </c>
      <c r="D4" s="3787"/>
      <c r="E4" s="3787"/>
      <c r="F4" s="3787"/>
      <c r="G4" s="3787"/>
      <c r="H4" s="3787"/>
      <c r="I4" s="3787"/>
      <c r="J4" s="3787"/>
      <c r="K4" s="3787"/>
      <c r="L4" s="3787"/>
      <c r="M4" s="3787"/>
      <c r="N4" s="3788"/>
      <c r="O4" s="2554" t="s">
        <v>65</v>
      </c>
      <c r="P4" s="3547" t="s">
        <v>66</v>
      </c>
      <c r="Q4" s="3548"/>
      <c r="R4" s="3548"/>
      <c r="S4" s="3548"/>
      <c r="T4" s="3548"/>
      <c r="U4" s="3548"/>
      <c r="V4" s="3548"/>
      <c r="W4" s="3548"/>
      <c r="X4" s="3548"/>
      <c r="Y4" s="3548"/>
      <c r="Z4" s="3548"/>
      <c r="AA4" s="474"/>
      <c r="AB4" s="474"/>
      <c r="AC4" s="474"/>
    </row>
    <row r="5" spans="1:29" ht="17.25" thickBot="1" x14ac:dyDescent="0.3">
      <c r="A5" s="3470"/>
      <c r="B5" s="3789"/>
      <c r="C5" s="3790" t="s">
        <v>302</v>
      </c>
      <c r="D5" s="3791"/>
      <c r="E5" s="3791"/>
      <c r="F5" s="3791"/>
      <c r="G5" s="3791"/>
      <c r="H5" s="3791"/>
      <c r="I5" s="3791"/>
      <c r="J5" s="3791"/>
      <c r="K5" s="3791"/>
      <c r="L5" s="3791"/>
      <c r="M5" s="3791"/>
      <c r="N5" s="3792"/>
      <c r="O5" s="3476" t="s">
        <v>303</v>
      </c>
      <c r="P5" s="3476"/>
      <c r="Q5" s="3476"/>
      <c r="R5" s="3476"/>
      <c r="S5" s="3476"/>
      <c r="T5" s="3476"/>
      <c r="U5" s="3476"/>
      <c r="V5" s="3476"/>
      <c r="W5" s="3476"/>
      <c r="X5" s="3476"/>
      <c r="Y5" s="3476"/>
      <c r="Z5" s="3476"/>
      <c r="AA5" s="2515"/>
      <c r="AB5" s="598"/>
      <c r="AC5" s="598"/>
    </row>
    <row r="6" spans="1:29" ht="15.75" customHeight="1" thickBot="1" x14ac:dyDescent="0.3">
      <c r="A6" s="3807"/>
      <c r="B6" s="3810" t="s">
        <v>5</v>
      </c>
      <c r="C6" s="3812" t="s">
        <v>6</v>
      </c>
      <c r="D6" s="3812"/>
      <c r="E6" s="3812"/>
      <c r="F6" s="3813" t="s">
        <v>7</v>
      </c>
      <c r="G6" s="3814"/>
      <c r="H6" s="3813" t="s">
        <v>8</v>
      </c>
      <c r="I6" s="3814"/>
      <c r="J6" s="3798" t="s">
        <v>9</v>
      </c>
      <c r="K6" s="3795"/>
      <c r="L6" s="3798" t="s">
        <v>236</v>
      </c>
      <c r="M6" s="3795"/>
      <c r="N6" s="3803" t="s">
        <v>146</v>
      </c>
      <c r="O6" s="3479" t="s">
        <v>6</v>
      </c>
      <c r="P6" s="3480"/>
      <c r="Q6" s="3481"/>
      <c r="R6" s="3501" t="s">
        <v>7</v>
      </c>
      <c r="S6" s="3802"/>
      <c r="T6" s="3501" t="s">
        <v>8</v>
      </c>
      <c r="U6" s="3802"/>
      <c r="V6" s="3572" t="s">
        <v>9</v>
      </c>
      <c r="W6" s="3572"/>
      <c r="X6" s="3501" t="s">
        <v>236</v>
      </c>
      <c r="Y6" s="3502"/>
      <c r="Z6" s="3803" t="s">
        <v>147</v>
      </c>
      <c r="AA6" s="3793" t="s">
        <v>233</v>
      </c>
      <c r="AB6" s="3796" t="s">
        <v>11</v>
      </c>
      <c r="AC6" s="3799" t="s">
        <v>12</v>
      </c>
    </row>
    <row r="7" spans="1:29" ht="15.75" customHeight="1" x14ac:dyDescent="0.25">
      <c r="A7" s="3808"/>
      <c r="B7" s="3811"/>
      <c r="C7" s="2500" t="s">
        <v>13</v>
      </c>
      <c r="D7" s="2506" t="s">
        <v>14</v>
      </c>
      <c r="E7" s="2498" t="s">
        <v>15</v>
      </c>
      <c r="F7" s="816" t="s">
        <v>13</v>
      </c>
      <c r="G7" s="817" t="s">
        <v>14</v>
      </c>
      <c r="H7" s="816" t="s">
        <v>13</v>
      </c>
      <c r="I7" s="817" t="s">
        <v>14</v>
      </c>
      <c r="J7" s="816" t="s">
        <v>13</v>
      </c>
      <c r="K7" s="817" t="s">
        <v>14</v>
      </c>
      <c r="L7" s="2505" t="s">
        <v>13</v>
      </c>
      <c r="M7" s="817" t="s">
        <v>14</v>
      </c>
      <c r="N7" s="3804"/>
      <c r="O7" s="816" t="s">
        <v>13</v>
      </c>
      <c r="P7" s="2506" t="s">
        <v>14</v>
      </c>
      <c r="Q7" s="817" t="s">
        <v>15</v>
      </c>
      <c r="R7" s="816" t="s">
        <v>13</v>
      </c>
      <c r="S7" s="817" t="s">
        <v>14</v>
      </c>
      <c r="T7" s="816" t="s">
        <v>13</v>
      </c>
      <c r="U7" s="2498" t="s">
        <v>14</v>
      </c>
      <c r="V7" s="2504" t="s">
        <v>13</v>
      </c>
      <c r="W7" s="2519" t="s">
        <v>14</v>
      </c>
      <c r="X7" s="816" t="s">
        <v>13</v>
      </c>
      <c r="Y7" s="2498" t="s">
        <v>14</v>
      </c>
      <c r="Z7" s="3804"/>
      <c r="AA7" s="3794"/>
      <c r="AB7" s="3797"/>
      <c r="AC7" s="3800"/>
    </row>
    <row r="8" spans="1:29" ht="16.5" x14ac:dyDescent="0.25">
      <c r="A8" s="3809"/>
      <c r="B8" s="2555" t="s">
        <v>19</v>
      </c>
      <c r="C8" s="2508" t="s">
        <v>40</v>
      </c>
      <c r="D8" s="818" t="s">
        <v>21</v>
      </c>
      <c r="E8" s="847" t="s">
        <v>23</v>
      </c>
      <c r="F8" s="847" t="s">
        <v>40</v>
      </c>
      <c r="G8" s="831" t="s">
        <v>20</v>
      </c>
      <c r="H8" s="847" t="s">
        <v>21</v>
      </c>
      <c r="I8" s="819" t="s">
        <v>41</v>
      </c>
      <c r="J8" s="848" t="s">
        <v>40</v>
      </c>
      <c r="K8" s="2556" t="s">
        <v>40</v>
      </c>
      <c r="L8" s="849" t="s">
        <v>40</v>
      </c>
      <c r="M8" s="2557" t="s">
        <v>41</v>
      </c>
      <c r="N8" s="3805"/>
      <c r="O8" s="818" t="s">
        <v>41</v>
      </c>
      <c r="P8" s="2509" t="s">
        <v>43</v>
      </c>
      <c r="Q8" s="819" t="s">
        <v>42</v>
      </c>
      <c r="R8" s="818" t="s">
        <v>42</v>
      </c>
      <c r="S8" s="819" t="s">
        <v>415</v>
      </c>
      <c r="T8" s="818" t="s">
        <v>416</v>
      </c>
      <c r="U8" s="2507" t="s">
        <v>416</v>
      </c>
      <c r="V8" s="818" t="s">
        <v>417</v>
      </c>
      <c r="W8" s="2507" t="s">
        <v>417</v>
      </c>
      <c r="X8" s="818" t="s">
        <v>416</v>
      </c>
      <c r="Y8" s="847" t="s">
        <v>41</v>
      </c>
      <c r="Z8" s="3805"/>
      <c r="AA8" s="3795"/>
      <c r="AB8" s="3798"/>
      <c r="AC8" s="3801"/>
    </row>
    <row r="9" spans="1:29" ht="16.5" x14ac:dyDescent="0.25">
      <c r="A9" s="2558" t="s">
        <v>18</v>
      </c>
      <c r="B9" s="482" t="s">
        <v>26</v>
      </c>
      <c r="C9" s="2508">
        <v>2</v>
      </c>
      <c r="D9" s="2509">
        <v>2</v>
      </c>
      <c r="E9" s="2507">
        <v>2</v>
      </c>
      <c r="F9" s="818">
        <v>6</v>
      </c>
      <c r="G9" s="819">
        <v>6</v>
      </c>
      <c r="H9" s="818">
        <v>6</v>
      </c>
      <c r="I9" s="819">
        <v>6</v>
      </c>
      <c r="J9" s="818">
        <v>6</v>
      </c>
      <c r="K9" s="2559">
        <v>6</v>
      </c>
      <c r="L9" s="816">
        <v>6</v>
      </c>
      <c r="M9" s="817">
        <v>6</v>
      </c>
      <c r="N9" s="2560">
        <v>30</v>
      </c>
      <c r="O9" s="818">
        <v>2</v>
      </c>
      <c r="P9" s="2509">
        <v>2</v>
      </c>
      <c r="Q9" s="819">
        <v>2</v>
      </c>
      <c r="R9" s="818">
        <v>6</v>
      </c>
      <c r="S9" s="819">
        <v>6</v>
      </c>
      <c r="T9" s="818">
        <v>6</v>
      </c>
      <c r="U9" s="2507">
        <v>6</v>
      </c>
      <c r="V9" s="818">
        <v>6</v>
      </c>
      <c r="W9" s="2507">
        <v>6</v>
      </c>
      <c r="X9" s="2509">
        <v>6</v>
      </c>
      <c r="Y9" s="2499">
        <v>6</v>
      </c>
      <c r="Z9" s="2560">
        <v>30</v>
      </c>
      <c r="AA9" s="483"/>
      <c r="AB9" s="483"/>
      <c r="AC9" s="483"/>
    </row>
    <row r="10" spans="1:29" ht="18.75" x14ac:dyDescent="0.25">
      <c r="A10" s="2558">
        <v>1</v>
      </c>
      <c r="B10" s="2561">
        <v>5191421001</v>
      </c>
      <c r="C10" s="2562">
        <v>1</v>
      </c>
      <c r="D10" s="2502">
        <v>2</v>
      </c>
      <c r="E10" s="2316">
        <v>1</v>
      </c>
      <c r="F10" s="841">
        <v>6</v>
      </c>
      <c r="G10" s="840">
        <v>4</v>
      </c>
      <c r="H10" s="841"/>
      <c r="I10" s="2425"/>
      <c r="J10" s="841">
        <v>5</v>
      </c>
      <c r="K10" s="2426">
        <v>5</v>
      </c>
      <c r="L10" s="820"/>
      <c r="M10" s="821"/>
      <c r="N10" s="2563">
        <v>24</v>
      </c>
      <c r="O10" s="822">
        <v>2</v>
      </c>
      <c r="P10" s="813"/>
      <c r="Q10" s="832"/>
      <c r="R10" s="822">
        <v>5</v>
      </c>
      <c r="S10" s="821">
        <v>5</v>
      </c>
      <c r="T10" s="820"/>
      <c r="U10" s="838"/>
      <c r="V10" s="820">
        <v>5</v>
      </c>
      <c r="W10" s="838">
        <v>6</v>
      </c>
      <c r="X10" s="820"/>
      <c r="Y10" s="2564"/>
      <c r="Z10" s="2565">
        <v>26</v>
      </c>
      <c r="AA10" s="2566">
        <v>8</v>
      </c>
      <c r="AB10" s="2287" t="s">
        <v>27</v>
      </c>
      <c r="AC10" s="2513">
        <f>IF(AB10="O",100,IF(AB10="A+",90,IF(AB10="A",80,IF(AB10="B+",70,IF(AB10="B",60,IF(AB10="C",55,IF(AB10="P",50,IF(AB10="F",39))))))))</f>
        <v>80</v>
      </c>
    </row>
    <row r="11" spans="1:29" ht="18.75" x14ac:dyDescent="0.25">
      <c r="A11" s="2567">
        <v>2</v>
      </c>
      <c r="B11" s="2568">
        <v>5191421002</v>
      </c>
      <c r="C11" s="2569">
        <v>2</v>
      </c>
      <c r="D11" s="2570">
        <v>2</v>
      </c>
      <c r="E11" s="2571">
        <v>2</v>
      </c>
      <c r="F11" s="2572">
        <v>5</v>
      </c>
      <c r="G11" s="2573">
        <v>4</v>
      </c>
      <c r="H11" s="2572"/>
      <c r="I11" s="2574"/>
      <c r="J11" s="2572">
        <v>4</v>
      </c>
      <c r="K11" s="2573">
        <v>6</v>
      </c>
      <c r="L11" s="820"/>
      <c r="M11" s="821"/>
      <c r="N11" s="2575">
        <v>25</v>
      </c>
      <c r="O11" s="2576">
        <v>1</v>
      </c>
      <c r="P11" s="2577">
        <v>2</v>
      </c>
      <c r="Q11" s="2578">
        <v>2</v>
      </c>
      <c r="R11" s="2576"/>
      <c r="S11" s="821"/>
      <c r="T11" s="820">
        <v>5</v>
      </c>
      <c r="U11" s="838">
        <v>4</v>
      </c>
      <c r="V11" s="820"/>
      <c r="W11" s="838"/>
      <c r="X11" s="2572">
        <v>2</v>
      </c>
      <c r="Y11" s="2579">
        <v>4</v>
      </c>
      <c r="Z11" s="2565">
        <v>24</v>
      </c>
      <c r="AA11" s="2566">
        <v>10</v>
      </c>
      <c r="AB11" s="2287" t="s">
        <v>33</v>
      </c>
      <c r="AC11" s="2513">
        <f t="shared" ref="AC11:AC67" si="0">IF(AB11="O",100,IF(AB11="A+",90,IF(AB11="A",80,IF(AB11="B+",70,IF(AB11="B",60,IF(AB11="C",55,IF(AB11="P",50,IF(AB11="F",39))))))))</f>
        <v>60</v>
      </c>
    </row>
    <row r="12" spans="1:29" s="2277" customFormat="1" ht="18.75" x14ac:dyDescent="0.25">
      <c r="A12" s="2558">
        <v>3</v>
      </c>
      <c r="B12" s="2561">
        <v>5191421003</v>
      </c>
      <c r="C12" s="2580">
        <v>2</v>
      </c>
      <c r="D12" s="813">
        <v>2</v>
      </c>
      <c r="E12" s="843">
        <v>2</v>
      </c>
      <c r="F12" s="822"/>
      <c r="G12" s="821"/>
      <c r="H12" s="820">
        <v>5</v>
      </c>
      <c r="I12" s="821">
        <v>5</v>
      </c>
      <c r="J12" s="820">
        <v>5</v>
      </c>
      <c r="K12" s="821">
        <v>4</v>
      </c>
      <c r="L12" s="820"/>
      <c r="M12" s="821"/>
      <c r="N12" s="2575">
        <v>25</v>
      </c>
      <c r="O12" s="822">
        <v>2</v>
      </c>
      <c r="P12" s="813">
        <v>2</v>
      </c>
      <c r="Q12" s="832">
        <v>2</v>
      </c>
      <c r="R12" s="822"/>
      <c r="S12" s="821"/>
      <c r="T12" s="820">
        <v>6</v>
      </c>
      <c r="U12" s="838">
        <v>5</v>
      </c>
      <c r="V12" s="820">
        <v>6</v>
      </c>
      <c r="W12" s="838">
        <v>5</v>
      </c>
      <c r="X12" s="820"/>
      <c r="Y12" s="2581"/>
      <c r="Z12" s="2565">
        <v>21</v>
      </c>
      <c r="AA12" s="2566">
        <v>10</v>
      </c>
      <c r="AB12" s="900" t="s">
        <v>30</v>
      </c>
      <c r="AC12" s="2513">
        <f t="shared" si="0"/>
        <v>90</v>
      </c>
    </row>
    <row r="13" spans="1:29" s="2277" customFormat="1" ht="18.75" x14ac:dyDescent="0.25">
      <c r="A13" s="2558">
        <v>4</v>
      </c>
      <c r="B13" s="2561">
        <v>5191421004</v>
      </c>
      <c r="C13" s="2562">
        <v>2</v>
      </c>
      <c r="D13" s="813">
        <v>2</v>
      </c>
      <c r="E13" s="843">
        <v>2</v>
      </c>
      <c r="F13" s="822">
        <v>5</v>
      </c>
      <c r="G13" s="821">
        <v>4</v>
      </c>
      <c r="H13" s="820">
        <v>5</v>
      </c>
      <c r="I13" s="821"/>
      <c r="J13" s="820">
        <v>5</v>
      </c>
      <c r="K13" s="821">
        <v>4</v>
      </c>
      <c r="L13" s="820"/>
      <c r="M13" s="821"/>
      <c r="N13" s="2575">
        <v>24</v>
      </c>
      <c r="O13" s="822">
        <v>2</v>
      </c>
      <c r="P13" s="813">
        <v>1</v>
      </c>
      <c r="Q13" s="832">
        <v>1</v>
      </c>
      <c r="R13" s="822">
        <v>5</v>
      </c>
      <c r="S13" s="821">
        <v>4</v>
      </c>
      <c r="T13" s="820"/>
      <c r="U13" s="838"/>
      <c r="V13" s="820">
        <v>4</v>
      </c>
      <c r="W13" s="838">
        <v>5</v>
      </c>
      <c r="X13" s="820"/>
      <c r="Y13" s="2581"/>
      <c r="Z13" s="2565">
        <v>15</v>
      </c>
      <c r="AA13" s="2566">
        <v>8</v>
      </c>
      <c r="AB13" s="2287" t="s">
        <v>32</v>
      </c>
      <c r="AC13" s="2513">
        <f t="shared" si="0"/>
        <v>70</v>
      </c>
    </row>
    <row r="14" spans="1:29" ht="18.75" x14ac:dyDescent="0.25">
      <c r="A14" s="2514">
        <v>5</v>
      </c>
      <c r="B14" s="2582">
        <v>5191421005</v>
      </c>
      <c r="C14" s="2583">
        <v>2</v>
      </c>
      <c r="D14" s="834">
        <v>2</v>
      </c>
      <c r="E14" s="844">
        <v>1</v>
      </c>
      <c r="F14" s="833">
        <v>4</v>
      </c>
      <c r="G14" s="2584">
        <v>5</v>
      </c>
      <c r="H14" s="836"/>
      <c r="I14" s="854"/>
      <c r="J14" s="836">
        <v>4</v>
      </c>
      <c r="K14" s="2584">
        <v>5</v>
      </c>
      <c r="L14" s="820"/>
      <c r="M14" s="821"/>
      <c r="N14" s="2575">
        <v>23</v>
      </c>
      <c r="O14" s="833">
        <v>2</v>
      </c>
      <c r="P14" s="834">
        <v>2</v>
      </c>
      <c r="Q14" s="835">
        <v>1</v>
      </c>
      <c r="R14" s="833">
        <v>5</v>
      </c>
      <c r="S14" s="821">
        <v>6</v>
      </c>
      <c r="T14" s="820"/>
      <c r="U14" s="838"/>
      <c r="V14" s="820">
        <v>5</v>
      </c>
      <c r="W14" s="838">
        <v>5</v>
      </c>
      <c r="X14" s="836"/>
      <c r="Y14" s="2517"/>
      <c r="Z14" s="2565">
        <v>26</v>
      </c>
      <c r="AA14" s="2566">
        <v>8</v>
      </c>
      <c r="AB14" s="2287" t="s">
        <v>32</v>
      </c>
      <c r="AC14" s="2513">
        <f t="shared" si="0"/>
        <v>70</v>
      </c>
    </row>
    <row r="15" spans="1:29" ht="18.75" x14ac:dyDescent="0.25">
      <c r="A15" s="2558">
        <v>6</v>
      </c>
      <c r="B15" s="2561">
        <v>5191421006</v>
      </c>
      <c r="C15" s="2580">
        <v>2</v>
      </c>
      <c r="D15" s="813">
        <v>2</v>
      </c>
      <c r="E15" s="843">
        <v>2</v>
      </c>
      <c r="F15" s="822">
        <v>5</v>
      </c>
      <c r="G15" s="821">
        <v>5</v>
      </c>
      <c r="H15" s="820"/>
      <c r="I15" s="2518"/>
      <c r="J15" s="820">
        <v>5</v>
      </c>
      <c r="K15" s="821">
        <v>4</v>
      </c>
      <c r="L15" s="820"/>
      <c r="M15" s="821"/>
      <c r="N15" s="2575">
        <v>25</v>
      </c>
      <c r="O15" s="822">
        <v>2</v>
      </c>
      <c r="P15" s="813">
        <v>1</v>
      </c>
      <c r="Q15" s="832"/>
      <c r="R15" s="822"/>
      <c r="S15" s="821"/>
      <c r="T15" s="820">
        <v>5</v>
      </c>
      <c r="U15" s="838">
        <v>5</v>
      </c>
      <c r="V15" s="820">
        <v>5</v>
      </c>
      <c r="W15" s="838">
        <v>4</v>
      </c>
      <c r="X15" s="820"/>
      <c r="Y15" s="2581"/>
      <c r="Z15" s="2565">
        <v>20</v>
      </c>
      <c r="AA15" s="2566">
        <v>10</v>
      </c>
      <c r="AB15" s="2287" t="s">
        <v>27</v>
      </c>
      <c r="AC15" s="2513">
        <f t="shared" si="0"/>
        <v>80</v>
      </c>
    </row>
    <row r="16" spans="1:29" ht="18.75" x14ac:dyDescent="0.25">
      <c r="A16" s="2558">
        <v>7</v>
      </c>
      <c r="B16" s="2561">
        <v>5191421007</v>
      </c>
      <c r="C16" s="2580">
        <v>2</v>
      </c>
      <c r="D16" s="813">
        <v>2</v>
      </c>
      <c r="E16" s="843">
        <v>2</v>
      </c>
      <c r="F16" s="822">
        <v>4</v>
      </c>
      <c r="G16" s="821">
        <v>5</v>
      </c>
      <c r="H16" s="820"/>
      <c r="I16" s="2518"/>
      <c r="J16" s="820">
        <v>5</v>
      </c>
      <c r="K16" s="821">
        <v>4</v>
      </c>
      <c r="L16" s="820"/>
      <c r="M16" s="821"/>
      <c r="N16" s="2575">
        <v>24</v>
      </c>
      <c r="O16" s="822">
        <v>2</v>
      </c>
      <c r="P16" s="813"/>
      <c r="Q16" s="832"/>
      <c r="R16" s="822"/>
      <c r="S16" s="821"/>
      <c r="T16" s="820">
        <v>4</v>
      </c>
      <c r="U16" s="838">
        <v>4</v>
      </c>
      <c r="V16" s="820">
        <v>6</v>
      </c>
      <c r="W16" s="838">
        <v>6</v>
      </c>
      <c r="X16" s="820"/>
      <c r="Y16" s="2581"/>
      <c r="Z16" s="2565">
        <v>18</v>
      </c>
      <c r="AA16" s="2566">
        <v>8</v>
      </c>
      <c r="AB16" s="2287" t="s">
        <v>32</v>
      </c>
      <c r="AC16" s="2513">
        <f t="shared" si="0"/>
        <v>70</v>
      </c>
    </row>
    <row r="17" spans="1:29" ht="18.75" x14ac:dyDescent="0.25">
      <c r="A17" s="2558">
        <v>8</v>
      </c>
      <c r="B17" s="2561">
        <v>5191421008</v>
      </c>
      <c r="C17" s="2580">
        <v>2</v>
      </c>
      <c r="D17" s="813">
        <v>2</v>
      </c>
      <c r="E17" s="843">
        <v>2</v>
      </c>
      <c r="F17" s="822">
        <v>5</v>
      </c>
      <c r="G17" s="821">
        <v>4</v>
      </c>
      <c r="H17" s="820"/>
      <c r="I17" s="2518"/>
      <c r="J17" s="820">
        <v>2</v>
      </c>
      <c r="K17" s="821">
        <v>6</v>
      </c>
      <c r="L17" s="820"/>
      <c r="M17" s="821"/>
      <c r="N17" s="2575">
        <v>23</v>
      </c>
      <c r="O17" s="822">
        <v>1</v>
      </c>
      <c r="P17" s="813">
        <v>1</v>
      </c>
      <c r="Q17" s="832">
        <v>1</v>
      </c>
      <c r="R17" s="822">
        <v>5</v>
      </c>
      <c r="S17" s="821">
        <v>5</v>
      </c>
      <c r="T17" s="820"/>
      <c r="U17" s="838"/>
      <c r="V17" s="820">
        <v>5</v>
      </c>
      <c r="W17" s="838">
        <v>5</v>
      </c>
      <c r="X17" s="820"/>
      <c r="Y17" s="2581"/>
      <c r="Z17" s="2565">
        <v>17</v>
      </c>
      <c r="AA17" s="2566">
        <v>10</v>
      </c>
      <c r="AB17" s="2287" t="s">
        <v>27</v>
      </c>
      <c r="AC17" s="2513">
        <f t="shared" si="0"/>
        <v>80</v>
      </c>
    </row>
    <row r="18" spans="1:29" ht="18.75" x14ac:dyDescent="0.25">
      <c r="A18" s="2558">
        <v>9</v>
      </c>
      <c r="B18" s="2561">
        <v>5191421009</v>
      </c>
      <c r="C18" s="830">
        <v>1</v>
      </c>
      <c r="D18" s="820">
        <v>2</v>
      </c>
      <c r="E18" s="2585">
        <v>2</v>
      </c>
      <c r="F18" s="820"/>
      <c r="G18" s="821"/>
      <c r="H18" s="820">
        <v>5</v>
      </c>
      <c r="I18" s="2518">
        <v>5</v>
      </c>
      <c r="J18" s="820"/>
      <c r="K18" s="821"/>
      <c r="L18" s="820">
        <v>5</v>
      </c>
      <c r="M18" s="821">
        <v>4</v>
      </c>
      <c r="N18" s="2575">
        <v>24</v>
      </c>
      <c r="O18" s="822">
        <v>2</v>
      </c>
      <c r="P18" s="813">
        <v>1</v>
      </c>
      <c r="Q18" s="832">
        <v>1</v>
      </c>
      <c r="R18" s="822"/>
      <c r="S18" s="821"/>
      <c r="T18" s="820">
        <v>6</v>
      </c>
      <c r="U18" s="838">
        <v>5</v>
      </c>
      <c r="V18" s="820">
        <v>6</v>
      </c>
      <c r="W18" s="838">
        <v>6</v>
      </c>
      <c r="X18" s="820"/>
      <c r="Y18" s="2581"/>
      <c r="Z18" s="2565">
        <v>26</v>
      </c>
      <c r="AA18" s="2566">
        <v>10</v>
      </c>
      <c r="AB18" s="2287" t="s">
        <v>32</v>
      </c>
      <c r="AC18" s="2513">
        <f t="shared" si="0"/>
        <v>70</v>
      </c>
    </row>
    <row r="19" spans="1:29" ht="18.75" x14ac:dyDescent="0.25">
      <c r="A19" s="2558">
        <v>10</v>
      </c>
      <c r="B19" s="2561">
        <v>5191421010</v>
      </c>
      <c r="C19" s="2580">
        <v>2</v>
      </c>
      <c r="D19" s="813">
        <v>2</v>
      </c>
      <c r="E19" s="843">
        <v>2</v>
      </c>
      <c r="F19" s="822">
        <v>5</v>
      </c>
      <c r="G19" s="821">
        <v>4</v>
      </c>
      <c r="H19" s="820"/>
      <c r="I19" s="2518"/>
      <c r="J19" s="820">
        <v>5</v>
      </c>
      <c r="K19" s="821">
        <v>6</v>
      </c>
      <c r="L19" s="820"/>
      <c r="M19" s="821"/>
      <c r="N19" s="2575">
        <v>26</v>
      </c>
      <c r="O19" s="822">
        <v>2</v>
      </c>
      <c r="P19" s="813">
        <v>2</v>
      </c>
      <c r="Q19" s="832"/>
      <c r="R19" s="822">
        <v>5</v>
      </c>
      <c r="S19" s="821">
        <v>4</v>
      </c>
      <c r="T19" s="820"/>
      <c r="U19" s="838"/>
      <c r="V19" s="820">
        <v>4</v>
      </c>
      <c r="W19" s="838">
        <v>4</v>
      </c>
      <c r="X19" s="820"/>
      <c r="Y19" s="2581"/>
      <c r="Z19" s="2565">
        <v>18</v>
      </c>
      <c r="AA19" s="2566">
        <v>10</v>
      </c>
      <c r="AB19" s="2287" t="s">
        <v>27</v>
      </c>
      <c r="AC19" s="2513">
        <f t="shared" si="0"/>
        <v>80</v>
      </c>
    </row>
    <row r="20" spans="1:29" ht="18.75" x14ac:dyDescent="0.25">
      <c r="A20" s="2558">
        <v>11</v>
      </c>
      <c r="B20" s="2561">
        <v>5191421011</v>
      </c>
      <c r="C20" s="2580">
        <v>2</v>
      </c>
      <c r="D20" s="813">
        <v>2</v>
      </c>
      <c r="E20" s="843">
        <v>2</v>
      </c>
      <c r="F20" s="822">
        <v>5</v>
      </c>
      <c r="G20" s="821">
        <v>4</v>
      </c>
      <c r="H20" s="820"/>
      <c r="I20" s="2518"/>
      <c r="J20" s="820">
        <v>5</v>
      </c>
      <c r="K20" s="821">
        <v>5</v>
      </c>
      <c r="L20" s="820"/>
      <c r="M20" s="821"/>
      <c r="N20" s="2575">
        <v>25</v>
      </c>
      <c r="O20" s="822">
        <v>2</v>
      </c>
      <c r="P20" s="813">
        <v>2</v>
      </c>
      <c r="Q20" s="832">
        <v>1</v>
      </c>
      <c r="R20" s="822"/>
      <c r="S20" s="821"/>
      <c r="T20" s="820">
        <v>5</v>
      </c>
      <c r="U20" s="838">
        <v>5</v>
      </c>
      <c r="V20" s="820">
        <v>3</v>
      </c>
      <c r="W20" s="838">
        <v>4</v>
      </c>
      <c r="X20" s="820"/>
      <c r="Y20" s="2581"/>
      <c r="Z20" s="2565">
        <v>21</v>
      </c>
      <c r="AA20" s="2566">
        <v>10</v>
      </c>
      <c r="AB20" s="2287" t="s">
        <v>27</v>
      </c>
      <c r="AC20" s="2513">
        <f t="shared" si="0"/>
        <v>80</v>
      </c>
    </row>
    <row r="21" spans="1:29" ht="18.75" x14ac:dyDescent="0.25">
      <c r="A21" s="2558">
        <v>12</v>
      </c>
      <c r="B21" s="2561">
        <v>5191421012</v>
      </c>
      <c r="C21" s="2580">
        <v>2</v>
      </c>
      <c r="D21" s="813">
        <v>1</v>
      </c>
      <c r="E21" s="843">
        <v>2</v>
      </c>
      <c r="F21" s="822">
        <v>5</v>
      </c>
      <c r="G21" s="821">
        <v>5</v>
      </c>
      <c r="H21" s="820"/>
      <c r="I21" s="2518"/>
      <c r="J21" s="820"/>
      <c r="K21" s="821"/>
      <c r="L21" s="820">
        <v>3</v>
      </c>
      <c r="M21" s="821">
        <v>3</v>
      </c>
      <c r="N21" s="2575">
        <v>21</v>
      </c>
      <c r="O21" s="822"/>
      <c r="P21" s="813"/>
      <c r="Q21" s="832">
        <v>1</v>
      </c>
      <c r="R21" s="822">
        <v>5</v>
      </c>
      <c r="S21" s="821">
        <v>5</v>
      </c>
      <c r="T21" s="820"/>
      <c r="U21" s="838"/>
      <c r="V21" s="820">
        <v>4</v>
      </c>
      <c r="W21" s="838">
        <v>3</v>
      </c>
      <c r="X21" s="820"/>
      <c r="Y21" s="2581"/>
      <c r="Z21" s="2565">
        <v>15</v>
      </c>
      <c r="AA21" s="2566">
        <v>10</v>
      </c>
      <c r="AB21" s="2287" t="s">
        <v>27</v>
      </c>
      <c r="AC21" s="2513">
        <f t="shared" si="0"/>
        <v>80</v>
      </c>
    </row>
    <row r="22" spans="1:29" ht="18.75" x14ac:dyDescent="0.25">
      <c r="A22" s="2558">
        <v>13</v>
      </c>
      <c r="B22" s="2561">
        <v>5191421013</v>
      </c>
      <c r="C22" s="2580">
        <v>2</v>
      </c>
      <c r="D22" s="813">
        <v>2</v>
      </c>
      <c r="E22" s="843">
        <v>2</v>
      </c>
      <c r="F22" s="822">
        <v>5</v>
      </c>
      <c r="G22" s="821">
        <v>5</v>
      </c>
      <c r="H22" s="820"/>
      <c r="I22" s="2518"/>
      <c r="J22" s="820">
        <v>5</v>
      </c>
      <c r="K22" s="821">
        <v>5</v>
      </c>
      <c r="L22" s="820"/>
      <c r="M22" s="821"/>
      <c r="N22" s="2575">
        <v>26</v>
      </c>
      <c r="O22" s="822">
        <v>1</v>
      </c>
      <c r="P22" s="813">
        <v>1</v>
      </c>
      <c r="Q22" s="832">
        <v>1</v>
      </c>
      <c r="R22" s="822">
        <v>5</v>
      </c>
      <c r="S22" s="821">
        <v>6</v>
      </c>
      <c r="T22" s="820"/>
      <c r="U22" s="838"/>
      <c r="V22" s="820">
        <v>5</v>
      </c>
      <c r="W22" s="838">
        <v>5</v>
      </c>
      <c r="X22" s="820"/>
      <c r="Y22" s="2581"/>
      <c r="Z22" s="2565">
        <v>28</v>
      </c>
      <c r="AA22" s="2566">
        <v>10</v>
      </c>
      <c r="AB22" s="2287" t="s">
        <v>30</v>
      </c>
      <c r="AC22" s="2513">
        <f t="shared" si="0"/>
        <v>90</v>
      </c>
    </row>
    <row r="23" spans="1:29" ht="18.75" x14ac:dyDescent="0.25">
      <c r="A23" s="2558">
        <v>14</v>
      </c>
      <c r="B23" s="2561">
        <v>5191421014</v>
      </c>
      <c r="C23" s="2580">
        <v>2</v>
      </c>
      <c r="D23" s="813">
        <v>2</v>
      </c>
      <c r="E23" s="843">
        <v>2</v>
      </c>
      <c r="F23" s="822">
        <v>5</v>
      </c>
      <c r="G23" s="821">
        <v>5</v>
      </c>
      <c r="H23" s="820"/>
      <c r="I23" s="2518"/>
      <c r="J23" s="820">
        <v>5</v>
      </c>
      <c r="K23" s="821">
        <v>4</v>
      </c>
      <c r="L23" s="820"/>
      <c r="M23" s="821"/>
      <c r="N23" s="2575">
        <v>25</v>
      </c>
      <c r="O23" s="822">
        <v>1</v>
      </c>
      <c r="P23" s="813">
        <v>1</v>
      </c>
      <c r="Q23" s="832">
        <v>1</v>
      </c>
      <c r="R23" s="822">
        <v>4</v>
      </c>
      <c r="S23" s="821">
        <v>4</v>
      </c>
      <c r="T23" s="820"/>
      <c r="U23" s="838"/>
      <c r="V23" s="820">
        <v>4</v>
      </c>
      <c r="W23" s="838">
        <v>4</v>
      </c>
      <c r="X23" s="820"/>
      <c r="Y23" s="2581"/>
      <c r="Z23" s="2565">
        <v>22</v>
      </c>
      <c r="AA23" s="2566">
        <v>8</v>
      </c>
      <c r="AB23" s="2287" t="s">
        <v>27</v>
      </c>
      <c r="AC23" s="2513">
        <f t="shared" si="0"/>
        <v>80</v>
      </c>
    </row>
    <row r="24" spans="1:29" ht="18.75" x14ac:dyDescent="0.25">
      <c r="A24" s="2558">
        <v>15</v>
      </c>
      <c r="B24" s="2561">
        <v>5191421015</v>
      </c>
      <c r="C24" s="2580">
        <v>2</v>
      </c>
      <c r="D24" s="813">
        <v>2</v>
      </c>
      <c r="E24" s="843">
        <v>2</v>
      </c>
      <c r="F24" s="822"/>
      <c r="G24" s="821"/>
      <c r="H24" s="820">
        <v>5</v>
      </c>
      <c r="I24" s="2518">
        <v>5</v>
      </c>
      <c r="J24" s="820"/>
      <c r="K24" s="821"/>
      <c r="L24" s="820">
        <v>5</v>
      </c>
      <c r="M24" s="821">
        <v>5</v>
      </c>
      <c r="N24" s="2575">
        <v>26</v>
      </c>
      <c r="O24" s="822">
        <v>2</v>
      </c>
      <c r="P24" s="813">
        <v>1</v>
      </c>
      <c r="Q24" s="832">
        <v>1</v>
      </c>
      <c r="R24" s="822"/>
      <c r="S24" s="821"/>
      <c r="T24" s="820">
        <v>5</v>
      </c>
      <c r="U24" s="838">
        <v>5</v>
      </c>
      <c r="V24" s="820">
        <v>5</v>
      </c>
      <c r="W24" s="838">
        <v>6</v>
      </c>
      <c r="X24" s="820"/>
      <c r="Y24" s="2581"/>
      <c r="Z24" s="2565">
        <v>15</v>
      </c>
      <c r="AA24" s="2566">
        <v>10</v>
      </c>
      <c r="AB24" s="2287" t="s">
        <v>27</v>
      </c>
      <c r="AC24" s="2513">
        <f t="shared" si="0"/>
        <v>80</v>
      </c>
    </row>
    <row r="25" spans="1:29" ht="18.75" x14ac:dyDescent="0.25">
      <c r="A25" s="2558">
        <v>16</v>
      </c>
      <c r="B25" s="2561">
        <v>5191421016</v>
      </c>
      <c r="C25" s="2580">
        <v>2</v>
      </c>
      <c r="D25" s="813">
        <v>2</v>
      </c>
      <c r="E25" s="843">
        <v>2</v>
      </c>
      <c r="F25" s="822"/>
      <c r="G25" s="2586"/>
      <c r="H25" s="2587">
        <v>4</v>
      </c>
      <c r="I25" s="2518"/>
      <c r="J25" s="820"/>
      <c r="K25" s="821">
        <v>4</v>
      </c>
      <c r="L25" s="820"/>
      <c r="M25" s="821"/>
      <c r="N25" s="2575">
        <v>14</v>
      </c>
      <c r="O25" s="822"/>
      <c r="P25" s="813">
        <v>1</v>
      </c>
      <c r="Q25" s="832">
        <v>2</v>
      </c>
      <c r="R25" s="822"/>
      <c r="S25" s="821"/>
      <c r="T25" s="820">
        <v>4</v>
      </c>
      <c r="U25" s="838"/>
      <c r="V25" s="820">
        <v>3</v>
      </c>
      <c r="W25" s="838">
        <v>3</v>
      </c>
      <c r="X25" s="820"/>
      <c r="Y25" s="2581"/>
      <c r="Z25" s="2565">
        <v>8</v>
      </c>
      <c r="AA25" s="2566">
        <v>10</v>
      </c>
      <c r="AB25" s="2287" t="s">
        <v>31</v>
      </c>
      <c r="AC25" s="2513">
        <f t="shared" si="0"/>
        <v>55</v>
      </c>
    </row>
    <row r="26" spans="1:29" ht="18.75" x14ac:dyDescent="0.25">
      <c r="A26" s="2558">
        <v>17</v>
      </c>
      <c r="B26" s="2561">
        <v>5191421017</v>
      </c>
      <c r="C26" s="2580">
        <v>2</v>
      </c>
      <c r="D26" s="813">
        <v>1</v>
      </c>
      <c r="E26" s="843">
        <v>2</v>
      </c>
      <c r="F26" s="822">
        <v>5</v>
      </c>
      <c r="G26" s="821">
        <v>5</v>
      </c>
      <c r="H26" s="820"/>
      <c r="I26" s="2518"/>
      <c r="J26" s="820"/>
      <c r="K26" s="821"/>
      <c r="L26" s="820">
        <v>5</v>
      </c>
      <c r="M26" s="821">
        <v>4</v>
      </c>
      <c r="N26" s="2575">
        <v>24</v>
      </c>
      <c r="O26" s="822">
        <v>1</v>
      </c>
      <c r="P26" s="813"/>
      <c r="Q26" s="832"/>
      <c r="R26" s="822">
        <v>5</v>
      </c>
      <c r="S26" s="821">
        <v>6</v>
      </c>
      <c r="T26" s="820"/>
      <c r="U26" s="838"/>
      <c r="V26" s="820">
        <v>6</v>
      </c>
      <c r="W26" s="838">
        <v>6</v>
      </c>
      <c r="X26" s="820"/>
      <c r="Y26" s="2581"/>
      <c r="Z26" s="2565">
        <v>22</v>
      </c>
      <c r="AA26" s="2566">
        <v>10</v>
      </c>
      <c r="AB26" s="2287" t="s">
        <v>27</v>
      </c>
      <c r="AC26" s="2513">
        <f t="shared" si="0"/>
        <v>80</v>
      </c>
    </row>
    <row r="27" spans="1:29" ht="18.75" x14ac:dyDescent="0.25">
      <c r="A27" s="2558">
        <v>18</v>
      </c>
      <c r="B27" s="2561">
        <v>5191421018</v>
      </c>
      <c r="C27" s="2562">
        <v>1</v>
      </c>
      <c r="D27" s="813">
        <v>0</v>
      </c>
      <c r="E27" s="843">
        <v>0</v>
      </c>
      <c r="F27" s="822">
        <v>4</v>
      </c>
      <c r="G27" s="821"/>
      <c r="H27" s="820"/>
      <c r="I27" s="2518"/>
      <c r="J27" s="820"/>
      <c r="K27" s="821"/>
      <c r="L27" s="820">
        <v>4</v>
      </c>
      <c r="M27" s="821">
        <v>4</v>
      </c>
      <c r="N27" s="2575">
        <v>17</v>
      </c>
      <c r="O27" s="822"/>
      <c r="P27" s="813">
        <v>1</v>
      </c>
      <c r="Q27" s="832">
        <v>2</v>
      </c>
      <c r="R27" s="822">
        <v>5</v>
      </c>
      <c r="S27" s="821">
        <v>5</v>
      </c>
      <c r="T27" s="820"/>
      <c r="U27" s="838"/>
      <c r="V27" s="820">
        <v>5</v>
      </c>
      <c r="W27" s="838">
        <v>5</v>
      </c>
      <c r="X27" s="820"/>
      <c r="Y27" s="2581"/>
      <c r="Z27" s="2565">
        <v>10</v>
      </c>
      <c r="AA27" s="2566">
        <v>8</v>
      </c>
      <c r="AB27" s="2287" t="s">
        <v>29</v>
      </c>
      <c r="AC27" s="2513">
        <f t="shared" si="0"/>
        <v>39</v>
      </c>
    </row>
    <row r="28" spans="1:29" ht="18.75" x14ac:dyDescent="0.25">
      <c r="A28" s="2558">
        <v>19</v>
      </c>
      <c r="B28" s="2561">
        <v>5191421019</v>
      </c>
      <c r="C28" s="2580">
        <v>2</v>
      </c>
      <c r="D28" s="839">
        <v>2</v>
      </c>
      <c r="E28" s="838">
        <v>2</v>
      </c>
      <c r="F28" s="820">
        <v>6</v>
      </c>
      <c r="G28" s="821">
        <v>5</v>
      </c>
      <c r="H28" s="820"/>
      <c r="I28" s="2518"/>
      <c r="J28" s="820">
        <v>5</v>
      </c>
      <c r="K28" s="821">
        <v>6</v>
      </c>
      <c r="L28" s="820"/>
      <c r="M28" s="821"/>
      <c r="N28" s="2575">
        <v>28</v>
      </c>
      <c r="O28" s="822">
        <v>2</v>
      </c>
      <c r="P28" s="839">
        <v>1</v>
      </c>
      <c r="Q28" s="821">
        <v>1</v>
      </c>
      <c r="R28" s="820">
        <v>6</v>
      </c>
      <c r="S28" s="821">
        <v>6</v>
      </c>
      <c r="T28" s="820"/>
      <c r="U28" s="838"/>
      <c r="V28" s="820">
        <v>6</v>
      </c>
      <c r="W28" s="838">
        <v>6</v>
      </c>
      <c r="X28" s="820"/>
      <c r="Y28" s="2581"/>
      <c r="Z28" s="2565">
        <v>30</v>
      </c>
      <c r="AA28" s="2566">
        <v>10</v>
      </c>
      <c r="AB28" s="2287" t="s">
        <v>30</v>
      </c>
      <c r="AC28" s="2513">
        <f t="shared" si="0"/>
        <v>90</v>
      </c>
    </row>
    <row r="29" spans="1:29" ht="18.75" x14ac:dyDescent="0.25">
      <c r="A29" s="2558">
        <v>20</v>
      </c>
      <c r="B29" s="2561">
        <v>5191421020</v>
      </c>
      <c r="C29" s="830">
        <v>2</v>
      </c>
      <c r="D29" s="839">
        <v>2</v>
      </c>
      <c r="E29" s="838">
        <v>2</v>
      </c>
      <c r="F29" s="820">
        <v>5</v>
      </c>
      <c r="G29" s="821">
        <v>5</v>
      </c>
      <c r="H29" s="820"/>
      <c r="I29" s="2518"/>
      <c r="J29" s="820">
        <v>5</v>
      </c>
      <c r="K29" s="821">
        <v>4</v>
      </c>
      <c r="L29" s="820"/>
      <c r="M29" s="821"/>
      <c r="N29" s="2575">
        <v>25</v>
      </c>
      <c r="O29" s="820">
        <v>1</v>
      </c>
      <c r="P29" s="839">
        <v>1</v>
      </c>
      <c r="Q29" s="821">
        <v>2</v>
      </c>
      <c r="R29" s="820"/>
      <c r="S29" s="821"/>
      <c r="T29" s="820">
        <v>5</v>
      </c>
      <c r="U29" s="838">
        <v>5</v>
      </c>
      <c r="V29" s="820">
        <v>5</v>
      </c>
      <c r="W29" s="838">
        <v>5</v>
      </c>
      <c r="X29" s="820"/>
      <c r="Y29" s="2581"/>
      <c r="Z29" s="2565">
        <v>26</v>
      </c>
      <c r="AA29" s="2566">
        <v>10</v>
      </c>
      <c r="AB29" s="2287" t="s">
        <v>27</v>
      </c>
      <c r="AC29" s="2513">
        <f t="shared" si="0"/>
        <v>80</v>
      </c>
    </row>
    <row r="30" spans="1:29" ht="18.75" x14ac:dyDescent="0.25">
      <c r="A30" s="2558">
        <v>21</v>
      </c>
      <c r="B30" s="2561">
        <v>5191421021</v>
      </c>
      <c r="C30" s="2580">
        <v>2</v>
      </c>
      <c r="D30" s="839">
        <v>2</v>
      </c>
      <c r="E30" s="838">
        <v>2</v>
      </c>
      <c r="F30" s="820">
        <v>4</v>
      </c>
      <c r="G30" s="821">
        <v>5</v>
      </c>
      <c r="H30" s="820"/>
      <c r="I30" s="2518"/>
      <c r="J30" s="820">
        <v>5</v>
      </c>
      <c r="K30" s="821">
        <v>3</v>
      </c>
      <c r="L30" s="820"/>
      <c r="M30" s="821"/>
      <c r="N30" s="2575">
        <v>23</v>
      </c>
      <c r="O30" s="822">
        <v>1</v>
      </c>
      <c r="P30" s="839">
        <v>2</v>
      </c>
      <c r="Q30" s="821">
        <v>1</v>
      </c>
      <c r="R30" s="820"/>
      <c r="S30" s="821"/>
      <c r="T30" s="820">
        <v>4</v>
      </c>
      <c r="U30" s="838">
        <v>6</v>
      </c>
      <c r="V30" s="820">
        <v>5</v>
      </c>
      <c r="W30" s="838">
        <v>5</v>
      </c>
      <c r="X30" s="820"/>
      <c r="Y30" s="2581"/>
      <c r="Z30" s="2565">
        <v>21</v>
      </c>
      <c r="AA30" s="2566">
        <v>10</v>
      </c>
      <c r="AB30" s="2287" t="s">
        <v>27</v>
      </c>
      <c r="AC30" s="2513">
        <f t="shared" si="0"/>
        <v>80</v>
      </c>
    </row>
    <row r="31" spans="1:29" ht="18.75" x14ac:dyDescent="0.25">
      <c r="A31" s="2558">
        <v>22</v>
      </c>
      <c r="B31" s="2561">
        <v>5191421022</v>
      </c>
      <c r="C31" s="842">
        <v>2</v>
      </c>
      <c r="D31" s="2502">
        <v>2</v>
      </c>
      <c r="E31" s="2316">
        <v>2</v>
      </c>
      <c r="F31" s="841"/>
      <c r="G31" s="840"/>
      <c r="H31" s="841">
        <v>4</v>
      </c>
      <c r="I31" s="840">
        <v>4</v>
      </c>
      <c r="J31" s="841">
        <v>5</v>
      </c>
      <c r="K31" s="840">
        <v>3</v>
      </c>
      <c r="L31" s="820"/>
      <c r="M31" s="821"/>
      <c r="N31" s="2575">
        <v>22</v>
      </c>
      <c r="O31" s="822">
        <v>2</v>
      </c>
      <c r="P31" s="839">
        <v>1</v>
      </c>
      <c r="Q31" s="821">
        <v>2</v>
      </c>
      <c r="R31" s="820"/>
      <c r="S31" s="821"/>
      <c r="T31" s="820">
        <v>5</v>
      </c>
      <c r="U31" s="838">
        <v>5</v>
      </c>
      <c r="V31" s="820">
        <v>4</v>
      </c>
      <c r="W31" s="838">
        <v>6</v>
      </c>
      <c r="X31" s="820"/>
      <c r="Y31" s="2581"/>
      <c r="Z31" s="2565">
        <v>14</v>
      </c>
      <c r="AA31" s="2566">
        <v>8</v>
      </c>
      <c r="AB31" s="2287" t="s">
        <v>27</v>
      </c>
      <c r="AC31" s="2513">
        <f t="shared" si="0"/>
        <v>80</v>
      </c>
    </row>
    <row r="32" spans="1:29" ht="18.75" x14ac:dyDescent="0.25">
      <c r="A32" s="2558">
        <v>23</v>
      </c>
      <c r="B32" s="2561">
        <v>5191421023</v>
      </c>
      <c r="C32" s="2580">
        <v>2</v>
      </c>
      <c r="D32" s="839">
        <v>2</v>
      </c>
      <c r="E32" s="838">
        <v>2</v>
      </c>
      <c r="F32" s="820"/>
      <c r="G32" s="821"/>
      <c r="H32" s="820">
        <v>6</v>
      </c>
      <c r="I32" s="2518"/>
      <c r="J32" s="820">
        <v>4</v>
      </c>
      <c r="K32" s="821"/>
      <c r="L32" s="820"/>
      <c r="M32" s="821"/>
      <c r="N32" s="2575">
        <v>16</v>
      </c>
      <c r="O32" s="822">
        <v>1</v>
      </c>
      <c r="P32" s="839">
        <v>1</v>
      </c>
      <c r="Q32" s="821">
        <v>1</v>
      </c>
      <c r="R32" s="820">
        <v>5</v>
      </c>
      <c r="S32" s="821"/>
      <c r="T32" s="820">
        <v>5</v>
      </c>
      <c r="U32" s="838">
        <v>5</v>
      </c>
      <c r="V32" s="820"/>
      <c r="W32" s="838"/>
      <c r="X32" s="820"/>
      <c r="Y32" s="2581"/>
      <c r="Z32" s="2565">
        <v>19</v>
      </c>
      <c r="AA32" s="2566">
        <v>10</v>
      </c>
      <c r="AB32" s="2287" t="s">
        <v>33</v>
      </c>
      <c r="AC32" s="2513">
        <f t="shared" si="0"/>
        <v>60</v>
      </c>
    </row>
    <row r="33" spans="1:29" ht="18.75" x14ac:dyDescent="0.25">
      <c r="A33" s="2558">
        <v>24</v>
      </c>
      <c r="B33" s="2561">
        <v>5191421024</v>
      </c>
      <c r="C33" s="2580">
        <v>2</v>
      </c>
      <c r="D33" s="839">
        <v>2</v>
      </c>
      <c r="E33" s="838">
        <v>2</v>
      </c>
      <c r="F33" s="820">
        <v>5</v>
      </c>
      <c r="G33" s="821"/>
      <c r="H33" s="820"/>
      <c r="I33" s="2518"/>
      <c r="J33" s="820">
        <v>3</v>
      </c>
      <c r="K33" s="821">
        <v>4</v>
      </c>
      <c r="L33" s="820"/>
      <c r="M33" s="821"/>
      <c r="N33" s="2575">
        <v>18</v>
      </c>
      <c r="O33" s="822"/>
      <c r="P33" s="839"/>
      <c r="Q33" s="821"/>
      <c r="R33" s="820"/>
      <c r="S33" s="821"/>
      <c r="T33" s="820">
        <v>5</v>
      </c>
      <c r="U33" s="838">
        <v>5</v>
      </c>
      <c r="V33" s="820">
        <v>5</v>
      </c>
      <c r="W33" s="838">
        <v>5</v>
      </c>
      <c r="X33" s="820"/>
      <c r="Y33" s="2581"/>
      <c r="Z33" s="2565">
        <v>20</v>
      </c>
      <c r="AA33" s="2566">
        <v>8</v>
      </c>
      <c r="AB33" s="2287" t="s">
        <v>33</v>
      </c>
      <c r="AC33" s="2513">
        <f t="shared" si="0"/>
        <v>60</v>
      </c>
    </row>
    <row r="34" spans="1:29" ht="18.75" x14ac:dyDescent="0.25">
      <c r="A34" s="2558">
        <v>25</v>
      </c>
      <c r="B34" s="2561">
        <v>5191421025</v>
      </c>
      <c r="C34" s="2580">
        <v>2</v>
      </c>
      <c r="D34" s="839">
        <v>2</v>
      </c>
      <c r="E34" s="838">
        <v>2</v>
      </c>
      <c r="F34" s="820">
        <v>5</v>
      </c>
      <c r="G34" s="821">
        <v>5</v>
      </c>
      <c r="H34" s="820"/>
      <c r="I34" s="2518"/>
      <c r="J34" s="820">
        <v>5</v>
      </c>
      <c r="K34" s="821">
        <v>5</v>
      </c>
      <c r="L34" s="820"/>
      <c r="M34" s="821"/>
      <c r="N34" s="2575">
        <v>26</v>
      </c>
      <c r="O34" s="822">
        <v>2</v>
      </c>
      <c r="P34" s="839">
        <v>1</v>
      </c>
      <c r="Q34" s="821">
        <v>1</v>
      </c>
      <c r="R34" s="820">
        <v>6</v>
      </c>
      <c r="S34" s="821">
        <v>6</v>
      </c>
      <c r="T34" s="820"/>
      <c r="U34" s="838"/>
      <c r="V34" s="820">
        <v>6</v>
      </c>
      <c r="W34" s="838">
        <v>6</v>
      </c>
      <c r="X34" s="820"/>
      <c r="Y34" s="2581"/>
      <c r="Z34" s="2565">
        <v>28</v>
      </c>
      <c r="AA34" s="2566">
        <v>10</v>
      </c>
      <c r="AB34" s="2287" t="s">
        <v>30</v>
      </c>
      <c r="AC34" s="2513">
        <f t="shared" si="0"/>
        <v>90</v>
      </c>
    </row>
    <row r="35" spans="1:29" ht="18.75" x14ac:dyDescent="0.25">
      <c r="A35" s="2558">
        <v>26</v>
      </c>
      <c r="B35" s="2561">
        <v>5191421026</v>
      </c>
      <c r="C35" s="2580">
        <v>2</v>
      </c>
      <c r="D35" s="839">
        <v>2</v>
      </c>
      <c r="E35" s="838">
        <v>2</v>
      </c>
      <c r="F35" s="820">
        <v>5</v>
      </c>
      <c r="G35" s="821">
        <v>4</v>
      </c>
      <c r="H35" s="820"/>
      <c r="I35" s="2518"/>
      <c r="J35" s="820">
        <v>5</v>
      </c>
      <c r="K35" s="821">
        <v>5</v>
      </c>
      <c r="L35" s="820"/>
      <c r="M35" s="821"/>
      <c r="N35" s="2575">
        <v>25</v>
      </c>
      <c r="O35" s="822">
        <v>1</v>
      </c>
      <c r="P35" s="839">
        <v>2</v>
      </c>
      <c r="Q35" s="821">
        <v>2</v>
      </c>
      <c r="R35" s="820"/>
      <c r="S35" s="821"/>
      <c r="T35" s="820">
        <v>5</v>
      </c>
      <c r="U35" s="838">
        <v>5</v>
      </c>
      <c r="V35" s="820">
        <v>5</v>
      </c>
      <c r="W35" s="838">
        <v>5</v>
      </c>
      <c r="X35" s="820"/>
      <c r="Y35" s="2581"/>
      <c r="Z35" s="2565">
        <v>18</v>
      </c>
      <c r="AA35" s="2566">
        <v>10</v>
      </c>
      <c r="AB35" s="2287" t="s">
        <v>32</v>
      </c>
      <c r="AC35" s="2513">
        <f t="shared" si="0"/>
        <v>70</v>
      </c>
    </row>
    <row r="36" spans="1:29" ht="18.75" x14ac:dyDescent="0.25">
      <c r="A36" s="2558">
        <v>27</v>
      </c>
      <c r="B36" s="2561">
        <v>5191421027</v>
      </c>
      <c r="C36" s="2580">
        <v>2</v>
      </c>
      <c r="D36" s="839">
        <v>2</v>
      </c>
      <c r="E36" s="838">
        <v>2</v>
      </c>
      <c r="F36" s="820">
        <v>4</v>
      </c>
      <c r="G36" s="821">
        <v>4</v>
      </c>
      <c r="H36" s="820"/>
      <c r="I36" s="2518"/>
      <c r="J36" s="820">
        <v>1</v>
      </c>
      <c r="K36" s="821">
        <v>4</v>
      </c>
      <c r="L36" s="820"/>
      <c r="M36" s="821"/>
      <c r="N36" s="2575">
        <v>19</v>
      </c>
      <c r="O36" s="822">
        <v>1</v>
      </c>
      <c r="P36" s="839"/>
      <c r="Q36" s="821">
        <v>1</v>
      </c>
      <c r="R36" s="820">
        <v>5</v>
      </c>
      <c r="S36" s="821">
        <v>5</v>
      </c>
      <c r="T36" s="820"/>
      <c r="U36" s="838"/>
      <c r="V36" s="820">
        <v>5</v>
      </c>
      <c r="W36" s="838">
        <v>5</v>
      </c>
      <c r="X36" s="820"/>
      <c r="Y36" s="2581"/>
      <c r="Z36" s="2565">
        <v>25</v>
      </c>
      <c r="AA36" s="2566">
        <v>10</v>
      </c>
      <c r="AB36" s="2287" t="s">
        <v>27</v>
      </c>
      <c r="AC36" s="2513">
        <f t="shared" si="0"/>
        <v>80</v>
      </c>
    </row>
    <row r="37" spans="1:29" ht="18.75" x14ac:dyDescent="0.25">
      <c r="A37" s="2558">
        <v>28</v>
      </c>
      <c r="B37" s="2561">
        <v>5191421028</v>
      </c>
      <c r="C37" s="2580">
        <v>2</v>
      </c>
      <c r="D37" s="839">
        <v>2</v>
      </c>
      <c r="E37" s="838">
        <v>2</v>
      </c>
      <c r="F37" s="820"/>
      <c r="G37" s="821"/>
      <c r="H37" s="820">
        <v>5</v>
      </c>
      <c r="I37" s="2518">
        <v>5</v>
      </c>
      <c r="J37" s="820"/>
      <c r="K37" s="821"/>
      <c r="L37" s="820">
        <v>5</v>
      </c>
      <c r="M37" s="821">
        <v>4</v>
      </c>
      <c r="N37" s="2575">
        <v>25</v>
      </c>
      <c r="O37" s="822">
        <v>1</v>
      </c>
      <c r="P37" s="839">
        <v>2</v>
      </c>
      <c r="Q37" s="821">
        <v>1</v>
      </c>
      <c r="R37" s="820"/>
      <c r="S37" s="821"/>
      <c r="T37" s="820">
        <v>5</v>
      </c>
      <c r="U37" s="838">
        <v>6</v>
      </c>
      <c r="V37" s="820">
        <v>4</v>
      </c>
      <c r="W37" s="838">
        <v>5</v>
      </c>
      <c r="X37" s="820"/>
      <c r="Y37" s="2581"/>
      <c r="Z37" s="2565">
        <v>17</v>
      </c>
      <c r="AA37" s="2566">
        <v>10</v>
      </c>
      <c r="AB37" s="2288" t="s">
        <v>27</v>
      </c>
      <c r="AC37" s="2513">
        <f t="shared" si="0"/>
        <v>80</v>
      </c>
    </row>
    <row r="38" spans="1:29" ht="18.75" x14ac:dyDescent="0.25">
      <c r="A38" s="2558">
        <v>29</v>
      </c>
      <c r="B38" s="2561">
        <v>5191421029</v>
      </c>
      <c r="C38" s="2580"/>
      <c r="D38" s="839"/>
      <c r="E38" s="838"/>
      <c r="F38" s="820">
        <v>5</v>
      </c>
      <c r="G38" s="821">
        <v>4</v>
      </c>
      <c r="H38" s="820"/>
      <c r="I38" s="2518"/>
      <c r="J38" s="820">
        <v>4</v>
      </c>
      <c r="K38" s="821">
        <v>4</v>
      </c>
      <c r="L38" s="820"/>
      <c r="M38" s="821"/>
      <c r="N38" s="2575">
        <v>17</v>
      </c>
      <c r="O38" s="822">
        <v>2</v>
      </c>
      <c r="P38" s="839">
        <v>1</v>
      </c>
      <c r="Q38" s="821">
        <v>2</v>
      </c>
      <c r="R38" s="820">
        <v>5</v>
      </c>
      <c r="S38" s="821">
        <v>4</v>
      </c>
      <c r="T38" s="820"/>
      <c r="U38" s="838"/>
      <c r="V38" s="820">
        <v>6</v>
      </c>
      <c r="W38" s="838">
        <v>5</v>
      </c>
      <c r="X38" s="820"/>
      <c r="Y38" s="2581"/>
      <c r="Z38" s="2565">
        <v>27</v>
      </c>
      <c r="AA38" s="2566">
        <v>10</v>
      </c>
      <c r="AB38" s="2287" t="s">
        <v>27</v>
      </c>
      <c r="AC38" s="2513">
        <f t="shared" si="0"/>
        <v>80</v>
      </c>
    </row>
    <row r="39" spans="1:29" ht="18.75" x14ac:dyDescent="0.25">
      <c r="A39" s="2558">
        <v>30</v>
      </c>
      <c r="B39" s="2561">
        <v>5191421030</v>
      </c>
      <c r="C39" s="2562">
        <v>2</v>
      </c>
      <c r="D39" s="839">
        <v>2</v>
      </c>
      <c r="E39" s="838">
        <v>1</v>
      </c>
      <c r="F39" s="820">
        <v>5</v>
      </c>
      <c r="G39" s="821">
        <v>4</v>
      </c>
      <c r="H39" s="820"/>
      <c r="I39" s="2518"/>
      <c r="J39" s="820"/>
      <c r="K39" s="821"/>
      <c r="L39" s="820">
        <v>5</v>
      </c>
      <c r="M39" s="821">
        <v>4</v>
      </c>
      <c r="N39" s="2575">
        <v>23</v>
      </c>
      <c r="O39" s="822"/>
      <c r="P39" s="839"/>
      <c r="Q39" s="821">
        <v>1</v>
      </c>
      <c r="R39" s="820">
        <v>3</v>
      </c>
      <c r="S39" s="821">
        <v>4</v>
      </c>
      <c r="T39" s="820"/>
      <c r="U39" s="838"/>
      <c r="V39" s="820">
        <v>4</v>
      </c>
      <c r="W39" s="838">
        <v>3</v>
      </c>
      <c r="X39" s="820"/>
      <c r="Y39" s="2581"/>
      <c r="Z39" s="2565">
        <v>10</v>
      </c>
      <c r="AA39" s="2566">
        <v>8</v>
      </c>
      <c r="AB39" s="2287" t="s">
        <v>33</v>
      </c>
      <c r="AC39" s="2513">
        <f t="shared" si="0"/>
        <v>60</v>
      </c>
    </row>
    <row r="40" spans="1:29" ht="18.75" x14ac:dyDescent="0.25">
      <c r="A40" s="2558">
        <v>31</v>
      </c>
      <c r="B40" s="2561">
        <v>5191421031</v>
      </c>
      <c r="C40" s="830">
        <v>2</v>
      </c>
      <c r="D40" s="839">
        <v>2</v>
      </c>
      <c r="E40" s="838">
        <v>2</v>
      </c>
      <c r="F40" s="820">
        <v>4</v>
      </c>
      <c r="G40" s="821">
        <v>5</v>
      </c>
      <c r="H40" s="820"/>
      <c r="I40" s="2518"/>
      <c r="J40" s="820">
        <v>3</v>
      </c>
      <c r="K40" s="821">
        <v>4</v>
      </c>
      <c r="L40" s="820"/>
      <c r="M40" s="821"/>
      <c r="N40" s="2575">
        <v>22</v>
      </c>
      <c r="O40" s="822">
        <v>1</v>
      </c>
      <c r="P40" s="839">
        <v>2</v>
      </c>
      <c r="Q40" s="821">
        <v>1</v>
      </c>
      <c r="R40" s="820">
        <v>5</v>
      </c>
      <c r="S40" s="821">
        <v>5</v>
      </c>
      <c r="T40" s="820"/>
      <c r="U40" s="838"/>
      <c r="V40" s="820"/>
      <c r="W40" s="838"/>
      <c r="X40" s="820">
        <v>5</v>
      </c>
      <c r="Y40" s="2581">
        <v>5</v>
      </c>
      <c r="Z40" s="2565">
        <v>21</v>
      </c>
      <c r="AA40" s="2566">
        <v>10</v>
      </c>
      <c r="AB40" s="2287" t="s">
        <v>32</v>
      </c>
      <c r="AC40" s="2513">
        <f t="shared" si="0"/>
        <v>70</v>
      </c>
    </row>
    <row r="41" spans="1:29" ht="18.75" x14ac:dyDescent="0.25">
      <c r="A41" s="2558">
        <v>32</v>
      </c>
      <c r="B41" s="2561">
        <v>5191421032</v>
      </c>
      <c r="C41" s="842">
        <v>2</v>
      </c>
      <c r="D41" s="2502">
        <v>1</v>
      </c>
      <c r="E41" s="2316">
        <v>1</v>
      </c>
      <c r="F41" s="841"/>
      <c r="G41" s="840"/>
      <c r="H41" s="841">
        <v>4</v>
      </c>
      <c r="I41" s="840">
        <v>4</v>
      </c>
      <c r="J41" s="841">
        <v>6</v>
      </c>
      <c r="K41" s="840">
        <v>2</v>
      </c>
      <c r="L41" s="820"/>
      <c r="M41" s="821"/>
      <c r="N41" s="2575">
        <v>20</v>
      </c>
      <c r="O41" s="820">
        <v>1</v>
      </c>
      <c r="P41" s="839">
        <v>1</v>
      </c>
      <c r="Q41" s="821">
        <v>1</v>
      </c>
      <c r="R41" s="820">
        <v>3</v>
      </c>
      <c r="S41" s="821">
        <v>4</v>
      </c>
      <c r="T41" s="820"/>
      <c r="U41" s="838"/>
      <c r="V41" s="820"/>
      <c r="W41" s="838"/>
      <c r="X41" s="820">
        <v>4</v>
      </c>
      <c r="Y41" s="2581">
        <v>3</v>
      </c>
      <c r="Z41" s="2565">
        <v>7</v>
      </c>
      <c r="AA41" s="2566">
        <v>10</v>
      </c>
      <c r="AB41" s="2287" t="s">
        <v>32</v>
      </c>
      <c r="AC41" s="2513">
        <f t="shared" si="0"/>
        <v>70</v>
      </c>
    </row>
    <row r="42" spans="1:29" ht="18.75" x14ac:dyDescent="0.25">
      <c r="A42" s="2558">
        <v>33</v>
      </c>
      <c r="B42" s="2561">
        <v>5191421033</v>
      </c>
      <c r="C42" s="2580">
        <v>2</v>
      </c>
      <c r="D42" s="839">
        <v>2</v>
      </c>
      <c r="E42" s="838">
        <v>2</v>
      </c>
      <c r="F42" s="820">
        <v>5</v>
      </c>
      <c r="G42" s="821">
        <v>4</v>
      </c>
      <c r="H42" s="820"/>
      <c r="I42" s="2518"/>
      <c r="J42" s="820"/>
      <c r="K42" s="821">
        <v>5</v>
      </c>
      <c r="L42" s="820"/>
      <c r="M42" s="821"/>
      <c r="N42" s="2575">
        <v>20</v>
      </c>
      <c r="O42" s="820">
        <v>2</v>
      </c>
      <c r="P42" s="839">
        <v>1</v>
      </c>
      <c r="Q42" s="821">
        <v>2</v>
      </c>
      <c r="R42" s="820">
        <v>6</v>
      </c>
      <c r="S42" s="821">
        <v>4</v>
      </c>
      <c r="T42" s="820"/>
      <c r="U42" s="838"/>
      <c r="V42" s="820">
        <v>5</v>
      </c>
      <c r="W42" s="838">
        <v>6</v>
      </c>
      <c r="X42" s="820"/>
      <c r="Y42" s="2581"/>
      <c r="Z42" s="2565">
        <v>22</v>
      </c>
      <c r="AA42" s="2566">
        <v>10</v>
      </c>
      <c r="AB42" s="2287" t="s">
        <v>27</v>
      </c>
      <c r="AC42" s="2513">
        <f t="shared" si="0"/>
        <v>80</v>
      </c>
    </row>
    <row r="43" spans="1:29" ht="18.75" x14ac:dyDescent="0.25">
      <c r="A43" s="2558">
        <v>34</v>
      </c>
      <c r="B43" s="2561">
        <v>5191421034</v>
      </c>
      <c r="C43" s="2580">
        <v>2</v>
      </c>
      <c r="D43" s="839">
        <v>2</v>
      </c>
      <c r="E43" s="838">
        <v>2</v>
      </c>
      <c r="F43" s="820">
        <v>6</v>
      </c>
      <c r="G43" s="821">
        <v>4</v>
      </c>
      <c r="H43" s="820">
        <v>5</v>
      </c>
      <c r="I43" s="2518">
        <v>4</v>
      </c>
      <c r="J43" s="820"/>
      <c r="K43" s="821"/>
      <c r="L43" s="820"/>
      <c r="M43" s="821"/>
      <c r="N43" s="2575">
        <v>25</v>
      </c>
      <c r="O43" s="822">
        <v>1</v>
      </c>
      <c r="P43" s="839">
        <v>2</v>
      </c>
      <c r="Q43" s="821">
        <v>2</v>
      </c>
      <c r="R43" s="820"/>
      <c r="S43" s="821"/>
      <c r="T43" s="820">
        <v>5</v>
      </c>
      <c r="U43" s="838">
        <v>5</v>
      </c>
      <c r="V43" s="820">
        <v>6</v>
      </c>
      <c r="W43" s="838">
        <v>4</v>
      </c>
      <c r="X43" s="820"/>
      <c r="Y43" s="2581"/>
      <c r="Z43" s="2565">
        <v>20</v>
      </c>
      <c r="AA43" s="2566">
        <v>10</v>
      </c>
      <c r="AB43" s="2287" t="s">
        <v>27</v>
      </c>
      <c r="AC43" s="2513">
        <f t="shared" si="0"/>
        <v>80</v>
      </c>
    </row>
    <row r="44" spans="1:29" ht="18.75" x14ac:dyDescent="0.25">
      <c r="A44" s="2558">
        <v>35</v>
      </c>
      <c r="B44" s="2561">
        <v>5191421035</v>
      </c>
      <c r="C44" s="2580">
        <v>2</v>
      </c>
      <c r="D44" s="839">
        <v>2</v>
      </c>
      <c r="E44" s="838">
        <v>2</v>
      </c>
      <c r="F44" s="820">
        <v>4</v>
      </c>
      <c r="G44" s="821">
        <v>5</v>
      </c>
      <c r="H44" s="820"/>
      <c r="I44" s="2518"/>
      <c r="J44" s="820"/>
      <c r="K44" s="821"/>
      <c r="L44" s="820"/>
      <c r="M44" s="821"/>
      <c r="N44" s="2575">
        <v>16</v>
      </c>
      <c r="O44" s="822"/>
      <c r="P44" s="839"/>
      <c r="Q44" s="821"/>
      <c r="R44" s="820"/>
      <c r="S44" s="821"/>
      <c r="T44" s="820">
        <v>4</v>
      </c>
      <c r="U44" s="838"/>
      <c r="V44" s="820"/>
      <c r="W44" s="838"/>
      <c r="X44" s="820">
        <v>5</v>
      </c>
      <c r="Y44" s="2581">
        <v>5</v>
      </c>
      <c r="Z44" s="2565">
        <v>11</v>
      </c>
      <c r="AA44" s="2566">
        <v>5</v>
      </c>
      <c r="AB44" s="2287" t="s">
        <v>31</v>
      </c>
      <c r="AC44" s="2513">
        <f t="shared" si="0"/>
        <v>55</v>
      </c>
    </row>
    <row r="45" spans="1:29" ht="18.75" x14ac:dyDescent="0.25">
      <c r="A45" s="2558">
        <v>36</v>
      </c>
      <c r="B45" s="2561">
        <v>5191421036</v>
      </c>
      <c r="C45" s="2580">
        <v>2</v>
      </c>
      <c r="D45" s="839">
        <v>2</v>
      </c>
      <c r="E45" s="838">
        <v>2</v>
      </c>
      <c r="F45" s="820">
        <v>5</v>
      </c>
      <c r="G45" s="821">
        <v>5</v>
      </c>
      <c r="H45" s="820"/>
      <c r="I45" s="2518"/>
      <c r="J45" s="820"/>
      <c r="K45" s="821"/>
      <c r="L45" s="820">
        <v>5</v>
      </c>
      <c r="M45" s="821">
        <v>5</v>
      </c>
      <c r="N45" s="2575">
        <v>26</v>
      </c>
      <c r="O45" s="822">
        <v>2</v>
      </c>
      <c r="P45" s="839">
        <v>2</v>
      </c>
      <c r="Q45" s="821">
        <v>2</v>
      </c>
      <c r="R45" s="820">
        <v>6</v>
      </c>
      <c r="S45" s="821">
        <v>6</v>
      </c>
      <c r="T45" s="820"/>
      <c r="U45" s="838"/>
      <c r="V45" s="820">
        <v>5</v>
      </c>
      <c r="W45" s="838">
        <v>5</v>
      </c>
      <c r="X45" s="820"/>
      <c r="Y45" s="2581"/>
      <c r="Z45" s="2565">
        <v>17</v>
      </c>
      <c r="AA45" s="2566">
        <v>10</v>
      </c>
      <c r="AB45" s="2287" t="s">
        <v>30</v>
      </c>
      <c r="AC45" s="2513">
        <f t="shared" si="0"/>
        <v>90</v>
      </c>
    </row>
    <row r="46" spans="1:29" ht="18.75" x14ac:dyDescent="0.25">
      <c r="A46" s="2558">
        <v>37</v>
      </c>
      <c r="B46" s="2561">
        <v>5191421037</v>
      </c>
      <c r="C46" s="2580">
        <v>2</v>
      </c>
      <c r="D46" s="839">
        <v>2</v>
      </c>
      <c r="E46" s="838">
        <v>2</v>
      </c>
      <c r="F46" s="820"/>
      <c r="G46" s="821"/>
      <c r="H46" s="820">
        <v>5</v>
      </c>
      <c r="I46" s="2518">
        <v>4</v>
      </c>
      <c r="J46" s="820">
        <v>4</v>
      </c>
      <c r="K46" s="821">
        <v>5</v>
      </c>
      <c r="L46" s="820"/>
      <c r="M46" s="821"/>
      <c r="N46" s="2575">
        <v>24</v>
      </c>
      <c r="O46" s="822">
        <v>1</v>
      </c>
      <c r="P46" s="839">
        <v>2</v>
      </c>
      <c r="Q46" s="821">
        <v>1</v>
      </c>
      <c r="R46" s="820">
        <v>4</v>
      </c>
      <c r="S46" s="821">
        <v>5</v>
      </c>
      <c r="T46" s="820"/>
      <c r="U46" s="838"/>
      <c r="V46" s="820">
        <v>3</v>
      </c>
      <c r="W46" s="838">
        <v>3</v>
      </c>
      <c r="X46" s="820"/>
      <c r="Y46" s="2581"/>
      <c r="Z46" s="2565">
        <v>7</v>
      </c>
      <c r="AA46" s="2566">
        <v>5</v>
      </c>
      <c r="AB46" s="2287" t="s">
        <v>32</v>
      </c>
      <c r="AC46" s="2513">
        <f t="shared" si="0"/>
        <v>70</v>
      </c>
    </row>
    <row r="47" spans="1:29" ht="18.75" x14ac:dyDescent="0.25">
      <c r="A47" s="2558">
        <v>38</v>
      </c>
      <c r="B47" s="2561">
        <v>5191421038</v>
      </c>
      <c r="C47" s="2580">
        <v>2</v>
      </c>
      <c r="D47" s="839">
        <v>2</v>
      </c>
      <c r="E47" s="838">
        <v>2</v>
      </c>
      <c r="F47" s="820"/>
      <c r="G47" s="821"/>
      <c r="H47" s="820">
        <v>4</v>
      </c>
      <c r="I47" s="2518">
        <v>3</v>
      </c>
      <c r="J47" s="820">
        <v>4</v>
      </c>
      <c r="K47" s="821">
        <v>5</v>
      </c>
      <c r="L47" s="820"/>
      <c r="M47" s="821"/>
      <c r="N47" s="2575">
        <v>21</v>
      </c>
      <c r="O47" s="822">
        <v>1</v>
      </c>
      <c r="P47" s="839"/>
      <c r="Q47" s="821">
        <v>2</v>
      </c>
      <c r="R47" s="820">
        <v>4</v>
      </c>
      <c r="S47" s="821">
        <v>5</v>
      </c>
      <c r="T47" s="820"/>
      <c r="U47" s="838"/>
      <c r="V47" s="820">
        <v>5</v>
      </c>
      <c r="W47" s="838">
        <v>4</v>
      </c>
      <c r="X47" s="820"/>
      <c r="Y47" s="2581"/>
      <c r="Z47" s="2565">
        <v>20</v>
      </c>
      <c r="AA47" s="2566">
        <v>8</v>
      </c>
      <c r="AB47" s="2287" t="s">
        <v>33</v>
      </c>
      <c r="AC47" s="2513">
        <f t="shared" si="0"/>
        <v>60</v>
      </c>
    </row>
    <row r="48" spans="1:29" ht="18.75" x14ac:dyDescent="0.25">
      <c r="A48" s="2558">
        <v>39</v>
      </c>
      <c r="B48" s="2561">
        <v>5191421039</v>
      </c>
      <c r="C48" s="2580">
        <v>0</v>
      </c>
      <c r="D48" s="839">
        <v>2</v>
      </c>
      <c r="E48" s="838">
        <v>1</v>
      </c>
      <c r="F48" s="820"/>
      <c r="G48" s="821"/>
      <c r="H48" s="820">
        <v>5</v>
      </c>
      <c r="I48" s="2518"/>
      <c r="J48" s="820"/>
      <c r="K48" s="821"/>
      <c r="L48" s="820">
        <v>5</v>
      </c>
      <c r="M48" s="821">
        <v>5</v>
      </c>
      <c r="N48" s="2575">
        <v>18</v>
      </c>
      <c r="O48" s="822">
        <v>1</v>
      </c>
      <c r="P48" s="839">
        <v>1</v>
      </c>
      <c r="Q48" s="821">
        <v>1</v>
      </c>
      <c r="R48" s="820">
        <v>5</v>
      </c>
      <c r="S48" s="821">
        <v>5</v>
      </c>
      <c r="T48" s="820"/>
      <c r="U48" s="838"/>
      <c r="V48" s="820">
        <v>5</v>
      </c>
      <c r="W48" s="838">
        <v>5</v>
      </c>
      <c r="X48" s="820"/>
      <c r="Y48" s="2581"/>
      <c r="Z48" s="2565">
        <v>21</v>
      </c>
      <c r="AA48" s="2566">
        <v>10</v>
      </c>
      <c r="AB48" s="2287" t="s">
        <v>27</v>
      </c>
      <c r="AC48" s="2513">
        <f t="shared" si="0"/>
        <v>80</v>
      </c>
    </row>
    <row r="49" spans="1:29" ht="18.75" x14ac:dyDescent="0.25">
      <c r="A49" s="2558">
        <v>40</v>
      </c>
      <c r="B49" s="2561">
        <v>5191421040</v>
      </c>
      <c r="C49" s="2562">
        <v>1</v>
      </c>
      <c r="D49" s="839">
        <v>2</v>
      </c>
      <c r="E49" s="838">
        <v>2</v>
      </c>
      <c r="F49" s="820">
        <v>5</v>
      </c>
      <c r="G49" s="821">
        <v>5</v>
      </c>
      <c r="H49" s="820"/>
      <c r="I49" s="2518"/>
      <c r="J49" s="820">
        <v>4</v>
      </c>
      <c r="K49" s="821">
        <v>5</v>
      </c>
      <c r="L49" s="820"/>
      <c r="M49" s="821"/>
      <c r="N49" s="2575">
        <v>24</v>
      </c>
      <c r="O49" s="822">
        <v>2</v>
      </c>
      <c r="P49" s="839">
        <v>2</v>
      </c>
      <c r="Q49" s="821">
        <v>2</v>
      </c>
      <c r="R49" s="820">
        <v>6</v>
      </c>
      <c r="S49" s="821">
        <v>4</v>
      </c>
      <c r="T49" s="820"/>
      <c r="U49" s="838"/>
      <c r="V49" s="820">
        <v>5</v>
      </c>
      <c r="W49" s="838">
        <v>5</v>
      </c>
      <c r="X49" s="820"/>
      <c r="Y49" s="2581"/>
      <c r="Z49" s="2565">
        <v>24</v>
      </c>
      <c r="AA49" s="2566">
        <v>8</v>
      </c>
      <c r="AB49" s="2287" t="s">
        <v>27</v>
      </c>
      <c r="AC49" s="2513">
        <f t="shared" si="0"/>
        <v>80</v>
      </c>
    </row>
    <row r="50" spans="1:29" ht="18.75" x14ac:dyDescent="0.25">
      <c r="A50" s="2558">
        <v>41</v>
      </c>
      <c r="B50" s="2561">
        <v>5191421041</v>
      </c>
      <c r="C50" s="2580">
        <v>2</v>
      </c>
      <c r="D50" s="839">
        <v>0</v>
      </c>
      <c r="E50" s="838">
        <v>2</v>
      </c>
      <c r="F50" s="820">
        <v>5</v>
      </c>
      <c r="G50" s="821">
        <v>5</v>
      </c>
      <c r="H50" s="820"/>
      <c r="I50" s="2518"/>
      <c r="J50" s="820"/>
      <c r="K50" s="821"/>
      <c r="L50" s="820"/>
      <c r="M50" s="821"/>
      <c r="N50" s="2575">
        <v>14</v>
      </c>
      <c r="O50" s="822">
        <v>1</v>
      </c>
      <c r="P50" s="839">
        <v>1</v>
      </c>
      <c r="Q50" s="821">
        <v>1</v>
      </c>
      <c r="R50" s="820">
        <v>4</v>
      </c>
      <c r="S50" s="821">
        <v>5</v>
      </c>
      <c r="T50" s="820"/>
      <c r="U50" s="838"/>
      <c r="V50" s="820">
        <v>5</v>
      </c>
      <c r="W50" s="838">
        <v>5</v>
      </c>
      <c r="X50" s="820"/>
      <c r="Y50" s="2581"/>
      <c r="Z50" s="2565">
        <v>19</v>
      </c>
      <c r="AA50" s="2566">
        <v>8</v>
      </c>
      <c r="AB50" s="2287" t="s">
        <v>32</v>
      </c>
      <c r="AC50" s="2513">
        <f t="shared" si="0"/>
        <v>70</v>
      </c>
    </row>
    <row r="51" spans="1:29" ht="15" customHeight="1" x14ac:dyDescent="0.25">
      <c r="A51" s="2558">
        <v>42</v>
      </c>
      <c r="B51" s="2561">
        <v>5191421042</v>
      </c>
      <c r="C51" s="2580"/>
      <c r="D51" s="839"/>
      <c r="E51" s="838"/>
      <c r="F51" s="820">
        <v>4</v>
      </c>
      <c r="G51" s="821">
        <v>5</v>
      </c>
      <c r="H51" s="820"/>
      <c r="I51" s="2518"/>
      <c r="J51" s="820"/>
      <c r="K51" s="821"/>
      <c r="L51" s="820">
        <v>5</v>
      </c>
      <c r="M51" s="821">
        <v>4</v>
      </c>
      <c r="N51" s="2575">
        <v>18</v>
      </c>
      <c r="O51" s="822"/>
      <c r="P51" s="839"/>
      <c r="Q51" s="821"/>
      <c r="R51" s="820">
        <v>3</v>
      </c>
      <c r="S51" s="821">
        <v>2</v>
      </c>
      <c r="T51" s="820"/>
      <c r="U51" s="838"/>
      <c r="V51" s="820"/>
      <c r="W51" s="838"/>
      <c r="X51" s="820">
        <v>3</v>
      </c>
      <c r="Y51" s="2581">
        <v>4</v>
      </c>
      <c r="Z51" s="2565">
        <v>9</v>
      </c>
      <c r="AA51" s="2566">
        <v>8</v>
      </c>
      <c r="AB51" s="2287" t="s">
        <v>29</v>
      </c>
      <c r="AC51" s="2513">
        <f t="shared" si="0"/>
        <v>39</v>
      </c>
    </row>
    <row r="52" spans="1:29" ht="18.75" x14ac:dyDescent="0.25">
      <c r="A52" s="2558">
        <v>43</v>
      </c>
      <c r="B52" s="2561">
        <v>5191421043</v>
      </c>
      <c r="C52" s="2580">
        <v>2</v>
      </c>
      <c r="D52" s="839">
        <v>2</v>
      </c>
      <c r="E52" s="838">
        <v>2</v>
      </c>
      <c r="F52" s="820"/>
      <c r="G52" s="821"/>
      <c r="H52" s="820">
        <v>5</v>
      </c>
      <c r="I52" s="2518">
        <v>5</v>
      </c>
      <c r="J52" s="820">
        <v>4</v>
      </c>
      <c r="K52" s="821">
        <v>4</v>
      </c>
      <c r="L52" s="820"/>
      <c r="M52" s="821"/>
      <c r="N52" s="2575">
        <v>23</v>
      </c>
      <c r="O52" s="822">
        <v>1</v>
      </c>
      <c r="P52" s="839">
        <v>2</v>
      </c>
      <c r="Q52" s="821">
        <v>2</v>
      </c>
      <c r="R52" s="820">
        <v>6</v>
      </c>
      <c r="S52" s="821">
        <v>4</v>
      </c>
      <c r="T52" s="820"/>
      <c r="U52" s="838"/>
      <c r="V52" s="820">
        <v>6</v>
      </c>
      <c r="W52" s="838">
        <v>6</v>
      </c>
      <c r="X52" s="820"/>
      <c r="Y52" s="2581"/>
      <c r="Z52" s="2565">
        <v>25</v>
      </c>
      <c r="AA52" s="2566">
        <v>10</v>
      </c>
      <c r="AB52" s="2287" t="s">
        <v>32</v>
      </c>
      <c r="AC52" s="2513">
        <f t="shared" si="0"/>
        <v>70</v>
      </c>
    </row>
    <row r="53" spans="1:29" ht="18.75" x14ac:dyDescent="0.25">
      <c r="A53" s="2558">
        <v>44</v>
      </c>
      <c r="B53" s="2561">
        <v>5191421044</v>
      </c>
      <c r="C53" s="2580">
        <v>2</v>
      </c>
      <c r="D53" s="839"/>
      <c r="E53" s="838">
        <v>2</v>
      </c>
      <c r="F53" s="820">
        <v>5</v>
      </c>
      <c r="G53" s="821">
        <v>4</v>
      </c>
      <c r="H53" s="820"/>
      <c r="I53" s="2518"/>
      <c r="J53" s="820"/>
      <c r="K53" s="821"/>
      <c r="L53" s="820">
        <v>4</v>
      </c>
      <c r="M53" s="821">
        <v>4</v>
      </c>
      <c r="N53" s="2575">
        <v>23</v>
      </c>
      <c r="O53" s="822">
        <v>1</v>
      </c>
      <c r="P53" s="839">
        <v>2</v>
      </c>
      <c r="Q53" s="821">
        <v>2</v>
      </c>
      <c r="R53" s="820">
        <v>6</v>
      </c>
      <c r="S53" s="821">
        <v>5</v>
      </c>
      <c r="T53" s="820"/>
      <c r="U53" s="838"/>
      <c r="V53" s="820">
        <v>6</v>
      </c>
      <c r="W53" s="838">
        <v>6</v>
      </c>
      <c r="X53" s="820"/>
      <c r="Y53" s="2581"/>
      <c r="Z53" s="2565">
        <v>27</v>
      </c>
      <c r="AA53" s="2566">
        <v>10</v>
      </c>
      <c r="AB53" s="2287" t="s">
        <v>32</v>
      </c>
      <c r="AC53" s="2513">
        <f t="shared" si="0"/>
        <v>70</v>
      </c>
    </row>
    <row r="54" spans="1:29" ht="18.75" x14ac:dyDescent="0.25">
      <c r="A54" s="2558">
        <v>45</v>
      </c>
      <c r="B54" s="2561">
        <v>5191421045</v>
      </c>
      <c r="C54" s="2562">
        <v>2</v>
      </c>
      <c r="D54" s="839">
        <v>2</v>
      </c>
      <c r="E54" s="838">
        <v>2</v>
      </c>
      <c r="F54" s="820">
        <v>6</v>
      </c>
      <c r="G54" s="821">
        <v>2</v>
      </c>
      <c r="H54" s="820"/>
      <c r="I54" s="2518"/>
      <c r="J54" s="820"/>
      <c r="K54" s="821"/>
      <c r="L54" s="820">
        <v>4</v>
      </c>
      <c r="M54" s="821">
        <v>4</v>
      </c>
      <c r="N54" s="2575">
        <v>22</v>
      </c>
      <c r="O54" s="822">
        <v>1</v>
      </c>
      <c r="P54" s="839">
        <v>2</v>
      </c>
      <c r="Q54" s="821">
        <v>1</v>
      </c>
      <c r="R54" s="820">
        <v>5</v>
      </c>
      <c r="S54" s="821">
        <v>6</v>
      </c>
      <c r="T54" s="820"/>
      <c r="U54" s="838"/>
      <c r="V54" s="820">
        <v>4</v>
      </c>
      <c r="W54" s="838">
        <v>5</v>
      </c>
      <c r="X54" s="820"/>
      <c r="Y54" s="2581"/>
      <c r="Z54" s="2565">
        <v>11</v>
      </c>
      <c r="AA54" s="2566">
        <v>10</v>
      </c>
      <c r="AB54" s="2287" t="s">
        <v>32</v>
      </c>
      <c r="AC54" s="2513">
        <f t="shared" si="0"/>
        <v>70</v>
      </c>
    </row>
    <row r="55" spans="1:29" ht="18.75" x14ac:dyDescent="0.25">
      <c r="A55" s="2558">
        <v>46</v>
      </c>
      <c r="B55" s="2561">
        <v>5191421046</v>
      </c>
      <c r="C55" s="2580">
        <v>2</v>
      </c>
      <c r="D55" s="839">
        <v>2</v>
      </c>
      <c r="E55" s="838">
        <v>2</v>
      </c>
      <c r="F55" s="820">
        <v>4</v>
      </c>
      <c r="G55" s="821">
        <v>5</v>
      </c>
      <c r="H55" s="820"/>
      <c r="I55" s="2518"/>
      <c r="J55" s="820">
        <v>5</v>
      </c>
      <c r="K55" s="821">
        <v>4</v>
      </c>
      <c r="L55" s="820"/>
      <c r="M55" s="821"/>
      <c r="N55" s="2575">
        <v>24</v>
      </c>
      <c r="O55" s="822">
        <v>1</v>
      </c>
      <c r="P55" s="839">
        <v>1</v>
      </c>
      <c r="Q55" s="821">
        <v>2</v>
      </c>
      <c r="R55" s="820">
        <v>6</v>
      </c>
      <c r="S55" s="821">
        <v>5</v>
      </c>
      <c r="T55" s="820"/>
      <c r="U55" s="838"/>
      <c r="V55" s="820">
        <v>5</v>
      </c>
      <c r="W55" s="838">
        <v>4</v>
      </c>
      <c r="X55" s="820"/>
      <c r="Y55" s="2581"/>
      <c r="Z55" s="2565">
        <v>19</v>
      </c>
      <c r="AA55" s="2566">
        <v>10</v>
      </c>
      <c r="AB55" s="2287" t="s">
        <v>32</v>
      </c>
      <c r="AC55" s="2513">
        <f t="shared" si="0"/>
        <v>70</v>
      </c>
    </row>
    <row r="56" spans="1:29" ht="18.75" x14ac:dyDescent="0.25">
      <c r="A56" s="2558">
        <v>47</v>
      </c>
      <c r="B56" s="2561">
        <v>5191421047</v>
      </c>
      <c r="C56" s="2580"/>
      <c r="D56" s="839"/>
      <c r="E56" s="838"/>
      <c r="F56" s="820"/>
      <c r="G56" s="821"/>
      <c r="H56" s="820"/>
      <c r="I56" s="2518"/>
      <c r="J56" s="820"/>
      <c r="K56" s="821"/>
      <c r="L56" s="820"/>
      <c r="M56" s="821"/>
      <c r="N56" s="2588">
        <v>0</v>
      </c>
      <c r="O56" s="822"/>
      <c r="P56" s="839"/>
      <c r="Q56" s="821"/>
      <c r="R56" s="820">
        <v>3</v>
      </c>
      <c r="S56" s="821">
        <v>3</v>
      </c>
      <c r="T56" s="820"/>
      <c r="U56" s="838"/>
      <c r="V56" s="820"/>
      <c r="W56" s="838"/>
      <c r="X56" s="820">
        <v>4</v>
      </c>
      <c r="Y56" s="2581">
        <v>2</v>
      </c>
      <c r="Z56" s="2565">
        <v>3</v>
      </c>
      <c r="AA56" s="2566">
        <v>8</v>
      </c>
      <c r="AB56" s="2287" t="s">
        <v>28</v>
      </c>
      <c r="AC56" s="2513">
        <f t="shared" si="0"/>
        <v>50</v>
      </c>
    </row>
    <row r="57" spans="1:29" ht="18.75" x14ac:dyDescent="0.25">
      <c r="A57" s="2558">
        <v>48</v>
      </c>
      <c r="B57" s="2561">
        <v>5191421048</v>
      </c>
      <c r="C57" s="2580">
        <v>2</v>
      </c>
      <c r="D57" s="839">
        <v>0</v>
      </c>
      <c r="E57" s="838">
        <v>2</v>
      </c>
      <c r="F57" s="820">
        <v>4</v>
      </c>
      <c r="G57" s="821">
        <v>4</v>
      </c>
      <c r="H57" s="820"/>
      <c r="I57" s="2518"/>
      <c r="J57" s="820"/>
      <c r="K57" s="821"/>
      <c r="L57" s="820"/>
      <c r="M57" s="821">
        <v>4</v>
      </c>
      <c r="N57" s="2575">
        <v>16</v>
      </c>
      <c r="O57" s="822">
        <v>1</v>
      </c>
      <c r="P57" s="839">
        <v>1</v>
      </c>
      <c r="Q57" s="821">
        <v>2</v>
      </c>
      <c r="R57" s="820"/>
      <c r="S57" s="821"/>
      <c r="T57" s="820">
        <v>6</v>
      </c>
      <c r="U57" s="838">
        <v>4</v>
      </c>
      <c r="V57" s="820"/>
      <c r="W57" s="838"/>
      <c r="X57" s="820">
        <v>5</v>
      </c>
      <c r="Y57" s="2581">
        <v>4</v>
      </c>
      <c r="Z57" s="2565">
        <v>17</v>
      </c>
      <c r="AA57" s="2566">
        <v>8</v>
      </c>
      <c r="AB57" s="2287" t="s">
        <v>31</v>
      </c>
      <c r="AC57" s="2513">
        <f t="shared" si="0"/>
        <v>55</v>
      </c>
    </row>
    <row r="58" spans="1:29" ht="18.75" x14ac:dyDescent="0.25">
      <c r="A58" s="2558">
        <v>49</v>
      </c>
      <c r="B58" s="2561">
        <v>5191421049</v>
      </c>
      <c r="C58" s="2580"/>
      <c r="D58" s="839"/>
      <c r="E58" s="838"/>
      <c r="F58" s="820"/>
      <c r="G58" s="821"/>
      <c r="H58" s="820"/>
      <c r="I58" s="2518"/>
      <c r="J58" s="820"/>
      <c r="K58" s="821"/>
      <c r="L58" s="820"/>
      <c r="M58" s="821"/>
      <c r="N58" s="2588">
        <v>0</v>
      </c>
      <c r="O58" s="822">
        <v>2</v>
      </c>
      <c r="P58" s="839">
        <v>2</v>
      </c>
      <c r="Q58" s="821">
        <v>2</v>
      </c>
      <c r="R58" s="820">
        <v>5</v>
      </c>
      <c r="S58" s="821">
        <v>5</v>
      </c>
      <c r="T58" s="820"/>
      <c r="U58" s="838"/>
      <c r="V58" s="820">
        <v>5</v>
      </c>
      <c r="W58" s="838">
        <v>4</v>
      </c>
      <c r="X58" s="820"/>
      <c r="Y58" s="2581"/>
      <c r="Z58" s="2565">
        <v>21</v>
      </c>
      <c r="AA58" s="2566">
        <v>8</v>
      </c>
      <c r="AB58" s="2287" t="s">
        <v>32</v>
      </c>
      <c r="AC58" s="2513">
        <f t="shared" si="0"/>
        <v>70</v>
      </c>
    </row>
    <row r="59" spans="1:29" ht="18.75" x14ac:dyDescent="0.25">
      <c r="A59" s="2558">
        <v>50</v>
      </c>
      <c r="B59" s="2561">
        <v>5191421050</v>
      </c>
      <c r="C59" s="2580"/>
      <c r="D59" s="839"/>
      <c r="E59" s="838"/>
      <c r="F59" s="820"/>
      <c r="G59" s="821"/>
      <c r="H59" s="820"/>
      <c r="I59" s="2518"/>
      <c r="J59" s="820"/>
      <c r="K59" s="821"/>
      <c r="L59" s="820"/>
      <c r="M59" s="821"/>
      <c r="N59" s="2575">
        <v>20</v>
      </c>
      <c r="O59" s="822">
        <v>1</v>
      </c>
      <c r="P59" s="839">
        <v>2</v>
      </c>
      <c r="Q59" s="821">
        <v>2</v>
      </c>
      <c r="R59" s="820">
        <v>2</v>
      </c>
      <c r="S59" s="821">
        <v>4</v>
      </c>
      <c r="T59" s="820"/>
      <c r="U59" s="838"/>
      <c r="V59" s="820"/>
      <c r="W59" s="838"/>
      <c r="X59" s="820">
        <v>4</v>
      </c>
      <c r="Y59" s="2581">
        <v>4</v>
      </c>
      <c r="Z59" s="2565">
        <v>18</v>
      </c>
      <c r="AA59" s="2566">
        <v>10</v>
      </c>
      <c r="AB59" s="2287" t="s">
        <v>33</v>
      </c>
      <c r="AC59" s="2513">
        <f t="shared" si="0"/>
        <v>60</v>
      </c>
    </row>
    <row r="60" spans="1:29" ht="18.75" x14ac:dyDescent="0.25">
      <c r="A60" s="2558">
        <v>51</v>
      </c>
      <c r="B60" s="2561">
        <v>5191421051</v>
      </c>
      <c r="C60" s="2589">
        <v>2</v>
      </c>
      <c r="D60" s="2590">
        <v>2</v>
      </c>
      <c r="E60" s="2571">
        <v>2</v>
      </c>
      <c r="F60" s="2572">
        <v>5</v>
      </c>
      <c r="G60" s="821">
        <v>4</v>
      </c>
      <c r="H60" s="2572"/>
      <c r="I60" s="2574"/>
      <c r="J60" s="2572"/>
      <c r="K60" s="2573">
        <v>8</v>
      </c>
      <c r="L60" s="820"/>
      <c r="M60" s="821"/>
      <c r="N60" s="2575">
        <v>23</v>
      </c>
      <c r="O60" s="2576">
        <v>1</v>
      </c>
      <c r="P60" s="2590">
        <v>1</v>
      </c>
      <c r="Q60" s="2573">
        <v>2</v>
      </c>
      <c r="R60" s="2572">
        <v>6</v>
      </c>
      <c r="S60" s="821">
        <v>5</v>
      </c>
      <c r="T60" s="820"/>
      <c r="U60" s="838"/>
      <c r="V60" s="820"/>
      <c r="W60" s="838"/>
      <c r="X60" s="2572">
        <v>4</v>
      </c>
      <c r="Y60" s="2581">
        <v>5</v>
      </c>
      <c r="Z60" s="2565">
        <v>25</v>
      </c>
      <c r="AA60" s="2566">
        <v>10</v>
      </c>
      <c r="AB60" s="2287" t="s">
        <v>32</v>
      </c>
      <c r="AC60" s="2513">
        <f t="shared" si="0"/>
        <v>70</v>
      </c>
    </row>
    <row r="61" spans="1:29" ht="18.75" x14ac:dyDescent="0.25">
      <c r="A61" s="2558">
        <v>52</v>
      </c>
      <c r="B61" s="2561">
        <v>5191421052</v>
      </c>
      <c r="C61" s="2589">
        <v>2</v>
      </c>
      <c r="D61" s="2590">
        <v>2</v>
      </c>
      <c r="E61" s="2571">
        <v>2</v>
      </c>
      <c r="F61" s="2572">
        <v>5</v>
      </c>
      <c r="G61" s="821">
        <v>5</v>
      </c>
      <c r="H61" s="2572"/>
      <c r="I61" s="2574"/>
      <c r="J61" s="2572"/>
      <c r="K61" s="2573"/>
      <c r="L61" s="820">
        <v>4</v>
      </c>
      <c r="M61" s="821">
        <v>5</v>
      </c>
      <c r="N61" s="2575">
        <v>25</v>
      </c>
      <c r="O61" s="2576">
        <v>2</v>
      </c>
      <c r="P61" s="2590">
        <v>1</v>
      </c>
      <c r="Q61" s="2573">
        <v>2</v>
      </c>
      <c r="R61" s="2572">
        <v>5</v>
      </c>
      <c r="S61" s="821">
        <v>6</v>
      </c>
      <c r="T61" s="820"/>
      <c r="U61" s="838"/>
      <c r="V61" s="820"/>
      <c r="W61" s="838"/>
      <c r="X61" s="2572">
        <v>5</v>
      </c>
      <c r="Y61" s="2581">
        <v>4</v>
      </c>
      <c r="Z61" s="2565">
        <v>27</v>
      </c>
      <c r="AA61" s="2566">
        <v>10</v>
      </c>
      <c r="AB61" s="2287" t="s">
        <v>32</v>
      </c>
      <c r="AC61" s="2513">
        <f t="shared" si="0"/>
        <v>70</v>
      </c>
    </row>
    <row r="62" spans="1:29" ht="18.75" x14ac:dyDescent="0.25">
      <c r="A62" s="2558">
        <v>53</v>
      </c>
      <c r="B62" s="2561">
        <v>5191421053</v>
      </c>
      <c r="C62" s="2589">
        <v>2</v>
      </c>
      <c r="D62" s="2590"/>
      <c r="E62" s="2571">
        <v>2</v>
      </c>
      <c r="F62" s="2572"/>
      <c r="G62" s="821"/>
      <c r="H62" s="2572">
        <v>6</v>
      </c>
      <c r="I62" s="2574"/>
      <c r="J62" s="2572">
        <v>5</v>
      </c>
      <c r="K62" s="2573"/>
      <c r="L62" s="820"/>
      <c r="M62" s="821"/>
      <c r="N62" s="2575">
        <v>17</v>
      </c>
      <c r="O62" s="2576">
        <v>2</v>
      </c>
      <c r="P62" s="2590"/>
      <c r="Q62" s="2573">
        <v>2</v>
      </c>
      <c r="R62" s="2572">
        <v>5</v>
      </c>
      <c r="S62" s="821">
        <v>6</v>
      </c>
      <c r="T62" s="820"/>
      <c r="U62" s="838"/>
      <c r="V62" s="820"/>
      <c r="W62" s="838"/>
      <c r="X62" s="2572">
        <v>6</v>
      </c>
      <c r="Y62" s="2581">
        <v>5</v>
      </c>
      <c r="Z62" s="2565">
        <v>20</v>
      </c>
      <c r="AA62" s="2566">
        <v>8</v>
      </c>
      <c r="AB62" s="2287" t="s">
        <v>32</v>
      </c>
      <c r="AC62" s="2513">
        <f t="shared" si="0"/>
        <v>70</v>
      </c>
    </row>
    <row r="63" spans="1:29" ht="18.75" x14ac:dyDescent="0.25">
      <c r="A63" s="2558">
        <v>54</v>
      </c>
      <c r="B63" s="2561">
        <v>5191421054</v>
      </c>
      <c r="C63" s="2589">
        <v>2</v>
      </c>
      <c r="D63" s="2590">
        <v>2</v>
      </c>
      <c r="E63" s="2571">
        <v>2</v>
      </c>
      <c r="F63" s="2572">
        <v>5</v>
      </c>
      <c r="G63" s="821">
        <v>5</v>
      </c>
      <c r="H63" s="2572"/>
      <c r="I63" s="2574"/>
      <c r="J63" s="2572"/>
      <c r="K63" s="2573"/>
      <c r="L63" s="820"/>
      <c r="M63" s="821"/>
      <c r="N63" s="2575">
        <v>16</v>
      </c>
      <c r="O63" s="2576">
        <v>2</v>
      </c>
      <c r="P63" s="2590">
        <v>2</v>
      </c>
      <c r="Q63" s="2573"/>
      <c r="R63" s="2572">
        <v>6</v>
      </c>
      <c r="S63" s="821">
        <v>5</v>
      </c>
      <c r="T63" s="820"/>
      <c r="U63" s="838"/>
      <c r="V63" s="820"/>
      <c r="W63" s="838"/>
      <c r="X63" s="2572">
        <v>5</v>
      </c>
      <c r="Y63" s="2581">
        <v>5</v>
      </c>
      <c r="Z63" s="2565">
        <v>11</v>
      </c>
      <c r="AA63" s="2566">
        <v>8</v>
      </c>
      <c r="AB63" s="2287" t="s">
        <v>32</v>
      </c>
      <c r="AC63" s="2513">
        <f t="shared" si="0"/>
        <v>70</v>
      </c>
    </row>
    <row r="64" spans="1:29" ht="18.75" x14ac:dyDescent="0.25">
      <c r="A64" s="2558">
        <v>55</v>
      </c>
      <c r="B64" s="2561">
        <v>5191421055</v>
      </c>
      <c r="C64" s="2589">
        <v>2</v>
      </c>
      <c r="D64" s="2590">
        <v>2</v>
      </c>
      <c r="E64" s="2571">
        <v>2</v>
      </c>
      <c r="F64" s="2572">
        <v>6</v>
      </c>
      <c r="G64" s="821">
        <v>2</v>
      </c>
      <c r="H64" s="2572"/>
      <c r="I64" s="2574"/>
      <c r="J64" s="2572">
        <v>4</v>
      </c>
      <c r="K64" s="2573">
        <v>4</v>
      </c>
      <c r="L64" s="820"/>
      <c r="M64" s="821"/>
      <c r="N64" s="2575">
        <v>22</v>
      </c>
      <c r="O64" s="2576">
        <v>2</v>
      </c>
      <c r="P64" s="2590">
        <v>2</v>
      </c>
      <c r="Q64" s="2573">
        <v>2</v>
      </c>
      <c r="R64" s="2572">
        <v>6</v>
      </c>
      <c r="S64" s="821">
        <v>5</v>
      </c>
      <c r="T64" s="820"/>
      <c r="U64" s="838"/>
      <c r="V64" s="820"/>
      <c r="W64" s="838"/>
      <c r="X64" s="2572">
        <v>5</v>
      </c>
      <c r="Y64" s="2581">
        <v>5</v>
      </c>
      <c r="Z64" s="2575">
        <v>27</v>
      </c>
      <c r="AA64" s="2566">
        <v>8</v>
      </c>
      <c r="AB64" s="2287" t="s">
        <v>32</v>
      </c>
      <c r="AC64" s="2513">
        <f t="shared" si="0"/>
        <v>70</v>
      </c>
    </row>
    <row r="65" spans="1:29" ht="18.75" x14ac:dyDescent="0.25">
      <c r="A65" s="2558">
        <v>56</v>
      </c>
      <c r="B65" s="2561">
        <v>5191421056</v>
      </c>
      <c r="C65" s="2589">
        <v>2</v>
      </c>
      <c r="D65" s="2590">
        <v>2</v>
      </c>
      <c r="E65" s="2571">
        <v>2</v>
      </c>
      <c r="F65" s="2572">
        <v>5</v>
      </c>
      <c r="G65" s="821">
        <v>4</v>
      </c>
      <c r="H65" s="2572"/>
      <c r="I65" s="2574"/>
      <c r="J65" s="2572"/>
      <c r="K65" s="2573"/>
      <c r="L65" s="820">
        <v>5</v>
      </c>
      <c r="M65" s="821">
        <v>4</v>
      </c>
      <c r="N65" s="2575">
        <v>22</v>
      </c>
      <c r="O65" s="2576">
        <v>2</v>
      </c>
      <c r="P65" s="2590">
        <v>1</v>
      </c>
      <c r="Q65" s="2573">
        <v>1</v>
      </c>
      <c r="R65" s="2572">
        <v>6</v>
      </c>
      <c r="S65" s="821">
        <v>5</v>
      </c>
      <c r="T65" s="820"/>
      <c r="U65" s="838"/>
      <c r="V65" s="820"/>
      <c r="W65" s="838"/>
      <c r="X65" s="2572">
        <v>4</v>
      </c>
      <c r="Y65" s="2581">
        <v>4</v>
      </c>
      <c r="Z65" s="2575">
        <v>23</v>
      </c>
      <c r="AA65" s="2566">
        <v>10</v>
      </c>
      <c r="AB65" s="2287" t="s">
        <v>33</v>
      </c>
      <c r="AC65" s="2513">
        <f t="shared" si="0"/>
        <v>60</v>
      </c>
    </row>
    <row r="66" spans="1:29" ht="18.75" x14ac:dyDescent="0.25">
      <c r="A66" s="2558">
        <v>57</v>
      </c>
      <c r="B66" s="2561">
        <v>5191421057</v>
      </c>
      <c r="C66" s="2589">
        <v>2</v>
      </c>
      <c r="D66" s="2590">
        <v>2</v>
      </c>
      <c r="E66" s="2571">
        <v>2</v>
      </c>
      <c r="F66" s="2572">
        <v>4</v>
      </c>
      <c r="G66" s="821">
        <v>5</v>
      </c>
      <c r="H66" s="2572"/>
      <c r="I66" s="2574"/>
      <c r="J66" s="2572"/>
      <c r="K66" s="2573">
        <v>6</v>
      </c>
      <c r="L66" s="820"/>
      <c r="M66" s="821"/>
      <c r="N66" s="2575">
        <v>21</v>
      </c>
      <c r="O66" s="2576">
        <v>2</v>
      </c>
      <c r="P66" s="2590">
        <v>2</v>
      </c>
      <c r="Q66" s="2573">
        <v>2</v>
      </c>
      <c r="R66" s="2572">
        <v>6</v>
      </c>
      <c r="S66" s="821">
        <v>6</v>
      </c>
      <c r="T66" s="820"/>
      <c r="U66" s="838"/>
      <c r="V66" s="820"/>
      <c r="W66" s="838"/>
      <c r="X66" s="2572">
        <v>5</v>
      </c>
      <c r="Y66" s="2579">
        <v>5</v>
      </c>
      <c r="Z66" s="2575">
        <v>28</v>
      </c>
      <c r="AA66" s="2566">
        <v>10</v>
      </c>
      <c r="AB66" s="2289" t="s">
        <v>27</v>
      </c>
      <c r="AC66" s="2513">
        <f t="shared" si="0"/>
        <v>80</v>
      </c>
    </row>
    <row r="67" spans="1:29" ht="19.5" thickBot="1" x14ac:dyDescent="0.3">
      <c r="A67" s="2558">
        <v>58</v>
      </c>
      <c r="B67" s="2591">
        <v>5191421058</v>
      </c>
      <c r="C67" s="2589">
        <v>2</v>
      </c>
      <c r="D67" s="2590">
        <v>0</v>
      </c>
      <c r="E67" s="2571">
        <v>2</v>
      </c>
      <c r="F67" s="2572">
        <v>5</v>
      </c>
      <c r="G67" s="2573">
        <v>4</v>
      </c>
      <c r="H67" s="2572"/>
      <c r="I67" s="2574"/>
      <c r="J67" s="2572"/>
      <c r="K67" s="2573"/>
      <c r="L67" s="2572"/>
      <c r="M67" s="2573">
        <v>3</v>
      </c>
      <c r="N67" s="2575">
        <v>16</v>
      </c>
      <c r="O67" s="2576">
        <v>2</v>
      </c>
      <c r="P67" s="2590">
        <v>1</v>
      </c>
      <c r="Q67" s="2573">
        <v>1</v>
      </c>
      <c r="R67" s="2572">
        <v>5</v>
      </c>
      <c r="S67" s="821">
        <v>1</v>
      </c>
      <c r="T67" s="2572"/>
      <c r="U67" s="2571"/>
      <c r="V67" s="2572"/>
      <c r="W67" s="2571"/>
      <c r="X67" s="2572">
        <v>5</v>
      </c>
      <c r="Y67" s="2592">
        <v>3</v>
      </c>
      <c r="Z67" s="2575">
        <v>18</v>
      </c>
      <c r="AA67" s="2566">
        <v>8</v>
      </c>
      <c r="AB67" s="2290" t="s">
        <v>33</v>
      </c>
      <c r="AC67" s="2513">
        <f t="shared" si="0"/>
        <v>60</v>
      </c>
    </row>
    <row r="68" spans="1:29" ht="16.5" x14ac:dyDescent="0.25">
      <c r="A68" s="493"/>
      <c r="B68" s="493"/>
      <c r="C68" s="2513">
        <f>COUNT(C10:C67)</f>
        <v>53</v>
      </c>
      <c r="D68" s="2513">
        <f t="shared" ref="D68:M68" si="1">COUNT(D10:D67)</f>
        <v>51</v>
      </c>
      <c r="E68" s="2513">
        <f t="shared" si="1"/>
        <v>53</v>
      </c>
      <c r="F68" s="2513">
        <f t="shared" si="1"/>
        <v>42</v>
      </c>
      <c r="G68" s="2513">
        <f t="shared" si="1"/>
        <v>40</v>
      </c>
      <c r="H68" s="2513">
        <f t="shared" si="1"/>
        <v>15</v>
      </c>
      <c r="I68" s="2513">
        <f t="shared" si="1"/>
        <v>10</v>
      </c>
      <c r="J68" s="2513">
        <f t="shared" si="1"/>
        <v>31</v>
      </c>
      <c r="K68" s="2513">
        <f t="shared" si="1"/>
        <v>33</v>
      </c>
      <c r="L68" s="2513">
        <f t="shared" si="1"/>
        <v>14</v>
      </c>
      <c r="M68" s="2513">
        <f t="shared" si="1"/>
        <v>16</v>
      </c>
      <c r="N68" s="2512"/>
      <c r="O68" s="2513">
        <f>COUNT(O10:O67)</f>
        <v>50</v>
      </c>
      <c r="P68" s="2513">
        <f t="shared" ref="P68:Y68" si="2">COUNT(P10:P67)</f>
        <v>46</v>
      </c>
      <c r="Q68" s="2513">
        <f t="shared" si="2"/>
        <v>48</v>
      </c>
      <c r="R68" s="2513">
        <f t="shared" si="2"/>
        <v>41</v>
      </c>
      <c r="S68" s="2513">
        <f t="shared" si="2"/>
        <v>40</v>
      </c>
      <c r="T68" s="2513">
        <f t="shared" si="2"/>
        <v>18</v>
      </c>
      <c r="U68" s="2513">
        <f t="shared" si="2"/>
        <v>16</v>
      </c>
      <c r="V68" s="2513">
        <f t="shared" si="2"/>
        <v>41</v>
      </c>
      <c r="W68" s="2513">
        <f t="shared" si="2"/>
        <v>41</v>
      </c>
      <c r="X68" s="2513">
        <f t="shared" si="2"/>
        <v>16</v>
      </c>
      <c r="Y68" s="2513">
        <f t="shared" si="2"/>
        <v>16</v>
      </c>
      <c r="Z68" s="2513"/>
      <c r="AA68" s="2513">
        <f>COUNT(AA10:AA67)</f>
        <v>58</v>
      </c>
      <c r="AB68" s="493"/>
      <c r="AC68" s="493"/>
    </row>
    <row r="69" spans="1:29" ht="33.75" thickBot="1" x14ac:dyDescent="0.3">
      <c r="A69" s="2593" t="s">
        <v>34</v>
      </c>
      <c r="B69" s="2516">
        <v>60</v>
      </c>
      <c r="C69" s="2594">
        <f>C9*($B69/100)</f>
        <v>1.2</v>
      </c>
      <c r="D69" s="2594">
        <f t="shared" ref="D69:M69" si="3">D9*($B69/100)</f>
        <v>1.2</v>
      </c>
      <c r="E69" s="2594">
        <f t="shared" si="3"/>
        <v>1.2</v>
      </c>
      <c r="F69" s="2594">
        <f t="shared" si="3"/>
        <v>3.5999999999999996</v>
      </c>
      <c r="G69" s="2594">
        <f t="shared" si="3"/>
        <v>3.5999999999999996</v>
      </c>
      <c r="H69" s="2594">
        <f t="shared" si="3"/>
        <v>3.5999999999999996</v>
      </c>
      <c r="I69" s="2594">
        <f t="shared" si="3"/>
        <v>3.5999999999999996</v>
      </c>
      <c r="J69" s="2594">
        <f t="shared" si="3"/>
        <v>3.5999999999999996</v>
      </c>
      <c r="K69" s="2594">
        <f t="shared" si="3"/>
        <v>3.5999999999999996</v>
      </c>
      <c r="L69" s="2594">
        <f t="shared" si="3"/>
        <v>3.5999999999999996</v>
      </c>
      <c r="M69" s="2594">
        <f t="shared" si="3"/>
        <v>3.5999999999999996</v>
      </c>
      <c r="N69" s="2512"/>
      <c r="O69" s="2594">
        <f>O9*($B69/100)</f>
        <v>1.2</v>
      </c>
      <c r="P69" s="2594">
        <f t="shared" ref="P69:Y69" si="4">P9*($B69/100)</f>
        <v>1.2</v>
      </c>
      <c r="Q69" s="2594">
        <f t="shared" si="4"/>
        <v>1.2</v>
      </c>
      <c r="R69" s="2594">
        <f t="shared" si="4"/>
        <v>3.5999999999999996</v>
      </c>
      <c r="S69" s="2594">
        <f t="shared" si="4"/>
        <v>3.5999999999999996</v>
      </c>
      <c r="T69" s="2594">
        <f t="shared" si="4"/>
        <v>3.5999999999999996</v>
      </c>
      <c r="U69" s="2594">
        <f t="shared" si="4"/>
        <v>3.5999999999999996</v>
      </c>
      <c r="V69" s="2594">
        <f t="shared" si="4"/>
        <v>3.5999999999999996</v>
      </c>
      <c r="W69" s="2594">
        <f t="shared" si="4"/>
        <v>3.5999999999999996</v>
      </c>
      <c r="X69" s="2594">
        <f t="shared" si="4"/>
        <v>3.5999999999999996</v>
      </c>
      <c r="Y69" s="2594">
        <f t="shared" si="4"/>
        <v>3.5999999999999996</v>
      </c>
      <c r="Z69" s="2594"/>
      <c r="AA69" s="2594">
        <v>5</v>
      </c>
      <c r="AB69" s="493"/>
      <c r="AC69" s="493"/>
    </row>
    <row r="70" spans="1:29" ht="16.5" x14ac:dyDescent="0.25">
      <c r="A70" s="3506" t="s">
        <v>35</v>
      </c>
      <c r="B70" s="3506"/>
      <c r="C70" s="2513">
        <f>COUNTIF(C11:C67,"&gt;=" &amp;C69)</f>
        <v>48</v>
      </c>
      <c r="D70" s="2513">
        <f t="shared" ref="D70:M70" si="5">COUNTIF(D11:D67,"&gt;=" &amp;D69)</f>
        <v>43</v>
      </c>
      <c r="E70" s="2513">
        <f t="shared" si="5"/>
        <v>47</v>
      </c>
      <c r="F70" s="2513">
        <f t="shared" si="5"/>
        <v>41</v>
      </c>
      <c r="G70" s="2513">
        <f t="shared" si="5"/>
        <v>37</v>
      </c>
      <c r="H70" s="2513">
        <f t="shared" si="5"/>
        <v>15</v>
      </c>
      <c r="I70" s="2513">
        <f t="shared" si="5"/>
        <v>9</v>
      </c>
      <c r="J70" s="2513">
        <f t="shared" si="5"/>
        <v>26</v>
      </c>
      <c r="K70" s="2513">
        <f t="shared" si="5"/>
        <v>29</v>
      </c>
      <c r="L70" s="2513">
        <f t="shared" si="5"/>
        <v>13</v>
      </c>
      <c r="M70" s="2513">
        <f t="shared" si="5"/>
        <v>14</v>
      </c>
      <c r="N70" s="2512"/>
      <c r="O70" s="2513">
        <f>COUNTIF(O10:O60,"&gt;=" &amp;O69)</f>
        <v>18</v>
      </c>
      <c r="P70" s="2513">
        <f t="shared" ref="P70:Y70" si="6">COUNTIF(P10:P60,"&gt;=" &amp;P69)</f>
        <v>18</v>
      </c>
      <c r="Q70" s="2513">
        <f t="shared" si="6"/>
        <v>20</v>
      </c>
      <c r="R70" s="2513">
        <f t="shared" si="6"/>
        <v>29</v>
      </c>
      <c r="S70" s="2513">
        <f t="shared" si="6"/>
        <v>31</v>
      </c>
      <c r="T70" s="2513">
        <f t="shared" si="6"/>
        <v>18</v>
      </c>
      <c r="U70" s="2513">
        <f t="shared" si="6"/>
        <v>16</v>
      </c>
      <c r="V70" s="2513">
        <f t="shared" si="6"/>
        <v>38</v>
      </c>
      <c r="W70" s="2513">
        <f t="shared" si="6"/>
        <v>37</v>
      </c>
      <c r="X70" s="2513">
        <f t="shared" si="6"/>
        <v>7</v>
      </c>
      <c r="Y70" s="2513">
        <f t="shared" si="6"/>
        <v>7</v>
      </c>
      <c r="Z70" s="2513"/>
      <c r="AA70" s="2513">
        <f>COUNTIF(AA10:AA60,"&gt;=" &amp;AA69)</f>
        <v>51</v>
      </c>
      <c r="AB70" s="493"/>
      <c r="AC70" s="2595">
        <f>COUNTIF(AC10:AC67,"&gt;="&amp;B69)</f>
        <v>52</v>
      </c>
    </row>
    <row r="71" spans="1:29" ht="17.25" thickBot="1" x14ac:dyDescent="0.3">
      <c r="A71" s="3508" t="s">
        <v>36</v>
      </c>
      <c r="B71" s="3508"/>
      <c r="C71" s="2513">
        <f t="shared" ref="C71:Y71" si="7">C70/C68</f>
        <v>0.90566037735849059</v>
      </c>
      <c r="D71" s="2513">
        <f t="shared" si="7"/>
        <v>0.84313725490196079</v>
      </c>
      <c r="E71" s="2513">
        <f t="shared" si="7"/>
        <v>0.8867924528301887</v>
      </c>
      <c r="F71" s="2513">
        <f t="shared" si="7"/>
        <v>0.97619047619047616</v>
      </c>
      <c r="G71" s="2513">
        <f t="shared" si="7"/>
        <v>0.92500000000000004</v>
      </c>
      <c r="H71" s="2513">
        <f>H70/H68</f>
        <v>1</v>
      </c>
      <c r="I71" s="2513">
        <f t="shared" si="7"/>
        <v>0.9</v>
      </c>
      <c r="J71" s="2513">
        <f t="shared" si="7"/>
        <v>0.83870967741935487</v>
      </c>
      <c r="K71" s="2513">
        <f t="shared" si="7"/>
        <v>0.87878787878787878</v>
      </c>
      <c r="L71" s="2513">
        <f t="shared" si="7"/>
        <v>0.9285714285714286</v>
      </c>
      <c r="M71" s="2513">
        <f>M70/M68</f>
        <v>0.875</v>
      </c>
      <c r="N71" s="2512"/>
      <c r="O71" s="2513">
        <f t="shared" si="7"/>
        <v>0.36</v>
      </c>
      <c r="P71" s="2513">
        <f t="shared" si="7"/>
        <v>0.39130434782608697</v>
      </c>
      <c r="Q71" s="2513">
        <f t="shared" si="7"/>
        <v>0.41666666666666669</v>
      </c>
      <c r="R71" s="2513">
        <f t="shared" si="7"/>
        <v>0.70731707317073167</v>
      </c>
      <c r="S71" s="2513">
        <f t="shared" si="7"/>
        <v>0.77500000000000002</v>
      </c>
      <c r="T71" s="2513">
        <f t="shared" si="7"/>
        <v>1</v>
      </c>
      <c r="U71" s="2513">
        <f t="shared" si="7"/>
        <v>1</v>
      </c>
      <c r="V71" s="2513">
        <f t="shared" si="7"/>
        <v>0.92682926829268297</v>
      </c>
      <c r="W71" s="2513">
        <f t="shared" si="7"/>
        <v>0.90243902439024393</v>
      </c>
      <c r="X71" s="2513">
        <f t="shared" si="7"/>
        <v>0.4375</v>
      </c>
      <c r="Y71" s="2513">
        <f t="shared" si="7"/>
        <v>0.4375</v>
      </c>
      <c r="Z71" s="2513"/>
      <c r="AA71" s="2513">
        <f>AA70/AA68</f>
        <v>0.87931034482758619</v>
      </c>
      <c r="AB71" s="493"/>
      <c r="AC71" s="2596">
        <f>(AC70/A67)*100</f>
        <v>89.65517241379311</v>
      </c>
    </row>
    <row r="72" spans="1:29" ht="33" x14ac:dyDescent="0.25">
      <c r="A72" s="493"/>
      <c r="B72" s="493"/>
      <c r="C72" s="2508" t="s">
        <v>40</v>
      </c>
      <c r="D72" s="818" t="s">
        <v>21</v>
      </c>
      <c r="E72" s="847" t="s">
        <v>23</v>
      </c>
      <c r="F72" s="847" t="s">
        <v>40</v>
      </c>
      <c r="G72" s="831" t="s">
        <v>20</v>
      </c>
      <c r="H72" s="847" t="s">
        <v>21</v>
      </c>
      <c r="I72" s="819" t="s">
        <v>41</v>
      </c>
      <c r="J72" s="848" t="s">
        <v>40</v>
      </c>
      <c r="K72" s="2556" t="s">
        <v>40</v>
      </c>
      <c r="L72" s="849" t="s">
        <v>40</v>
      </c>
      <c r="M72" s="2557" t="s">
        <v>41</v>
      </c>
      <c r="N72" s="2512"/>
      <c r="O72" s="818" t="s">
        <v>41</v>
      </c>
      <c r="P72" s="2509" t="s">
        <v>43</v>
      </c>
      <c r="Q72" s="819" t="s">
        <v>42</v>
      </c>
      <c r="R72" s="818" t="s">
        <v>42</v>
      </c>
      <c r="S72" s="819" t="s">
        <v>42</v>
      </c>
      <c r="T72" s="818" t="s">
        <v>41</v>
      </c>
      <c r="U72" s="818" t="s">
        <v>41</v>
      </c>
      <c r="V72" s="2509" t="s">
        <v>43</v>
      </c>
      <c r="W72" s="2509" t="s">
        <v>43</v>
      </c>
      <c r="X72" s="818" t="s">
        <v>41</v>
      </c>
      <c r="Y72" s="818" t="s">
        <v>41</v>
      </c>
      <c r="Z72" s="2512"/>
      <c r="AA72" s="2597" t="s">
        <v>418</v>
      </c>
      <c r="AB72" s="493"/>
      <c r="AC72" s="493"/>
    </row>
    <row r="73" spans="1:29" ht="16.5" x14ac:dyDescent="0.25">
      <c r="A73" s="493"/>
      <c r="B73" s="493"/>
      <c r="C73" s="2511"/>
      <c r="D73" s="2511"/>
      <c r="E73" s="2511"/>
      <c r="F73" s="2511"/>
      <c r="G73" s="2511"/>
      <c r="H73" s="2511"/>
      <c r="I73" s="2511"/>
      <c r="J73" s="2511"/>
      <c r="K73" s="2511"/>
      <c r="L73" s="2511"/>
      <c r="M73" s="2511"/>
      <c r="N73" s="595"/>
      <c r="O73" s="493"/>
      <c r="P73" s="493"/>
      <c r="Q73" s="493"/>
    </row>
    <row r="74" spans="1:29" ht="16.5" x14ac:dyDescent="0.25">
      <c r="A74" s="493"/>
      <c r="B74" s="493"/>
      <c r="C74" s="2511"/>
      <c r="D74" s="985" t="s">
        <v>38</v>
      </c>
      <c r="E74" s="3806" t="s">
        <v>39</v>
      </c>
      <c r="F74" s="3806"/>
      <c r="G74" s="3806" t="s">
        <v>37</v>
      </c>
      <c r="H74" s="3806"/>
      <c r="I74" s="3806"/>
      <c r="J74" s="2516"/>
      <c r="K74" s="2516"/>
      <c r="L74" s="2511"/>
      <c r="M74" s="2511"/>
      <c r="N74" s="595"/>
      <c r="O74" s="493"/>
      <c r="P74" s="493"/>
      <c r="Q74" s="493"/>
    </row>
    <row r="75" spans="1:29" ht="16.5" x14ac:dyDescent="0.25">
      <c r="A75" s="493"/>
      <c r="B75" s="985" t="s">
        <v>22</v>
      </c>
      <c r="C75" s="2513">
        <f>AVERAGE(G71,AA71)*100</f>
        <v>90.215517241379303</v>
      </c>
      <c r="D75" s="2513">
        <f>IF(C75&gt;=70,3,IF(AND(C75&gt;=60,C75&lt;70),2,IF(AND(C75&gt;=50,C75&lt;60),1)))</f>
        <v>3</v>
      </c>
      <c r="E75" s="3442">
        <f>IF(AC71&gt;=70,3,IF(AND(AC71&gt;=60,AC71&lt;70),2,IF(AND(AC71&gt;=50,AC71&lt;60),1)))</f>
        <v>3</v>
      </c>
      <c r="F75" s="3815"/>
      <c r="G75" s="3442">
        <f>(70/100)*E75+(30/100)*D75</f>
        <v>2.9999999999999996</v>
      </c>
      <c r="H75" s="3442"/>
      <c r="I75" s="3442"/>
      <c r="J75" s="2512"/>
      <c r="K75" s="2512"/>
      <c r="L75" s="2511"/>
      <c r="M75" s="2511"/>
      <c r="N75" s="595"/>
      <c r="O75" s="493"/>
      <c r="P75" s="493"/>
      <c r="Q75" s="493"/>
    </row>
    <row r="76" spans="1:29" ht="16.5" x14ac:dyDescent="0.25">
      <c r="A76" s="493"/>
      <c r="B76" s="985" t="s">
        <v>40</v>
      </c>
      <c r="C76" s="2513">
        <f>AVERAGE(C71,D71,F71,H71,J71,K71,L71,AA71)*100</f>
        <v>90.629592975714701</v>
      </c>
      <c r="D76" s="2513">
        <f>IF(C76&gt;=70,3,IF(AND(C76&gt;=60,C76&lt;70),2,IF(AND(C76&gt;=50,C76&lt;60),1)))</f>
        <v>3</v>
      </c>
      <c r="E76" s="3442">
        <f>IF(AC71&gt;=70,3,IF(AND(AC71&gt;=60,AC71&lt;70),2,IF(AND(AC71&gt;=50,AC71&lt;60),1)))</f>
        <v>3</v>
      </c>
      <c r="F76" s="3815"/>
      <c r="G76" s="3442">
        <f>(70/100)*E76+(30/100)*D76</f>
        <v>2.9999999999999996</v>
      </c>
      <c r="H76" s="3442"/>
      <c r="I76" s="3442"/>
      <c r="J76" s="2512"/>
      <c r="K76" s="2512"/>
      <c r="L76" s="2511"/>
      <c r="M76" s="2511"/>
      <c r="N76" s="595"/>
      <c r="O76" s="493"/>
      <c r="P76" s="493"/>
      <c r="Q76" s="493"/>
    </row>
    <row r="77" spans="1:29" ht="16.5" x14ac:dyDescent="0.25">
      <c r="A77" s="493"/>
      <c r="B77" s="985" t="s">
        <v>41</v>
      </c>
      <c r="C77" s="2513">
        <f>AVERAGE(E71,I71,M71,O71,T71,U71,X71,Y71,AA71)*100</f>
        <v>75.290031085086397</v>
      </c>
      <c r="D77" s="2513">
        <f>IF(C77&gt;=70,3,IF(AND(C77&gt;=60,C77&lt;70),2,IF(AND(C77&gt;=50,C77&lt;60),1)))</f>
        <v>3</v>
      </c>
      <c r="E77" s="3442">
        <f>IF(AC71&gt;=70,3,IF(AND(AC71&gt;=60,AC71&lt;70),2,IF(AND(AC71&gt;=50,AC71&lt;60),1)))</f>
        <v>3</v>
      </c>
      <c r="F77" s="3815"/>
      <c r="G77" s="3442">
        <f>(70/100)*E77+(30/100)*D77</f>
        <v>2.9999999999999996</v>
      </c>
      <c r="H77" s="3442"/>
      <c r="I77" s="3442"/>
      <c r="J77" s="2512"/>
      <c r="K77" s="2512"/>
      <c r="L77" s="2511"/>
      <c r="M77" s="2511"/>
      <c r="N77" s="595"/>
      <c r="O77" s="493"/>
      <c r="P77" s="493"/>
      <c r="Q77" s="493"/>
    </row>
    <row r="78" spans="1:29" ht="16.5" x14ac:dyDescent="0.25">
      <c r="A78" s="493"/>
      <c r="B78" s="985" t="s">
        <v>42</v>
      </c>
      <c r="C78" s="2513">
        <f>AVERAGE(Q71,R71,S71)*100</f>
        <v>63.299457994579946</v>
      </c>
      <c r="D78" s="2513">
        <f>IF(C78&gt;=70,3,IF(AND(C78&gt;=60,C78&lt;70),2,IF(AND(C78&gt;=50,C78&lt;60),1)))</f>
        <v>2</v>
      </c>
      <c r="E78" s="3442">
        <f>IF(AC71&gt;=70,3,IF(AND(AC71&gt;=60,AC71&lt;70),2,IF(AND(AC71&gt;=50,AC71&lt;60),1)))</f>
        <v>3</v>
      </c>
      <c r="F78" s="3815"/>
      <c r="G78" s="3442">
        <f>(70/100)*E78+(30/100)*D78</f>
        <v>2.6999999999999997</v>
      </c>
      <c r="H78" s="3442"/>
      <c r="I78" s="3442"/>
      <c r="J78" s="2512"/>
      <c r="K78" s="2512"/>
      <c r="L78" s="2511"/>
      <c r="M78" s="2511"/>
      <c r="N78" s="595"/>
      <c r="O78" s="493"/>
      <c r="P78" s="493"/>
      <c r="Q78" s="493"/>
    </row>
    <row r="79" spans="1:29" ht="16.5" x14ac:dyDescent="0.25">
      <c r="A79" s="493"/>
      <c r="B79" s="985" t="s">
        <v>43</v>
      </c>
      <c r="C79" s="2513">
        <f>AVERAGE(P71,V71,W71)*100</f>
        <v>74.019088016967132</v>
      </c>
      <c r="D79" s="2513">
        <f>IF(C79&gt;=70,3,IF(AND(C79&gt;=60,C79&lt;70),2,IF(AND(C79&gt;=50,C79&lt;60),1)))</f>
        <v>3</v>
      </c>
      <c r="E79" s="3442">
        <f>IF(AC71&gt;=70,3,IF(AND(AC71&gt;=60,AC71&lt;70),2,IF(AND(AC71&gt;=50,AC71&lt;60),1)))</f>
        <v>3</v>
      </c>
      <c r="F79" s="3815"/>
      <c r="G79" s="3442">
        <f>(70/100)*E79+(30/100)*D79</f>
        <v>2.9999999999999996</v>
      </c>
      <c r="H79" s="3442"/>
      <c r="I79" s="3442"/>
      <c r="J79" s="2512"/>
      <c r="K79" s="2512"/>
      <c r="L79" s="2511"/>
      <c r="M79" s="2511"/>
      <c r="N79" s="595"/>
      <c r="O79" s="493"/>
      <c r="P79" s="493"/>
      <c r="Q79" s="493"/>
    </row>
    <row r="80" spans="1:29" ht="16.5" x14ac:dyDescent="0.25">
      <c r="A80" s="493"/>
      <c r="B80" s="3822" t="s">
        <v>44</v>
      </c>
      <c r="C80" s="3822"/>
      <c r="D80" s="3822"/>
      <c r="E80" s="3822"/>
      <c r="F80" s="3820"/>
      <c r="G80" s="3816">
        <f>AVERAGE(G75:G78)</f>
        <v>2.9249999999999994</v>
      </c>
      <c r="H80" s="3816"/>
      <c r="I80" s="3816"/>
      <c r="J80" s="2511"/>
      <c r="K80" s="2511"/>
      <c r="L80" s="2511"/>
      <c r="M80" s="2511"/>
      <c r="N80" s="595"/>
      <c r="O80" s="493"/>
      <c r="P80" s="493"/>
      <c r="Q80" s="493"/>
    </row>
    <row r="81" spans="1:26" ht="16.5" x14ac:dyDescent="0.25">
      <c r="A81" s="493"/>
      <c r="B81" s="493"/>
      <c r="C81" s="2511"/>
      <c r="D81" s="2511"/>
      <c r="E81" s="2511"/>
      <c r="F81" s="2511"/>
      <c r="G81" s="2511"/>
      <c r="H81" s="2511"/>
      <c r="I81" s="2511"/>
      <c r="J81" s="2511"/>
      <c r="K81" s="2511"/>
      <c r="L81" s="2511"/>
      <c r="M81" s="2511"/>
      <c r="N81" s="595"/>
      <c r="O81" s="493"/>
      <c r="P81" s="493"/>
      <c r="Q81" s="493"/>
    </row>
    <row r="82" spans="1:26" ht="16.5" x14ac:dyDescent="0.25">
      <c r="A82" s="3578" t="s">
        <v>134</v>
      </c>
      <c r="B82" s="3578"/>
      <c r="C82" s="2511"/>
      <c r="D82" s="2511"/>
      <c r="E82" s="2511"/>
      <c r="F82" s="2511"/>
      <c r="G82" s="2511"/>
      <c r="H82" s="2511"/>
      <c r="I82" s="2511"/>
      <c r="J82" s="2511"/>
      <c r="K82" s="2511"/>
      <c r="L82" s="2511"/>
      <c r="M82" s="2511"/>
      <c r="N82" s="595"/>
      <c r="O82" s="493"/>
      <c r="P82" s="493"/>
      <c r="Q82" s="493"/>
      <c r="R82" s="794"/>
    </row>
    <row r="83" spans="1:26" ht="16.5" x14ac:dyDescent="0.25">
      <c r="A83" s="493"/>
      <c r="B83" s="493"/>
      <c r="C83" s="2511"/>
      <c r="D83" s="2511"/>
      <c r="E83" s="2511"/>
      <c r="F83" s="2511"/>
      <c r="G83" s="2511"/>
      <c r="H83" s="2511"/>
      <c r="I83" s="2511"/>
      <c r="J83" s="2511"/>
      <c r="K83" s="2511"/>
      <c r="L83" s="2511"/>
      <c r="M83" s="2511"/>
      <c r="N83" s="595"/>
      <c r="O83" s="493"/>
      <c r="P83" s="493"/>
      <c r="Q83" s="493"/>
      <c r="R83" s="794"/>
    </row>
    <row r="84" spans="1:26" ht="16.5" x14ac:dyDescent="0.25">
      <c r="A84" s="493"/>
      <c r="B84" s="1007" t="s">
        <v>45</v>
      </c>
      <c r="C84" s="2598" t="s">
        <v>68</v>
      </c>
      <c r="D84" s="2598" t="s">
        <v>69</v>
      </c>
      <c r="E84" s="2598" t="s">
        <v>70</v>
      </c>
      <c r="F84" s="2598" t="s">
        <v>71</v>
      </c>
      <c r="G84" s="2598" t="s">
        <v>72</v>
      </c>
      <c r="H84" s="2598" t="s">
        <v>73</v>
      </c>
      <c r="I84" s="2598" t="s">
        <v>74</v>
      </c>
      <c r="J84" s="2599" t="s">
        <v>75</v>
      </c>
      <c r="K84" s="2598" t="s">
        <v>76</v>
      </c>
      <c r="L84" s="2598" t="s">
        <v>77</v>
      </c>
      <c r="M84" s="2598" t="s">
        <v>78</v>
      </c>
      <c r="N84" s="2598" t="s">
        <v>79</v>
      </c>
      <c r="O84" s="493"/>
      <c r="P84" s="493"/>
      <c r="Q84" s="493"/>
      <c r="T84" s="806"/>
      <c r="Z84" s="2271"/>
    </row>
    <row r="85" spans="1:26" ht="16.5" x14ac:dyDescent="0.25">
      <c r="A85" s="493"/>
      <c r="B85" s="2600" t="s">
        <v>20</v>
      </c>
      <c r="C85" s="2270">
        <v>2</v>
      </c>
      <c r="D85" s="2270">
        <v>3</v>
      </c>
      <c r="E85" s="2270">
        <v>1</v>
      </c>
      <c r="F85" s="2270">
        <v>1</v>
      </c>
      <c r="G85" s="2270"/>
      <c r="H85" s="2270">
        <v>1</v>
      </c>
      <c r="I85" s="2270">
        <v>1</v>
      </c>
      <c r="J85" s="2270"/>
      <c r="K85" s="2270"/>
      <c r="L85" s="2270"/>
      <c r="M85" s="2270"/>
      <c r="N85" s="2270">
        <v>2</v>
      </c>
      <c r="O85" s="493"/>
      <c r="P85" s="493"/>
      <c r="Q85" s="493"/>
      <c r="T85" s="806"/>
      <c r="Z85" s="2271"/>
    </row>
    <row r="86" spans="1:26" ht="16.5" x14ac:dyDescent="0.25">
      <c r="A86" s="493"/>
      <c r="B86" s="2600" t="s">
        <v>21</v>
      </c>
      <c r="C86" s="2270">
        <v>2</v>
      </c>
      <c r="D86" s="2270">
        <v>3</v>
      </c>
      <c r="E86" s="2270">
        <v>1</v>
      </c>
      <c r="F86" s="2270">
        <v>2</v>
      </c>
      <c r="G86" s="2270"/>
      <c r="H86" s="2270">
        <v>1</v>
      </c>
      <c r="I86" s="2270">
        <v>1</v>
      </c>
      <c r="J86" s="2270"/>
      <c r="K86" s="2270"/>
      <c r="L86" s="2270"/>
      <c r="M86" s="2270"/>
      <c r="N86" s="2270">
        <v>2</v>
      </c>
      <c r="O86" s="493"/>
      <c r="P86" s="493"/>
      <c r="Q86" s="493"/>
      <c r="T86" s="806"/>
      <c r="Z86" s="2271"/>
    </row>
    <row r="87" spans="1:26" ht="16.5" x14ac:dyDescent="0.25">
      <c r="A87" s="493"/>
      <c r="B87" s="2600" t="s">
        <v>23</v>
      </c>
      <c r="C87" s="2270">
        <v>1</v>
      </c>
      <c r="D87" s="2270">
        <v>2</v>
      </c>
      <c r="E87" s="2270">
        <v>2</v>
      </c>
      <c r="F87" s="2270">
        <v>1</v>
      </c>
      <c r="G87" s="2270"/>
      <c r="H87" s="2270">
        <v>2</v>
      </c>
      <c r="I87" s="2270">
        <v>1</v>
      </c>
      <c r="J87" s="2270">
        <v>2</v>
      </c>
      <c r="K87" s="2270">
        <v>1</v>
      </c>
      <c r="L87" s="2270">
        <v>1</v>
      </c>
      <c r="M87" s="2270">
        <v>3</v>
      </c>
      <c r="N87" s="2270">
        <v>2</v>
      </c>
      <c r="O87" s="493"/>
      <c r="P87" s="493"/>
      <c r="Q87" s="493"/>
      <c r="T87" s="806"/>
      <c r="Z87" s="2271"/>
    </row>
    <row r="88" spans="1:26" ht="16.5" x14ac:dyDescent="0.25">
      <c r="A88" s="493"/>
      <c r="B88" s="2600" t="s">
        <v>25</v>
      </c>
      <c r="C88" s="2270">
        <v>1</v>
      </c>
      <c r="D88" s="2270">
        <v>2</v>
      </c>
      <c r="E88" s="2270">
        <v>2</v>
      </c>
      <c r="F88" s="2270">
        <v>1</v>
      </c>
      <c r="G88" s="2270"/>
      <c r="H88" s="2270">
        <v>2</v>
      </c>
      <c r="I88" s="2270">
        <v>1</v>
      </c>
      <c r="J88" s="2270">
        <v>2</v>
      </c>
      <c r="K88" s="2270">
        <v>2</v>
      </c>
      <c r="L88" s="2270">
        <v>2</v>
      </c>
      <c r="M88" s="2270">
        <v>3</v>
      </c>
      <c r="N88" s="2270">
        <v>2</v>
      </c>
      <c r="O88" s="493"/>
      <c r="P88" s="493"/>
      <c r="Q88" s="493"/>
      <c r="T88" s="806"/>
      <c r="Z88" s="2271"/>
    </row>
    <row r="89" spans="1:26" ht="16.5" x14ac:dyDescent="0.25">
      <c r="A89" s="493"/>
      <c r="B89" s="2600" t="s">
        <v>24</v>
      </c>
      <c r="C89" s="2270">
        <v>1</v>
      </c>
      <c r="D89" s="2270">
        <v>2</v>
      </c>
      <c r="E89" s="2270">
        <v>3</v>
      </c>
      <c r="F89" s="2270">
        <v>1</v>
      </c>
      <c r="G89" s="2270"/>
      <c r="H89" s="2270">
        <v>2</v>
      </c>
      <c r="I89" s="2270">
        <v>2</v>
      </c>
      <c r="J89" s="2270">
        <v>2</v>
      </c>
      <c r="K89" s="2270">
        <v>2</v>
      </c>
      <c r="L89" s="2270">
        <v>2</v>
      </c>
      <c r="M89" s="2270">
        <v>3</v>
      </c>
      <c r="N89" s="2270">
        <v>3</v>
      </c>
      <c r="O89" s="493"/>
      <c r="P89" s="493"/>
      <c r="Q89" s="493"/>
      <c r="T89" s="806"/>
      <c r="Z89" s="2271"/>
    </row>
    <row r="90" spans="1:26" ht="16.5" x14ac:dyDescent="0.25">
      <c r="A90" s="493"/>
      <c r="B90" s="2601" t="s">
        <v>10</v>
      </c>
      <c r="C90" s="2513">
        <f>AVERAGE(C85:C89)</f>
        <v>1.4</v>
      </c>
      <c r="D90" s="2513">
        <f t="shared" ref="D90:N90" si="8">AVERAGE(D85:D89)</f>
        <v>2.4</v>
      </c>
      <c r="E90" s="2513">
        <f t="shared" si="8"/>
        <v>1.8</v>
      </c>
      <c r="F90" s="2513">
        <f t="shared" si="8"/>
        <v>1.2</v>
      </c>
      <c r="G90" s="2513"/>
      <c r="H90" s="2513">
        <f t="shared" si="8"/>
        <v>1.6</v>
      </c>
      <c r="I90" s="2513">
        <f t="shared" si="8"/>
        <v>1.2</v>
      </c>
      <c r="J90" s="2513">
        <f t="shared" si="8"/>
        <v>2</v>
      </c>
      <c r="K90" s="2513">
        <f t="shared" si="8"/>
        <v>1.6666666666666667</v>
      </c>
      <c r="L90" s="2513">
        <f t="shared" si="8"/>
        <v>1.6666666666666667</v>
      </c>
      <c r="M90" s="2513">
        <f t="shared" si="8"/>
        <v>3</v>
      </c>
      <c r="N90" s="2513">
        <f t="shared" si="8"/>
        <v>2.2000000000000002</v>
      </c>
      <c r="O90" s="493"/>
      <c r="P90" s="493"/>
      <c r="Q90" s="493"/>
      <c r="T90" s="806"/>
      <c r="Z90" s="2271"/>
    </row>
    <row r="91" spans="1:26" ht="16.5" x14ac:dyDescent="0.25">
      <c r="A91" s="493"/>
      <c r="B91" s="1005" t="s">
        <v>58</v>
      </c>
      <c r="C91" s="3817">
        <f>AVERAGE(C90:N90)</f>
        <v>1.8303030303030299</v>
      </c>
      <c r="D91" s="3818"/>
      <c r="E91" s="3818"/>
      <c r="F91" s="3818"/>
      <c r="G91" s="3818"/>
      <c r="H91" s="3818"/>
      <c r="I91" s="3818"/>
      <c r="J91" s="3818"/>
      <c r="K91" s="3818"/>
      <c r="L91" s="3818"/>
      <c r="M91" s="3818"/>
      <c r="N91" s="3818"/>
      <c r="O91" s="2602"/>
      <c r="P91" s="669"/>
      <c r="Q91" s="669"/>
      <c r="R91" s="497"/>
    </row>
    <row r="92" spans="1:26" ht="16.5" x14ac:dyDescent="0.25">
      <c r="A92" s="493"/>
      <c r="B92" s="493"/>
      <c r="C92" s="670"/>
      <c r="D92" s="2511"/>
      <c r="E92" s="2511"/>
      <c r="F92" s="2511"/>
      <c r="G92" s="2511"/>
      <c r="H92" s="2511"/>
      <c r="I92" s="2511"/>
      <c r="J92" s="2511"/>
      <c r="K92" s="2511"/>
      <c r="L92" s="2511"/>
      <c r="M92" s="2511"/>
      <c r="N92" s="595"/>
      <c r="O92" s="493"/>
      <c r="P92" s="493"/>
      <c r="Q92" s="493"/>
      <c r="R92" s="794"/>
    </row>
    <row r="93" spans="1:26" ht="16.5" x14ac:dyDescent="0.25">
      <c r="A93" s="493"/>
      <c r="B93" s="493"/>
      <c r="C93" s="2511"/>
      <c r="D93" s="2511"/>
      <c r="E93" s="2511"/>
      <c r="F93" s="2511"/>
      <c r="G93" s="2511"/>
      <c r="H93" s="2511"/>
      <c r="I93" s="2511"/>
      <c r="J93" s="2511"/>
      <c r="K93" s="2511"/>
      <c r="L93" s="2511"/>
      <c r="M93" s="2511"/>
      <c r="N93" s="595"/>
      <c r="O93" s="493"/>
      <c r="P93" s="493"/>
      <c r="Q93" s="493"/>
      <c r="R93" s="794"/>
    </row>
    <row r="94" spans="1:26" ht="16.5" x14ac:dyDescent="0.25">
      <c r="A94" s="3578" t="s">
        <v>148</v>
      </c>
      <c r="B94" s="3578"/>
      <c r="C94" s="2511"/>
      <c r="D94" s="2511"/>
      <c r="E94" s="2511"/>
      <c r="F94" s="2511"/>
      <c r="G94" s="2511"/>
      <c r="H94" s="2511"/>
      <c r="I94" s="2511"/>
      <c r="J94" s="2511"/>
      <c r="K94" s="2511"/>
      <c r="L94" s="2511"/>
      <c r="M94" s="2511"/>
      <c r="N94" s="595"/>
      <c r="O94" s="493"/>
      <c r="P94" s="493"/>
      <c r="Q94" s="493"/>
      <c r="R94" s="794"/>
    </row>
    <row r="95" spans="1:26" ht="16.5" x14ac:dyDescent="0.25">
      <c r="A95" s="493"/>
      <c r="B95" s="493"/>
      <c r="C95" s="2511"/>
      <c r="D95" s="2511"/>
      <c r="E95" s="2511"/>
      <c r="F95" s="2511"/>
      <c r="G95" s="2511"/>
      <c r="H95" s="2511"/>
      <c r="I95" s="2511"/>
      <c r="J95" s="2511"/>
      <c r="K95" s="2511"/>
      <c r="L95" s="2511"/>
      <c r="M95" s="2511"/>
      <c r="N95" s="595"/>
      <c r="O95" s="493"/>
      <c r="P95" s="493"/>
      <c r="Q95" s="493"/>
      <c r="R95" s="794"/>
    </row>
    <row r="96" spans="1:26" ht="16.5" x14ac:dyDescent="0.25">
      <c r="A96" s="493"/>
      <c r="B96" s="1007" t="s">
        <v>45</v>
      </c>
      <c r="C96" s="2598" t="s">
        <v>68</v>
      </c>
      <c r="D96" s="2598" t="s">
        <v>69</v>
      </c>
      <c r="E96" s="2598" t="s">
        <v>70</v>
      </c>
      <c r="F96" s="2598" t="s">
        <v>71</v>
      </c>
      <c r="G96" s="2598" t="s">
        <v>72</v>
      </c>
      <c r="H96" s="2598" t="s">
        <v>73</v>
      </c>
      <c r="I96" s="2598" t="s">
        <v>74</v>
      </c>
      <c r="J96" s="2599" t="s">
        <v>75</v>
      </c>
      <c r="K96" s="2598" t="s">
        <v>76</v>
      </c>
      <c r="L96" s="2598" t="s">
        <v>77</v>
      </c>
      <c r="M96" s="2598" t="s">
        <v>78</v>
      </c>
      <c r="N96" s="2598" t="s">
        <v>79</v>
      </c>
      <c r="O96" s="493"/>
      <c r="P96" s="493"/>
      <c r="Q96" s="493"/>
      <c r="T96" s="806"/>
      <c r="Z96" s="2271"/>
    </row>
    <row r="97" spans="1:26" ht="16.5" x14ac:dyDescent="0.25">
      <c r="A97" s="493"/>
      <c r="B97" s="2600" t="s">
        <v>20</v>
      </c>
      <c r="C97" s="615">
        <f>$G75*C85/3</f>
        <v>1.9999999999999998</v>
      </c>
      <c r="D97" s="615">
        <f t="shared" ref="D97:N101" si="9">$G75*D85/3</f>
        <v>2.9999999999999996</v>
      </c>
      <c r="E97" s="615">
        <f t="shared" si="9"/>
        <v>0.99999999999999989</v>
      </c>
      <c r="F97" s="615">
        <f t="shared" si="9"/>
        <v>0.99999999999999989</v>
      </c>
      <c r="G97" s="615"/>
      <c r="H97" s="615">
        <f t="shared" si="9"/>
        <v>0.99999999999999989</v>
      </c>
      <c r="I97" s="615">
        <f t="shared" si="9"/>
        <v>0.99999999999999989</v>
      </c>
      <c r="J97" s="615"/>
      <c r="K97" s="615"/>
      <c r="L97" s="615"/>
      <c r="M97" s="615"/>
      <c r="N97" s="615">
        <f t="shared" si="9"/>
        <v>1.9999999999999998</v>
      </c>
      <c r="O97" s="493"/>
      <c r="P97" s="493"/>
      <c r="Q97" s="493"/>
      <c r="T97" s="806"/>
      <c r="Z97" s="2271"/>
    </row>
    <row r="98" spans="1:26" ht="16.5" x14ac:dyDescent="0.25">
      <c r="A98" s="493"/>
      <c r="B98" s="2600" t="s">
        <v>21</v>
      </c>
      <c r="C98" s="615">
        <f>$G76*C86/3</f>
        <v>1.9999999999999998</v>
      </c>
      <c r="D98" s="615">
        <f t="shared" si="9"/>
        <v>2.9999999999999996</v>
      </c>
      <c r="E98" s="615">
        <f t="shared" si="9"/>
        <v>0.99999999999999989</v>
      </c>
      <c r="F98" s="615">
        <f t="shared" si="9"/>
        <v>1.9999999999999998</v>
      </c>
      <c r="G98" s="615"/>
      <c r="H98" s="615">
        <f t="shared" si="9"/>
        <v>0.99999999999999989</v>
      </c>
      <c r="I98" s="615">
        <f t="shared" si="9"/>
        <v>0.99999999999999989</v>
      </c>
      <c r="J98" s="615"/>
      <c r="K98" s="615"/>
      <c r="L98" s="615"/>
      <c r="M98" s="615"/>
      <c r="N98" s="615">
        <f t="shared" si="9"/>
        <v>1.9999999999999998</v>
      </c>
      <c r="O98" s="493"/>
      <c r="P98" s="493"/>
      <c r="Q98" s="493"/>
      <c r="T98" s="806"/>
      <c r="Z98" s="2271"/>
    </row>
    <row r="99" spans="1:26" ht="16.5" x14ac:dyDescent="0.25">
      <c r="A99" s="493"/>
      <c r="B99" s="2600" t="s">
        <v>23</v>
      </c>
      <c r="C99" s="615">
        <f>$G77*C87/3</f>
        <v>0.99999999999999989</v>
      </c>
      <c r="D99" s="615">
        <f t="shared" si="9"/>
        <v>1.9999999999999998</v>
      </c>
      <c r="E99" s="615">
        <f t="shared" si="9"/>
        <v>1.9999999999999998</v>
      </c>
      <c r="F99" s="615">
        <f t="shared" si="9"/>
        <v>0.99999999999999989</v>
      </c>
      <c r="G99" s="615"/>
      <c r="H99" s="615">
        <f t="shared" si="9"/>
        <v>1.9999999999999998</v>
      </c>
      <c r="I99" s="615">
        <f t="shared" si="9"/>
        <v>0.99999999999999989</v>
      </c>
      <c r="J99" s="615">
        <f t="shared" si="9"/>
        <v>1.9999999999999998</v>
      </c>
      <c r="K99" s="615">
        <f t="shared" si="9"/>
        <v>0.99999999999999989</v>
      </c>
      <c r="L99" s="615">
        <f t="shared" si="9"/>
        <v>0.99999999999999989</v>
      </c>
      <c r="M99" s="615">
        <f t="shared" si="9"/>
        <v>2.9999999999999996</v>
      </c>
      <c r="N99" s="615">
        <f t="shared" si="9"/>
        <v>1.9999999999999998</v>
      </c>
      <c r="O99" s="493"/>
      <c r="P99" s="493"/>
      <c r="Q99" s="493"/>
      <c r="T99" s="806"/>
      <c r="Z99" s="2271"/>
    </row>
    <row r="100" spans="1:26" ht="16.5" x14ac:dyDescent="0.25">
      <c r="A100" s="493"/>
      <c r="B100" s="2600" t="s">
        <v>25</v>
      </c>
      <c r="C100" s="615">
        <f>$G78*C88/3</f>
        <v>0.89999999999999991</v>
      </c>
      <c r="D100" s="615">
        <f t="shared" si="9"/>
        <v>1.7999999999999998</v>
      </c>
      <c r="E100" s="615">
        <f t="shared" si="9"/>
        <v>1.7999999999999998</v>
      </c>
      <c r="F100" s="615">
        <f t="shared" si="9"/>
        <v>0.89999999999999991</v>
      </c>
      <c r="G100" s="615"/>
      <c r="H100" s="615">
        <f t="shared" si="9"/>
        <v>1.7999999999999998</v>
      </c>
      <c r="I100" s="615">
        <f t="shared" si="9"/>
        <v>0.89999999999999991</v>
      </c>
      <c r="J100" s="615">
        <f t="shared" si="9"/>
        <v>1.7999999999999998</v>
      </c>
      <c r="K100" s="615">
        <f t="shared" si="9"/>
        <v>1.7999999999999998</v>
      </c>
      <c r="L100" s="615">
        <f t="shared" si="9"/>
        <v>1.7999999999999998</v>
      </c>
      <c r="M100" s="615">
        <f t="shared" si="9"/>
        <v>2.6999999999999997</v>
      </c>
      <c r="N100" s="615">
        <f t="shared" si="9"/>
        <v>1.7999999999999998</v>
      </c>
      <c r="O100" s="493"/>
      <c r="P100" s="493"/>
      <c r="Q100" s="493"/>
      <c r="T100" s="806"/>
      <c r="Z100" s="2271"/>
    </row>
    <row r="101" spans="1:26" ht="16.5" x14ac:dyDescent="0.25">
      <c r="A101" s="493"/>
      <c r="B101" s="2600" t="s">
        <v>24</v>
      </c>
      <c r="C101" s="615">
        <f>$G79*C89/3</f>
        <v>0.99999999999999989</v>
      </c>
      <c r="D101" s="615">
        <f t="shared" si="9"/>
        <v>1.9999999999999998</v>
      </c>
      <c r="E101" s="615">
        <f t="shared" si="9"/>
        <v>2.9999999999999996</v>
      </c>
      <c r="F101" s="615">
        <f t="shared" si="9"/>
        <v>0.99999999999999989</v>
      </c>
      <c r="G101" s="615"/>
      <c r="H101" s="615">
        <f t="shared" si="9"/>
        <v>1.9999999999999998</v>
      </c>
      <c r="I101" s="615">
        <f t="shared" si="9"/>
        <v>1.9999999999999998</v>
      </c>
      <c r="J101" s="615">
        <f t="shared" si="9"/>
        <v>1.9999999999999998</v>
      </c>
      <c r="K101" s="615">
        <f t="shared" si="9"/>
        <v>1.9999999999999998</v>
      </c>
      <c r="L101" s="615">
        <f t="shared" si="9"/>
        <v>1.9999999999999998</v>
      </c>
      <c r="M101" s="615">
        <f t="shared" si="9"/>
        <v>2.9999999999999996</v>
      </c>
      <c r="N101" s="615">
        <f t="shared" si="9"/>
        <v>2.9999999999999996</v>
      </c>
      <c r="O101" s="493"/>
      <c r="P101" s="493"/>
      <c r="Q101" s="493"/>
      <c r="T101" s="806"/>
      <c r="Z101" s="2271"/>
    </row>
    <row r="102" spans="1:26" ht="16.5" x14ac:dyDescent="0.25">
      <c r="A102" s="493"/>
      <c r="B102" s="2601" t="s">
        <v>10</v>
      </c>
      <c r="C102" s="1007">
        <f>AVERAGE(C97:C101)</f>
        <v>1.3799999999999997</v>
      </c>
      <c r="D102" s="1007">
        <f t="shared" ref="D102:N102" si="10">AVERAGE(D97:D101)</f>
        <v>2.36</v>
      </c>
      <c r="E102" s="1007">
        <f t="shared" si="10"/>
        <v>1.7599999999999998</v>
      </c>
      <c r="F102" s="1007">
        <f t="shared" si="10"/>
        <v>1.18</v>
      </c>
      <c r="G102" s="1007"/>
      <c r="H102" s="1007">
        <f t="shared" si="10"/>
        <v>1.5599999999999998</v>
      </c>
      <c r="I102" s="1007">
        <f t="shared" si="10"/>
        <v>1.18</v>
      </c>
      <c r="J102" s="1007">
        <f t="shared" si="10"/>
        <v>1.9333333333333333</v>
      </c>
      <c r="K102" s="1007">
        <f t="shared" si="10"/>
        <v>1.5999999999999999</v>
      </c>
      <c r="L102" s="1007">
        <f t="shared" si="10"/>
        <v>1.5999999999999999</v>
      </c>
      <c r="M102" s="1007">
        <f t="shared" si="10"/>
        <v>2.9</v>
      </c>
      <c r="N102" s="1007">
        <f t="shared" si="10"/>
        <v>2.1599999999999997</v>
      </c>
      <c r="O102" s="493"/>
      <c r="P102" s="493"/>
      <c r="Q102" s="493"/>
      <c r="T102" s="806"/>
      <c r="Z102" s="2271"/>
    </row>
    <row r="103" spans="1:26" ht="16.5" x14ac:dyDescent="0.25">
      <c r="A103" s="493"/>
      <c r="B103" s="1005" t="s">
        <v>58</v>
      </c>
      <c r="C103" s="3820">
        <f>AVERAGE(C102:N102)</f>
        <v>1.7830303030303027</v>
      </c>
      <c r="D103" s="3821"/>
      <c r="E103" s="3821"/>
      <c r="F103" s="3821"/>
      <c r="G103" s="3821"/>
      <c r="H103" s="3821"/>
      <c r="I103" s="3821"/>
      <c r="J103" s="3821"/>
      <c r="K103" s="3821"/>
      <c r="L103" s="3821"/>
      <c r="M103" s="3821"/>
      <c r="N103" s="3821"/>
      <c r="O103" s="2603"/>
      <c r="P103" s="672"/>
      <c r="Q103" s="672"/>
      <c r="R103" s="69"/>
    </row>
    <row r="104" spans="1:26" ht="16.5" x14ac:dyDescent="0.25">
      <c r="A104" s="493"/>
      <c r="B104" s="493"/>
      <c r="C104" s="2511"/>
      <c r="D104" s="2511"/>
      <c r="E104" s="2511"/>
      <c r="F104" s="2511"/>
      <c r="G104" s="2511"/>
      <c r="H104" s="2511"/>
      <c r="I104" s="2511"/>
      <c r="J104" s="2511"/>
      <c r="K104" s="2511"/>
      <c r="L104" s="2511"/>
      <c r="M104" s="2511"/>
      <c r="N104" s="595"/>
      <c r="O104" s="493"/>
      <c r="P104" s="493"/>
      <c r="Q104" s="493"/>
      <c r="R104" s="794"/>
    </row>
    <row r="105" spans="1:26" ht="16.5" x14ac:dyDescent="0.25">
      <c r="A105" s="3578" t="s">
        <v>137</v>
      </c>
      <c r="B105" s="3578"/>
      <c r="C105" s="2511"/>
      <c r="D105" s="2511"/>
      <c r="E105" s="2511"/>
      <c r="F105" s="2511"/>
      <c r="G105" s="2511"/>
      <c r="H105" s="2511"/>
      <c r="I105" s="2511"/>
      <c r="J105" s="2511"/>
      <c r="K105" s="2511"/>
      <c r="L105" s="3578" t="s">
        <v>149</v>
      </c>
      <c r="M105" s="3578"/>
      <c r="N105" s="3578"/>
      <c r="O105" s="662"/>
      <c r="P105" s="662"/>
      <c r="Q105" s="493"/>
      <c r="R105" s="794"/>
    </row>
    <row r="106" spans="1:26" ht="16.5" x14ac:dyDescent="0.25">
      <c r="A106" s="2511"/>
      <c r="B106" s="2511"/>
      <c r="C106" s="2511"/>
      <c r="D106" s="2511"/>
      <c r="E106" s="2511"/>
      <c r="F106" s="2511"/>
      <c r="G106" s="2511"/>
      <c r="H106" s="2511"/>
      <c r="I106" s="2511"/>
      <c r="J106" s="2511"/>
      <c r="K106" s="2511"/>
      <c r="L106" s="2511"/>
      <c r="M106" s="673"/>
      <c r="N106" s="662"/>
      <c r="O106" s="662"/>
      <c r="P106" s="493"/>
      <c r="Q106" s="493"/>
      <c r="Y106" s="806"/>
      <c r="Z106" s="2271"/>
    </row>
    <row r="107" spans="1:26" ht="16.5" x14ac:dyDescent="0.25">
      <c r="A107" s="493"/>
      <c r="B107" s="1007" t="s">
        <v>59</v>
      </c>
      <c r="C107" s="2598" t="s">
        <v>60</v>
      </c>
      <c r="D107" s="2598" t="s">
        <v>61</v>
      </c>
      <c r="E107" s="2598" t="s">
        <v>62</v>
      </c>
      <c r="F107" s="2511"/>
      <c r="G107" s="2511"/>
      <c r="H107" s="2511"/>
      <c r="I107" s="2511"/>
      <c r="J107" s="2511"/>
      <c r="K107" s="2511"/>
      <c r="L107" s="2511"/>
      <c r="M107" s="674" t="s">
        <v>59</v>
      </c>
      <c r="N107" s="2598" t="s">
        <v>60</v>
      </c>
      <c r="O107" s="2598" t="s">
        <v>61</v>
      </c>
      <c r="P107" s="2598" t="s">
        <v>62</v>
      </c>
      <c r="Q107" s="493"/>
      <c r="Y107" s="806"/>
      <c r="Z107" s="2271"/>
    </row>
    <row r="108" spans="1:26" ht="16.5" x14ac:dyDescent="0.25">
      <c r="A108" s="493"/>
      <c r="B108" s="675" t="s">
        <v>20</v>
      </c>
      <c r="C108" s="2270">
        <v>1</v>
      </c>
      <c r="D108" s="2270">
        <v>1</v>
      </c>
      <c r="E108" s="2270">
        <v>1</v>
      </c>
      <c r="F108" s="2511"/>
      <c r="G108" s="2511"/>
      <c r="H108" s="2511"/>
      <c r="I108" s="2511"/>
      <c r="J108" s="2511"/>
      <c r="K108" s="2511"/>
      <c r="L108" s="2511"/>
      <c r="M108" s="676" t="s">
        <v>20</v>
      </c>
      <c r="N108" s="615">
        <f>G75*C108/3</f>
        <v>0.99999999999999989</v>
      </c>
      <c r="O108" s="615">
        <f>G75*D108/3</f>
        <v>0.99999999999999989</v>
      </c>
      <c r="P108" s="615">
        <f>G75*E108/3</f>
        <v>0.99999999999999989</v>
      </c>
      <c r="Q108" s="493"/>
      <c r="Y108" s="806"/>
      <c r="Z108" s="2271"/>
    </row>
    <row r="109" spans="1:26" ht="16.5" x14ac:dyDescent="0.25">
      <c r="A109" s="493"/>
      <c r="B109" s="2600" t="s">
        <v>21</v>
      </c>
      <c r="C109" s="2270">
        <v>1</v>
      </c>
      <c r="D109" s="2270">
        <v>1</v>
      </c>
      <c r="E109" s="2270">
        <v>1</v>
      </c>
      <c r="F109" s="2511"/>
      <c r="G109" s="2511"/>
      <c r="H109" s="2511"/>
      <c r="I109" s="2511"/>
      <c r="J109" s="2511"/>
      <c r="K109" s="2511"/>
      <c r="L109" s="2511"/>
      <c r="M109" s="2604" t="s">
        <v>21</v>
      </c>
      <c r="N109" s="615">
        <f>G76*C109/3</f>
        <v>0.99999999999999989</v>
      </c>
      <c r="O109" s="615">
        <f>G76*D109/3</f>
        <v>0.99999999999999989</v>
      </c>
      <c r="P109" s="615">
        <f>G76*E109/3</f>
        <v>0.99999999999999989</v>
      </c>
      <c r="Q109" s="493"/>
      <c r="Y109" s="806"/>
      <c r="Z109" s="2271"/>
    </row>
    <row r="110" spans="1:26" ht="16.5" x14ac:dyDescent="0.25">
      <c r="A110" s="493"/>
      <c r="B110" s="2600" t="s">
        <v>23</v>
      </c>
      <c r="C110" s="2270">
        <v>1</v>
      </c>
      <c r="D110" s="2270">
        <v>1</v>
      </c>
      <c r="E110" s="2270">
        <v>2</v>
      </c>
      <c r="F110" s="2511"/>
      <c r="G110" s="2511"/>
      <c r="H110" s="2511"/>
      <c r="I110" s="2511"/>
      <c r="J110" s="2511"/>
      <c r="K110" s="2511"/>
      <c r="L110" s="2511"/>
      <c r="M110" s="2604" t="s">
        <v>23</v>
      </c>
      <c r="N110" s="615">
        <f>G77*C110/3</f>
        <v>0.99999999999999989</v>
      </c>
      <c r="O110" s="615">
        <f>G77*D110/3</f>
        <v>0.99999999999999989</v>
      </c>
      <c r="P110" s="615">
        <f>G77*E110/3</f>
        <v>1.9999999999999998</v>
      </c>
      <c r="Q110" s="493"/>
      <c r="Y110" s="806"/>
      <c r="Z110" s="2271"/>
    </row>
    <row r="111" spans="1:26" ht="16.5" x14ac:dyDescent="0.25">
      <c r="A111" s="493"/>
      <c r="B111" s="2600" t="s">
        <v>25</v>
      </c>
      <c r="C111" s="2270">
        <v>1</v>
      </c>
      <c r="D111" s="2270">
        <v>1</v>
      </c>
      <c r="E111" s="2270">
        <v>2</v>
      </c>
      <c r="F111" s="2511"/>
      <c r="G111" s="2511"/>
      <c r="H111" s="2511"/>
      <c r="I111" s="2511"/>
      <c r="J111" s="2511"/>
      <c r="K111" s="2511"/>
      <c r="L111" s="2511"/>
      <c r="M111" s="2604" t="s">
        <v>25</v>
      </c>
      <c r="N111" s="615">
        <f>G78*C111/3</f>
        <v>0.89999999999999991</v>
      </c>
      <c r="O111" s="615">
        <f>G78*D111/3</f>
        <v>0.89999999999999991</v>
      </c>
      <c r="P111" s="615">
        <f>G78*E111/3</f>
        <v>1.7999999999999998</v>
      </c>
      <c r="Q111" s="493"/>
      <c r="Y111" s="806"/>
      <c r="Z111" s="2271"/>
    </row>
    <row r="112" spans="1:26" ht="16.5" x14ac:dyDescent="0.25">
      <c r="A112" s="493"/>
      <c r="B112" s="675" t="s">
        <v>24</v>
      </c>
      <c r="C112" s="2270">
        <v>1</v>
      </c>
      <c r="D112" s="2270">
        <v>1</v>
      </c>
      <c r="E112" s="2270">
        <v>3</v>
      </c>
      <c r="F112" s="2511"/>
      <c r="G112" s="2511"/>
      <c r="H112" s="2511"/>
      <c r="I112" s="2511"/>
      <c r="J112" s="2511"/>
      <c r="K112" s="2511"/>
      <c r="L112" s="2511"/>
      <c r="M112" s="676" t="s">
        <v>24</v>
      </c>
      <c r="N112" s="615">
        <f>G79*C112/3</f>
        <v>0.99999999999999989</v>
      </c>
      <c r="O112" s="615">
        <f>G79*D112/3</f>
        <v>0.99999999999999989</v>
      </c>
      <c r="P112" s="615">
        <f>G79*E112/3</f>
        <v>2.9999999999999996</v>
      </c>
      <c r="Q112" s="493"/>
      <c r="Y112" s="806"/>
      <c r="Z112" s="2271"/>
    </row>
    <row r="113" spans="1:26" ht="16.5" x14ac:dyDescent="0.25">
      <c r="A113" s="493"/>
      <c r="B113" s="2605" t="s">
        <v>10</v>
      </c>
      <c r="C113" s="678">
        <f>AVERAGE(C108:C112)</f>
        <v>1</v>
      </c>
      <c r="D113" s="678">
        <f>AVERAGE(D108:D112)</f>
        <v>1</v>
      </c>
      <c r="E113" s="678">
        <f>AVERAGE(E108:E112)</f>
        <v>1.8</v>
      </c>
      <c r="F113" s="2511"/>
      <c r="G113" s="2511"/>
      <c r="H113" s="2511"/>
      <c r="I113" s="2511"/>
      <c r="J113" s="2511"/>
      <c r="K113" s="2511"/>
      <c r="L113" s="2511"/>
      <c r="M113" s="2510" t="s">
        <v>10</v>
      </c>
      <c r="N113" s="615">
        <f>AVERAGE(N108:N112)</f>
        <v>0.97999999999999987</v>
      </c>
      <c r="O113" s="615">
        <f>AVERAGE(O108:O112)</f>
        <v>0.97999999999999987</v>
      </c>
      <c r="P113" s="615">
        <f>AVERAGE(P108:P112)</f>
        <v>1.7599999999999998</v>
      </c>
      <c r="Q113" s="493"/>
      <c r="Y113" s="806"/>
      <c r="Z113" s="2271"/>
    </row>
    <row r="114" spans="1:26" ht="33" x14ac:dyDescent="0.25">
      <c r="A114" s="2512"/>
      <c r="B114" s="2558" t="s">
        <v>58</v>
      </c>
      <c r="C114" s="3817">
        <f>AVERAGE(C113:E113)</f>
        <v>1.2666666666666666</v>
      </c>
      <c r="D114" s="3818"/>
      <c r="E114" s="3819"/>
      <c r="F114" s="2512"/>
      <c r="G114" s="2512"/>
      <c r="H114" s="2512"/>
      <c r="I114" s="2512"/>
      <c r="J114" s="2512"/>
      <c r="K114" s="2512"/>
      <c r="L114" s="2512"/>
      <c r="M114" s="2606" t="s">
        <v>58</v>
      </c>
      <c r="N114" s="3817">
        <f>AVERAGE(N113:P113)</f>
        <v>1.24</v>
      </c>
      <c r="O114" s="3818"/>
      <c r="P114" s="3819"/>
      <c r="Q114" s="2512"/>
      <c r="Y114" s="806"/>
      <c r="Z114" s="2271"/>
    </row>
    <row r="115" spans="1:26" ht="15.75" x14ac:dyDescent="0.25">
      <c r="A115" s="794"/>
      <c r="B115" s="794"/>
      <c r="C115" s="798"/>
      <c r="D115" s="798"/>
      <c r="E115" s="798"/>
      <c r="F115" s="798"/>
      <c r="G115" s="798"/>
      <c r="H115" s="798"/>
      <c r="I115" s="798"/>
      <c r="J115" s="798"/>
      <c r="K115" s="798"/>
      <c r="L115" s="798"/>
      <c r="M115" s="798"/>
      <c r="N115" s="807"/>
      <c r="O115" s="794"/>
      <c r="P115" s="794"/>
      <c r="Q115" s="794"/>
      <c r="R115" s="794"/>
    </row>
    <row r="117" spans="1:26" ht="15.75" x14ac:dyDescent="0.25">
      <c r="A117" s="3054"/>
      <c r="B117" s="3054"/>
      <c r="C117" s="3054"/>
      <c r="D117" s="3054"/>
      <c r="E117" s="3054"/>
      <c r="F117" s="3054"/>
      <c r="G117" s="3054"/>
      <c r="H117" s="3054"/>
      <c r="I117" s="3054"/>
      <c r="J117" s="3054"/>
      <c r="K117" s="3054"/>
      <c r="L117" s="3054"/>
      <c r="M117" s="3054"/>
      <c r="N117" s="3054"/>
      <c r="O117" s="3054"/>
      <c r="P117" s="3054"/>
      <c r="Q117" s="3054"/>
      <c r="R117" s="3054"/>
    </row>
    <row r="118" spans="1:26" ht="15.75" x14ac:dyDescent="0.25">
      <c r="A118" s="2503"/>
      <c r="B118" s="2503"/>
      <c r="C118" s="2503"/>
      <c r="D118" s="2503"/>
      <c r="E118" s="2503"/>
      <c r="F118" s="2503"/>
      <c r="G118" s="2503"/>
      <c r="H118" s="2503"/>
      <c r="I118" s="2503"/>
      <c r="J118" s="2503"/>
      <c r="K118" s="2503"/>
      <c r="L118" s="2503"/>
      <c r="M118" s="2503"/>
      <c r="N118" s="2503"/>
      <c r="O118" s="2503"/>
      <c r="P118" s="2503"/>
      <c r="Q118" s="2503"/>
      <c r="R118" s="2503"/>
    </row>
    <row r="119" spans="1:26" ht="15.75" x14ac:dyDescent="0.25">
      <c r="A119" s="3053"/>
      <c r="B119" s="3053"/>
      <c r="C119" s="3053"/>
      <c r="D119" s="3053"/>
      <c r="E119" s="3053"/>
      <c r="F119" s="3053"/>
      <c r="G119" s="3053"/>
      <c r="H119" s="3053"/>
      <c r="I119" s="3053"/>
      <c r="J119" s="3053"/>
      <c r="K119" s="3053"/>
      <c r="L119" s="3053"/>
      <c r="M119" s="3053"/>
      <c r="N119" s="3053"/>
      <c r="O119" s="3053"/>
      <c r="P119" s="3053"/>
      <c r="Q119" s="3053"/>
      <c r="R119" s="3053"/>
    </row>
    <row r="120" spans="1:26" ht="15.75" x14ac:dyDescent="0.25">
      <c r="A120" s="3053"/>
      <c r="B120" s="3053"/>
      <c r="C120" s="3053"/>
      <c r="D120" s="3053"/>
      <c r="E120" s="3053"/>
      <c r="F120" s="3053"/>
      <c r="G120" s="3053"/>
      <c r="H120" s="3053"/>
      <c r="I120" s="3053"/>
      <c r="J120" s="3053"/>
      <c r="K120" s="3053"/>
      <c r="L120" s="3053"/>
      <c r="M120" s="3053"/>
      <c r="N120" s="3053"/>
      <c r="O120" s="3053"/>
      <c r="P120" s="3053"/>
      <c r="Q120" s="3053"/>
      <c r="R120" s="3053"/>
    </row>
    <row r="121" spans="1:26" ht="15.75" x14ac:dyDescent="0.25">
      <c r="A121" s="3053"/>
      <c r="B121" s="3053"/>
      <c r="C121" s="3053"/>
      <c r="D121" s="3053"/>
      <c r="E121" s="3053"/>
      <c r="F121" s="3053"/>
      <c r="G121" s="3053"/>
      <c r="H121" s="3053"/>
      <c r="I121" s="3053"/>
      <c r="J121" s="3053"/>
      <c r="K121" s="3053"/>
      <c r="L121" s="3053"/>
      <c r="M121" s="3053"/>
      <c r="N121" s="3053"/>
      <c r="O121" s="3053"/>
      <c r="P121" s="3053"/>
      <c r="Q121" s="3053"/>
      <c r="R121" s="3053"/>
    </row>
    <row r="122" spans="1:26" ht="15.75" x14ac:dyDescent="0.25">
      <c r="A122" s="3053"/>
      <c r="B122" s="3053"/>
      <c r="C122" s="3053"/>
      <c r="D122" s="3053"/>
      <c r="E122" s="3053"/>
      <c r="F122" s="3053"/>
      <c r="G122" s="3053"/>
      <c r="H122" s="3053"/>
      <c r="I122" s="3053"/>
      <c r="J122" s="3053"/>
      <c r="K122" s="3053"/>
      <c r="L122" s="3053"/>
      <c r="M122" s="3053"/>
      <c r="N122" s="3053"/>
      <c r="O122" s="3053"/>
      <c r="P122" s="3053"/>
      <c r="Q122" s="3053"/>
      <c r="R122" s="3053"/>
    </row>
    <row r="123" spans="1:26" ht="15.75" x14ac:dyDescent="0.25">
      <c r="A123" s="3053"/>
      <c r="B123" s="3053"/>
      <c r="C123" s="3053"/>
      <c r="D123" s="3053"/>
      <c r="E123" s="3053"/>
      <c r="F123" s="3053"/>
      <c r="G123" s="3053"/>
      <c r="H123" s="3053"/>
      <c r="I123" s="3053"/>
      <c r="J123" s="3053"/>
      <c r="K123" s="3053"/>
      <c r="L123" s="3053"/>
      <c r="M123" s="3053"/>
      <c r="N123" s="3053"/>
      <c r="O123" s="3053"/>
      <c r="P123" s="3053"/>
      <c r="Q123" s="3053"/>
      <c r="R123" s="3053"/>
    </row>
    <row r="124" spans="1:26" ht="15.75" x14ac:dyDescent="0.25">
      <c r="A124" s="3053"/>
      <c r="B124" s="3053"/>
      <c r="C124" s="3053"/>
      <c r="D124" s="3053"/>
      <c r="E124" s="3053"/>
      <c r="F124" s="3053"/>
      <c r="G124" s="3053"/>
      <c r="H124" s="3053"/>
      <c r="I124" s="3053"/>
      <c r="J124" s="3053"/>
      <c r="K124" s="3053"/>
      <c r="L124" s="3053"/>
      <c r="M124" s="3053"/>
      <c r="N124" s="3053"/>
      <c r="O124" s="3053"/>
      <c r="P124" s="3053"/>
      <c r="Q124" s="3053"/>
      <c r="R124" s="3053"/>
    </row>
    <row r="125" spans="1:26" ht="15.75" x14ac:dyDescent="0.25">
      <c r="A125" s="3054"/>
      <c r="B125" s="3054"/>
      <c r="C125" s="3054"/>
      <c r="D125" s="3054"/>
      <c r="E125" s="3054"/>
      <c r="F125" s="3054"/>
      <c r="G125" s="3054"/>
      <c r="H125" s="3054"/>
      <c r="I125" s="3054"/>
      <c r="J125" s="3054"/>
      <c r="K125" s="3054"/>
      <c r="L125" s="3054"/>
      <c r="M125" s="3054"/>
      <c r="N125" s="3054"/>
      <c r="O125" s="3054"/>
      <c r="P125" s="3054"/>
      <c r="Q125" s="3054"/>
      <c r="R125" s="3054"/>
    </row>
    <row r="126" spans="1:26" ht="15.75" x14ac:dyDescent="0.25">
      <c r="A126" s="3055"/>
      <c r="B126" s="3055"/>
      <c r="C126" s="3055"/>
      <c r="D126" s="3055"/>
      <c r="E126" s="3055"/>
      <c r="F126" s="3055"/>
      <c r="G126" s="3055"/>
      <c r="H126" s="3055"/>
      <c r="I126" s="3055"/>
      <c r="J126" s="3055"/>
      <c r="K126" s="3055"/>
      <c r="L126" s="3055"/>
      <c r="M126" s="3055"/>
      <c r="N126" s="3055"/>
      <c r="O126" s="3055"/>
      <c r="P126" s="3055"/>
      <c r="Q126" s="3055"/>
      <c r="R126" s="3055"/>
    </row>
    <row r="127" spans="1:26" ht="15.75" x14ac:dyDescent="0.25">
      <c r="A127" s="2983"/>
      <c r="B127" s="2983"/>
      <c r="C127" s="2983"/>
      <c r="D127" s="2983"/>
      <c r="E127" s="2983"/>
      <c r="F127" s="2983"/>
      <c r="G127" s="2983"/>
      <c r="H127" s="2983"/>
      <c r="I127" s="2983"/>
      <c r="J127" s="2983"/>
      <c r="K127" s="2983"/>
      <c r="L127" s="2983"/>
      <c r="M127" s="2983"/>
      <c r="N127" s="2983"/>
      <c r="O127" s="2983"/>
      <c r="P127" s="2983"/>
      <c r="Q127" s="2983"/>
      <c r="R127" s="2983"/>
    </row>
    <row r="128" spans="1:26" ht="15.75" x14ac:dyDescent="0.25">
      <c r="A128" s="3045"/>
      <c r="B128" s="3045"/>
      <c r="C128" s="3045"/>
      <c r="D128" s="3045"/>
      <c r="E128" s="3045"/>
      <c r="F128" s="3045"/>
      <c r="G128" s="3045"/>
      <c r="H128" s="3045"/>
      <c r="I128" s="3045"/>
      <c r="J128" s="3045"/>
      <c r="K128" s="3045"/>
      <c r="L128" s="3045"/>
      <c r="M128" s="3045"/>
      <c r="N128" s="3045"/>
      <c r="O128" s="3045"/>
      <c r="P128" s="3045"/>
      <c r="Q128" s="3045"/>
      <c r="R128" s="3045"/>
    </row>
    <row r="129" spans="1:18" ht="15.75" x14ac:dyDescent="0.25">
      <c r="A129" s="3046"/>
      <c r="B129" s="3046"/>
      <c r="C129" s="3046"/>
      <c r="D129" s="3046"/>
      <c r="E129" s="3046"/>
      <c r="F129" s="3046"/>
      <c r="G129" s="3046"/>
      <c r="H129" s="3046"/>
      <c r="I129" s="3046"/>
      <c r="J129" s="3046"/>
      <c r="K129" s="3046"/>
      <c r="L129" s="3046"/>
      <c r="M129" s="3046"/>
      <c r="N129" s="3046"/>
      <c r="O129" s="3046"/>
      <c r="P129" s="3046"/>
      <c r="Q129" s="3046"/>
      <c r="R129" s="3046"/>
    </row>
    <row r="130" spans="1:18" ht="15.75" x14ac:dyDescent="0.25">
      <c r="A130" s="3046"/>
      <c r="B130" s="3046"/>
      <c r="C130" s="3046"/>
      <c r="D130" s="3046"/>
      <c r="E130" s="3046"/>
      <c r="F130" s="3046"/>
      <c r="G130" s="3046"/>
      <c r="H130" s="3046"/>
      <c r="I130" s="3046"/>
      <c r="J130" s="3046"/>
      <c r="K130" s="3046"/>
      <c r="L130" s="3046"/>
      <c r="M130" s="3046"/>
      <c r="N130" s="3046"/>
      <c r="O130" s="3046"/>
      <c r="P130" s="3046"/>
      <c r="Q130" s="3046"/>
      <c r="R130" s="3046"/>
    </row>
    <row r="131" spans="1:18" ht="15.75" x14ac:dyDescent="0.25">
      <c r="A131" s="2983"/>
      <c r="B131" s="2983"/>
      <c r="C131" s="2983"/>
      <c r="D131" s="2983"/>
      <c r="E131" s="2983"/>
      <c r="F131" s="2983"/>
      <c r="G131" s="2983"/>
      <c r="H131" s="2983"/>
      <c r="I131" s="2983"/>
      <c r="J131" s="2983"/>
      <c r="K131" s="2983"/>
      <c r="L131" s="2983"/>
      <c r="M131" s="2983"/>
      <c r="N131" s="2983"/>
      <c r="O131" s="2983"/>
      <c r="P131" s="2983"/>
      <c r="Q131" s="2983"/>
      <c r="R131" s="2983"/>
    </row>
  </sheetData>
  <mergeCells count="66">
    <mergeCell ref="A125:R125"/>
    <mergeCell ref="A126:R126"/>
    <mergeCell ref="A131:R131"/>
    <mergeCell ref="A127:R127"/>
    <mergeCell ref="A128:R128"/>
    <mergeCell ref="A129:R129"/>
    <mergeCell ref="A130:R130"/>
    <mergeCell ref="E78:F78"/>
    <mergeCell ref="G78:I78"/>
    <mergeCell ref="E79:F79"/>
    <mergeCell ref="G79:I79"/>
    <mergeCell ref="B80:F80"/>
    <mergeCell ref="A122:R122"/>
    <mergeCell ref="A123:R123"/>
    <mergeCell ref="A124:R124"/>
    <mergeCell ref="A120:R120"/>
    <mergeCell ref="G80:I80"/>
    <mergeCell ref="A117:R117"/>
    <mergeCell ref="C114:E114"/>
    <mergeCell ref="N114:P114"/>
    <mergeCell ref="A119:R119"/>
    <mergeCell ref="A121:R121"/>
    <mergeCell ref="A82:B82"/>
    <mergeCell ref="A94:B94"/>
    <mergeCell ref="A105:B105"/>
    <mergeCell ref="L105:N105"/>
    <mergeCell ref="C91:N91"/>
    <mergeCell ref="C103:N103"/>
    <mergeCell ref="E75:F75"/>
    <mergeCell ref="G75:I75"/>
    <mergeCell ref="E76:F76"/>
    <mergeCell ref="G76:I76"/>
    <mergeCell ref="E77:F77"/>
    <mergeCell ref="G77:I77"/>
    <mergeCell ref="A70:B70"/>
    <mergeCell ref="A71:B71"/>
    <mergeCell ref="E74:F74"/>
    <mergeCell ref="G74:I74"/>
    <mergeCell ref="X6:Y6"/>
    <mergeCell ref="A6:A8"/>
    <mergeCell ref="B6:B7"/>
    <mergeCell ref="C6:E6"/>
    <mergeCell ref="F6:G6"/>
    <mergeCell ref="H6:I6"/>
    <mergeCell ref="N6:N8"/>
    <mergeCell ref="AA6:AA8"/>
    <mergeCell ref="AB6:AB8"/>
    <mergeCell ref="AC6:AC8"/>
    <mergeCell ref="J6:K6"/>
    <mergeCell ref="L6:M6"/>
    <mergeCell ref="O6:Q6"/>
    <mergeCell ref="R6:S6"/>
    <mergeCell ref="T6:U6"/>
    <mergeCell ref="V6:W6"/>
    <mergeCell ref="Z6:Z8"/>
    <mergeCell ref="C4:N4"/>
    <mergeCell ref="P4:Z4"/>
    <mergeCell ref="A5:B5"/>
    <mergeCell ref="C5:N5"/>
    <mergeCell ref="O5:Z5"/>
    <mergeCell ref="A2:B2"/>
    <mergeCell ref="C2:N2"/>
    <mergeCell ref="P2:Z2"/>
    <mergeCell ref="A3:B3"/>
    <mergeCell ref="C3:N3"/>
    <mergeCell ref="P3:Z3"/>
  </mergeCells>
  <conditionalFormatting sqref="AB10:AB67">
    <cfRule type="containsText" dxfId="27" priority="1" operator="containsText" text="F">
      <formula>NOT(ISERROR(SEARCH("F",AB10)))</formula>
    </cfRule>
  </conditionalFormatting>
  <pageMargins left="0.7" right="0.7" top="0.75" bottom="0.75" header="0.3" footer="0.3"/>
  <pageSetup paperSize="8" scale="32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"/>
  <sheetViews>
    <sheetView topLeftCell="A109" zoomScale="64" zoomScaleNormal="59" workbookViewId="0">
      <selection activeCell="A70" sqref="A70:B70"/>
    </sheetView>
  </sheetViews>
  <sheetFormatPr defaultColWidth="9.140625" defaultRowHeight="31.5" customHeight="1" x14ac:dyDescent="0.3"/>
  <cols>
    <col min="1" max="1" width="15.140625" style="1038" bestFit="1" customWidth="1"/>
    <col min="2" max="2" width="18.28515625" style="1038" bestFit="1" customWidth="1"/>
    <col min="3" max="7" width="8.7109375" style="1039" customWidth="1"/>
    <col min="8" max="8" width="9.42578125" style="1039" customWidth="1"/>
    <col min="9" max="9" width="12.140625" style="1039" customWidth="1"/>
    <col min="10" max="13" width="8.7109375" style="1039" customWidth="1"/>
    <col min="14" max="14" width="10.5703125" style="1626" customWidth="1"/>
    <col min="15" max="15" width="10.5703125" style="1038" customWidth="1"/>
    <col min="16" max="18" width="11.140625" style="1038" bestFit="1" customWidth="1"/>
    <col min="19" max="20" width="9.140625" style="1038"/>
    <col min="21" max="22" width="10.42578125" style="1038" customWidth="1"/>
    <col min="23" max="23" width="11.7109375" style="1038" customWidth="1"/>
    <col min="24" max="24" width="8.7109375" style="1038" customWidth="1"/>
    <col min="25" max="25" width="11.28515625" style="1038" customWidth="1"/>
    <col min="26" max="26" width="10.5703125" style="1626" customWidth="1"/>
    <col min="27" max="32" width="9.140625" style="1038"/>
    <col min="33" max="33" width="8" style="1038" customWidth="1"/>
    <col min="34" max="34" width="17.140625" style="1038" bestFit="1" customWidth="1"/>
    <col min="35" max="16384" width="9.140625" style="1038"/>
  </cols>
  <sheetData>
    <row r="1" spans="1:33" ht="31.5" customHeight="1" x14ac:dyDescent="0.3">
      <c r="A1" s="1625"/>
    </row>
    <row r="2" spans="1:33" ht="31.5" customHeight="1" x14ac:dyDescent="0.3">
      <c r="A2" s="3708" t="s">
        <v>0</v>
      </c>
      <c r="B2" s="3709"/>
      <c r="C2" s="3710" t="s">
        <v>121</v>
      </c>
      <c r="D2" s="3729"/>
      <c r="E2" s="3729"/>
      <c r="F2" s="3729"/>
      <c r="G2" s="3729"/>
      <c r="H2" s="3729"/>
      <c r="I2" s="3729"/>
      <c r="J2" s="3729"/>
      <c r="K2" s="3729"/>
      <c r="L2" s="3729"/>
      <c r="M2" s="3729"/>
      <c r="N2" s="3712"/>
      <c r="O2" s="1627" t="s">
        <v>63</v>
      </c>
      <c r="P2" s="3706" t="s">
        <v>299</v>
      </c>
      <c r="Q2" s="3732"/>
      <c r="R2" s="3732"/>
      <c r="S2" s="3732"/>
      <c r="T2" s="3732"/>
      <c r="U2" s="3732"/>
      <c r="V2" s="3732"/>
      <c r="W2" s="3732"/>
      <c r="X2" s="3732"/>
      <c r="Y2" s="3732"/>
      <c r="Z2" s="3732"/>
      <c r="AA2" s="1015"/>
      <c r="AB2" s="1015"/>
      <c r="AC2" s="1015"/>
      <c r="AD2" s="1015"/>
      <c r="AE2" s="1015"/>
      <c r="AF2" s="1015"/>
      <c r="AG2" s="1015"/>
    </row>
    <row r="3" spans="1:33" ht="31.5" customHeight="1" x14ac:dyDescent="0.3">
      <c r="A3" s="3708" t="s">
        <v>1</v>
      </c>
      <c r="B3" s="3709"/>
      <c r="C3" s="3710" t="s">
        <v>266</v>
      </c>
      <c r="D3" s="3729"/>
      <c r="E3" s="3729"/>
      <c r="F3" s="3729"/>
      <c r="G3" s="3729"/>
      <c r="H3" s="3729"/>
      <c r="I3" s="3729"/>
      <c r="J3" s="3729"/>
      <c r="K3" s="3729"/>
      <c r="L3" s="3729"/>
      <c r="M3" s="3729"/>
      <c r="N3" s="3712"/>
      <c r="O3" s="1628" t="s">
        <v>64</v>
      </c>
      <c r="P3" s="3706" t="s">
        <v>232</v>
      </c>
      <c r="Q3" s="3732"/>
      <c r="R3" s="3732"/>
      <c r="S3" s="3732"/>
      <c r="T3" s="3732"/>
      <c r="U3" s="3732"/>
      <c r="V3" s="3732"/>
      <c r="W3" s="3732"/>
      <c r="X3" s="3732"/>
      <c r="Y3" s="3732"/>
      <c r="Z3" s="3732"/>
      <c r="AA3" s="1015"/>
      <c r="AB3" s="1015"/>
      <c r="AC3" s="1015"/>
      <c r="AD3" s="1015"/>
      <c r="AE3" s="1015"/>
      <c r="AF3" s="1015"/>
      <c r="AG3" s="1015"/>
    </row>
    <row r="4" spans="1:33" ht="31.5" customHeight="1" thickBot="1" x14ac:dyDescent="0.35">
      <c r="A4" s="1743"/>
      <c r="B4" s="1744" t="s">
        <v>2</v>
      </c>
      <c r="C4" s="3834" t="s">
        <v>301</v>
      </c>
      <c r="D4" s="3835"/>
      <c r="E4" s="3835"/>
      <c r="F4" s="3835"/>
      <c r="G4" s="3835"/>
      <c r="H4" s="3835"/>
      <c r="I4" s="3835"/>
      <c r="J4" s="3835"/>
      <c r="K4" s="3835"/>
      <c r="L4" s="3835"/>
      <c r="M4" s="3835"/>
      <c r="N4" s="3836"/>
      <c r="O4" s="1744" t="s">
        <v>65</v>
      </c>
      <c r="P4" s="3717" t="s">
        <v>66</v>
      </c>
      <c r="Q4" s="3718"/>
      <c r="R4" s="3718"/>
      <c r="S4" s="3718"/>
      <c r="T4" s="3718"/>
      <c r="U4" s="3718"/>
      <c r="V4" s="3718"/>
      <c r="W4" s="3718"/>
      <c r="X4" s="3718"/>
      <c r="Y4" s="3718"/>
      <c r="Z4" s="3718"/>
      <c r="AA4" s="1015"/>
      <c r="AB4" s="1015"/>
      <c r="AC4" s="1015"/>
      <c r="AD4" s="1015"/>
      <c r="AE4" s="1015"/>
      <c r="AF4" s="1015"/>
      <c r="AG4" s="1015"/>
    </row>
    <row r="5" spans="1:33" ht="31.5" customHeight="1" thickBot="1" x14ac:dyDescent="0.35">
      <c r="A5" s="3719"/>
      <c r="B5" s="3837"/>
      <c r="C5" s="3838" t="s">
        <v>302</v>
      </c>
      <c r="D5" s="3839"/>
      <c r="E5" s="3839"/>
      <c r="F5" s="3839"/>
      <c r="G5" s="3839"/>
      <c r="H5" s="3839"/>
      <c r="I5" s="3839"/>
      <c r="J5" s="3839"/>
      <c r="K5" s="3839"/>
      <c r="L5" s="3839"/>
      <c r="M5" s="3839"/>
      <c r="N5" s="3840"/>
      <c r="O5" s="3725" t="s">
        <v>303</v>
      </c>
      <c r="P5" s="3725"/>
      <c r="Q5" s="3725"/>
      <c r="R5" s="3725"/>
      <c r="S5" s="3725"/>
      <c r="T5" s="3725"/>
      <c r="U5" s="3725"/>
      <c r="V5" s="3725"/>
      <c r="W5" s="3725"/>
      <c r="X5" s="3725"/>
      <c r="Y5" s="3725"/>
      <c r="Z5" s="3725"/>
      <c r="AA5" s="1920"/>
      <c r="AB5" s="1631"/>
      <c r="AC5" s="1631"/>
      <c r="AD5" s="1631"/>
      <c r="AE5" s="1631"/>
      <c r="AF5" s="1632"/>
      <c r="AG5" s="1632"/>
    </row>
    <row r="6" spans="1:33" ht="31.5" customHeight="1" thickBot="1" x14ac:dyDescent="0.35">
      <c r="A6" s="3841"/>
      <c r="B6" s="3844" t="s">
        <v>5</v>
      </c>
      <c r="C6" s="3846" t="s">
        <v>6</v>
      </c>
      <c r="D6" s="3846"/>
      <c r="E6" s="3846"/>
      <c r="F6" s="3847" t="s">
        <v>7</v>
      </c>
      <c r="G6" s="3848"/>
      <c r="H6" s="3847" t="s">
        <v>8</v>
      </c>
      <c r="I6" s="3848"/>
      <c r="J6" s="3826" t="s">
        <v>9</v>
      </c>
      <c r="K6" s="3832"/>
      <c r="L6" s="3826" t="s">
        <v>236</v>
      </c>
      <c r="M6" s="3832"/>
      <c r="N6" s="1830" t="s">
        <v>146</v>
      </c>
      <c r="O6" s="3697" t="s">
        <v>6</v>
      </c>
      <c r="P6" s="3698"/>
      <c r="Q6" s="3713"/>
      <c r="R6" s="3699" t="s">
        <v>7</v>
      </c>
      <c r="S6" s="3700"/>
      <c r="T6" s="3699" t="s">
        <v>8</v>
      </c>
      <c r="U6" s="3700"/>
      <c r="V6" s="3833" t="s">
        <v>9</v>
      </c>
      <c r="W6" s="3833"/>
      <c r="X6" s="3699" t="s">
        <v>236</v>
      </c>
      <c r="Y6" s="3765"/>
      <c r="Z6" s="1921" t="s">
        <v>147</v>
      </c>
      <c r="AA6" s="3737" t="s">
        <v>151</v>
      </c>
      <c r="AB6" s="3688" t="s">
        <v>152</v>
      </c>
      <c r="AC6" s="3688" t="s">
        <v>153</v>
      </c>
      <c r="AD6" s="3830" t="s">
        <v>312</v>
      </c>
      <c r="AE6" s="3734" t="s">
        <v>10</v>
      </c>
      <c r="AF6" s="3824" t="s">
        <v>11</v>
      </c>
      <c r="AG6" s="3827" t="s">
        <v>12</v>
      </c>
    </row>
    <row r="7" spans="1:33" ht="31.5" customHeight="1" x14ac:dyDescent="0.3">
      <c r="A7" s="3842"/>
      <c r="B7" s="3845"/>
      <c r="C7" s="1754" t="s">
        <v>13</v>
      </c>
      <c r="D7" s="1638" t="s">
        <v>14</v>
      </c>
      <c r="E7" s="1752" t="s">
        <v>15</v>
      </c>
      <c r="F7" s="1637" t="s">
        <v>13</v>
      </c>
      <c r="G7" s="1639" t="s">
        <v>14</v>
      </c>
      <c r="H7" s="1637" t="s">
        <v>13</v>
      </c>
      <c r="I7" s="1639" t="s">
        <v>14</v>
      </c>
      <c r="J7" s="1637" t="s">
        <v>13</v>
      </c>
      <c r="K7" s="1639" t="s">
        <v>14</v>
      </c>
      <c r="L7" s="1640" t="s">
        <v>13</v>
      </c>
      <c r="M7" s="1639" t="s">
        <v>14</v>
      </c>
      <c r="N7" s="1922"/>
      <c r="O7" s="1637" t="s">
        <v>13</v>
      </c>
      <c r="P7" s="1638" t="s">
        <v>14</v>
      </c>
      <c r="Q7" s="1639" t="s">
        <v>15</v>
      </c>
      <c r="R7" s="1637" t="s">
        <v>13</v>
      </c>
      <c r="S7" s="1639" t="s">
        <v>14</v>
      </c>
      <c r="T7" s="1637" t="s">
        <v>13</v>
      </c>
      <c r="U7" s="1752" t="s">
        <v>14</v>
      </c>
      <c r="V7" s="1923" t="s">
        <v>13</v>
      </c>
      <c r="W7" s="1924" t="s">
        <v>14</v>
      </c>
      <c r="X7" s="1637" t="s">
        <v>13</v>
      </c>
      <c r="Y7" s="1752" t="s">
        <v>14</v>
      </c>
      <c r="Z7" s="1646"/>
      <c r="AA7" s="3738"/>
      <c r="AB7" s="3689"/>
      <c r="AC7" s="3689"/>
      <c r="AD7" s="3831"/>
      <c r="AE7" s="3735"/>
      <c r="AF7" s="3825"/>
      <c r="AG7" s="3828"/>
    </row>
    <row r="8" spans="1:33" ht="31.5" customHeight="1" x14ac:dyDescent="0.3">
      <c r="A8" s="3843"/>
      <c r="B8" s="1925" t="s">
        <v>19</v>
      </c>
      <c r="C8" s="1754" t="s">
        <v>22</v>
      </c>
      <c r="D8" s="1637" t="s">
        <v>21</v>
      </c>
      <c r="E8" s="1647" t="s">
        <v>23</v>
      </c>
      <c r="F8" s="1647" t="s">
        <v>20</v>
      </c>
      <c r="G8" s="1646" t="s">
        <v>20</v>
      </c>
      <c r="H8" s="1647" t="s">
        <v>20</v>
      </c>
      <c r="I8" s="1639" t="s">
        <v>21</v>
      </c>
      <c r="J8" s="1757" t="s">
        <v>21</v>
      </c>
      <c r="K8" s="1926" t="s">
        <v>23</v>
      </c>
      <c r="L8" s="1759" t="s">
        <v>40</v>
      </c>
      <c r="M8" s="1758" t="s">
        <v>41</v>
      </c>
      <c r="N8" s="1822"/>
      <c r="O8" s="1637" t="s">
        <v>41</v>
      </c>
      <c r="P8" s="1638" t="s">
        <v>42</v>
      </c>
      <c r="Q8" s="1639" t="s">
        <v>43</v>
      </c>
      <c r="R8" s="1637" t="s">
        <v>41</v>
      </c>
      <c r="S8" s="1639" t="s">
        <v>42</v>
      </c>
      <c r="T8" s="1637" t="s">
        <v>41</v>
      </c>
      <c r="U8" s="1752" t="s">
        <v>43</v>
      </c>
      <c r="V8" s="1637" t="s">
        <v>42</v>
      </c>
      <c r="W8" s="1752" t="s">
        <v>43</v>
      </c>
      <c r="X8" s="1637" t="s">
        <v>42</v>
      </c>
      <c r="Y8" s="1647" t="s">
        <v>43</v>
      </c>
      <c r="Z8" s="1646" t="s">
        <v>237</v>
      </c>
      <c r="AA8" s="3739"/>
      <c r="AB8" s="3690"/>
      <c r="AC8" s="3690"/>
      <c r="AD8" s="3832"/>
      <c r="AE8" s="3736"/>
      <c r="AF8" s="3826"/>
      <c r="AG8" s="3829"/>
    </row>
    <row r="9" spans="1:33" ht="31.5" customHeight="1" x14ac:dyDescent="0.3">
      <c r="A9" s="1752" t="s">
        <v>18</v>
      </c>
      <c r="B9" s="1646" t="s">
        <v>26</v>
      </c>
      <c r="C9" s="1754">
        <v>2</v>
      </c>
      <c r="D9" s="1638">
        <v>2</v>
      </c>
      <c r="E9" s="1752">
        <v>2</v>
      </c>
      <c r="F9" s="1637">
        <v>6</v>
      </c>
      <c r="G9" s="1639">
        <v>6</v>
      </c>
      <c r="H9" s="1637">
        <v>6</v>
      </c>
      <c r="I9" s="1639">
        <v>6</v>
      </c>
      <c r="J9" s="1637">
        <v>6</v>
      </c>
      <c r="K9" s="1649">
        <v>6</v>
      </c>
      <c r="L9" s="1637">
        <v>6</v>
      </c>
      <c r="M9" s="1639">
        <v>6</v>
      </c>
      <c r="N9" s="1822">
        <v>30</v>
      </c>
      <c r="O9" s="1637">
        <v>2</v>
      </c>
      <c r="P9" s="1638">
        <v>2</v>
      </c>
      <c r="Q9" s="1639">
        <v>2</v>
      </c>
      <c r="R9" s="1637">
        <v>6</v>
      </c>
      <c r="S9" s="1639">
        <v>6</v>
      </c>
      <c r="T9" s="1637">
        <v>6</v>
      </c>
      <c r="U9" s="1752">
        <v>6</v>
      </c>
      <c r="V9" s="1637">
        <v>6</v>
      </c>
      <c r="W9" s="1752">
        <v>6</v>
      </c>
      <c r="X9" s="1638">
        <v>6</v>
      </c>
      <c r="Y9" s="1822">
        <v>6</v>
      </c>
      <c r="Z9" s="1927">
        <v>30</v>
      </c>
      <c r="AA9" s="1754">
        <v>10</v>
      </c>
      <c r="AB9" s="1638">
        <v>10</v>
      </c>
      <c r="AC9" s="1638">
        <v>10</v>
      </c>
      <c r="AD9" s="1638">
        <v>10</v>
      </c>
      <c r="AE9" s="1037"/>
      <c r="AF9" s="1037"/>
      <c r="AG9" s="1037"/>
    </row>
    <row r="10" spans="1:33" ht="31.5" customHeight="1" x14ac:dyDescent="0.3">
      <c r="A10" s="1752">
        <v>1</v>
      </c>
      <c r="B10" s="1928">
        <v>5191421001</v>
      </c>
      <c r="C10" s="1811">
        <v>2</v>
      </c>
      <c r="D10" s="1654"/>
      <c r="E10" s="1797"/>
      <c r="F10" s="1656"/>
      <c r="G10" s="1655"/>
      <c r="H10" s="1656">
        <v>5</v>
      </c>
      <c r="I10" s="1657">
        <v>2</v>
      </c>
      <c r="J10" s="1656">
        <v>5</v>
      </c>
      <c r="K10" s="1929">
        <v>5</v>
      </c>
      <c r="L10" s="1666"/>
      <c r="M10" s="1665"/>
      <c r="N10" s="1930">
        <v>19</v>
      </c>
      <c r="O10" s="1662">
        <v>2</v>
      </c>
      <c r="P10" s="1663">
        <v>2</v>
      </c>
      <c r="Q10" s="1682">
        <v>1</v>
      </c>
      <c r="R10" s="1662"/>
      <c r="S10" s="1665"/>
      <c r="T10" s="1666">
        <v>6</v>
      </c>
      <c r="U10" s="1779">
        <v>5</v>
      </c>
      <c r="V10" s="1666"/>
      <c r="W10" s="1779"/>
      <c r="X10" s="1666">
        <v>5</v>
      </c>
      <c r="Y10" s="1931">
        <v>5</v>
      </c>
      <c r="Z10" s="1932">
        <v>26</v>
      </c>
      <c r="AA10" s="1933">
        <v>9</v>
      </c>
      <c r="AB10" s="1732">
        <v>10</v>
      </c>
      <c r="AC10" s="1732">
        <v>9</v>
      </c>
      <c r="AD10" s="1732">
        <v>8</v>
      </c>
      <c r="AE10" s="1732">
        <f>AVERAGE(AA10:AD10)</f>
        <v>9</v>
      </c>
      <c r="AF10" s="1670" t="s">
        <v>30</v>
      </c>
      <c r="AG10" s="1671">
        <f>IF(AF10="O",100,IF(AF10="A+",90,IF(AF10="A",80,IF(AF10="B+",70,IF(AF10="B",60,IF(AF10="C",55,IF(AF10="P",50,IF(AF10="F",39))))))))</f>
        <v>90</v>
      </c>
    </row>
    <row r="11" spans="1:33" ht="31.5" customHeight="1" x14ac:dyDescent="0.3">
      <c r="A11" s="1934">
        <v>2</v>
      </c>
      <c r="B11" s="1935">
        <v>5191421002</v>
      </c>
      <c r="C11" s="1776">
        <v>2</v>
      </c>
      <c r="D11" s="1768">
        <v>2</v>
      </c>
      <c r="E11" s="1781">
        <v>1</v>
      </c>
      <c r="F11" s="1767">
        <v>5</v>
      </c>
      <c r="G11" s="1769">
        <v>3</v>
      </c>
      <c r="H11" s="1767"/>
      <c r="I11" s="1770"/>
      <c r="J11" s="1767"/>
      <c r="K11" s="1769">
        <v>3</v>
      </c>
      <c r="L11" s="1666"/>
      <c r="M11" s="1665"/>
      <c r="N11" s="1930">
        <v>16</v>
      </c>
      <c r="O11" s="1771">
        <v>2</v>
      </c>
      <c r="P11" s="1772">
        <v>1</v>
      </c>
      <c r="Q11" s="1936">
        <v>2</v>
      </c>
      <c r="R11" s="1771">
        <v>5</v>
      </c>
      <c r="S11" s="1665">
        <v>5</v>
      </c>
      <c r="T11" s="1666"/>
      <c r="U11" s="1779"/>
      <c r="V11" s="1666">
        <v>5</v>
      </c>
      <c r="W11" s="1779">
        <v>4</v>
      </c>
      <c r="X11" s="1767"/>
      <c r="Y11" s="1937"/>
      <c r="Z11" s="1932">
        <v>24</v>
      </c>
      <c r="AA11" s="1933">
        <v>10</v>
      </c>
      <c r="AB11" s="1732">
        <v>10</v>
      </c>
      <c r="AC11" s="1732">
        <v>10</v>
      </c>
      <c r="AD11" s="1732">
        <v>10</v>
      </c>
      <c r="AE11" s="1732">
        <f t="shared" ref="AE11:AE67" si="0">AVERAGE(AA11:AD11)</f>
        <v>10</v>
      </c>
      <c r="AF11" s="1670" t="s">
        <v>27</v>
      </c>
      <c r="AG11" s="1671">
        <f t="shared" ref="AG11:AG67" si="1">IF(AF11="O",100,IF(AF11="A+",90,IF(AF11="A",80,IF(AF11="B+",70,IF(AF11="B",60,IF(AF11="C",55,IF(AF11="P",50,IF(AF11="F",39))))))))</f>
        <v>80</v>
      </c>
    </row>
    <row r="12" spans="1:33" s="1683" customFormat="1" ht="31.5" customHeight="1" x14ac:dyDescent="0.3">
      <c r="A12" s="1752">
        <v>3</v>
      </c>
      <c r="B12" s="1928">
        <v>5191421003</v>
      </c>
      <c r="C12" s="1809">
        <v>2</v>
      </c>
      <c r="D12" s="1663">
        <v>1</v>
      </c>
      <c r="E12" s="1762">
        <v>1</v>
      </c>
      <c r="F12" s="1662">
        <v>6</v>
      </c>
      <c r="G12" s="1665">
        <v>6</v>
      </c>
      <c r="H12" s="1666"/>
      <c r="I12" s="1665"/>
      <c r="J12" s="1666">
        <v>6</v>
      </c>
      <c r="K12" s="1665">
        <v>6</v>
      </c>
      <c r="L12" s="1666"/>
      <c r="M12" s="1665"/>
      <c r="N12" s="1930">
        <v>28</v>
      </c>
      <c r="O12" s="1662">
        <v>1</v>
      </c>
      <c r="P12" s="1663">
        <v>2</v>
      </c>
      <c r="Q12" s="1682">
        <v>2</v>
      </c>
      <c r="R12" s="1662">
        <v>4</v>
      </c>
      <c r="S12" s="1665">
        <v>4</v>
      </c>
      <c r="T12" s="1666"/>
      <c r="U12" s="1779"/>
      <c r="V12" s="1666">
        <v>4</v>
      </c>
      <c r="W12" s="1779">
        <v>4</v>
      </c>
      <c r="X12" s="1666"/>
      <c r="Y12" s="1774"/>
      <c r="Z12" s="1932">
        <v>21</v>
      </c>
      <c r="AA12" s="1933">
        <v>10</v>
      </c>
      <c r="AB12" s="1732">
        <v>10</v>
      </c>
      <c r="AC12" s="1732">
        <v>10</v>
      </c>
      <c r="AD12" s="1732">
        <v>10</v>
      </c>
      <c r="AE12" s="1732">
        <f t="shared" si="0"/>
        <v>10</v>
      </c>
      <c r="AF12" s="1670" t="s">
        <v>30</v>
      </c>
      <c r="AG12" s="1671">
        <f t="shared" si="1"/>
        <v>90</v>
      </c>
    </row>
    <row r="13" spans="1:33" s="1683" customFormat="1" ht="31.5" customHeight="1" x14ac:dyDescent="0.3">
      <c r="A13" s="1752">
        <v>4</v>
      </c>
      <c r="B13" s="1928">
        <v>5191421004</v>
      </c>
      <c r="C13" s="1811">
        <v>2</v>
      </c>
      <c r="D13" s="1663">
        <v>1</v>
      </c>
      <c r="E13" s="1762">
        <v>0</v>
      </c>
      <c r="F13" s="1662"/>
      <c r="G13" s="1665"/>
      <c r="H13" s="1666">
        <v>4</v>
      </c>
      <c r="I13" s="1665">
        <v>1</v>
      </c>
      <c r="J13" s="1666">
        <v>3</v>
      </c>
      <c r="K13" s="1665"/>
      <c r="L13" s="1666"/>
      <c r="M13" s="1665"/>
      <c r="N13" s="1930">
        <v>11</v>
      </c>
      <c r="O13" s="1662">
        <v>2</v>
      </c>
      <c r="P13" s="1663">
        <v>2</v>
      </c>
      <c r="Q13" s="1682">
        <v>1</v>
      </c>
      <c r="R13" s="1662"/>
      <c r="S13" s="1665"/>
      <c r="T13" s="1666">
        <v>5</v>
      </c>
      <c r="U13" s="1779">
        <v>5</v>
      </c>
      <c r="V13" s="1666"/>
      <c r="W13" s="1779"/>
      <c r="X13" s="1666"/>
      <c r="Y13" s="1774"/>
      <c r="Z13" s="1932">
        <v>15</v>
      </c>
      <c r="AA13" s="1933">
        <v>10</v>
      </c>
      <c r="AB13" s="1732">
        <v>9</v>
      </c>
      <c r="AC13" s="1732">
        <v>8</v>
      </c>
      <c r="AD13" s="1732">
        <v>9</v>
      </c>
      <c r="AE13" s="1732">
        <f t="shared" si="0"/>
        <v>9</v>
      </c>
      <c r="AF13" s="1670" t="s">
        <v>32</v>
      </c>
      <c r="AG13" s="1671">
        <f t="shared" si="1"/>
        <v>70</v>
      </c>
    </row>
    <row r="14" spans="1:33" ht="31.5" customHeight="1" x14ac:dyDescent="0.3">
      <c r="A14" s="1938">
        <v>5</v>
      </c>
      <c r="B14" s="1939">
        <v>5191421005</v>
      </c>
      <c r="C14" s="1812">
        <v>2</v>
      </c>
      <c r="D14" s="1688">
        <v>1</v>
      </c>
      <c r="E14" s="1693">
        <v>1</v>
      </c>
      <c r="F14" s="1687">
        <v>6</v>
      </c>
      <c r="G14" s="1690">
        <v>5</v>
      </c>
      <c r="H14" s="1691"/>
      <c r="I14" s="1692"/>
      <c r="J14" s="1691">
        <v>6</v>
      </c>
      <c r="K14" s="1690"/>
      <c r="L14" s="1666"/>
      <c r="M14" s="1665"/>
      <c r="N14" s="1930">
        <v>21</v>
      </c>
      <c r="O14" s="1687">
        <v>2</v>
      </c>
      <c r="P14" s="1688">
        <v>2</v>
      </c>
      <c r="Q14" s="1689">
        <v>2</v>
      </c>
      <c r="R14" s="1687"/>
      <c r="S14" s="1665"/>
      <c r="T14" s="1666">
        <v>6</v>
      </c>
      <c r="U14" s="1779">
        <v>5</v>
      </c>
      <c r="V14" s="1666">
        <v>6</v>
      </c>
      <c r="W14" s="1779">
        <v>3</v>
      </c>
      <c r="X14" s="1691"/>
      <c r="Y14" s="1940"/>
      <c r="Z14" s="1932">
        <v>26</v>
      </c>
      <c r="AA14" s="1933">
        <v>10</v>
      </c>
      <c r="AB14" s="1732">
        <v>10</v>
      </c>
      <c r="AC14" s="1732">
        <v>10</v>
      </c>
      <c r="AD14" s="1732">
        <v>10</v>
      </c>
      <c r="AE14" s="1732">
        <f t="shared" si="0"/>
        <v>10</v>
      </c>
      <c r="AF14" s="1695" t="s">
        <v>30</v>
      </c>
      <c r="AG14" s="1671">
        <f t="shared" si="1"/>
        <v>90</v>
      </c>
    </row>
    <row r="15" spans="1:33" ht="31.5" customHeight="1" x14ac:dyDescent="0.3">
      <c r="A15" s="1752">
        <v>6</v>
      </c>
      <c r="B15" s="1928">
        <v>5191421006</v>
      </c>
      <c r="C15" s="1809">
        <v>2</v>
      </c>
      <c r="D15" s="1663">
        <v>2</v>
      </c>
      <c r="E15" s="1762"/>
      <c r="F15" s="1662"/>
      <c r="G15" s="1665"/>
      <c r="H15" s="1666">
        <v>5</v>
      </c>
      <c r="I15" s="1667"/>
      <c r="J15" s="1666">
        <v>6</v>
      </c>
      <c r="K15" s="1665">
        <v>6</v>
      </c>
      <c r="L15" s="1666"/>
      <c r="M15" s="1665"/>
      <c r="N15" s="1930">
        <v>21</v>
      </c>
      <c r="O15" s="1662">
        <v>1</v>
      </c>
      <c r="P15" s="1663">
        <v>2</v>
      </c>
      <c r="Q15" s="1682">
        <v>1</v>
      </c>
      <c r="R15" s="1662"/>
      <c r="S15" s="1665"/>
      <c r="T15" s="1666">
        <v>2</v>
      </c>
      <c r="U15" s="1779">
        <v>5</v>
      </c>
      <c r="V15" s="1666"/>
      <c r="W15" s="1779"/>
      <c r="X15" s="1666">
        <v>5</v>
      </c>
      <c r="Y15" s="1774">
        <v>4</v>
      </c>
      <c r="Z15" s="1932">
        <v>20</v>
      </c>
      <c r="AA15" s="1933">
        <v>8</v>
      </c>
      <c r="AB15" s="1732">
        <v>10</v>
      </c>
      <c r="AC15" s="1732">
        <v>9</v>
      </c>
      <c r="AD15" s="1732">
        <v>9</v>
      </c>
      <c r="AE15" s="1732">
        <f t="shared" si="0"/>
        <v>9</v>
      </c>
      <c r="AF15" s="1670" t="s">
        <v>27</v>
      </c>
      <c r="AG15" s="1671">
        <f t="shared" si="1"/>
        <v>80</v>
      </c>
    </row>
    <row r="16" spans="1:33" ht="31.5" customHeight="1" x14ac:dyDescent="0.3">
      <c r="A16" s="1752">
        <v>7</v>
      </c>
      <c r="B16" s="1928">
        <v>5191421007</v>
      </c>
      <c r="C16" s="1809">
        <v>2</v>
      </c>
      <c r="D16" s="1663">
        <v>2</v>
      </c>
      <c r="E16" s="1762">
        <v>1</v>
      </c>
      <c r="F16" s="1662">
        <v>3</v>
      </c>
      <c r="G16" s="1665">
        <v>1</v>
      </c>
      <c r="H16" s="1666"/>
      <c r="I16" s="1667"/>
      <c r="J16" s="1666">
        <v>4</v>
      </c>
      <c r="K16" s="1665">
        <v>2</v>
      </c>
      <c r="L16" s="1666"/>
      <c r="M16" s="1665"/>
      <c r="N16" s="1930">
        <v>15</v>
      </c>
      <c r="O16" s="1662">
        <v>1</v>
      </c>
      <c r="P16" s="1663">
        <v>2</v>
      </c>
      <c r="Q16" s="1682">
        <v>1</v>
      </c>
      <c r="R16" s="1662">
        <v>5</v>
      </c>
      <c r="S16" s="1665"/>
      <c r="T16" s="1666"/>
      <c r="U16" s="1779">
        <v>6</v>
      </c>
      <c r="V16" s="1666"/>
      <c r="W16" s="1779"/>
      <c r="X16" s="1666">
        <v>5</v>
      </c>
      <c r="Y16" s="1774">
        <v>3</v>
      </c>
      <c r="Z16" s="1932">
        <v>18</v>
      </c>
      <c r="AA16" s="1933">
        <v>7</v>
      </c>
      <c r="AB16" s="1732">
        <v>10</v>
      </c>
      <c r="AC16" s="1732">
        <v>7</v>
      </c>
      <c r="AD16" s="1732">
        <v>8</v>
      </c>
      <c r="AE16" s="1732">
        <f t="shared" si="0"/>
        <v>8</v>
      </c>
      <c r="AF16" s="1695" t="s">
        <v>27</v>
      </c>
      <c r="AG16" s="1671">
        <f t="shared" si="1"/>
        <v>80</v>
      </c>
    </row>
    <row r="17" spans="1:33" ht="31.5" customHeight="1" x14ac:dyDescent="0.3">
      <c r="A17" s="1752">
        <v>8</v>
      </c>
      <c r="B17" s="1928">
        <v>5191421008</v>
      </c>
      <c r="C17" s="1809">
        <v>2</v>
      </c>
      <c r="D17" s="1663">
        <v>1</v>
      </c>
      <c r="E17" s="1762">
        <v>0</v>
      </c>
      <c r="F17" s="1662"/>
      <c r="G17" s="1665"/>
      <c r="H17" s="1666">
        <v>5</v>
      </c>
      <c r="I17" s="1667">
        <v>2</v>
      </c>
      <c r="J17" s="1666">
        <v>5</v>
      </c>
      <c r="K17" s="1665"/>
      <c r="L17" s="1666"/>
      <c r="M17" s="1665"/>
      <c r="N17" s="1930">
        <v>15</v>
      </c>
      <c r="O17" s="1662">
        <v>1</v>
      </c>
      <c r="P17" s="1663">
        <v>1</v>
      </c>
      <c r="Q17" s="1682">
        <v>0</v>
      </c>
      <c r="R17" s="1662"/>
      <c r="S17" s="1665">
        <v>6</v>
      </c>
      <c r="T17" s="1666"/>
      <c r="U17" s="1779"/>
      <c r="V17" s="1666"/>
      <c r="W17" s="1779"/>
      <c r="X17" s="1666">
        <v>5</v>
      </c>
      <c r="Y17" s="1774">
        <v>4</v>
      </c>
      <c r="Z17" s="1932">
        <v>17</v>
      </c>
      <c r="AA17" s="1933">
        <v>8</v>
      </c>
      <c r="AB17" s="1732">
        <v>9</v>
      </c>
      <c r="AC17" s="1732">
        <v>10</v>
      </c>
      <c r="AD17" s="1732">
        <v>9</v>
      </c>
      <c r="AE17" s="1732">
        <f t="shared" si="0"/>
        <v>9</v>
      </c>
      <c r="AF17" s="1670" t="s">
        <v>30</v>
      </c>
      <c r="AG17" s="1671">
        <f t="shared" si="1"/>
        <v>90</v>
      </c>
    </row>
    <row r="18" spans="1:33" ht="31.5" customHeight="1" x14ac:dyDescent="0.3">
      <c r="A18" s="1752">
        <v>9</v>
      </c>
      <c r="B18" s="1928">
        <v>5191421009</v>
      </c>
      <c r="C18" s="1764">
        <v>2</v>
      </c>
      <c r="D18" s="1666">
        <v>1</v>
      </c>
      <c r="E18" s="1696">
        <v>0</v>
      </c>
      <c r="F18" s="1666"/>
      <c r="G18" s="1665"/>
      <c r="H18" s="1666">
        <v>6</v>
      </c>
      <c r="I18" s="1667">
        <v>2</v>
      </c>
      <c r="J18" s="1666">
        <v>5</v>
      </c>
      <c r="K18" s="1665"/>
      <c r="L18" s="1666"/>
      <c r="M18" s="1665"/>
      <c r="N18" s="1930">
        <v>16</v>
      </c>
      <c r="O18" s="1662">
        <v>2</v>
      </c>
      <c r="P18" s="1663">
        <v>2</v>
      </c>
      <c r="Q18" s="1682">
        <v>1</v>
      </c>
      <c r="R18" s="1662"/>
      <c r="S18" s="1665"/>
      <c r="T18" s="1666">
        <v>6</v>
      </c>
      <c r="U18" s="1779">
        <v>5</v>
      </c>
      <c r="V18" s="1666"/>
      <c r="W18" s="1779"/>
      <c r="X18" s="1666">
        <v>5</v>
      </c>
      <c r="Y18" s="1774">
        <v>5</v>
      </c>
      <c r="Z18" s="1932">
        <v>26</v>
      </c>
      <c r="AA18" s="1933">
        <v>10</v>
      </c>
      <c r="AB18" s="1732">
        <v>10</v>
      </c>
      <c r="AC18" s="1732">
        <v>10</v>
      </c>
      <c r="AD18" s="1732">
        <v>10</v>
      </c>
      <c r="AE18" s="1732">
        <f t="shared" si="0"/>
        <v>10</v>
      </c>
      <c r="AF18" s="1670" t="s">
        <v>30</v>
      </c>
      <c r="AG18" s="1671">
        <f t="shared" si="1"/>
        <v>90</v>
      </c>
    </row>
    <row r="19" spans="1:33" ht="31.5" customHeight="1" x14ac:dyDescent="0.3">
      <c r="A19" s="1752">
        <v>10</v>
      </c>
      <c r="B19" s="1928">
        <v>5191421010</v>
      </c>
      <c r="C19" s="1809">
        <v>2</v>
      </c>
      <c r="D19" s="1663">
        <v>2</v>
      </c>
      <c r="E19" s="1762">
        <v>1</v>
      </c>
      <c r="F19" s="1662"/>
      <c r="G19" s="1665"/>
      <c r="H19" s="1666">
        <v>6</v>
      </c>
      <c r="I19" s="1667">
        <v>3</v>
      </c>
      <c r="J19" s="1666">
        <v>5</v>
      </c>
      <c r="K19" s="1665">
        <v>1</v>
      </c>
      <c r="L19" s="1666"/>
      <c r="M19" s="1665"/>
      <c r="N19" s="1930">
        <v>20</v>
      </c>
      <c r="O19" s="1662">
        <v>2</v>
      </c>
      <c r="P19" s="1663">
        <v>1</v>
      </c>
      <c r="Q19" s="1682">
        <v>2</v>
      </c>
      <c r="R19" s="1662"/>
      <c r="S19" s="1665">
        <v>3</v>
      </c>
      <c r="T19" s="1666"/>
      <c r="U19" s="1779"/>
      <c r="V19" s="1666"/>
      <c r="W19" s="1779"/>
      <c r="X19" s="1666">
        <v>6</v>
      </c>
      <c r="Y19" s="1774">
        <v>4</v>
      </c>
      <c r="Z19" s="1932">
        <v>18</v>
      </c>
      <c r="AA19" s="1933">
        <v>10</v>
      </c>
      <c r="AB19" s="1732">
        <v>10</v>
      </c>
      <c r="AC19" s="1732">
        <v>10</v>
      </c>
      <c r="AD19" s="1732">
        <v>10</v>
      </c>
      <c r="AE19" s="1732">
        <f t="shared" si="0"/>
        <v>10</v>
      </c>
      <c r="AF19" s="1670" t="s">
        <v>27</v>
      </c>
      <c r="AG19" s="1671">
        <f t="shared" si="1"/>
        <v>80</v>
      </c>
    </row>
    <row r="20" spans="1:33" ht="31.5" customHeight="1" x14ac:dyDescent="0.3">
      <c r="A20" s="1752">
        <v>11</v>
      </c>
      <c r="B20" s="1928">
        <v>5191421011</v>
      </c>
      <c r="C20" s="1809">
        <v>2</v>
      </c>
      <c r="D20" s="1663">
        <v>2</v>
      </c>
      <c r="E20" s="1762">
        <v>1</v>
      </c>
      <c r="F20" s="1662">
        <v>5</v>
      </c>
      <c r="G20" s="1665">
        <v>6</v>
      </c>
      <c r="H20" s="1666"/>
      <c r="I20" s="1667"/>
      <c r="J20" s="1666">
        <v>6</v>
      </c>
      <c r="K20" s="1665">
        <v>6</v>
      </c>
      <c r="L20" s="1666"/>
      <c r="M20" s="1665"/>
      <c r="N20" s="1930">
        <v>28</v>
      </c>
      <c r="O20" s="1662">
        <v>0</v>
      </c>
      <c r="P20" s="1663">
        <v>2</v>
      </c>
      <c r="Q20" s="1682">
        <v>1</v>
      </c>
      <c r="R20" s="1662">
        <v>4</v>
      </c>
      <c r="S20" s="1665">
        <v>5</v>
      </c>
      <c r="T20" s="1666"/>
      <c r="U20" s="1779">
        <v>2</v>
      </c>
      <c r="V20" s="1666"/>
      <c r="W20" s="1779"/>
      <c r="X20" s="1666">
        <v>6</v>
      </c>
      <c r="Y20" s="1774">
        <v>3</v>
      </c>
      <c r="Z20" s="1932">
        <v>21</v>
      </c>
      <c r="AA20" s="1933">
        <v>10</v>
      </c>
      <c r="AB20" s="1732">
        <v>10</v>
      </c>
      <c r="AC20" s="1732">
        <v>10</v>
      </c>
      <c r="AD20" s="1732">
        <v>10</v>
      </c>
      <c r="AE20" s="1732">
        <f t="shared" si="0"/>
        <v>10</v>
      </c>
      <c r="AF20" s="1670" t="s">
        <v>30</v>
      </c>
      <c r="AG20" s="1671">
        <f t="shared" si="1"/>
        <v>90</v>
      </c>
    </row>
    <row r="21" spans="1:33" ht="31.5" customHeight="1" x14ac:dyDescent="0.3">
      <c r="A21" s="1752">
        <v>12</v>
      </c>
      <c r="B21" s="1928">
        <v>5191421012</v>
      </c>
      <c r="C21" s="1809">
        <v>2</v>
      </c>
      <c r="D21" s="1663">
        <v>1</v>
      </c>
      <c r="E21" s="1762"/>
      <c r="F21" s="1662">
        <v>6</v>
      </c>
      <c r="G21" s="1665">
        <v>2</v>
      </c>
      <c r="H21" s="1666"/>
      <c r="I21" s="1667"/>
      <c r="J21" s="1666">
        <v>3</v>
      </c>
      <c r="K21" s="1665">
        <v>6</v>
      </c>
      <c r="L21" s="1666"/>
      <c r="M21" s="1665"/>
      <c r="N21" s="1930">
        <v>20</v>
      </c>
      <c r="O21" s="1662"/>
      <c r="P21" s="1663">
        <v>2</v>
      </c>
      <c r="Q21" s="1682">
        <v>1</v>
      </c>
      <c r="R21" s="1662">
        <v>4</v>
      </c>
      <c r="S21" s="1665">
        <v>4</v>
      </c>
      <c r="T21" s="1666"/>
      <c r="U21" s="1779"/>
      <c r="V21" s="1666"/>
      <c r="W21" s="1779"/>
      <c r="X21" s="1666"/>
      <c r="Y21" s="1774">
        <v>4</v>
      </c>
      <c r="Z21" s="1932">
        <v>15</v>
      </c>
      <c r="AA21" s="1933">
        <v>9</v>
      </c>
      <c r="AB21" s="1732">
        <v>8</v>
      </c>
      <c r="AC21" s="1732">
        <v>9</v>
      </c>
      <c r="AD21" s="1732">
        <v>10</v>
      </c>
      <c r="AE21" s="1732">
        <f t="shared" si="0"/>
        <v>9</v>
      </c>
      <c r="AF21" s="1670" t="s">
        <v>32</v>
      </c>
      <c r="AG21" s="1671">
        <f t="shared" si="1"/>
        <v>70</v>
      </c>
    </row>
    <row r="22" spans="1:33" ht="31.5" customHeight="1" x14ac:dyDescent="0.3">
      <c r="A22" s="1752">
        <v>13</v>
      </c>
      <c r="B22" s="1928">
        <v>5191421013</v>
      </c>
      <c r="C22" s="1809">
        <v>2</v>
      </c>
      <c r="D22" s="1663">
        <v>2</v>
      </c>
      <c r="E22" s="1762">
        <v>0</v>
      </c>
      <c r="F22" s="1662"/>
      <c r="G22" s="1665"/>
      <c r="H22" s="1666">
        <v>5</v>
      </c>
      <c r="I22" s="1667">
        <v>3</v>
      </c>
      <c r="J22" s="1666">
        <v>5</v>
      </c>
      <c r="K22" s="1665"/>
      <c r="L22" s="1666"/>
      <c r="M22" s="1665"/>
      <c r="N22" s="1930">
        <v>17</v>
      </c>
      <c r="O22" s="1662">
        <v>2</v>
      </c>
      <c r="P22" s="1663">
        <v>2</v>
      </c>
      <c r="Q22" s="1682">
        <v>2</v>
      </c>
      <c r="R22" s="1662">
        <v>6</v>
      </c>
      <c r="S22" s="1665">
        <v>6</v>
      </c>
      <c r="T22" s="1666"/>
      <c r="U22" s="1779"/>
      <c r="V22" s="1666"/>
      <c r="W22" s="1779"/>
      <c r="X22" s="1666">
        <v>6</v>
      </c>
      <c r="Y22" s="1774">
        <v>4</v>
      </c>
      <c r="Z22" s="1932">
        <v>28</v>
      </c>
      <c r="AA22" s="1933">
        <v>7</v>
      </c>
      <c r="AB22" s="1732">
        <v>10</v>
      </c>
      <c r="AC22" s="1732">
        <v>10</v>
      </c>
      <c r="AD22" s="1732">
        <v>9</v>
      </c>
      <c r="AE22" s="1732">
        <f t="shared" si="0"/>
        <v>9</v>
      </c>
      <c r="AF22" s="1670" t="s">
        <v>27</v>
      </c>
      <c r="AG22" s="1671">
        <f t="shared" si="1"/>
        <v>80</v>
      </c>
    </row>
    <row r="23" spans="1:33" ht="31.5" customHeight="1" x14ac:dyDescent="0.3">
      <c r="A23" s="1752">
        <v>14</v>
      </c>
      <c r="B23" s="1928">
        <v>5191421014</v>
      </c>
      <c r="C23" s="1809">
        <v>1</v>
      </c>
      <c r="D23" s="1663">
        <v>1</v>
      </c>
      <c r="E23" s="1762">
        <v>0</v>
      </c>
      <c r="F23" s="1662">
        <v>5</v>
      </c>
      <c r="G23" s="1665">
        <v>4</v>
      </c>
      <c r="H23" s="1666"/>
      <c r="I23" s="1667"/>
      <c r="J23" s="1666">
        <v>2</v>
      </c>
      <c r="K23" s="1665"/>
      <c r="L23" s="1666"/>
      <c r="M23" s="1665"/>
      <c r="N23" s="1930">
        <v>13</v>
      </c>
      <c r="O23" s="1662"/>
      <c r="P23" s="1663">
        <v>2</v>
      </c>
      <c r="Q23" s="1682">
        <v>1</v>
      </c>
      <c r="R23" s="1662"/>
      <c r="S23" s="1665"/>
      <c r="T23" s="1666">
        <v>4</v>
      </c>
      <c r="U23" s="1779">
        <v>5</v>
      </c>
      <c r="V23" s="1666">
        <v>5</v>
      </c>
      <c r="W23" s="1779">
        <v>5</v>
      </c>
      <c r="X23" s="1666"/>
      <c r="Y23" s="1774"/>
      <c r="Z23" s="1932">
        <v>22</v>
      </c>
      <c r="AA23" s="1933">
        <v>10</v>
      </c>
      <c r="AB23" s="1732">
        <v>9</v>
      </c>
      <c r="AC23" s="1732">
        <v>8</v>
      </c>
      <c r="AD23" s="1732">
        <v>9</v>
      </c>
      <c r="AE23" s="1732">
        <f t="shared" si="0"/>
        <v>9</v>
      </c>
      <c r="AF23" s="1670" t="s">
        <v>27</v>
      </c>
      <c r="AG23" s="1671">
        <f t="shared" si="1"/>
        <v>80</v>
      </c>
    </row>
    <row r="24" spans="1:33" ht="31.5" customHeight="1" x14ac:dyDescent="0.3">
      <c r="A24" s="1752">
        <v>15</v>
      </c>
      <c r="B24" s="1928">
        <v>5191421015</v>
      </c>
      <c r="C24" s="1809">
        <v>2</v>
      </c>
      <c r="D24" s="1663">
        <v>0</v>
      </c>
      <c r="E24" s="1762"/>
      <c r="F24" s="1662">
        <v>5</v>
      </c>
      <c r="G24" s="1665">
        <v>4</v>
      </c>
      <c r="H24" s="1666"/>
      <c r="I24" s="1667"/>
      <c r="J24" s="1666">
        <v>0</v>
      </c>
      <c r="K24" s="1665">
        <v>5</v>
      </c>
      <c r="L24" s="1666"/>
      <c r="M24" s="1665"/>
      <c r="N24" s="1930">
        <v>16</v>
      </c>
      <c r="O24" s="1662">
        <v>0</v>
      </c>
      <c r="P24" s="1663">
        <v>0</v>
      </c>
      <c r="Q24" s="1682"/>
      <c r="R24" s="1662">
        <v>4</v>
      </c>
      <c r="S24" s="1665">
        <v>6</v>
      </c>
      <c r="T24" s="1666">
        <v>2</v>
      </c>
      <c r="U24" s="1779"/>
      <c r="V24" s="1666"/>
      <c r="W24" s="1779"/>
      <c r="X24" s="1666">
        <v>1</v>
      </c>
      <c r="Y24" s="1774">
        <v>4</v>
      </c>
      <c r="Z24" s="1932">
        <v>15</v>
      </c>
      <c r="AA24" s="1933">
        <v>10</v>
      </c>
      <c r="AB24" s="1732">
        <v>10</v>
      </c>
      <c r="AC24" s="1732">
        <v>10</v>
      </c>
      <c r="AD24" s="1732">
        <v>10</v>
      </c>
      <c r="AE24" s="1732">
        <f t="shared" si="0"/>
        <v>10</v>
      </c>
      <c r="AF24" s="1670" t="s">
        <v>27</v>
      </c>
      <c r="AG24" s="1671">
        <f t="shared" si="1"/>
        <v>80</v>
      </c>
    </row>
    <row r="25" spans="1:33" ht="31.5" customHeight="1" x14ac:dyDescent="0.3">
      <c r="A25" s="1752">
        <v>16</v>
      </c>
      <c r="B25" s="1928">
        <v>5191421016</v>
      </c>
      <c r="C25" s="1809">
        <v>2</v>
      </c>
      <c r="D25" s="1663"/>
      <c r="E25" s="1762"/>
      <c r="F25" s="1662">
        <v>3</v>
      </c>
      <c r="G25" s="1697"/>
      <c r="H25" s="1684">
        <v>3</v>
      </c>
      <c r="I25" s="1667"/>
      <c r="J25" s="1666"/>
      <c r="K25" s="1665"/>
      <c r="L25" s="1666"/>
      <c r="M25" s="1665"/>
      <c r="N25" s="1930">
        <v>5</v>
      </c>
      <c r="O25" s="1662">
        <v>0</v>
      </c>
      <c r="P25" s="1663"/>
      <c r="Q25" s="1682"/>
      <c r="R25" s="1662">
        <v>4</v>
      </c>
      <c r="S25" s="1665"/>
      <c r="T25" s="1666">
        <v>4</v>
      </c>
      <c r="U25" s="1779"/>
      <c r="V25" s="1666"/>
      <c r="W25" s="1779"/>
      <c r="X25" s="1666"/>
      <c r="Y25" s="1774">
        <v>4</v>
      </c>
      <c r="Z25" s="1932">
        <v>8</v>
      </c>
      <c r="AA25" s="1933">
        <v>8</v>
      </c>
      <c r="AB25" s="1732">
        <v>7</v>
      </c>
      <c r="AC25" s="1732">
        <v>8</v>
      </c>
      <c r="AD25" s="1732">
        <v>9</v>
      </c>
      <c r="AE25" s="1732">
        <f t="shared" si="0"/>
        <v>8</v>
      </c>
      <c r="AF25" s="1670" t="s">
        <v>31</v>
      </c>
      <c r="AG25" s="1671">
        <f t="shared" si="1"/>
        <v>55</v>
      </c>
    </row>
    <row r="26" spans="1:33" ht="31.5" customHeight="1" x14ac:dyDescent="0.3">
      <c r="A26" s="1752">
        <v>17</v>
      </c>
      <c r="B26" s="1928">
        <v>5191421017</v>
      </c>
      <c r="C26" s="1809">
        <v>2</v>
      </c>
      <c r="D26" s="1663">
        <v>1</v>
      </c>
      <c r="E26" s="1762"/>
      <c r="F26" s="1662">
        <v>6</v>
      </c>
      <c r="G26" s="1665">
        <v>4</v>
      </c>
      <c r="H26" s="1666"/>
      <c r="I26" s="1667"/>
      <c r="J26" s="1666">
        <v>5</v>
      </c>
      <c r="K26" s="1665">
        <v>5</v>
      </c>
      <c r="L26" s="1666"/>
      <c r="M26" s="1665"/>
      <c r="N26" s="1930">
        <v>23</v>
      </c>
      <c r="O26" s="1662">
        <v>2</v>
      </c>
      <c r="P26" s="1663">
        <v>2</v>
      </c>
      <c r="Q26" s="1682">
        <v>1</v>
      </c>
      <c r="R26" s="1662">
        <v>5</v>
      </c>
      <c r="S26" s="1665">
        <v>6</v>
      </c>
      <c r="T26" s="1666"/>
      <c r="U26" s="1779"/>
      <c r="V26" s="1666">
        <v>2</v>
      </c>
      <c r="W26" s="1779">
        <v>4</v>
      </c>
      <c r="X26" s="1666"/>
      <c r="Y26" s="1774"/>
      <c r="Z26" s="1932">
        <v>22</v>
      </c>
      <c r="AA26" s="1933">
        <v>10</v>
      </c>
      <c r="AB26" s="1732">
        <v>8</v>
      </c>
      <c r="AC26" s="1732">
        <v>8</v>
      </c>
      <c r="AD26" s="1732">
        <v>10</v>
      </c>
      <c r="AE26" s="1732">
        <f t="shared" si="0"/>
        <v>9</v>
      </c>
      <c r="AF26" s="1670" t="s">
        <v>30</v>
      </c>
      <c r="AG26" s="1671">
        <f t="shared" si="1"/>
        <v>90</v>
      </c>
    </row>
    <row r="27" spans="1:33" ht="31.5" customHeight="1" x14ac:dyDescent="0.3">
      <c r="A27" s="1752">
        <v>18</v>
      </c>
      <c r="B27" s="1928">
        <v>5191421018</v>
      </c>
      <c r="C27" s="1811"/>
      <c r="D27" s="1663"/>
      <c r="E27" s="1762"/>
      <c r="F27" s="1662"/>
      <c r="G27" s="1665"/>
      <c r="H27" s="1666">
        <v>2</v>
      </c>
      <c r="I27" s="1667"/>
      <c r="J27" s="1666"/>
      <c r="K27" s="1665"/>
      <c r="L27" s="1666"/>
      <c r="M27" s="1665"/>
      <c r="N27" s="1930">
        <v>2</v>
      </c>
      <c r="O27" s="1662"/>
      <c r="P27" s="1663">
        <v>2</v>
      </c>
      <c r="Q27" s="1682"/>
      <c r="R27" s="1662">
        <v>4</v>
      </c>
      <c r="S27" s="1665">
        <v>2</v>
      </c>
      <c r="T27" s="1666">
        <v>1</v>
      </c>
      <c r="U27" s="1779"/>
      <c r="V27" s="1666"/>
      <c r="W27" s="1779"/>
      <c r="X27" s="1666">
        <v>2</v>
      </c>
      <c r="Y27" s="1774"/>
      <c r="Z27" s="1932">
        <v>10</v>
      </c>
      <c r="AA27" s="1933">
        <v>10</v>
      </c>
      <c r="AB27" s="1732">
        <v>6</v>
      </c>
      <c r="AC27" s="1732">
        <v>6</v>
      </c>
      <c r="AD27" s="1732">
        <v>6</v>
      </c>
      <c r="AE27" s="1732">
        <f t="shared" si="0"/>
        <v>7</v>
      </c>
      <c r="AF27" s="1670" t="s">
        <v>31</v>
      </c>
      <c r="AG27" s="1671">
        <f t="shared" si="1"/>
        <v>55</v>
      </c>
    </row>
    <row r="28" spans="1:33" ht="31.5" customHeight="1" x14ac:dyDescent="0.3">
      <c r="A28" s="1752">
        <v>19</v>
      </c>
      <c r="B28" s="1928">
        <v>5191421019</v>
      </c>
      <c r="C28" s="1809">
        <v>2</v>
      </c>
      <c r="D28" s="1671">
        <v>2</v>
      </c>
      <c r="E28" s="1779">
        <v>1</v>
      </c>
      <c r="F28" s="1666"/>
      <c r="G28" s="1665"/>
      <c r="H28" s="1666">
        <v>6</v>
      </c>
      <c r="I28" s="1667">
        <v>6</v>
      </c>
      <c r="J28" s="1666">
        <v>6</v>
      </c>
      <c r="K28" s="1665">
        <v>6</v>
      </c>
      <c r="L28" s="1666"/>
      <c r="M28" s="1665"/>
      <c r="N28" s="1930">
        <v>29</v>
      </c>
      <c r="O28" s="1662">
        <v>2</v>
      </c>
      <c r="P28" s="1671">
        <v>2</v>
      </c>
      <c r="Q28" s="1665">
        <v>2</v>
      </c>
      <c r="R28" s="1666">
        <v>6</v>
      </c>
      <c r="S28" s="1665">
        <v>6</v>
      </c>
      <c r="T28" s="1666"/>
      <c r="U28" s="1779"/>
      <c r="V28" s="1666">
        <v>6</v>
      </c>
      <c r="W28" s="1779">
        <v>6</v>
      </c>
      <c r="X28" s="1666"/>
      <c r="Y28" s="1774"/>
      <c r="Z28" s="1932">
        <v>30</v>
      </c>
      <c r="AA28" s="1933">
        <v>10</v>
      </c>
      <c r="AB28" s="1732">
        <v>10</v>
      </c>
      <c r="AC28" s="1732">
        <v>10</v>
      </c>
      <c r="AD28" s="1732">
        <v>10</v>
      </c>
      <c r="AE28" s="1732">
        <f t="shared" si="0"/>
        <v>10</v>
      </c>
      <c r="AF28" s="1670" t="s">
        <v>82</v>
      </c>
      <c r="AG28" s="1671">
        <f t="shared" si="1"/>
        <v>100</v>
      </c>
    </row>
    <row r="29" spans="1:33" ht="31.5" customHeight="1" x14ac:dyDescent="0.3">
      <c r="A29" s="1752">
        <v>20</v>
      </c>
      <c r="B29" s="1928">
        <v>5191421020</v>
      </c>
      <c r="C29" s="1764">
        <v>2</v>
      </c>
      <c r="D29" s="1671">
        <v>2</v>
      </c>
      <c r="E29" s="1779">
        <v>2</v>
      </c>
      <c r="F29" s="1666"/>
      <c r="G29" s="1665"/>
      <c r="H29" s="1666">
        <v>6</v>
      </c>
      <c r="I29" s="1667">
        <v>6</v>
      </c>
      <c r="J29" s="1666">
        <v>6</v>
      </c>
      <c r="K29" s="1665">
        <v>4</v>
      </c>
      <c r="L29" s="1666"/>
      <c r="M29" s="1665"/>
      <c r="N29" s="1930">
        <v>28</v>
      </c>
      <c r="O29" s="1666">
        <v>2</v>
      </c>
      <c r="P29" s="1671">
        <v>2</v>
      </c>
      <c r="Q29" s="1665">
        <v>2</v>
      </c>
      <c r="R29" s="1666"/>
      <c r="S29" s="1665"/>
      <c r="T29" s="1666">
        <v>4</v>
      </c>
      <c r="U29" s="1779">
        <v>6</v>
      </c>
      <c r="V29" s="1666">
        <v>6</v>
      </c>
      <c r="W29" s="1779">
        <v>4</v>
      </c>
      <c r="X29" s="1666"/>
      <c r="Y29" s="1774"/>
      <c r="Z29" s="1932">
        <v>26</v>
      </c>
      <c r="AA29" s="1933">
        <v>10</v>
      </c>
      <c r="AB29" s="1732">
        <v>10</v>
      </c>
      <c r="AC29" s="1732">
        <v>10</v>
      </c>
      <c r="AD29" s="1732">
        <v>10</v>
      </c>
      <c r="AE29" s="1732">
        <f t="shared" si="0"/>
        <v>10</v>
      </c>
      <c r="AF29" s="1670" t="s">
        <v>30</v>
      </c>
      <c r="AG29" s="1671">
        <f t="shared" si="1"/>
        <v>90</v>
      </c>
    </row>
    <row r="30" spans="1:33" ht="31.5" customHeight="1" x14ac:dyDescent="0.3">
      <c r="A30" s="1752">
        <v>21</v>
      </c>
      <c r="B30" s="1928">
        <v>5191421021</v>
      </c>
      <c r="C30" s="1809">
        <v>2</v>
      </c>
      <c r="D30" s="1671"/>
      <c r="E30" s="1779"/>
      <c r="F30" s="1666">
        <v>6</v>
      </c>
      <c r="G30" s="1665">
        <v>5</v>
      </c>
      <c r="H30" s="1666"/>
      <c r="I30" s="1667"/>
      <c r="J30" s="1666">
        <v>5</v>
      </c>
      <c r="K30" s="1665">
        <v>4</v>
      </c>
      <c r="L30" s="1666"/>
      <c r="M30" s="1665"/>
      <c r="N30" s="1930">
        <v>22</v>
      </c>
      <c r="O30" s="1662">
        <v>1</v>
      </c>
      <c r="P30" s="1671"/>
      <c r="Q30" s="1665">
        <v>1</v>
      </c>
      <c r="R30" s="1666">
        <v>4</v>
      </c>
      <c r="S30" s="1665">
        <v>2</v>
      </c>
      <c r="T30" s="1666"/>
      <c r="U30" s="1779"/>
      <c r="V30" s="1666"/>
      <c r="W30" s="1779"/>
      <c r="X30" s="1666">
        <v>6</v>
      </c>
      <c r="Y30" s="1774">
        <v>5</v>
      </c>
      <c r="Z30" s="1932">
        <v>21</v>
      </c>
      <c r="AA30" s="1933">
        <v>10</v>
      </c>
      <c r="AB30" s="1732">
        <v>10</v>
      </c>
      <c r="AC30" s="1732">
        <v>10</v>
      </c>
      <c r="AD30" s="1732">
        <v>10</v>
      </c>
      <c r="AE30" s="1732">
        <f t="shared" si="0"/>
        <v>10</v>
      </c>
      <c r="AF30" s="1670" t="s">
        <v>27</v>
      </c>
      <c r="AG30" s="1671">
        <f t="shared" si="1"/>
        <v>80</v>
      </c>
    </row>
    <row r="31" spans="1:33" ht="31.5" customHeight="1" x14ac:dyDescent="0.3">
      <c r="A31" s="1752">
        <v>22</v>
      </c>
      <c r="B31" s="1928">
        <v>5191421022</v>
      </c>
      <c r="C31" s="1817">
        <v>2</v>
      </c>
      <c r="D31" s="1654">
        <v>0</v>
      </c>
      <c r="E31" s="1797"/>
      <c r="F31" s="1656">
        <v>3</v>
      </c>
      <c r="G31" s="1655">
        <v>4</v>
      </c>
      <c r="H31" s="1656"/>
      <c r="I31" s="1655"/>
      <c r="J31" s="1656">
        <v>2</v>
      </c>
      <c r="K31" s="1655"/>
      <c r="L31" s="1666"/>
      <c r="M31" s="1665"/>
      <c r="N31" s="1930">
        <v>11</v>
      </c>
      <c r="O31" s="1662"/>
      <c r="P31" s="1671">
        <v>2</v>
      </c>
      <c r="Q31" s="1665">
        <v>1</v>
      </c>
      <c r="R31" s="1666">
        <v>4</v>
      </c>
      <c r="S31" s="1665">
        <v>4</v>
      </c>
      <c r="T31" s="1666"/>
      <c r="U31" s="1779"/>
      <c r="V31" s="1666"/>
      <c r="W31" s="1779">
        <v>3</v>
      </c>
      <c r="X31" s="1666"/>
      <c r="Y31" s="1774"/>
      <c r="Z31" s="1932">
        <v>14</v>
      </c>
      <c r="AA31" s="1933">
        <v>8</v>
      </c>
      <c r="AB31" s="1732">
        <v>9</v>
      </c>
      <c r="AC31" s="1732">
        <v>8</v>
      </c>
      <c r="AD31" s="1732">
        <v>7</v>
      </c>
      <c r="AE31" s="1732">
        <f t="shared" si="0"/>
        <v>8</v>
      </c>
      <c r="AF31" s="1670" t="s">
        <v>27</v>
      </c>
      <c r="AG31" s="1671">
        <f t="shared" si="1"/>
        <v>80</v>
      </c>
    </row>
    <row r="32" spans="1:33" ht="31.5" customHeight="1" x14ac:dyDescent="0.3">
      <c r="A32" s="1752">
        <v>23</v>
      </c>
      <c r="B32" s="1928">
        <v>5191421023</v>
      </c>
      <c r="C32" s="1809">
        <v>2</v>
      </c>
      <c r="D32" s="1671">
        <v>1</v>
      </c>
      <c r="E32" s="1779"/>
      <c r="F32" s="1666"/>
      <c r="G32" s="1665"/>
      <c r="H32" s="1666">
        <v>4</v>
      </c>
      <c r="I32" s="1667">
        <v>3</v>
      </c>
      <c r="J32" s="1666">
        <v>4</v>
      </c>
      <c r="K32" s="1665"/>
      <c r="L32" s="1666"/>
      <c r="M32" s="1665"/>
      <c r="N32" s="1930">
        <v>14</v>
      </c>
      <c r="O32" s="1662"/>
      <c r="P32" s="1671">
        <v>2</v>
      </c>
      <c r="Q32" s="1665"/>
      <c r="R32" s="1666">
        <v>6</v>
      </c>
      <c r="S32" s="1665">
        <v>6</v>
      </c>
      <c r="T32" s="1666"/>
      <c r="U32" s="1779"/>
      <c r="V32" s="1666"/>
      <c r="W32" s="1779"/>
      <c r="X32" s="1666"/>
      <c r="Y32" s="1774">
        <v>5</v>
      </c>
      <c r="Z32" s="1932">
        <v>19</v>
      </c>
      <c r="AA32" s="1933">
        <v>8</v>
      </c>
      <c r="AB32" s="1732">
        <v>8</v>
      </c>
      <c r="AC32" s="1732">
        <v>8</v>
      </c>
      <c r="AD32" s="1732">
        <v>8</v>
      </c>
      <c r="AE32" s="1732">
        <f t="shared" si="0"/>
        <v>8</v>
      </c>
      <c r="AF32" s="1670" t="s">
        <v>27</v>
      </c>
      <c r="AG32" s="1671">
        <f t="shared" si="1"/>
        <v>80</v>
      </c>
    </row>
    <row r="33" spans="1:33" ht="31.5" customHeight="1" x14ac:dyDescent="0.3">
      <c r="A33" s="1752">
        <v>24</v>
      </c>
      <c r="B33" s="1928">
        <v>5191421024</v>
      </c>
      <c r="C33" s="1809">
        <v>1</v>
      </c>
      <c r="D33" s="1671">
        <v>1</v>
      </c>
      <c r="E33" s="1779"/>
      <c r="F33" s="1666"/>
      <c r="G33" s="1665"/>
      <c r="H33" s="1666">
        <v>2</v>
      </c>
      <c r="I33" s="1667"/>
      <c r="J33" s="1666"/>
      <c r="K33" s="1665"/>
      <c r="L33" s="1666"/>
      <c r="M33" s="1665"/>
      <c r="N33" s="1930">
        <v>4</v>
      </c>
      <c r="O33" s="1662">
        <v>2</v>
      </c>
      <c r="P33" s="1671">
        <v>2</v>
      </c>
      <c r="Q33" s="1665">
        <v>2</v>
      </c>
      <c r="R33" s="1666">
        <v>4</v>
      </c>
      <c r="S33" s="1665">
        <v>1</v>
      </c>
      <c r="T33" s="1666"/>
      <c r="U33" s="1779"/>
      <c r="V33" s="1666">
        <v>4</v>
      </c>
      <c r="W33" s="1779">
        <v>5</v>
      </c>
      <c r="X33" s="1666"/>
      <c r="Y33" s="1774"/>
      <c r="Z33" s="1932">
        <v>20</v>
      </c>
      <c r="AA33" s="1933">
        <v>8</v>
      </c>
      <c r="AB33" s="1732">
        <v>7</v>
      </c>
      <c r="AC33" s="1732">
        <v>6</v>
      </c>
      <c r="AD33" s="1732">
        <v>7</v>
      </c>
      <c r="AE33" s="1732">
        <f t="shared" si="0"/>
        <v>7</v>
      </c>
      <c r="AF33" s="1670" t="s">
        <v>31</v>
      </c>
      <c r="AG33" s="1671">
        <f t="shared" si="1"/>
        <v>55</v>
      </c>
    </row>
    <row r="34" spans="1:33" ht="31.5" customHeight="1" x14ac:dyDescent="0.3">
      <c r="A34" s="1752">
        <v>25</v>
      </c>
      <c r="B34" s="1928">
        <v>5191421025</v>
      </c>
      <c r="C34" s="1809">
        <v>2</v>
      </c>
      <c r="D34" s="1671">
        <v>2</v>
      </c>
      <c r="E34" s="1779">
        <v>2</v>
      </c>
      <c r="F34" s="1666"/>
      <c r="G34" s="1665"/>
      <c r="H34" s="1666">
        <v>6</v>
      </c>
      <c r="I34" s="1667">
        <v>3</v>
      </c>
      <c r="J34" s="1666"/>
      <c r="K34" s="1665"/>
      <c r="L34" s="1666">
        <v>6</v>
      </c>
      <c r="M34" s="1665">
        <v>6</v>
      </c>
      <c r="N34" s="1930">
        <v>27</v>
      </c>
      <c r="O34" s="1662">
        <v>1</v>
      </c>
      <c r="P34" s="1671">
        <v>2</v>
      </c>
      <c r="Q34" s="1665">
        <v>2</v>
      </c>
      <c r="R34" s="1666">
        <v>6</v>
      </c>
      <c r="S34" s="1665">
        <v>6</v>
      </c>
      <c r="T34" s="1666"/>
      <c r="U34" s="1779"/>
      <c r="V34" s="1666">
        <v>6</v>
      </c>
      <c r="W34" s="1779">
        <v>5</v>
      </c>
      <c r="X34" s="1666"/>
      <c r="Y34" s="1774"/>
      <c r="Z34" s="1932">
        <v>28</v>
      </c>
      <c r="AA34" s="1933">
        <v>10</v>
      </c>
      <c r="AB34" s="1732">
        <v>10</v>
      </c>
      <c r="AC34" s="1732">
        <v>10</v>
      </c>
      <c r="AD34" s="1732">
        <v>10</v>
      </c>
      <c r="AE34" s="1732">
        <f t="shared" si="0"/>
        <v>10</v>
      </c>
      <c r="AF34" s="1670" t="s">
        <v>82</v>
      </c>
      <c r="AG34" s="1671">
        <f t="shared" si="1"/>
        <v>100</v>
      </c>
    </row>
    <row r="35" spans="1:33" ht="31.5" customHeight="1" x14ac:dyDescent="0.3">
      <c r="A35" s="1752">
        <v>26</v>
      </c>
      <c r="B35" s="1928">
        <v>5191421026</v>
      </c>
      <c r="C35" s="1809">
        <v>2</v>
      </c>
      <c r="D35" s="1671">
        <v>2</v>
      </c>
      <c r="E35" s="1779">
        <v>1</v>
      </c>
      <c r="F35" s="1666"/>
      <c r="G35" s="1665"/>
      <c r="H35" s="1666">
        <v>2</v>
      </c>
      <c r="I35" s="1667">
        <v>6</v>
      </c>
      <c r="J35" s="1666">
        <v>6</v>
      </c>
      <c r="K35" s="1665">
        <v>1</v>
      </c>
      <c r="L35" s="1666"/>
      <c r="M35" s="1665"/>
      <c r="N35" s="1930">
        <v>20</v>
      </c>
      <c r="O35" s="1662">
        <v>1</v>
      </c>
      <c r="P35" s="1671">
        <v>2</v>
      </c>
      <c r="Q35" s="1665">
        <v>2</v>
      </c>
      <c r="R35" s="1666"/>
      <c r="S35" s="1665"/>
      <c r="T35" s="1666">
        <v>6</v>
      </c>
      <c r="U35" s="1779">
        <v>4</v>
      </c>
      <c r="V35" s="1666"/>
      <c r="W35" s="1779">
        <v>3</v>
      </c>
      <c r="X35" s="1666"/>
      <c r="Y35" s="1774"/>
      <c r="Z35" s="1932">
        <v>18</v>
      </c>
      <c r="AA35" s="1933">
        <v>9</v>
      </c>
      <c r="AB35" s="1732">
        <v>10</v>
      </c>
      <c r="AC35" s="1732">
        <v>9</v>
      </c>
      <c r="AD35" s="1732">
        <v>8</v>
      </c>
      <c r="AE35" s="1732">
        <f t="shared" si="0"/>
        <v>9</v>
      </c>
      <c r="AF35" s="1670" t="s">
        <v>27</v>
      </c>
      <c r="AG35" s="1671">
        <f t="shared" si="1"/>
        <v>80</v>
      </c>
    </row>
    <row r="36" spans="1:33" ht="31.5" customHeight="1" x14ac:dyDescent="0.3">
      <c r="A36" s="1752">
        <v>27</v>
      </c>
      <c r="B36" s="1928">
        <v>5191421027</v>
      </c>
      <c r="C36" s="1809">
        <v>2</v>
      </c>
      <c r="D36" s="1671">
        <v>2</v>
      </c>
      <c r="E36" s="1779">
        <v>2</v>
      </c>
      <c r="F36" s="1666"/>
      <c r="G36" s="1665"/>
      <c r="H36" s="1666">
        <v>6</v>
      </c>
      <c r="I36" s="1667">
        <v>6</v>
      </c>
      <c r="J36" s="1666">
        <v>3</v>
      </c>
      <c r="K36" s="1665">
        <v>6</v>
      </c>
      <c r="L36" s="1666"/>
      <c r="M36" s="1665"/>
      <c r="N36" s="1930">
        <v>27</v>
      </c>
      <c r="O36" s="1662">
        <v>1</v>
      </c>
      <c r="P36" s="1671">
        <v>2</v>
      </c>
      <c r="Q36" s="1665">
        <v>2</v>
      </c>
      <c r="R36" s="1666">
        <v>6</v>
      </c>
      <c r="S36" s="1665">
        <v>2</v>
      </c>
      <c r="T36" s="1666"/>
      <c r="U36" s="1779"/>
      <c r="V36" s="1666"/>
      <c r="W36" s="1779"/>
      <c r="X36" s="1666">
        <v>6</v>
      </c>
      <c r="Y36" s="1774">
        <v>6</v>
      </c>
      <c r="Z36" s="1932">
        <v>25</v>
      </c>
      <c r="AA36" s="1933">
        <v>10</v>
      </c>
      <c r="AB36" s="1732">
        <v>9</v>
      </c>
      <c r="AC36" s="1732">
        <v>9</v>
      </c>
      <c r="AD36" s="1732">
        <v>8</v>
      </c>
      <c r="AE36" s="1732">
        <f t="shared" si="0"/>
        <v>9</v>
      </c>
      <c r="AF36" s="1670" t="s">
        <v>27</v>
      </c>
      <c r="AG36" s="1671">
        <f t="shared" si="1"/>
        <v>80</v>
      </c>
    </row>
    <row r="37" spans="1:33" ht="31.5" customHeight="1" x14ac:dyDescent="0.3">
      <c r="A37" s="1752">
        <v>28</v>
      </c>
      <c r="B37" s="1928">
        <v>5191421028</v>
      </c>
      <c r="C37" s="1809">
        <v>2</v>
      </c>
      <c r="D37" s="1671">
        <v>1</v>
      </c>
      <c r="E37" s="1779">
        <v>0</v>
      </c>
      <c r="F37" s="1666">
        <v>6</v>
      </c>
      <c r="G37" s="1665">
        <v>6</v>
      </c>
      <c r="H37" s="1666"/>
      <c r="I37" s="1667"/>
      <c r="J37" s="1666">
        <v>5</v>
      </c>
      <c r="K37" s="1665">
        <v>2</v>
      </c>
      <c r="L37" s="1666"/>
      <c r="M37" s="1665"/>
      <c r="N37" s="1930">
        <v>22</v>
      </c>
      <c r="O37" s="1662">
        <v>2</v>
      </c>
      <c r="P37" s="1671">
        <v>2</v>
      </c>
      <c r="Q37" s="1665">
        <v>0</v>
      </c>
      <c r="R37" s="1666"/>
      <c r="S37" s="1665"/>
      <c r="T37" s="1666">
        <v>5</v>
      </c>
      <c r="U37" s="1779">
        <v>5</v>
      </c>
      <c r="V37" s="1666"/>
      <c r="W37" s="1779"/>
      <c r="X37" s="1666"/>
      <c r="Y37" s="1774">
        <v>3</v>
      </c>
      <c r="Z37" s="1932">
        <v>17</v>
      </c>
      <c r="AA37" s="1933">
        <v>9</v>
      </c>
      <c r="AB37" s="1732">
        <v>10</v>
      </c>
      <c r="AC37" s="1732">
        <v>9</v>
      </c>
      <c r="AD37" s="1732">
        <v>8</v>
      </c>
      <c r="AE37" s="1732">
        <f t="shared" si="0"/>
        <v>9</v>
      </c>
      <c r="AF37" s="1703" t="s">
        <v>30</v>
      </c>
      <c r="AG37" s="1671">
        <f t="shared" si="1"/>
        <v>90</v>
      </c>
    </row>
    <row r="38" spans="1:33" ht="31.5" customHeight="1" x14ac:dyDescent="0.3">
      <c r="A38" s="1752">
        <v>29</v>
      </c>
      <c r="B38" s="1928">
        <v>5191421029</v>
      </c>
      <c r="C38" s="1809">
        <v>2</v>
      </c>
      <c r="D38" s="1671">
        <v>1</v>
      </c>
      <c r="E38" s="1779">
        <v>1</v>
      </c>
      <c r="F38" s="1666"/>
      <c r="G38" s="1665"/>
      <c r="H38" s="1666">
        <v>5</v>
      </c>
      <c r="I38" s="1667">
        <v>3</v>
      </c>
      <c r="J38" s="1666">
        <v>5</v>
      </c>
      <c r="K38" s="1665">
        <v>2</v>
      </c>
      <c r="L38" s="1666"/>
      <c r="M38" s="1665"/>
      <c r="N38" s="1930">
        <v>19</v>
      </c>
      <c r="O38" s="1662">
        <v>2</v>
      </c>
      <c r="P38" s="1671">
        <v>0</v>
      </c>
      <c r="Q38" s="1665">
        <v>2</v>
      </c>
      <c r="R38" s="1666"/>
      <c r="S38" s="1665"/>
      <c r="T38" s="1666">
        <v>5</v>
      </c>
      <c r="U38" s="1779">
        <v>6</v>
      </c>
      <c r="V38" s="1666">
        <v>6</v>
      </c>
      <c r="W38" s="1779">
        <v>6</v>
      </c>
      <c r="X38" s="1666"/>
      <c r="Y38" s="1774"/>
      <c r="Z38" s="1932">
        <v>27</v>
      </c>
      <c r="AA38" s="1933">
        <v>10</v>
      </c>
      <c r="AB38" s="1732">
        <v>10</v>
      </c>
      <c r="AC38" s="1732">
        <v>10</v>
      </c>
      <c r="AD38" s="1732">
        <v>10</v>
      </c>
      <c r="AE38" s="1732">
        <f t="shared" si="0"/>
        <v>10</v>
      </c>
      <c r="AF38" s="1670" t="s">
        <v>30</v>
      </c>
      <c r="AG38" s="1671">
        <f t="shared" si="1"/>
        <v>90</v>
      </c>
    </row>
    <row r="39" spans="1:33" ht="31.5" customHeight="1" x14ac:dyDescent="0.3">
      <c r="A39" s="1752">
        <v>30</v>
      </c>
      <c r="B39" s="1928">
        <v>5191421030</v>
      </c>
      <c r="C39" s="1811">
        <v>2</v>
      </c>
      <c r="D39" s="1671"/>
      <c r="E39" s="1779"/>
      <c r="F39" s="1666">
        <v>2</v>
      </c>
      <c r="G39" s="1665">
        <v>1</v>
      </c>
      <c r="H39" s="1666"/>
      <c r="I39" s="1667"/>
      <c r="J39" s="1666"/>
      <c r="K39" s="1665"/>
      <c r="L39" s="1666"/>
      <c r="M39" s="1665"/>
      <c r="N39" s="1930">
        <v>5</v>
      </c>
      <c r="O39" s="1662">
        <v>2</v>
      </c>
      <c r="P39" s="1671">
        <v>2</v>
      </c>
      <c r="Q39" s="1665"/>
      <c r="R39" s="1666"/>
      <c r="S39" s="1665">
        <v>3</v>
      </c>
      <c r="T39" s="1666"/>
      <c r="U39" s="1779"/>
      <c r="V39" s="1666">
        <v>3</v>
      </c>
      <c r="W39" s="1779"/>
      <c r="X39" s="1666"/>
      <c r="Y39" s="1774"/>
      <c r="Z39" s="1932">
        <v>10</v>
      </c>
      <c r="AA39" s="1933">
        <v>8</v>
      </c>
      <c r="AB39" s="1732">
        <v>6</v>
      </c>
      <c r="AC39" s="1732">
        <v>7</v>
      </c>
      <c r="AD39" s="1732">
        <v>7</v>
      </c>
      <c r="AE39" s="1732">
        <f t="shared" si="0"/>
        <v>7</v>
      </c>
      <c r="AF39" s="1670" t="s">
        <v>31</v>
      </c>
      <c r="AG39" s="1671">
        <f t="shared" si="1"/>
        <v>55</v>
      </c>
    </row>
    <row r="40" spans="1:33" ht="31.5" customHeight="1" x14ac:dyDescent="0.3">
      <c r="A40" s="1752">
        <v>31</v>
      </c>
      <c r="B40" s="1928">
        <v>5191421031</v>
      </c>
      <c r="C40" s="1764">
        <v>2</v>
      </c>
      <c r="D40" s="1671">
        <v>1</v>
      </c>
      <c r="E40" s="1779"/>
      <c r="F40" s="1666"/>
      <c r="G40" s="1665"/>
      <c r="H40" s="1666">
        <v>6</v>
      </c>
      <c r="I40" s="1667">
        <v>3</v>
      </c>
      <c r="J40" s="1666">
        <v>5</v>
      </c>
      <c r="K40" s="1665"/>
      <c r="L40" s="1666"/>
      <c r="M40" s="1665"/>
      <c r="N40" s="1930">
        <v>17</v>
      </c>
      <c r="O40" s="1662">
        <v>1</v>
      </c>
      <c r="P40" s="1671">
        <v>0</v>
      </c>
      <c r="Q40" s="1665"/>
      <c r="R40" s="1666"/>
      <c r="S40" s="1665"/>
      <c r="T40" s="1666">
        <v>5</v>
      </c>
      <c r="U40" s="1779">
        <v>5</v>
      </c>
      <c r="V40" s="1666">
        <v>6</v>
      </c>
      <c r="W40" s="1779">
        <v>4</v>
      </c>
      <c r="X40" s="1666"/>
      <c r="Y40" s="1774"/>
      <c r="Z40" s="1932">
        <v>21</v>
      </c>
      <c r="AA40" s="1933">
        <v>10</v>
      </c>
      <c r="AB40" s="1732">
        <v>10</v>
      </c>
      <c r="AC40" s="1732">
        <v>10</v>
      </c>
      <c r="AD40" s="1732">
        <v>10</v>
      </c>
      <c r="AE40" s="1732">
        <f t="shared" si="0"/>
        <v>10</v>
      </c>
      <c r="AF40" s="1670" t="s">
        <v>27</v>
      </c>
      <c r="AG40" s="1671">
        <f t="shared" si="1"/>
        <v>80</v>
      </c>
    </row>
    <row r="41" spans="1:33" ht="31.5" customHeight="1" x14ac:dyDescent="0.3">
      <c r="A41" s="1752">
        <v>32</v>
      </c>
      <c r="B41" s="1928">
        <v>5191421032</v>
      </c>
      <c r="C41" s="1817">
        <v>2</v>
      </c>
      <c r="D41" s="1654">
        <v>0</v>
      </c>
      <c r="E41" s="1797">
        <v>0</v>
      </c>
      <c r="F41" s="1656">
        <v>1</v>
      </c>
      <c r="G41" s="1655">
        <v>2</v>
      </c>
      <c r="H41" s="1656"/>
      <c r="I41" s="1655"/>
      <c r="J41" s="1656"/>
      <c r="K41" s="1655"/>
      <c r="L41" s="1666"/>
      <c r="M41" s="1665"/>
      <c r="N41" s="1930">
        <v>5</v>
      </c>
      <c r="O41" s="1666">
        <v>0</v>
      </c>
      <c r="P41" s="1671">
        <v>0</v>
      </c>
      <c r="Q41" s="1665">
        <v>0</v>
      </c>
      <c r="R41" s="1666">
        <v>2</v>
      </c>
      <c r="S41" s="1665">
        <v>2</v>
      </c>
      <c r="T41" s="1666"/>
      <c r="U41" s="1779"/>
      <c r="V41" s="1666"/>
      <c r="W41" s="1779"/>
      <c r="X41" s="1666">
        <v>3</v>
      </c>
      <c r="Y41" s="1774"/>
      <c r="Z41" s="1932">
        <v>7</v>
      </c>
      <c r="AA41" s="1933">
        <v>7</v>
      </c>
      <c r="AB41" s="1732">
        <v>8</v>
      </c>
      <c r="AC41" s="1732">
        <v>7</v>
      </c>
      <c r="AD41" s="1732">
        <v>6</v>
      </c>
      <c r="AE41" s="1732">
        <f t="shared" si="0"/>
        <v>7</v>
      </c>
      <c r="AF41" s="1670" t="s">
        <v>33</v>
      </c>
      <c r="AG41" s="1671">
        <f t="shared" si="1"/>
        <v>60</v>
      </c>
    </row>
    <row r="42" spans="1:33" ht="31.5" customHeight="1" x14ac:dyDescent="0.3">
      <c r="A42" s="1752">
        <v>33</v>
      </c>
      <c r="B42" s="1928">
        <v>5191421033</v>
      </c>
      <c r="C42" s="1809">
        <v>2</v>
      </c>
      <c r="D42" s="1671">
        <v>2</v>
      </c>
      <c r="E42" s="1779">
        <v>1</v>
      </c>
      <c r="F42" s="1666"/>
      <c r="G42" s="1665"/>
      <c r="H42" s="1666">
        <v>6</v>
      </c>
      <c r="I42" s="1667">
        <v>6</v>
      </c>
      <c r="J42" s="1666">
        <v>6</v>
      </c>
      <c r="K42" s="1665">
        <v>6</v>
      </c>
      <c r="L42" s="1666"/>
      <c r="M42" s="1665"/>
      <c r="N42" s="1930">
        <v>29</v>
      </c>
      <c r="O42" s="1666">
        <v>2</v>
      </c>
      <c r="P42" s="1671">
        <v>2</v>
      </c>
      <c r="Q42" s="1665"/>
      <c r="R42" s="1666"/>
      <c r="S42" s="1665"/>
      <c r="T42" s="1666"/>
      <c r="U42" s="1779">
        <v>6</v>
      </c>
      <c r="V42" s="1666"/>
      <c r="W42" s="1779"/>
      <c r="X42" s="1666">
        <v>6</v>
      </c>
      <c r="Y42" s="1774">
        <v>6</v>
      </c>
      <c r="Z42" s="1932">
        <v>22</v>
      </c>
      <c r="AA42" s="1933">
        <v>10</v>
      </c>
      <c r="AB42" s="1732">
        <v>10</v>
      </c>
      <c r="AC42" s="1732">
        <v>10</v>
      </c>
      <c r="AD42" s="1732">
        <v>10</v>
      </c>
      <c r="AE42" s="1732">
        <f t="shared" si="0"/>
        <v>10</v>
      </c>
      <c r="AF42" s="1695" t="s">
        <v>30</v>
      </c>
      <c r="AG42" s="1671">
        <f t="shared" si="1"/>
        <v>90</v>
      </c>
    </row>
    <row r="43" spans="1:33" ht="31.5" customHeight="1" x14ac:dyDescent="0.3">
      <c r="A43" s="1752">
        <v>34</v>
      </c>
      <c r="B43" s="1928">
        <v>5191421034</v>
      </c>
      <c r="C43" s="1809">
        <v>2</v>
      </c>
      <c r="D43" s="1671">
        <v>2</v>
      </c>
      <c r="E43" s="1779">
        <v>1</v>
      </c>
      <c r="F43" s="1666"/>
      <c r="G43" s="1665"/>
      <c r="H43" s="1666">
        <v>4</v>
      </c>
      <c r="I43" s="1667">
        <v>3</v>
      </c>
      <c r="J43" s="1666">
        <v>5</v>
      </c>
      <c r="K43" s="1665"/>
      <c r="L43" s="1666"/>
      <c r="M43" s="1665"/>
      <c r="N43" s="1930">
        <v>17</v>
      </c>
      <c r="O43" s="1662"/>
      <c r="P43" s="1671"/>
      <c r="Q43" s="1665">
        <v>2</v>
      </c>
      <c r="R43" s="1666"/>
      <c r="S43" s="1665"/>
      <c r="T43" s="1666"/>
      <c r="U43" s="1779">
        <v>6</v>
      </c>
      <c r="V43" s="1666">
        <v>6</v>
      </c>
      <c r="W43" s="1779">
        <v>6</v>
      </c>
      <c r="X43" s="1666"/>
      <c r="Y43" s="1774"/>
      <c r="Z43" s="1932">
        <v>20</v>
      </c>
      <c r="AA43" s="1933">
        <v>10</v>
      </c>
      <c r="AB43" s="1732">
        <v>10</v>
      </c>
      <c r="AC43" s="1732">
        <v>10</v>
      </c>
      <c r="AD43" s="1732">
        <v>10</v>
      </c>
      <c r="AE43" s="1732">
        <f t="shared" si="0"/>
        <v>10</v>
      </c>
      <c r="AF43" s="1670" t="s">
        <v>30</v>
      </c>
      <c r="AG43" s="1671">
        <f t="shared" si="1"/>
        <v>90</v>
      </c>
    </row>
    <row r="44" spans="1:33" ht="31.5" customHeight="1" x14ac:dyDescent="0.3">
      <c r="A44" s="1752">
        <v>35</v>
      </c>
      <c r="B44" s="1928">
        <v>5191421035</v>
      </c>
      <c r="C44" s="1809">
        <v>2</v>
      </c>
      <c r="D44" s="1671">
        <v>1</v>
      </c>
      <c r="E44" s="1779"/>
      <c r="F44" s="1666"/>
      <c r="G44" s="1665"/>
      <c r="H44" s="1666"/>
      <c r="I44" s="1667">
        <v>2</v>
      </c>
      <c r="J44" s="1666"/>
      <c r="K44" s="1665"/>
      <c r="L44" s="1666"/>
      <c r="M44" s="1665"/>
      <c r="N44" s="1930">
        <v>5</v>
      </c>
      <c r="O44" s="1662">
        <v>1</v>
      </c>
      <c r="P44" s="1671">
        <v>1</v>
      </c>
      <c r="Q44" s="1665"/>
      <c r="R44" s="1666"/>
      <c r="S44" s="1665">
        <v>3</v>
      </c>
      <c r="T44" s="1666"/>
      <c r="U44" s="1779"/>
      <c r="V44" s="1666"/>
      <c r="W44" s="1779"/>
      <c r="X44" s="1666">
        <v>6</v>
      </c>
      <c r="Y44" s="1774"/>
      <c r="Z44" s="1932">
        <v>11</v>
      </c>
      <c r="AA44" s="1933">
        <v>7</v>
      </c>
      <c r="AB44" s="1732">
        <v>8</v>
      </c>
      <c r="AC44" s="1732">
        <v>7</v>
      </c>
      <c r="AD44" s="1732">
        <v>6</v>
      </c>
      <c r="AE44" s="1732">
        <f t="shared" si="0"/>
        <v>7</v>
      </c>
      <c r="AF44" s="1670" t="s">
        <v>31</v>
      </c>
      <c r="AG44" s="1671">
        <f t="shared" si="1"/>
        <v>55</v>
      </c>
    </row>
    <row r="45" spans="1:33" ht="31.5" customHeight="1" x14ac:dyDescent="0.3">
      <c r="A45" s="1752">
        <v>36</v>
      </c>
      <c r="B45" s="1928">
        <v>5191421036</v>
      </c>
      <c r="C45" s="1809">
        <v>2</v>
      </c>
      <c r="D45" s="1671">
        <v>1</v>
      </c>
      <c r="E45" s="1779">
        <v>1</v>
      </c>
      <c r="F45" s="1666">
        <v>6</v>
      </c>
      <c r="G45" s="1665">
        <v>5</v>
      </c>
      <c r="H45" s="1666"/>
      <c r="I45" s="1667"/>
      <c r="J45" s="1666">
        <v>5</v>
      </c>
      <c r="K45" s="1665">
        <v>2</v>
      </c>
      <c r="L45" s="1666"/>
      <c r="M45" s="1665"/>
      <c r="N45" s="1930">
        <v>22</v>
      </c>
      <c r="O45" s="1662">
        <v>1</v>
      </c>
      <c r="P45" s="1671"/>
      <c r="Q45" s="1665"/>
      <c r="R45" s="1666"/>
      <c r="S45" s="1665"/>
      <c r="T45" s="1666"/>
      <c r="U45" s="1779">
        <v>5</v>
      </c>
      <c r="V45" s="1666"/>
      <c r="W45" s="1779"/>
      <c r="X45" s="1666">
        <v>6</v>
      </c>
      <c r="Y45" s="1774">
        <v>5</v>
      </c>
      <c r="Z45" s="1932">
        <v>17</v>
      </c>
      <c r="AA45" s="1933">
        <v>10</v>
      </c>
      <c r="AB45" s="1732">
        <v>10</v>
      </c>
      <c r="AC45" s="1732">
        <v>10</v>
      </c>
      <c r="AD45" s="1732">
        <v>10</v>
      </c>
      <c r="AE45" s="1732">
        <f t="shared" si="0"/>
        <v>10</v>
      </c>
      <c r="AF45" s="1670" t="s">
        <v>30</v>
      </c>
      <c r="AG45" s="1671">
        <f t="shared" si="1"/>
        <v>90</v>
      </c>
    </row>
    <row r="46" spans="1:33" ht="31.5" customHeight="1" x14ac:dyDescent="0.3">
      <c r="A46" s="1752">
        <v>37</v>
      </c>
      <c r="B46" s="1928">
        <v>5191421037</v>
      </c>
      <c r="C46" s="1809">
        <v>2</v>
      </c>
      <c r="D46" s="1671">
        <v>0</v>
      </c>
      <c r="E46" s="1779">
        <v>0</v>
      </c>
      <c r="F46" s="1666">
        <v>4</v>
      </c>
      <c r="G46" s="1665">
        <v>4</v>
      </c>
      <c r="H46" s="1666"/>
      <c r="I46" s="1667"/>
      <c r="J46" s="1666"/>
      <c r="K46" s="1665"/>
      <c r="L46" s="1666"/>
      <c r="M46" s="1665"/>
      <c r="N46" s="1930">
        <v>10</v>
      </c>
      <c r="O46" s="1662"/>
      <c r="P46" s="1671"/>
      <c r="Q46" s="1665"/>
      <c r="R46" s="1666">
        <v>5</v>
      </c>
      <c r="S46" s="1665">
        <v>2</v>
      </c>
      <c r="T46" s="1666"/>
      <c r="U46" s="1779"/>
      <c r="V46" s="1666"/>
      <c r="W46" s="1779"/>
      <c r="X46" s="1666"/>
      <c r="Y46" s="1774"/>
      <c r="Z46" s="1932">
        <v>7</v>
      </c>
      <c r="AA46" s="1933">
        <v>6</v>
      </c>
      <c r="AB46" s="1732">
        <v>8</v>
      </c>
      <c r="AC46" s="1732">
        <v>7</v>
      </c>
      <c r="AD46" s="1732">
        <v>7</v>
      </c>
      <c r="AE46" s="1732">
        <f t="shared" si="0"/>
        <v>7</v>
      </c>
      <c r="AF46" s="1695" t="s">
        <v>33</v>
      </c>
      <c r="AG46" s="1671">
        <f t="shared" si="1"/>
        <v>60</v>
      </c>
    </row>
    <row r="47" spans="1:33" ht="31.5" customHeight="1" x14ac:dyDescent="0.3">
      <c r="A47" s="1752">
        <v>38</v>
      </c>
      <c r="B47" s="1928">
        <v>5191421038</v>
      </c>
      <c r="C47" s="1809">
        <v>2</v>
      </c>
      <c r="D47" s="1671">
        <v>1</v>
      </c>
      <c r="E47" s="1779"/>
      <c r="F47" s="1666"/>
      <c r="G47" s="1665"/>
      <c r="H47" s="1666">
        <v>6</v>
      </c>
      <c r="I47" s="1667">
        <v>3</v>
      </c>
      <c r="J47" s="1666">
        <v>4</v>
      </c>
      <c r="K47" s="1665"/>
      <c r="L47" s="1666"/>
      <c r="M47" s="1665"/>
      <c r="N47" s="1930">
        <v>16</v>
      </c>
      <c r="O47" s="1662">
        <v>1</v>
      </c>
      <c r="P47" s="1671">
        <v>2</v>
      </c>
      <c r="Q47" s="1665"/>
      <c r="R47" s="1666"/>
      <c r="S47" s="1665"/>
      <c r="T47" s="1666">
        <v>6</v>
      </c>
      <c r="U47" s="1779">
        <v>5</v>
      </c>
      <c r="V47" s="1666">
        <v>6</v>
      </c>
      <c r="W47" s="1779"/>
      <c r="X47" s="1666"/>
      <c r="Y47" s="1774"/>
      <c r="Z47" s="1932">
        <v>20</v>
      </c>
      <c r="AA47" s="1933">
        <v>9</v>
      </c>
      <c r="AB47" s="1732">
        <v>10</v>
      </c>
      <c r="AC47" s="1732">
        <v>9</v>
      </c>
      <c r="AD47" s="1732">
        <v>8</v>
      </c>
      <c r="AE47" s="1732">
        <f t="shared" si="0"/>
        <v>9</v>
      </c>
      <c r="AF47" s="1670" t="s">
        <v>27</v>
      </c>
      <c r="AG47" s="1671">
        <f t="shared" si="1"/>
        <v>80</v>
      </c>
    </row>
    <row r="48" spans="1:33" ht="31.5" customHeight="1" x14ac:dyDescent="0.3">
      <c r="A48" s="1752">
        <v>39</v>
      </c>
      <c r="B48" s="1928">
        <v>5191421039</v>
      </c>
      <c r="C48" s="1809">
        <v>2</v>
      </c>
      <c r="D48" s="1671">
        <v>2</v>
      </c>
      <c r="E48" s="1779">
        <v>2</v>
      </c>
      <c r="F48" s="1666">
        <v>6</v>
      </c>
      <c r="G48" s="1665">
        <v>5</v>
      </c>
      <c r="H48" s="1666"/>
      <c r="I48" s="1667"/>
      <c r="J48" s="1666">
        <v>6</v>
      </c>
      <c r="K48" s="1665">
        <v>2</v>
      </c>
      <c r="L48" s="1666"/>
      <c r="M48" s="1665"/>
      <c r="N48" s="1941">
        <v>25</v>
      </c>
      <c r="O48" s="1662"/>
      <c r="P48" s="1671">
        <v>2</v>
      </c>
      <c r="Q48" s="1665">
        <v>2</v>
      </c>
      <c r="R48" s="1666"/>
      <c r="S48" s="1665"/>
      <c r="T48" s="1666"/>
      <c r="U48" s="1779">
        <v>5</v>
      </c>
      <c r="V48" s="1666"/>
      <c r="W48" s="1779"/>
      <c r="X48" s="1666">
        <v>6</v>
      </c>
      <c r="Y48" s="1774">
        <v>6</v>
      </c>
      <c r="Z48" s="1932">
        <v>21</v>
      </c>
      <c r="AA48" s="1933">
        <v>10</v>
      </c>
      <c r="AB48" s="1732">
        <v>8</v>
      </c>
      <c r="AC48" s="1732">
        <v>8</v>
      </c>
      <c r="AD48" s="1732">
        <v>10</v>
      </c>
      <c r="AE48" s="1732">
        <f t="shared" si="0"/>
        <v>9</v>
      </c>
      <c r="AF48" s="1670" t="s">
        <v>27</v>
      </c>
      <c r="AG48" s="1671">
        <f t="shared" si="1"/>
        <v>80</v>
      </c>
    </row>
    <row r="49" spans="1:33" ht="31.5" customHeight="1" x14ac:dyDescent="0.3">
      <c r="A49" s="1752">
        <v>40</v>
      </c>
      <c r="B49" s="1928">
        <v>5191421040</v>
      </c>
      <c r="C49" s="1811">
        <v>2</v>
      </c>
      <c r="D49" s="1671">
        <v>1</v>
      </c>
      <c r="E49" s="1779"/>
      <c r="F49" s="1666">
        <v>6</v>
      </c>
      <c r="G49" s="1665">
        <v>5</v>
      </c>
      <c r="H49" s="1666"/>
      <c r="I49" s="1667"/>
      <c r="J49" s="1666">
        <v>6</v>
      </c>
      <c r="K49" s="1665"/>
      <c r="L49" s="1666"/>
      <c r="M49" s="1665"/>
      <c r="N49" s="1930">
        <v>20</v>
      </c>
      <c r="O49" s="1662">
        <v>1</v>
      </c>
      <c r="P49" s="1671">
        <v>2</v>
      </c>
      <c r="Q49" s="1665">
        <v>0</v>
      </c>
      <c r="R49" s="1666"/>
      <c r="S49" s="1665"/>
      <c r="T49" s="1666">
        <v>6</v>
      </c>
      <c r="U49" s="1779">
        <v>5</v>
      </c>
      <c r="V49" s="1666">
        <v>6</v>
      </c>
      <c r="W49" s="1779">
        <v>4</v>
      </c>
      <c r="X49" s="1666"/>
      <c r="Y49" s="1774"/>
      <c r="Z49" s="1932">
        <v>24</v>
      </c>
      <c r="AA49" s="1933">
        <v>10</v>
      </c>
      <c r="AB49" s="1732">
        <v>9</v>
      </c>
      <c r="AC49" s="1732">
        <v>7</v>
      </c>
      <c r="AD49" s="1732">
        <v>10</v>
      </c>
      <c r="AE49" s="1732">
        <f t="shared" si="0"/>
        <v>9</v>
      </c>
      <c r="AF49" s="1670" t="s">
        <v>27</v>
      </c>
      <c r="AG49" s="1671">
        <f t="shared" si="1"/>
        <v>80</v>
      </c>
    </row>
    <row r="50" spans="1:33" ht="31.5" customHeight="1" x14ac:dyDescent="0.3">
      <c r="A50" s="1752">
        <v>41</v>
      </c>
      <c r="B50" s="1928">
        <v>5191421041</v>
      </c>
      <c r="C50" s="1809">
        <v>2</v>
      </c>
      <c r="D50" s="1671">
        <v>2</v>
      </c>
      <c r="E50" s="1779">
        <v>1</v>
      </c>
      <c r="F50" s="1666">
        <v>6</v>
      </c>
      <c r="G50" s="1665">
        <v>1</v>
      </c>
      <c r="H50" s="1666">
        <v>4</v>
      </c>
      <c r="I50" s="1667"/>
      <c r="J50" s="1666"/>
      <c r="K50" s="1665"/>
      <c r="L50" s="1666"/>
      <c r="M50" s="1665"/>
      <c r="N50" s="1930">
        <v>12</v>
      </c>
      <c r="O50" s="1662">
        <v>1</v>
      </c>
      <c r="P50" s="1671">
        <v>0</v>
      </c>
      <c r="Q50" s="1665">
        <v>1</v>
      </c>
      <c r="R50" s="1666">
        <v>3</v>
      </c>
      <c r="S50" s="1665"/>
      <c r="T50" s="1666">
        <v>2</v>
      </c>
      <c r="U50" s="1779">
        <v>5</v>
      </c>
      <c r="V50" s="1666">
        <v>5</v>
      </c>
      <c r="W50" s="1779">
        <v>5</v>
      </c>
      <c r="X50" s="1666"/>
      <c r="Y50" s="1774"/>
      <c r="Z50" s="1932">
        <v>19</v>
      </c>
      <c r="AA50" s="1933">
        <v>9</v>
      </c>
      <c r="AB50" s="1732">
        <v>10</v>
      </c>
      <c r="AC50" s="1732">
        <v>9</v>
      </c>
      <c r="AD50" s="1732">
        <v>8</v>
      </c>
      <c r="AE50" s="1732">
        <f t="shared" si="0"/>
        <v>9</v>
      </c>
      <c r="AF50" s="1670" t="s">
        <v>27</v>
      </c>
      <c r="AG50" s="1671">
        <f t="shared" si="1"/>
        <v>80</v>
      </c>
    </row>
    <row r="51" spans="1:33" ht="31.5" customHeight="1" x14ac:dyDescent="0.3">
      <c r="A51" s="1752">
        <v>42</v>
      </c>
      <c r="B51" s="1928">
        <v>5191421042</v>
      </c>
      <c r="C51" s="1809"/>
      <c r="D51" s="1671"/>
      <c r="E51" s="1779"/>
      <c r="F51" s="1666">
        <v>4</v>
      </c>
      <c r="G51" s="1665"/>
      <c r="H51" s="1666"/>
      <c r="I51" s="1667">
        <v>2</v>
      </c>
      <c r="J51" s="1666"/>
      <c r="K51" s="1665"/>
      <c r="L51" s="1666"/>
      <c r="M51" s="1665"/>
      <c r="N51" s="1930">
        <v>4</v>
      </c>
      <c r="O51" s="1662"/>
      <c r="P51" s="1671">
        <v>2</v>
      </c>
      <c r="Q51" s="1665"/>
      <c r="R51" s="1666"/>
      <c r="S51" s="1665"/>
      <c r="T51" s="1666"/>
      <c r="U51" s="1779">
        <v>5</v>
      </c>
      <c r="V51" s="1666"/>
      <c r="W51" s="1779"/>
      <c r="X51" s="1666"/>
      <c r="Y51" s="1774">
        <v>2</v>
      </c>
      <c r="Z51" s="1932">
        <v>9</v>
      </c>
      <c r="AA51" s="1933">
        <v>8</v>
      </c>
      <c r="AB51" s="1732">
        <v>7</v>
      </c>
      <c r="AC51" s="1732">
        <v>6</v>
      </c>
      <c r="AD51" s="1732">
        <v>7</v>
      </c>
      <c r="AE51" s="1732">
        <f t="shared" si="0"/>
        <v>7</v>
      </c>
      <c r="AF51" s="1695" t="s">
        <v>31</v>
      </c>
      <c r="AG51" s="1671">
        <f t="shared" si="1"/>
        <v>55</v>
      </c>
    </row>
    <row r="52" spans="1:33" ht="31.5" customHeight="1" x14ac:dyDescent="0.3">
      <c r="A52" s="1752">
        <v>43</v>
      </c>
      <c r="B52" s="1928">
        <v>5191421043</v>
      </c>
      <c r="C52" s="1809">
        <v>2</v>
      </c>
      <c r="D52" s="1671">
        <v>2</v>
      </c>
      <c r="E52" s="1779">
        <v>1</v>
      </c>
      <c r="F52" s="1666"/>
      <c r="G52" s="1665"/>
      <c r="H52" s="1666">
        <v>6</v>
      </c>
      <c r="I52" s="1667">
        <v>2</v>
      </c>
      <c r="J52" s="1666">
        <v>5</v>
      </c>
      <c r="K52" s="1665">
        <v>2</v>
      </c>
      <c r="L52" s="1666"/>
      <c r="M52" s="1665"/>
      <c r="N52" s="1930">
        <v>20</v>
      </c>
      <c r="O52" s="1662">
        <v>2</v>
      </c>
      <c r="P52" s="1671">
        <v>2</v>
      </c>
      <c r="Q52" s="1665">
        <v>1</v>
      </c>
      <c r="R52" s="1666">
        <v>6</v>
      </c>
      <c r="S52" s="1665">
        <v>6</v>
      </c>
      <c r="T52" s="1666"/>
      <c r="U52" s="1779"/>
      <c r="V52" s="1666">
        <v>6</v>
      </c>
      <c r="W52" s="1779">
        <v>2</v>
      </c>
      <c r="X52" s="1666"/>
      <c r="Y52" s="1774"/>
      <c r="Z52" s="1932">
        <v>25</v>
      </c>
      <c r="AA52" s="1933">
        <v>10</v>
      </c>
      <c r="AB52" s="1732">
        <v>10</v>
      </c>
      <c r="AC52" s="1732">
        <v>10</v>
      </c>
      <c r="AD52" s="1732">
        <v>10</v>
      </c>
      <c r="AE52" s="1732">
        <f t="shared" si="0"/>
        <v>10</v>
      </c>
      <c r="AF52" s="1670" t="s">
        <v>30</v>
      </c>
      <c r="AG52" s="1671">
        <f t="shared" si="1"/>
        <v>90</v>
      </c>
    </row>
    <row r="53" spans="1:33" ht="31.5" customHeight="1" x14ac:dyDescent="0.3">
      <c r="A53" s="1752">
        <v>44</v>
      </c>
      <c r="B53" s="1928">
        <v>5191421044</v>
      </c>
      <c r="C53" s="1809">
        <v>2</v>
      </c>
      <c r="D53" s="1671">
        <v>2</v>
      </c>
      <c r="E53" s="1779">
        <v>1</v>
      </c>
      <c r="F53" s="1666">
        <v>6</v>
      </c>
      <c r="G53" s="1665">
        <v>5</v>
      </c>
      <c r="H53" s="1666"/>
      <c r="I53" s="1667"/>
      <c r="J53" s="1666">
        <v>6</v>
      </c>
      <c r="K53" s="1665">
        <v>6</v>
      </c>
      <c r="L53" s="1666"/>
      <c r="M53" s="1665"/>
      <c r="N53" s="1930">
        <v>28</v>
      </c>
      <c r="O53" s="1662">
        <v>1</v>
      </c>
      <c r="P53" s="1671">
        <v>2</v>
      </c>
      <c r="Q53" s="1665">
        <v>2</v>
      </c>
      <c r="R53" s="1666">
        <v>6</v>
      </c>
      <c r="S53" s="1665">
        <v>6</v>
      </c>
      <c r="T53" s="1666"/>
      <c r="U53" s="1779"/>
      <c r="V53" s="1666">
        <v>5</v>
      </c>
      <c r="W53" s="1779">
        <v>5</v>
      </c>
      <c r="X53" s="1666"/>
      <c r="Y53" s="1774"/>
      <c r="Z53" s="1932">
        <v>27</v>
      </c>
      <c r="AA53" s="1933">
        <v>10</v>
      </c>
      <c r="AB53" s="1732">
        <v>10</v>
      </c>
      <c r="AC53" s="1732">
        <v>10</v>
      </c>
      <c r="AD53" s="1732">
        <v>10</v>
      </c>
      <c r="AE53" s="1732">
        <f t="shared" si="0"/>
        <v>10</v>
      </c>
      <c r="AF53" s="1670" t="s">
        <v>30</v>
      </c>
      <c r="AG53" s="1671">
        <f t="shared" si="1"/>
        <v>90</v>
      </c>
    </row>
    <row r="54" spans="1:33" ht="31.5" customHeight="1" x14ac:dyDescent="0.3">
      <c r="A54" s="1752">
        <v>45</v>
      </c>
      <c r="B54" s="1928">
        <v>5191421045</v>
      </c>
      <c r="C54" s="1811">
        <v>2</v>
      </c>
      <c r="D54" s="1671">
        <v>1</v>
      </c>
      <c r="E54" s="1779">
        <v>1</v>
      </c>
      <c r="F54" s="1666">
        <v>4</v>
      </c>
      <c r="G54" s="1665"/>
      <c r="H54" s="1666"/>
      <c r="I54" s="1667"/>
      <c r="J54" s="1666">
        <v>2</v>
      </c>
      <c r="K54" s="1665">
        <v>2</v>
      </c>
      <c r="L54" s="1666"/>
      <c r="M54" s="1665"/>
      <c r="N54" s="1930">
        <v>12</v>
      </c>
      <c r="O54" s="1662">
        <v>2</v>
      </c>
      <c r="P54" s="1671">
        <v>0</v>
      </c>
      <c r="Q54" s="1665">
        <v>0</v>
      </c>
      <c r="R54" s="1666">
        <v>4</v>
      </c>
      <c r="S54" s="1665"/>
      <c r="T54" s="1666"/>
      <c r="U54" s="1779"/>
      <c r="V54" s="1666"/>
      <c r="W54" s="1779"/>
      <c r="X54" s="1666">
        <v>5</v>
      </c>
      <c r="Y54" s="1774"/>
      <c r="Z54" s="1932">
        <v>11</v>
      </c>
      <c r="AA54" s="1933">
        <v>8</v>
      </c>
      <c r="AB54" s="1732">
        <v>9</v>
      </c>
      <c r="AC54" s="1732">
        <v>10</v>
      </c>
      <c r="AD54" s="1732">
        <v>9</v>
      </c>
      <c r="AE54" s="1732">
        <f t="shared" si="0"/>
        <v>9</v>
      </c>
      <c r="AF54" s="1670" t="s">
        <v>27</v>
      </c>
      <c r="AG54" s="1671">
        <f t="shared" si="1"/>
        <v>80</v>
      </c>
    </row>
    <row r="55" spans="1:33" ht="31.5" customHeight="1" x14ac:dyDescent="0.3">
      <c r="A55" s="1752">
        <v>46</v>
      </c>
      <c r="B55" s="1928">
        <v>5191421046</v>
      </c>
      <c r="C55" s="1809">
        <v>2</v>
      </c>
      <c r="D55" s="1671">
        <v>0</v>
      </c>
      <c r="E55" s="1779">
        <v>0</v>
      </c>
      <c r="F55" s="1666">
        <v>6</v>
      </c>
      <c r="G55" s="1665">
        <v>4</v>
      </c>
      <c r="H55" s="1666"/>
      <c r="I55" s="1667"/>
      <c r="J55" s="1666">
        <v>4</v>
      </c>
      <c r="K55" s="1665">
        <v>3</v>
      </c>
      <c r="L55" s="1666"/>
      <c r="M55" s="1665"/>
      <c r="N55" s="1930">
        <v>19</v>
      </c>
      <c r="O55" s="1662">
        <v>1</v>
      </c>
      <c r="P55" s="1671">
        <v>2</v>
      </c>
      <c r="Q55" s="1665">
        <v>2</v>
      </c>
      <c r="R55" s="1666">
        <v>3</v>
      </c>
      <c r="S55" s="1665">
        <v>3</v>
      </c>
      <c r="T55" s="1666"/>
      <c r="U55" s="1779"/>
      <c r="V55" s="1666">
        <v>5</v>
      </c>
      <c r="W55" s="1779">
        <v>3</v>
      </c>
      <c r="X55" s="1666"/>
      <c r="Y55" s="1774"/>
      <c r="Z55" s="1932">
        <v>19</v>
      </c>
      <c r="AA55" s="1933">
        <v>9</v>
      </c>
      <c r="AB55" s="1732">
        <v>8</v>
      </c>
      <c r="AC55" s="1732">
        <v>9</v>
      </c>
      <c r="AD55" s="1732">
        <v>10</v>
      </c>
      <c r="AE55" s="1732">
        <f t="shared" si="0"/>
        <v>9</v>
      </c>
      <c r="AF55" s="1670" t="s">
        <v>30</v>
      </c>
      <c r="AG55" s="1671">
        <f t="shared" si="1"/>
        <v>90</v>
      </c>
    </row>
    <row r="56" spans="1:33" ht="31.5" customHeight="1" x14ac:dyDescent="0.3">
      <c r="A56" s="1752">
        <v>47</v>
      </c>
      <c r="B56" s="1928">
        <v>5191421047</v>
      </c>
      <c r="C56" s="1809"/>
      <c r="D56" s="1671"/>
      <c r="E56" s="1779"/>
      <c r="F56" s="1666"/>
      <c r="G56" s="1665"/>
      <c r="H56" s="1666"/>
      <c r="I56" s="1667"/>
      <c r="J56" s="1666"/>
      <c r="K56" s="1665"/>
      <c r="L56" s="1666"/>
      <c r="M56" s="1665"/>
      <c r="N56" s="1930">
        <v>0</v>
      </c>
      <c r="O56" s="1662"/>
      <c r="P56" s="1671"/>
      <c r="Q56" s="1665"/>
      <c r="R56" s="1666">
        <v>3</v>
      </c>
      <c r="S56" s="1665"/>
      <c r="T56" s="1666">
        <v>3</v>
      </c>
      <c r="U56" s="1779"/>
      <c r="V56" s="1666"/>
      <c r="W56" s="1779"/>
      <c r="X56" s="1666"/>
      <c r="Y56" s="1774"/>
      <c r="Z56" s="1932">
        <v>3</v>
      </c>
      <c r="AA56" s="1933">
        <v>7</v>
      </c>
      <c r="AB56" s="1732">
        <v>8</v>
      </c>
      <c r="AC56" s="1732">
        <v>6</v>
      </c>
      <c r="AD56" s="1732">
        <v>7</v>
      </c>
      <c r="AE56" s="1732">
        <f t="shared" si="0"/>
        <v>7</v>
      </c>
      <c r="AF56" s="1670" t="s">
        <v>29</v>
      </c>
      <c r="AG56" s="1671">
        <f t="shared" si="1"/>
        <v>39</v>
      </c>
    </row>
    <row r="57" spans="1:33" ht="31.5" customHeight="1" x14ac:dyDescent="0.3">
      <c r="A57" s="1752">
        <v>48</v>
      </c>
      <c r="B57" s="1928">
        <v>5191421048</v>
      </c>
      <c r="C57" s="1809">
        <v>2</v>
      </c>
      <c r="D57" s="1671">
        <v>1</v>
      </c>
      <c r="E57" s="1779"/>
      <c r="F57" s="1666">
        <v>6</v>
      </c>
      <c r="G57" s="1665">
        <v>3</v>
      </c>
      <c r="H57" s="1666"/>
      <c r="I57" s="1667"/>
      <c r="J57" s="1666">
        <v>4</v>
      </c>
      <c r="K57" s="1665">
        <v>1</v>
      </c>
      <c r="L57" s="1666"/>
      <c r="M57" s="1665"/>
      <c r="N57" s="1930">
        <v>17</v>
      </c>
      <c r="O57" s="1662">
        <v>2</v>
      </c>
      <c r="P57" s="1671">
        <v>2</v>
      </c>
      <c r="Q57" s="1665"/>
      <c r="R57" s="1666"/>
      <c r="S57" s="1665"/>
      <c r="T57" s="1666">
        <v>3</v>
      </c>
      <c r="U57" s="1779">
        <v>5</v>
      </c>
      <c r="V57" s="1666"/>
      <c r="W57" s="1779"/>
      <c r="X57" s="1666">
        <v>5</v>
      </c>
      <c r="Y57" s="1774"/>
      <c r="Z57" s="1932">
        <v>17</v>
      </c>
      <c r="AA57" s="1933">
        <v>10</v>
      </c>
      <c r="AB57" s="1732">
        <v>8</v>
      </c>
      <c r="AC57" s="1732">
        <v>9</v>
      </c>
      <c r="AD57" s="1732">
        <v>9</v>
      </c>
      <c r="AE57" s="1732">
        <f t="shared" si="0"/>
        <v>9</v>
      </c>
      <c r="AF57" s="1670" t="s">
        <v>27</v>
      </c>
      <c r="AG57" s="1671">
        <f t="shared" si="1"/>
        <v>80</v>
      </c>
    </row>
    <row r="58" spans="1:33" ht="31.5" customHeight="1" x14ac:dyDescent="0.3">
      <c r="A58" s="1752">
        <v>49</v>
      </c>
      <c r="B58" s="1928">
        <v>5191421049</v>
      </c>
      <c r="C58" s="1809"/>
      <c r="D58" s="1671"/>
      <c r="E58" s="1779"/>
      <c r="F58" s="1666"/>
      <c r="G58" s="1665"/>
      <c r="H58" s="1666"/>
      <c r="I58" s="1667"/>
      <c r="J58" s="1666"/>
      <c r="K58" s="1665"/>
      <c r="L58" s="1666"/>
      <c r="M58" s="1665"/>
      <c r="N58" s="1930">
        <v>0</v>
      </c>
      <c r="O58" s="1662"/>
      <c r="P58" s="1671">
        <v>2</v>
      </c>
      <c r="Q58" s="1665">
        <v>1</v>
      </c>
      <c r="R58" s="1666"/>
      <c r="S58" s="1665"/>
      <c r="T58" s="1666">
        <v>4</v>
      </c>
      <c r="U58" s="1779">
        <v>5</v>
      </c>
      <c r="V58" s="1666">
        <v>5</v>
      </c>
      <c r="W58" s="1779">
        <v>4</v>
      </c>
      <c r="X58" s="1666"/>
      <c r="Y58" s="1774"/>
      <c r="Z58" s="1932">
        <v>21</v>
      </c>
      <c r="AA58" s="1933">
        <v>8</v>
      </c>
      <c r="AB58" s="1732">
        <v>7</v>
      </c>
      <c r="AC58" s="1732">
        <v>7</v>
      </c>
      <c r="AD58" s="1732">
        <v>6</v>
      </c>
      <c r="AE58" s="1732">
        <f t="shared" si="0"/>
        <v>7</v>
      </c>
      <c r="AF58" s="1670" t="s">
        <v>27</v>
      </c>
      <c r="AG58" s="1671">
        <f t="shared" si="1"/>
        <v>80</v>
      </c>
    </row>
    <row r="59" spans="1:33" ht="31.5" customHeight="1" x14ac:dyDescent="0.3">
      <c r="A59" s="1752">
        <v>50</v>
      </c>
      <c r="B59" s="1928">
        <v>5191421050</v>
      </c>
      <c r="C59" s="1809">
        <v>2</v>
      </c>
      <c r="D59" s="1671"/>
      <c r="E59" s="1779"/>
      <c r="F59" s="1666">
        <v>5</v>
      </c>
      <c r="G59" s="1665">
        <v>2</v>
      </c>
      <c r="H59" s="1666"/>
      <c r="I59" s="1667"/>
      <c r="J59" s="1666">
        <v>3</v>
      </c>
      <c r="K59" s="1665">
        <v>3</v>
      </c>
      <c r="L59" s="1666"/>
      <c r="M59" s="1665"/>
      <c r="N59" s="1930">
        <v>15</v>
      </c>
      <c r="O59" s="1662">
        <v>2</v>
      </c>
      <c r="P59" s="1671">
        <v>2</v>
      </c>
      <c r="Q59" s="1665">
        <v>2</v>
      </c>
      <c r="R59" s="1666"/>
      <c r="S59" s="1665"/>
      <c r="T59" s="1666"/>
      <c r="U59" s="1779">
        <v>5</v>
      </c>
      <c r="V59" s="1666">
        <v>5</v>
      </c>
      <c r="W59" s="1779">
        <v>2</v>
      </c>
      <c r="X59" s="1666"/>
      <c r="Y59" s="1774"/>
      <c r="Z59" s="1932">
        <v>18</v>
      </c>
      <c r="AA59" s="1933">
        <v>8</v>
      </c>
      <c r="AB59" s="1732">
        <v>8</v>
      </c>
      <c r="AC59" s="1732">
        <v>10</v>
      </c>
      <c r="AD59" s="1732">
        <v>10</v>
      </c>
      <c r="AE59" s="1732">
        <f t="shared" si="0"/>
        <v>9</v>
      </c>
      <c r="AF59" s="1780" t="s">
        <v>27</v>
      </c>
      <c r="AG59" s="1671">
        <f t="shared" si="1"/>
        <v>80</v>
      </c>
    </row>
    <row r="60" spans="1:33" ht="31.5" customHeight="1" x14ac:dyDescent="0.3">
      <c r="A60" s="1752">
        <v>51</v>
      </c>
      <c r="B60" s="1928">
        <v>5191421051</v>
      </c>
      <c r="C60" s="1942">
        <v>2</v>
      </c>
      <c r="D60" s="1768">
        <v>2</v>
      </c>
      <c r="E60" s="1781">
        <v>1</v>
      </c>
      <c r="F60" s="1767">
        <v>6</v>
      </c>
      <c r="G60" s="1665">
        <v>4</v>
      </c>
      <c r="H60" s="1767"/>
      <c r="I60" s="1770"/>
      <c r="J60" s="1767"/>
      <c r="K60" s="1769"/>
      <c r="L60" s="1666">
        <v>4</v>
      </c>
      <c r="M60" s="1665"/>
      <c r="N60" s="1930">
        <v>19</v>
      </c>
      <c r="O60" s="1771">
        <v>2</v>
      </c>
      <c r="P60" s="1768">
        <v>2</v>
      </c>
      <c r="Q60" s="1769">
        <v>2</v>
      </c>
      <c r="R60" s="1767"/>
      <c r="S60" s="1665"/>
      <c r="T60" s="1666">
        <v>5</v>
      </c>
      <c r="U60" s="1779">
        <v>6</v>
      </c>
      <c r="V60" s="1666">
        <v>4</v>
      </c>
      <c r="W60" s="1779">
        <v>4</v>
      </c>
      <c r="X60" s="1767"/>
      <c r="Y60" s="1774"/>
      <c r="Z60" s="1932">
        <v>25</v>
      </c>
      <c r="AA60" s="1933">
        <v>9</v>
      </c>
      <c r="AB60" s="1732">
        <v>10</v>
      </c>
      <c r="AC60" s="1732">
        <v>9</v>
      </c>
      <c r="AD60" s="1732">
        <v>8</v>
      </c>
      <c r="AE60" s="1732">
        <f t="shared" si="0"/>
        <v>9</v>
      </c>
      <c r="AF60" s="1670" t="s">
        <v>30</v>
      </c>
      <c r="AG60" s="1671">
        <f t="shared" si="1"/>
        <v>90</v>
      </c>
    </row>
    <row r="61" spans="1:33" ht="31.5" customHeight="1" x14ac:dyDescent="0.3">
      <c r="A61" s="1752">
        <v>52</v>
      </c>
      <c r="B61" s="1928">
        <v>5191421052</v>
      </c>
      <c r="C61" s="1942">
        <v>2</v>
      </c>
      <c r="D61" s="1768">
        <v>2</v>
      </c>
      <c r="E61" s="1781">
        <v>2</v>
      </c>
      <c r="F61" s="1767">
        <v>6</v>
      </c>
      <c r="G61" s="1665">
        <v>3</v>
      </c>
      <c r="H61" s="1767"/>
      <c r="I61" s="1770"/>
      <c r="J61" s="1767"/>
      <c r="K61" s="1769"/>
      <c r="L61" s="1666">
        <v>6</v>
      </c>
      <c r="M61" s="1665">
        <v>6</v>
      </c>
      <c r="N61" s="1930">
        <v>27</v>
      </c>
      <c r="O61" s="1771">
        <v>2</v>
      </c>
      <c r="P61" s="1768">
        <v>1</v>
      </c>
      <c r="Q61" s="1769">
        <v>2</v>
      </c>
      <c r="R61" s="1767">
        <v>4</v>
      </c>
      <c r="S61" s="1665">
        <v>6</v>
      </c>
      <c r="T61" s="1666"/>
      <c r="U61" s="1779"/>
      <c r="V61" s="1666">
        <v>6</v>
      </c>
      <c r="W61" s="1779">
        <v>6</v>
      </c>
      <c r="X61" s="1767"/>
      <c r="Y61" s="1774"/>
      <c r="Z61" s="1932">
        <v>27</v>
      </c>
      <c r="AA61" s="1933">
        <v>10</v>
      </c>
      <c r="AB61" s="1732">
        <v>10</v>
      </c>
      <c r="AC61" s="1732">
        <v>10</v>
      </c>
      <c r="AD61" s="1732">
        <v>10</v>
      </c>
      <c r="AE61" s="1732">
        <f t="shared" si="0"/>
        <v>10</v>
      </c>
      <c r="AF61" s="1670" t="s">
        <v>30</v>
      </c>
      <c r="AG61" s="1671">
        <f t="shared" si="1"/>
        <v>90</v>
      </c>
    </row>
    <row r="62" spans="1:33" ht="31.5" customHeight="1" x14ac:dyDescent="0.3">
      <c r="A62" s="1752">
        <v>53</v>
      </c>
      <c r="B62" s="1928">
        <v>5191421053</v>
      </c>
      <c r="C62" s="1942">
        <v>2</v>
      </c>
      <c r="D62" s="1768">
        <v>2</v>
      </c>
      <c r="E62" s="1781"/>
      <c r="F62" s="1767">
        <v>6</v>
      </c>
      <c r="G62" s="1665">
        <v>3</v>
      </c>
      <c r="H62" s="1767"/>
      <c r="I62" s="1770"/>
      <c r="J62" s="1767">
        <v>5</v>
      </c>
      <c r="K62" s="1769">
        <v>3</v>
      </c>
      <c r="L62" s="1666"/>
      <c r="M62" s="1665"/>
      <c r="N62" s="1930">
        <v>21</v>
      </c>
      <c r="O62" s="1771">
        <v>2</v>
      </c>
      <c r="P62" s="1768"/>
      <c r="Q62" s="1769">
        <v>2</v>
      </c>
      <c r="R62" s="1767">
        <v>4</v>
      </c>
      <c r="S62" s="1665">
        <v>6</v>
      </c>
      <c r="T62" s="1666"/>
      <c r="U62" s="1779"/>
      <c r="V62" s="1666">
        <v>5</v>
      </c>
      <c r="W62" s="1779">
        <v>1</v>
      </c>
      <c r="X62" s="1767"/>
      <c r="Y62" s="1774"/>
      <c r="Z62" s="1932">
        <v>20</v>
      </c>
      <c r="AA62" s="1933">
        <v>9</v>
      </c>
      <c r="AB62" s="1732">
        <v>7</v>
      </c>
      <c r="AC62" s="1732">
        <v>9</v>
      </c>
      <c r="AD62" s="1732">
        <v>7</v>
      </c>
      <c r="AE62" s="1732">
        <f t="shared" si="0"/>
        <v>8</v>
      </c>
      <c r="AF62" s="1782" t="s">
        <v>27</v>
      </c>
      <c r="AG62" s="1671">
        <f t="shared" si="1"/>
        <v>80</v>
      </c>
    </row>
    <row r="63" spans="1:33" ht="31.5" customHeight="1" x14ac:dyDescent="0.3">
      <c r="A63" s="1752">
        <v>54</v>
      </c>
      <c r="B63" s="1928">
        <v>5191421054</v>
      </c>
      <c r="C63" s="1942">
        <v>2</v>
      </c>
      <c r="D63" s="1768">
        <v>1</v>
      </c>
      <c r="E63" s="1781"/>
      <c r="F63" s="1767"/>
      <c r="G63" s="1665"/>
      <c r="H63" s="1767">
        <v>6</v>
      </c>
      <c r="I63" s="1770">
        <v>1</v>
      </c>
      <c r="J63" s="1767">
        <v>1</v>
      </c>
      <c r="K63" s="1769">
        <v>1</v>
      </c>
      <c r="L63" s="1666"/>
      <c r="M63" s="1665"/>
      <c r="N63" s="1930">
        <v>12</v>
      </c>
      <c r="O63" s="1771">
        <v>2</v>
      </c>
      <c r="P63" s="1768">
        <v>2</v>
      </c>
      <c r="Q63" s="1769">
        <v>2</v>
      </c>
      <c r="R63" s="1767"/>
      <c r="S63" s="1665"/>
      <c r="T63" s="1666">
        <v>3</v>
      </c>
      <c r="U63" s="1779">
        <v>2</v>
      </c>
      <c r="V63" s="1666"/>
      <c r="W63" s="1779"/>
      <c r="X63" s="1767"/>
      <c r="Y63" s="1774"/>
      <c r="Z63" s="1932">
        <v>11</v>
      </c>
      <c r="AA63" s="1933">
        <v>7</v>
      </c>
      <c r="AB63" s="1732">
        <v>10</v>
      </c>
      <c r="AC63" s="1732">
        <v>8</v>
      </c>
      <c r="AD63" s="1732">
        <v>7</v>
      </c>
      <c r="AE63" s="1732">
        <f t="shared" si="0"/>
        <v>8</v>
      </c>
      <c r="AF63" s="1670" t="s">
        <v>27</v>
      </c>
      <c r="AG63" s="1671">
        <f t="shared" si="1"/>
        <v>80</v>
      </c>
    </row>
    <row r="64" spans="1:33" ht="31.5" customHeight="1" x14ac:dyDescent="0.3">
      <c r="A64" s="1752">
        <v>55</v>
      </c>
      <c r="B64" s="1928">
        <v>5191421055</v>
      </c>
      <c r="C64" s="1942">
        <v>2</v>
      </c>
      <c r="D64" s="1768">
        <v>2</v>
      </c>
      <c r="E64" s="1781"/>
      <c r="F64" s="1767"/>
      <c r="G64" s="1665"/>
      <c r="H64" s="1767">
        <v>6</v>
      </c>
      <c r="I64" s="1770">
        <v>3</v>
      </c>
      <c r="J64" s="1767">
        <v>2</v>
      </c>
      <c r="K64" s="1769"/>
      <c r="L64" s="1666"/>
      <c r="M64" s="1665"/>
      <c r="N64" s="1930">
        <v>15</v>
      </c>
      <c r="O64" s="1771">
        <v>2</v>
      </c>
      <c r="P64" s="1768"/>
      <c r="Q64" s="1769">
        <v>2</v>
      </c>
      <c r="R64" s="1767"/>
      <c r="S64" s="1665"/>
      <c r="T64" s="1666">
        <v>6</v>
      </c>
      <c r="U64" s="1779">
        <v>5</v>
      </c>
      <c r="V64" s="1666"/>
      <c r="W64" s="1779"/>
      <c r="X64" s="1767"/>
      <c r="Y64" s="1774">
        <v>2</v>
      </c>
      <c r="Z64" s="1932">
        <v>17</v>
      </c>
      <c r="AA64" s="1933">
        <v>9</v>
      </c>
      <c r="AB64" s="1732">
        <v>9</v>
      </c>
      <c r="AC64" s="1732">
        <v>9</v>
      </c>
      <c r="AD64" s="1732">
        <v>9</v>
      </c>
      <c r="AE64" s="1732">
        <f t="shared" si="0"/>
        <v>9</v>
      </c>
      <c r="AF64" s="1670" t="s">
        <v>32</v>
      </c>
      <c r="AG64" s="1671">
        <f t="shared" si="1"/>
        <v>70</v>
      </c>
    </row>
    <row r="65" spans="1:33" ht="31.5" customHeight="1" x14ac:dyDescent="0.3">
      <c r="A65" s="1752">
        <v>56</v>
      </c>
      <c r="B65" s="1928">
        <v>5191421056</v>
      </c>
      <c r="C65" s="1942">
        <v>2</v>
      </c>
      <c r="D65" s="1768">
        <v>0</v>
      </c>
      <c r="E65" s="1781"/>
      <c r="F65" s="1767">
        <v>6</v>
      </c>
      <c r="G65" s="1665">
        <v>6</v>
      </c>
      <c r="H65" s="1767"/>
      <c r="I65" s="1770"/>
      <c r="J65" s="1767">
        <v>5</v>
      </c>
      <c r="K65" s="1769">
        <v>2</v>
      </c>
      <c r="L65" s="1666"/>
      <c r="M65" s="1665"/>
      <c r="N65" s="1930">
        <v>21</v>
      </c>
      <c r="O65" s="1771">
        <v>2</v>
      </c>
      <c r="P65" s="1768"/>
      <c r="Q65" s="1769"/>
      <c r="R65" s="1767">
        <v>3</v>
      </c>
      <c r="S65" s="1665">
        <v>3</v>
      </c>
      <c r="T65" s="1666"/>
      <c r="U65" s="1779"/>
      <c r="V65" s="1666"/>
      <c r="W65" s="1779"/>
      <c r="X65" s="1767">
        <v>6</v>
      </c>
      <c r="Y65" s="1774"/>
      <c r="Z65" s="1932">
        <v>14</v>
      </c>
      <c r="AA65" s="1933">
        <v>10</v>
      </c>
      <c r="AB65" s="1732">
        <v>9</v>
      </c>
      <c r="AC65" s="1732">
        <v>8</v>
      </c>
      <c r="AD65" s="1732">
        <v>9</v>
      </c>
      <c r="AE65" s="1732">
        <f t="shared" si="0"/>
        <v>9</v>
      </c>
      <c r="AF65" s="1670" t="s">
        <v>27</v>
      </c>
      <c r="AG65" s="1671">
        <f t="shared" si="1"/>
        <v>80</v>
      </c>
    </row>
    <row r="66" spans="1:33" ht="31.5" customHeight="1" x14ac:dyDescent="0.3">
      <c r="A66" s="1752">
        <v>57</v>
      </c>
      <c r="B66" s="1928">
        <v>5191421057</v>
      </c>
      <c r="C66" s="1942">
        <v>2</v>
      </c>
      <c r="D66" s="1768">
        <v>2</v>
      </c>
      <c r="E66" s="1781">
        <v>2</v>
      </c>
      <c r="F66" s="1767"/>
      <c r="G66" s="1665"/>
      <c r="H66" s="1767">
        <v>6</v>
      </c>
      <c r="I66" s="1770">
        <v>6</v>
      </c>
      <c r="J66" s="1767">
        <v>5</v>
      </c>
      <c r="K66" s="1769">
        <v>6</v>
      </c>
      <c r="L66" s="1666"/>
      <c r="M66" s="1665"/>
      <c r="N66" s="1930">
        <v>29</v>
      </c>
      <c r="O66" s="1771">
        <v>2</v>
      </c>
      <c r="P66" s="1768">
        <v>2</v>
      </c>
      <c r="Q66" s="1769">
        <v>2</v>
      </c>
      <c r="R66" s="1767"/>
      <c r="S66" s="1665"/>
      <c r="T66" s="1666">
        <v>6</v>
      </c>
      <c r="U66" s="1779">
        <v>6</v>
      </c>
      <c r="V66" s="1666"/>
      <c r="W66" s="1779"/>
      <c r="X66" s="1767">
        <v>5</v>
      </c>
      <c r="Y66" s="1937">
        <v>5</v>
      </c>
      <c r="Z66" s="1932">
        <v>28</v>
      </c>
      <c r="AA66" s="1933">
        <v>10</v>
      </c>
      <c r="AB66" s="1732">
        <v>10</v>
      </c>
      <c r="AC66" s="1732">
        <v>10</v>
      </c>
      <c r="AD66" s="1732">
        <v>10</v>
      </c>
      <c r="AE66" s="1732">
        <f t="shared" si="0"/>
        <v>10</v>
      </c>
      <c r="AF66" s="1705" t="s">
        <v>30</v>
      </c>
      <c r="AG66" s="1671">
        <f t="shared" si="1"/>
        <v>90</v>
      </c>
    </row>
    <row r="67" spans="1:33" ht="31.5" customHeight="1" thickBot="1" x14ac:dyDescent="0.35">
      <c r="A67" s="1752">
        <v>58</v>
      </c>
      <c r="B67" s="1943">
        <v>5191421058</v>
      </c>
      <c r="C67" s="1942">
        <v>2</v>
      </c>
      <c r="D67" s="1768">
        <v>1</v>
      </c>
      <c r="E67" s="1781">
        <v>1</v>
      </c>
      <c r="F67" s="1767"/>
      <c r="G67" s="1769">
        <v>3</v>
      </c>
      <c r="H67" s="1767">
        <v>2</v>
      </c>
      <c r="I67" s="1770"/>
      <c r="J67" s="1767"/>
      <c r="K67" s="1769"/>
      <c r="L67" s="1767"/>
      <c r="M67" s="1769"/>
      <c r="N67" s="1930">
        <v>7</v>
      </c>
      <c r="O67" s="1771"/>
      <c r="P67" s="1768"/>
      <c r="Q67" s="1769"/>
      <c r="R67" s="1767"/>
      <c r="S67" s="1769">
        <v>1</v>
      </c>
      <c r="T67" s="1767"/>
      <c r="U67" s="1781">
        <v>4</v>
      </c>
      <c r="V67" s="1767"/>
      <c r="W67" s="1781"/>
      <c r="X67" s="1767"/>
      <c r="Y67" s="1781"/>
      <c r="Z67" s="1944">
        <v>4</v>
      </c>
      <c r="AA67" s="1933">
        <v>7</v>
      </c>
      <c r="AB67" s="1732">
        <v>8</v>
      </c>
      <c r="AC67" s="1732">
        <v>9</v>
      </c>
      <c r="AD67" s="1732">
        <v>8</v>
      </c>
      <c r="AE67" s="1732">
        <f t="shared" si="0"/>
        <v>8</v>
      </c>
      <c r="AF67" s="1715" t="s">
        <v>31</v>
      </c>
      <c r="AG67" s="1671">
        <f t="shared" si="1"/>
        <v>55</v>
      </c>
    </row>
    <row r="68" spans="1:33" ht="31.5" customHeight="1" x14ac:dyDescent="0.3">
      <c r="C68" s="1671">
        <f>COUNT(C10:C67)</f>
        <v>54</v>
      </c>
      <c r="D68" s="1671">
        <f t="shared" ref="D68:M68" si="2">COUNT(D10:D67)</f>
        <v>49</v>
      </c>
      <c r="E68" s="1671">
        <f t="shared" si="2"/>
        <v>33</v>
      </c>
      <c r="F68" s="1671">
        <f t="shared" si="2"/>
        <v>30</v>
      </c>
      <c r="G68" s="1671">
        <f t="shared" si="2"/>
        <v>28</v>
      </c>
      <c r="H68" s="1671">
        <f t="shared" si="2"/>
        <v>27</v>
      </c>
      <c r="I68" s="1671">
        <f t="shared" si="2"/>
        <v>23</v>
      </c>
      <c r="J68" s="1671">
        <f t="shared" si="2"/>
        <v>42</v>
      </c>
      <c r="K68" s="1671">
        <f t="shared" si="2"/>
        <v>30</v>
      </c>
      <c r="L68" s="1671">
        <f t="shared" si="2"/>
        <v>3</v>
      </c>
      <c r="M68" s="1671">
        <f t="shared" si="2"/>
        <v>2</v>
      </c>
      <c r="N68" s="1716"/>
      <c r="O68" s="1671">
        <f t="shared" ref="O68:Y68" si="3">COUNT(O10:O67)</f>
        <v>46</v>
      </c>
      <c r="P68" s="1671">
        <f t="shared" si="3"/>
        <v>48</v>
      </c>
      <c r="Q68" s="1671">
        <f t="shared" si="3"/>
        <v>42</v>
      </c>
      <c r="R68" s="1671">
        <f t="shared" si="3"/>
        <v>28</v>
      </c>
      <c r="S68" s="1671">
        <f t="shared" si="3"/>
        <v>28</v>
      </c>
      <c r="T68" s="1671">
        <f t="shared" si="3"/>
        <v>24</v>
      </c>
      <c r="U68" s="1671">
        <f t="shared" si="3"/>
        <v>29</v>
      </c>
      <c r="V68" s="1671">
        <f t="shared" si="3"/>
        <v>24</v>
      </c>
      <c r="W68" s="1671">
        <f t="shared" si="3"/>
        <v>24</v>
      </c>
      <c r="X68" s="1671">
        <f t="shared" si="3"/>
        <v>21</v>
      </c>
      <c r="Y68" s="1671">
        <f t="shared" si="3"/>
        <v>21</v>
      </c>
      <c r="Z68" s="1671"/>
      <c r="AA68" s="1671">
        <f t="shared" ref="AA68:AD68" si="4">COUNT(AA10:AA67)</f>
        <v>58</v>
      </c>
      <c r="AB68" s="1671">
        <f t="shared" si="4"/>
        <v>58</v>
      </c>
      <c r="AC68" s="1671">
        <f t="shared" si="4"/>
        <v>58</v>
      </c>
      <c r="AD68" s="1671">
        <f t="shared" si="4"/>
        <v>58</v>
      </c>
      <c r="AE68" s="1919"/>
    </row>
    <row r="69" spans="1:33" ht="31.5" customHeight="1" x14ac:dyDescent="0.3">
      <c r="A69" s="1945" t="s">
        <v>34</v>
      </c>
      <c r="B69" s="1650">
        <v>60</v>
      </c>
      <c r="C69" s="1946">
        <f>C9*(B69/100)</f>
        <v>1.2</v>
      </c>
      <c r="D69" s="1946">
        <f>D9*(B69/100)</f>
        <v>1.2</v>
      </c>
      <c r="E69" s="1946">
        <f>E9*(B69/100)</f>
        <v>1.2</v>
      </c>
      <c r="F69" s="1946">
        <v>3</v>
      </c>
      <c r="G69" s="1946">
        <v>3</v>
      </c>
      <c r="H69" s="1946">
        <v>3</v>
      </c>
      <c r="I69" s="1946">
        <v>3</v>
      </c>
      <c r="J69" s="1946">
        <v>3</v>
      </c>
      <c r="K69" s="1946">
        <v>3</v>
      </c>
      <c r="L69" s="1946">
        <v>3</v>
      </c>
      <c r="M69" s="1946">
        <v>3</v>
      </c>
      <c r="N69" s="1716"/>
      <c r="O69" s="1946">
        <f>O9*(B69/100)</f>
        <v>1.2</v>
      </c>
      <c r="P69" s="1946">
        <v>1</v>
      </c>
      <c r="Q69" s="1946">
        <v>1</v>
      </c>
      <c r="R69" s="1946">
        <v>3</v>
      </c>
      <c r="S69" s="1946">
        <v>3</v>
      </c>
      <c r="T69" s="1946">
        <v>3</v>
      </c>
      <c r="U69" s="1946">
        <v>3</v>
      </c>
      <c r="V69" s="1946">
        <v>3</v>
      </c>
      <c r="W69" s="1946">
        <v>3</v>
      </c>
      <c r="X69" s="1946">
        <v>3</v>
      </c>
      <c r="Y69" s="1946">
        <v>3</v>
      </c>
      <c r="Z69" s="1946"/>
      <c r="AA69" s="1946">
        <v>5</v>
      </c>
      <c r="AB69" s="1946">
        <v>6</v>
      </c>
      <c r="AC69" s="1946">
        <v>7</v>
      </c>
      <c r="AD69" s="1946">
        <v>8</v>
      </c>
      <c r="AE69" s="1919"/>
    </row>
    <row r="70" spans="1:33" ht="31.5" customHeight="1" x14ac:dyDescent="0.3">
      <c r="A70" s="3692" t="s">
        <v>35</v>
      </c>
      <c r="B70" s="3692"/>
      <c r="C70" s="1671">
        <f t="shared" ref="C70:M70" si="5">COUNTIF(C11:C67,"&gt;=" &amp;C69)</f>
        <v>51</v>
      </c>
      <c r="D70" s="1671">
        <f t="shared" si="5"/>
        <v>22</v>
      </c>
      <c r="E70" s="1671">
        <f t="shared" si="5"/>
        <v>6</v>
      </c>
      <c r="F70" s="1671">
        <f t="shared" si="5"/>
        <v>28</v>
      </c>
      <c r="G70" s="1671">
        <f t="shared" si="5"/>
        <v>22</v>
      </c>
      <c r="H70" s="1671">
        <f t="shared" si="5"/>
        <v>22</v>
      </c>
      <c r="I70" s="1671">
        <f t="shared" si="5"/>
        <v>15</v>
      </c>
      <c r="J70" s="1671">
        <f t="shared" si="5"/>
        <v>35</v>
      </c>
      <c r="K70" s="1671">
        <f t="shared" si="5"/>
        <v>17</v>
      </c>
      <c r="L70" s="1671">
        <f t="shared" si="5"/>
        <v>3</v>
      </c>
      <c r="M70" s="1671">
        <f t="shared" si="5"/>
        <v>2</v>
      </c>
      <c r="N70" s="1716"/>
      <c r="O70" s="1671">
        <f t="shared" ref="O70:Y70" si="6">COUNTIF(O10:O60,"&gt;=" &amp;O69)</f>
        <v>20</v>
      </c>
      <c r="P70" s="1671">
        <f t="shared" si="6"/>
        <v>39</v>
      </c>
      <c r="Q70" s="1671">
        <f t="shared" si="6"/>
        <v>32</v>
      </c>
      <c r="R70" s="1671">
        <f t="shared" si="6"/>
        <v>24</v>
      </c>
      <c r="S70" s="1671">
        <f t="shared" si="6"/>
        <v>18</v>
      </c>
      <c r="T70" s="1671">
        <f t="shared" si="6"/>
        <v>17</v>
      </c>
      <c r="U70" s="1671">
        <f t="shared" si="6"/>
        <v>24</v>
      </c>
      <c r="V70" s="1671">
        <f t="shared" si="6"/>
        <v>21</v>
      </c>
      <c r="W70" s="1671">
        <f t="shared" si="6"/>
        <v>20</v>
      </c>
      <c r="X70" s="1671">
        <f t="shared" si="6"/>
        <v>17</v>
      </c>
      <c r="Y70" s="1671">
        <f t="shared" si="6"/>
        <v>18</v>
      </c>
      <c r="Z70" s="1671"/>
      <c r="AA70" s="1671">
        <f t="shared" ref="AA70:AD70" si="7">COUNTIF(AA10:AA60,"&gt;=" &amp;AA69)</f>
        <v>51</v>
      </c>
      <c r="AB70" s="1671">
        <f t="shared" si="7"/>
        <v>51</v>
      </c>
      <c r="AC70" s="1671">
        <f t="shared" si="7"/>
        <v>47</v>
      </c>
      <c r="AD70" s="1671">
        <f t="shared" si="7"/>
        <v>41</v>
      </c>
      <c r="AE70" s="1919"/>
      <c r="AG70" s="1716">
        <f>COUNTIF(AG10:AG67,"&gt;="&amp;B69)</f>
        <v>50</v>
      </c>
    </row>
    <row r="71" spans="1:33" ht="31.5" customHeight="1" x14ac:dyDescent="0.3">
      <c r="A71" s="3693" t="s">
        <v>36</v>
      </c>
      <c r="B71" s="3693"/>
      <c r="C71" s="1671">
        <f t="shared" ref="C71:Y71" si="8">C70/C68</f>
        <v>0.94444444444444442</v>
      </c>
      <c r="D71" s="1671">
        <f t="shared" si="8"/>
        <v>0.44897959183673469</v>
      </c>
      <c r="E71" s="1671">
        <f t="shared" si="8"/>
        <v>0.18181818181818182</v>
      </c>
      <c r="F71" s="1671">
        <f t="shared" si="8"/>
        <v>0.93333333333333335</v>
      </c>
      <c r="G71" s="1671">
        <f t="shared" si="8"/>
        <v>0.7857142857142857</v>
      </c>
      <c r="H71" s="1671">
        <f t="shared" si="8"/>
        <v>0.81481481481481477</v>
      </c>
      <c r="I71" s="1671">
        <f t="shared" si="8"/>
        <v>0.65217391304347827</v>
      </c>
      <c r="J71" s="1671">
        <f t="shared" si="8"/>
        <v>0.83333333333333337</v>
      </c>
      <c r="K71" s="1671">
        <f t="shared" si="8"/>
        <v>0.56666666666666665</v>
      </c>
      <c r="L71" s="1671">
        <f t="shared" si="8"/>
        <v>1</v>
      </c>
      <c r="M71" s="1671">
        <f t="shared" si="8"/>
        <v>1</v>
      </c>
      <c r="N71" s="1716"/>
      <c r="O71" s="1671">
        <f t="shared" si="8"/>
        <v>0.43478260869565216</v>
      </c>
      <c r="P71" s="1671">
        <f t="shared" si="8"/>
        <v>0.8125</v>
      </c>
      <c r="Q71" s="1671">
        <f t="shared" si="8"/>
        <v>0.76190476190476186</v>
      </c>
      <c r="R71" s="1671">
        <f t="shared" si="8"/>
        <v>0.8571428571428571</v>
      </c>
      <c r="S71" s="1671">
        <f t="shared" si="8"/>
        <v>0.6428571428571429</v>
      </c>
      <c r="T71" s="1671">
        <f t="shared" si="8"/>
        <v>0.70833333333333337</v>
      </c>
      <c r="U71" s="1671">
        <f t="shared" si="8"/>
        <v>0.82758620689655171</v>
      </c>
      <c r="V71" s="1671">
        <f t="shared" si="8"/>
        <v>0.875</v>
      </c>
      <c r="W71" s="1671">
        <f t="shared" si="8"/>
        <v>0.83333333333333337</v>
      </c>
      <c r="X71" s="1671">
        <f t="shared" si="8"/>
        <v>0.80952380952380953</v>
      </c>
      <c r="Y71" s="1671">
        <f t="shared" si="8"/>
        <v>0.8571428571428571</v>
      </c>
      <c r="Z71" s="1671"/>
      <c r="AA71" s="1671">
        <f t="shared" ref="AA71:AD71" si="9">AA70/AA68</f>
        <v>0.87931034482758619</v>
      </c>
      <c r="AB71" s="1671">
        <f t="shared" si="9"/>
        <v>0.87931034482758619</v>
      </c>
      <c r="AC71" s="1671">
        <f t="shared" si="9"/>
        <v>0.81034482758620685</v>
      </c>
      <c r="AD71" s="1671">
        <f t="shared" si="9"/>
        <v>0.7068965517241379</v>
      </c>
      <c r="AE71" s="1919"/>
      <c r="AG71" s="1716">
        <f>(AG70/A67)*100</f>
        <v>86.206896551724128</v>
      </c>
    </row>
    <row r="72" spans="1:33" ht="31.5" customHeight="1" x14ac:dyDescent="0.3">
      <c r="C72" s="1638" t="s">
        <v>22</v>
      </c>
      <c r="D72" s="1638" t="s">
        <v>21</v>
      </c>
      <c r="E72" s="1638" t="s">
        <v>23</v>
      </c>
      <c r="F72" s="1638" t="s">
        <v>20</v>
      </c>
      <c r="G72" s="1638" t="s">
        <v>20</v>
      </c>
      <c r="H72" s="1638" t="s">
        <v>20</v>
      </c>
      <c r="I72" s="1638" t="s">
        <v>21</v>
      </c>
      <c r="J72" s="1806" t="s">
        <v>21</v>
      </c>
      <c r="K72" s="1806" t="s">
        <v>23</v>
      </c>
      <c r="L72" s="1638" t="s">
        <v>40</v>
      </c>
      <c r="M72" s="1638" t="s">
        <v>41</v>
      </c>
      <c r="N72" s="1716"/>
      <c r="O72" s="1637" t="s">
        <v>41</v>
      </c>
      <c r="P72" s="1638" t="s">
        <v>42</v>
      </c>
      <c r="Q72" s="1639" t="s">
        <v>43</v>
      </c>
      <c r="R72" s="1637" t="s">
        <v>41</v>
      </c>
      <c r="S72" s="1639" t="s">
        <v>42</v>
      </c>
      <c r="T72" s="1637" t="s">
        <v>41</v>
      </c>
      <c r="U72" s="1752" t="s">
        <v>43</v>
      </c>
      <c r="V72" s="1637" t="s">
        <v>42</v>
      </c>
      <c r="W72" s="1752" t="s">
        <v>43</v>
      </c>
      <c r="X72" s="1637" t="s">
        <v>42</v>
      </c>
      <c r="Y72" s="1646" t="s">
        <v>43</v>
      </c>
      <c r="Z72" s="1716"/>
      <c r="AA72" s="1638" t="s">
        <v>22</v>
      </c>
      <c r="AB72" s="1638" t="s">
        <v>40</v>
      </c>
      <c r="AC72" s="1638" t="s">
        <v>41</v>
      </c>
      <c r="AD72" s="1638" t="s">
        <v>306</v>
      </c>
      <c r="AE72" s="1919"/>
    </row>
    <row r="74" spans="1:33" ht="31.5" customHeight="1" x14ac:dyDescent="0.3">
      <c r="D74" s="1638" t="s">
        <v>38</v>
      </c>
      <c r="E74" s="3684" t="s">
        <v>39</v>
      </c>
      <c r="F74" s="3684"/>
      <c r="G74" s="3684" t="s">
        <v>37</v>
      </c>
      <c r="H74" s="3684"/>
      <c r="I74" s="3684"/>
      <c r="J74" s="1650"/>
      <c r="K74" s="1650"/>
    </row>
    <row r="75" spans="1:33" ht="31.5" customHeight="1" x14ac:dyDescent="0.3">
      <c r="B75" s="1638" t="s">
        <v>22</v>
      </c>
      <c r="C75" s="1671">
        <f>AVERAGE(C71,F71,G71,H71,AA71)*100</f>
        <v>87.152344462689285</v>
      </c>
      <c r="D75" s="1671">
        <f t="shared" ref="D75:D79" si="10">IF(C75&gt;=70,3,IF(AND(C75&gt;=60,C75&lt;70),2,IF(AND(C75&gt;=50,C75&lt;60),1)))</f>
        <v>3</v>
      </c>
      <c r="E75" s="3686">
        <f>IF(AG71&gt;=70,3,IF(AND(AG71&gt;=60,AG71&lt;70),2,IF(AND(AG71&gt;=50,AG71&lt;60),1)))</f>
        <v>3</v>
      </c>
      <c r="F75" s="3763"/>
      <c r="G75" s="3686">
        <f>(70/100)*E75+(30/100)*D75</f>
        <v>2.9999999999999996</v>
      </c>
      <c r="H75" s="3686"/>
      <c r="I75" s="3686"/>
      <c r="J75" s="1716"/>
      <c r="K75" s="1716"/>
    </row>
    <row r="76" spans="1:33" ht="31.5" customHeight="1" x14ac:dyDescent="0.3">
      <c r="B76" s="1638" t="s">
        <v>40</v>
      </c>
      <c r="C76" s="1671">
        <f>AVERAGE(D71,I71,J71,L71,AB71)*100</f>
        <v>76.275943660822648</v>
      </c>
      <c r="D76" s="1671">
        <f t="shared" si="10"/>
        <v>3</v>
      </c>
      <c r="E76" s="3686">
        <f>IF(AG71&gt;=70,3,IF(AND(AG71&gt;=60,AG71&lt;70),2,IF(AND(AG71&gt;=50,AG71&lt;60),1)))</f>
        <v>3</v>
      </c>
      <c r="F76" s="3763"/>
      <c r="G76" s="3686">
        <f t="shared" ref="G76:G79" si="11">(70/100)*E76+(30/100)*D76</f>
        <v>2.9999999999999996</v>
      </c>
      <c r="H76" s="3686"/>
      <c r="I76" s="3686"/>
      <c r="J76" s="1716"/>
      <c r="K76" s="1716"/>
    </row>
    <row r="77" spans="1:33" ht="31.5" customHeight="1" x14ac:dyDescent="0.3">
      <c r="B77" s="1638" t="s">
        <v>41</v>
      </c>
      <c r="C77" s="1671">
        <f>AVERAGE(K71,M71,O71,R71,T71,AC71)*100</f>
        <v>72.95450489041194</v>
      </c>
      <c r="D77" s="1671">
        <f t="shared" si="10"/>
        <v>3</v>
      </c>
      <c r="E77" s="3686">
        <f>IF(AG71&gt;=70,3,IF(AND(AG71&gt;=60,AG71&lt;70),2,IF(AND(AG71&gt;=50,AG71&lt;60),1)))</f>
        <v>3</v>
      </c>
      <c r="F77" s="3763"/>
      <c r="G77" s="3686">
        <f t="shared" si="11"/>
        <v>2.9999999999999996</v>
      </c>
      <c r="H77" s="3686"/>
      <c r="I77" s="3686"/>
      <c r="J77" s="1716"/>
      <c r="K77" s="1716"/>
    </row>
    <row r="78" spans="1:33" ht="31.5" customHeight="1" x14ac:dyDescent="0.3">
      <c r="B78" s="1638" t="s">
        <v>42</v>
      </c>
      <c r="C78" s="1671">
        <f>AVERAGE(P71,S71,V71,X71,AD71)*100</f>
        <v>76.935550082101813</v>
      </c>
      <c r="D78" s="1671">
        <f t="shared" si="10"/>
        <v>3</v>
      </c>
      <c r="E78" s="3686">
        <f>IF(AG71&gt;=70,3,IF(AND(AG71&gt;=60,AG71&lt;70),2,IF(AND(AG71&gt;=50,AG71&lt;60),1)))</f>
        <v>3</v>
      </c>
      <c r="F78" s="3763"/>
      <c r="G78" s="3686">
        <f t="shared" si="11"/>
        <v>2.9999999999999996</v>
      </c>
      <c r="H78" s="3686"/>
      <c r="I78" s="3686"/>
      <c r="J78" s="1716"/>
      <c r="K78" s="1716"/>
    </row>
    <row r="79" spans="1:33" ht="31.5" customHeight="1" x14ac:dyDescent="0.3">
      <c r="B79" s="1638" t="s">
        <v>43</v>
      </c>
      <c r="C79" s="1671">
        <f>AVERAGE(Q71,U71,W71,Y71,AD71)*100</f>
        <v>79.737274220032845</v>
      </c>
      <c r="D79" s="1671">
        <f t="shared" si="10"/>
        <v>3</v>
      </c>
      <c r="E79" s="3686">
        <f>IF(AG71&gt;=70,3,IF(AND(AG71&gt;=60,AG71&lt;70),2,IF(AND(AG71&gt;=50,AG71&lt;60),1)))</f>
        <v>3</v>
      </c>
      <c r="F79" s="3763"/>
      <c r="G79" s="3686">
        <f t="shared" si="11"/>
        <v>2.9999999999999996</v>
      </c>
      <c r="H79" s="3686"/>
      <c r="I79" s="3686"/>
      <c r="J79" s="1716"/>
      <c r="K79" s="1716"/>
    </row>
    <row r="80" spans="1:33" ht="31.5" customHeight="1" x14ac:dyDescent="0.3">
      <c r="B80" s="3685" t="s">
        <v>44</v>
      </c>
      <c r="C80" s="3685"/>
      <c r="D80" s="3685"/>
      <c r="E80" s="3685"/>
      <c r="F80" s="3752"/>
      <c r="G80" s="3823">
        <f>AVERAGE(G75:G78)</f>
        <v>2.9999999999999996</v>
      </c>
      <c r="H80" s="3823"/>
      <c r="I80" s="3823"/>
    </row>
    <row r="82" spans="1:26" ht="31.5" customHeight="1" x14ac:dyDescent="0.3">
      <c r="A82" s="2775" t="s">
        <v>134</v>
      </c>
      <c r="B82" s="2775"/>
    </row>
    <row r="84" spans="1:26" ht="31.5" customHeight="1" x14ac:dyDescent="0.3">
      <c r="B84" s="1654" t="s">
        <v>45</v>
      </c>
      <c r="C84" s="1795" t="s">
        <v>68</v>
      </c>
      <c r="D84" s="1795" t="s">
        <v>69</v>
      </c>
      <c r="E84" s="1795" t="s">
        <v>70</v>
      </c>
      <c r="F84" s="1795" t="s">
        <v>71</v>
      </c>
      <c r="G84" s="1795" t="s">
        <v>72</v>
      </c>
      <c r="H84" s="1795" t="s">
        <v>73</v>
      </c>
      <c r="I84" s="1795" t="s">
        <v>74</v>
      </c>
      <c r="J84" s="1796" t="s">
        <v>75</v>
      </c>
      <c r="K84" s="1795" t="s">
        <v>76</v>
      </c>
      <c r="L84" s="1795" t="s">
        <v>77</v>
      </c>
      <c r="M84" s="1795" t="s">
        <v>78</v>
      </c>
      <c r="N84" s="1795" t="s">
        <v>79</v>
      </c>
      <c r="T84" s="1626"/>
      <c r="Z84" s="1038"/>
    </row>
    <row r="85" spans="1:26" ht="31.5" customHeight="1" x14ac:dyDescent="0.3">
      <c r="B85" s="1797" t="s">
        <v>20</v>
      </c>
      <c r="C85" s="936">
        <v>3</v>
      </c>
      <c r="D85" s="936">
        <v>3</v>
      </c>
      <c r="E85" s="936">
        <v>3</v>
      </c>
      <c r="F85" s="936"/>
      <c r="G85" s="936">
        <v>1</v>
      </c>
      <c r="H85" s="936"/>
      <c r="I85" s="936"/>
      <c r="J85" s="936"/>
      <c r="K85" s="936"/>
      <c r="L85" s="936"/>
      <c r="M85" s="936"/>
      <c r="N85" s="936">
        <v>3</v>
      </c>
      <c r="T85" s="1626"/>
      <c r="Z85" s="1038"/>
    </row>
    <row r="86" spans="1:26" ht="31.5" customHeight="1" x14ac:dyDescent="0.3">
      <c r="B86" s="1797" t="s">
        <v>21</v>
      </c>
      <c r="C86" s="936">
        <v>3</v>
      </c>
      <c r="D86" s="936">
        <v>3</v>
      </c>
      <c r="E86" s="936">
        <v>2</v>
      </c>
      <c r="F86" s="936">
        <v>3</v>
      </c>
      <c r="G86" s="936">
        <v>1</v>
      </c>
      <c r="H86" s="936"/>
      <c r="I86" s="936"/>
      <c r="J86" s="936"/>
      <c r="K86" s="936">
        <v>3</v>
      </c>
      <c r="L86" s="936"/>
      <c r="M86" s="936"/>
      <c r="N86" s="936">
        <v>3</v>
      </c>
      <c r="T86" s="1626"/>
      <c r="Z86" s="1038"/>
    </row>
    <row r="87" spans="1:26" ht="31.5" customHeight="1" x14ac:dyDescent="0.3">
      <c r="B87" s="1797" t="s">
        <v>23</v>
      </c>
      <c r="C87" s="936">
        <v>3</v>
      </c>
      <c r="D87" s="936">
        <v>3</v>
      </c>
      <c r="E87" s="936">
        <v>2</v>
      </c>
      <c r="F87" s="936">
        <v>3</v>
      </c>
      <c r="G87" s="936"/>
      <c r="H87" s="936"/>
      <c r="I87" s="936"/>
      <c r="J87" s="936"/>
      <c r="K87" s="936"/>
      <c r="L87" s="936"/>
      <c r="M87" s="936"/>
      <c r="N87" s="936"/>
      <c r="T87" s="1626"/>
      <c r="Z87" s="1038"/>
    </row>
    <row r="88" spans="1:26" ht="31.5" customHeight="1" x14ac:dyDescent="0.3">
      <c r="B88" s="1797" t="s">
        <v>25</v>
      </c>
      <c r="C88" s="936">
        <v>3</v>
      </c>
      <c r="D88" s="936">
        <v>3</v>
      </c>
      <c r="E88" s="936">
        <v>3</v>
      </c>
      <c r="F88" s="936">
        <v>3</v>
      </c>
      <c r="G88" s="936">
        <v>3</v>
      </c>
      <c r="H88" s="936"/>
      <c r="I88" s="936"/>
      <c r="J88" s="936"/>
      <c r="K88" s="936"/>
      <c r="L88" s="936"/>
      <c r="M88" s="936"/>
      <c r="N88" s="936"/>
      <c r="T88" s="1626"/>
      <c r="Z88" s="1038"/>
    </row>
    <row r="89" spans="1:26" ht="31.5" customHeight="1" x14ac:dyDescent="0.3">
      <c r="B89" s="1797" t="s">
        <v>24</v>
      </c>
      <c r="C89" s="936">
        <v>3</v>
      </c>
      <c r="D89" s="936">
        <v>1</v>
      </c>
      <c r="E89" s="936">
        <v>1</v>
      </c>
      <c r="F89" s="936">
        <v>3</v>
      </c>
      <c r="G89" s="936"/>
      <c r="H89" s="936"/>
      <c r="I89" s="936"/>
      <c r="J89" s="936"/>
      <c r="K89" s="936">
        <v>3</v>
      </c>
      <c r="L89" s="936"/>
      <c r="M89" s="936"/>
      <c r="N89" s="936">
        <v>3</v>
      </c>
      <c r="T89" s="1626"/>
      <c r="Z89" s="1038"/>
    </row>
    <row r="90" spans="1:26" ht="31.5" customHeight="1" x14ac:dyDescent="0.3">
      <c r="B90" s="1798" t="s">
        <v>10</v>
      </c>
      <c r="C90" s="1671">
        <f>AVERAGE(C85:C89)</f>
        <v>3</v>
      </c>
      <c r="D90" s="1671">
        <f t="shared" ref="D90:N90" si="12">AVERAGE(D85:D89)</f>
        <v>2.6</v>
      </c>
      <c r="E90" s="1671">
        <f t="shared" si="12"/>
        <v>2.2000000000000002</v>
      </c>
      <c r="F90" s="1671">
        <f t="shared" si="12"/>
        <v>3</v>
      </c>
      <c r="G90" s="1671">
        <f t="shared" si="12"/>
        <v>1.6666666666666667</v>
      </c>
      <c r="H90" s="1671"/>
      <c r="I90" s="1671"/>
      <c r="J90" s="1671"/>
      <c r="K90" s="1671">
        <f t="shared" si="12"/>
        <v>3</v>
      </c>
      <c r="L90" s="1671"/>
      <c r="M90" s="1671"/>
      <c r="N90" s="1671">
        <f t="shared" si="12"/>
        <v>3</v>
      </c>
      <c r="T90" s="1626"/>
      <c r="Z90" s="1038"/>
    </row>
    <row r="91" spans="1:26" ht="31.5" customHeight="1" x14ac:dyDescent="0.3">
      <c r="B91" s="1729" t="s">
        <v>58</v>
      </c>
      <c r="C91" s="3681">
        <f>AVERAGE(C90:N90)</f>
        <v>2.6380952380952385</v>
      </c>
      <c r="D91" s="3682"/>
      <c r="E91" s="3682"/>
      <c r="F91" s="3682"/>
      <c r="G91" s="3682"/>
      <c r="H91" s="3682"/>
      <c r="I91" s="3682"/>
      <c r="J91" s="3682"/>
      <c r="K91" s="3682"/>
      <c r="L91" s="3682"/>
      <c r="M91" s="3682"/>
      <c r="N91" s="3682"/>
      <c r="O91" s="3683"/>
      <c r="P91" s="1730"/>
      <c r="Q91" s="1730"/>
      <c r="R91" s="1730"/>
    </row>
    <row r="92" spans="1:26" ht="31.5" customHeight="1" x14ac:dyDescent="0.3">
      <c r="C92" s="1731"/>
    </row>
    <row r="94" spans="1:26" ht="31.5" customHeight="1" x14ac:dyDescent="0.3">
      <c r="A94" s="2775" t="s">
        <v>148</v>
      </c>
      <c r="B94" s="2775"/>
    </row>
    <row r="96" spans="1:26" ht="31.5" customHeight="1" x14ac:dyDescent="0.3">
      <c r="B96" s="1654" t="s">
        <v>45</v>
      </c>
      <c r="C96" s="1795" t="s">
        <v>68</v>
      </c>
      <c r="D96" s="1795" t="s">
        <v>69</v>
      </c>
      <c r="E96" s="1795" t="s">
        <v>70</v>
      </c>
      <c r="F96" s="1795" t="s">
        <v>71</v>
      </c>
      <c r="G96" s="1795" t="s">
        <v>72</v>
      </c>
      <c r="H96" s="1795" t="s">
        <v>73</v>
      </c>
      <c r="I96" s="1795" t="s">
        <v>74</v>
      </c>
      <c r="J96" s="1796" t="s">
        <v>75</v>
      </c>
      <c r="K96" s="1795" t="s">
        <v>76</v>
      </c>
      <c r="L96" s="1795" t="s">
        <v>77</v>
      </c>
      <c r="M96" s="1795" t="s">
        <v>78</v>
      </c>
      <c r="N96" s="1795" t="s">
        <v>79</v>
      </c>
      <c r="T96" s="1626"/>
      <c r="Z96" s="1038"/>
    </row>
    <row r="97" spans="1:26" ht="31.5" customHeight="1" x14ac:dyDescent="0.3">
      <c r="B97" s="1797" t="s">
        <v>20</v>
      </c>
      <c r="C97" s="1732">
        <f>G75*C85/3</f>
        <v>2.9999999999999996</v>
      </c>
      <c r="D97" s="1732">
        <f>G75*D85/3</f>
        <v>2.9999999999999996</v>
      </c>
      <c r="E97" s="1732">
        <f>G75*E85/3</f>
        <v>2.9999999999999996</v>
      </c>
      <c r="F97" s="1732"/>
      <c r="G97" s="1732">
        <f>G75*G85/3</f>
        <v>0.99999999999999989</v>
      </c>
      <c r="H97" s="1732"/>
      <c r="I97" s="1732"/>
      <c r="J97" s="1732"/>
      <c r="K97" s="1732"/>
      <c r="L97" s="1732"/>
      <c r="M97" s="1732"/>
      <c r="N97" s="1732">
        <f>G75*N85/3</f>
        <v>2.9999999999999996</v>
      </c>
      <c r="T97" s="1626"/>
      <c r="Z97" s="1038"/>
    </row>
    <row r="98" spans="1:26" ht="31.5" customHeight="1" x14ac:dyDescent="0.3">
      <c r="B98" s="1797" t="s">
        <v>21</v>
      </c>
      <c r="C98" s="1732">
        <f>G76*C86/3</f>
        <v>2.9999999999999996</v>
      </c>
      <c r="D98" s="1732">
        <f>G76*D86/3</f>
        <v>2.9999999999999996</v>
      </c>
      <c r="E98" s="1732">
        <f>G76*E86/3</f>
        <v>1.9999999999999998</v>
      </c>
      <c r="F98" s="1732">
        <f>G76*F86/3</f>
        <v>2.9999999999999996</v>
      </c>
      <c r="G98" s="1732">
        <f>G76*G86/3</f>
        <v>0.99999999999999989</v>
      </c>
      <c r="H98" s="1732"/>
      <c r="I98" s="1732"/>
      <c r="J98" s="1732"/>
      <c r="K98" s="1732">
        <f>G76*K86/3</f>
        <v>2.9999999999999996</v>
      </c>
      <c r="L98" s="1732"/>
      <c r="M98" s="1732"/>
      <c r="N98" s="1732">
        <f>G76*N86/3</f>
        <v>2.9999999999999996</v>
      </c>
      <c r="T98" s="1626"/>
      <c r="Z98" s="1038"/>
    </row>
    <row r="99" spans="1:26" ht="31.5" customHeight="1" x14ac:dyDescent="0.3">
      <c r="B99" s="1797" t="s">
        <v>23</v>
      </c>
      <c r="C99" s="1732">
        <f>G77*C87/3</f>
        <v>2.9999999999999996</v>
      </c>
      <c r="D99" s="1732">
        <f>G77*D87/3</f>
        <v>2.9999999999999996</v>
      </c>
      <c r="E99" s="1732">
        <f>G77*E87/3</f>
        <v>1.9999999999999998</v>
      </c>
      <c r="F99" s="1732">
        <f>G77*F87/3</f>
        <v>2.9999999999999996</v>
      </c>
      <c r="G99" s="1732"/>
      <c r="H99" s="1732"/>
      <c r="I99" s="1732"/>
      <c r="J99" s="1732"/>
      <c r="K99" s="1732"/>
      <c r="L99" s="1732"/>
      <c r="M99" s="1732"/>
      <c r="N99" s="1732"/>
      <c r="T99" s="1626"/>
      <c r="Z99" s="1038"/>
    </row>
    <row r="100" spans="1:26" ht="31.5" customHeight="1" x14ac:dyDescent="0.3">
      <c r="B100" s="1797" t="s">
        <v>25</v>
      </c>
      <c r="C100" s="1732">
        <f>G78*C88/3</f>
        <v>2.9999999999999996</v>
      </c>
      <c r="D100" s="1732">
        <f>G78*D88/3</f>
        <v>2.9999999999999996</v>
      </c>
      <c r="E100" s="1732">
        <f>G78*E88/3</f>
        <v>2.9999999999999996</v>
      </c>
      <c r="F100" s="1732">
        <f>G78*F88/3</f>
        <v>2.9999999999999996</v>
      </c>
      <c r="G100" s="1732">
        <f>G78*G88/3</f>
        <v>2.9999999999999996</v>
      </c>
      <c r="H100" s="1732"/>
      <c r="I100" s="1732"/>
      <c r="J100" s="1732"/>
      <c r="K100" s="1732"/>
      <c r="L100" s="1732"/>
      <c r="M100" s="1732"/>
      <c r="N100" s="1732"/>
      <c r="T100" s="1626"/>
      <c r="Z100" s="1038"/>
    </row>
    <row r="101" spans="1:26" ht="31.5" customHeight="1" x14ac:dyDescent="0.3">
      <c r="B101" s="1797" t="s">
        <v>24</v>
      </c>
      <c r="C101" s="1732">
        <f>G79*C89/3</f>
        <v>2.9999999999999996</v>
      </c>
      <c r="D101" s="1732">
        <f>G79*D89/3</f>
        <v>0.99999999999999989</v>
      </c>
      <c r="E101" s="1732">
        <f>G79*E89/3</f>
        <v>0.99999999999999989</v>
      </c>
      <c r="F101" s="1732">
        <f>G79*F89/3</f>
        <v>2.9999999999999996</v>
      </c>
      <c r="G101" s="1732"/>
      <c r="H101" s="1732"/>
      <c r="I101" s="1732"/>
      <c r="J101" s="1732"/>
      <c r="K101" s="1732">
        <f>G79*K89/3</f>
        <v>2.9999999999999996</v>
      </c>
      <c r="L101" s="1732"/>
      <c r="M101" s="1732"/>
      <c r="N101" s="1732"/>
      <c r="T101" s="1626"/>
      <c r="Z101" s="1038"/>
    </row>
    <row r="102" spans="1:26" ht="31.5" customHeight="1" x14ac:dyDescent="0.3">
      <c r="B102" s="1798" t="s">
        <v>10</v>
      </c>
      <c r="C102" s="1654">
        <f>AVERAGE(C97:C101)</f>
        <v>2.9999999999999996</v>
      </c>
      <c r="D102" s="1654">
        <f t="shared" ref="D102:N102" si="13">AVERAGE(D97:D101)</f>
        <v>2.5999999999999996</v>
      </c>
      <c r="E102" s="1654">
        <f t="shared" si="13"/>
        <v>2.1999999999999997</v>
      </c>
      <c r="F102" s="1654">
        <f t="shared" si="13"/>
        <v>2.9999999999999996</v>
      </c>
      <c r="G102" s="1654">
        <f t="shared" si="13"/>
        <v>1.6666666666666663</v>
      </c>
      <c r="H102" s="1654"/>
      <c r="I102" s="1654"/>
      <c r="J102" s="1654"/>
      <c r="K102" s="1654">
        <f t="shared" si="13"/>
        <v>2.9999999999999996</v>
      </c>
      <c r="L102" s="1654"/>
      <c r="M102" s="1654"/>
      <c r="N102" s="1654">
        <f t="shared" si="13"/>
        <v>2.9999999999999996</v>
      </c>
      <c r="T102" s="1626"/>
      <c r="Z102" s="1038"/>
    </row>
    <row r="103" spans="1:26" ht="31.5" customHeight="1" x14ac:dyDescent="0.3">
      <c r="B103" s="1729" t="s">
        <v>58</v>
      </c>
      <c r="C103" s="3752">
        <f>AVERAGE(C102:N102)</f>
        <v>2.638095238095238</v>
      </c>
      <c r="D103" s="3743"/>
      <c r="E103" s="3743"/>
      <c r="F103" s="3743"/>
      <c r="G103" s="3743"/>
      <c r="H103" s="3743"/>
      <c r="I103" s="3743"/>
      <c r="J103" s="3743"/>
      <c r="K103" s="3743"/>
      <c r="L103" s="3743"/>
      <c r="M103" s="3743"/>
      <c r="N103" s="3743"/>
      <c r="O103" s="3753"/>
      <c r="P103" s="1733"/>
      <c r="Q103" s="1733"/>
      <c r="R103" s="1733"/>
    </row>
    <row r="105" spans="1:26" ht="31.5" customHeight="1" x14ac:dyDescent="0.3">
      <c r="A105" s="2775" t="s">
        <v>137</v>
      </c>
      <c r="B105" s="2775"/>
      <c r="L105" s="2775" t="s">
        <v>149</v>
      </c>
      <c r="M105" s="2775"/>
      <c r="N105" s="2775"/>
      <c r="O105" s="1721"/>
      <c r="P105" s="1721"/>
    </row>
    <row r="106" spans="1:26" ht="31.5" customHeight="1" x14ac:dyDescent="0.3">
      <c r="A106" s="1039"/>
      <c r="B106" s="1039"/>
      <c r="M106" s="1724"/>
      <c r="N106" s="1721"/>
      <c r="O106" s="1721"/>
      <c r="Y106" s="1626"/>
      <c r="Z106" s="1038"/>
    </row>
    <row r="107" spans="1:26" ht="31.5" customHeight="1" x14ac:dyDescent="0.3">
      <c r="B107" s="1654" t="s">
        <v>59</v>
      </c>
      <c r="C107" s="1795" t="s">
        <v>60</v>
      </c>
      <c r="D107" s="1795" t="s">
        <v>61</v>
      </c>
      <c r="E107" s="1795" t="s">
        <v>62</v>
      </c>
      <c r="M107" s="1734" t="s">
        <v>59</v>
      </c>
      <c r="N107" s="1795" t="s">
        <v>60</v>
      </c>
      <c r="O107" s="1795" t="s">
        <v>61</v>
      </c>
      <c r="P107" s="1795" t="s">
        <v>62</v>
      </c>
      <c r="Y107" s="1626"/>
      <c r="Z107" s="1038"/>
    </row>
    <row r="108" spans="1:26" ht="31.5" customHeight="1" x14ac:dyDescent="0.3">
      <c r="B108" s="1735" t="s">
        <v>20</v>
      </c>
      <c r="C108" s="1726">
        <v>3</v>
      </c>
      <c r="D108" s="1726">
        <v>1</v>
      </c>
      <c r="E108" s="1726">
        <v>2</v>
      </c>
      <c r="M108" s="1736" t="s">
        <v>20</v>
      </c>
      <c r="N108" s="1732">
        <f>G75*C108/3</f>
        <v>2.9999999999999996</v>
      </c>
      <c r="O108" s="1732">
        <f>G75*D108/3</f>
        <v>0.99999999999999989</v>
      </c>
      <c r="P108" s="1732">
        <f>G75*E108/3</f>
        <v>1.9999999999999998</v>
      </c>
      <c r="Y108" s="1626"/>
      <c r="Z108" s="1038"/>
    </row>
    <row r="109" spans="1:26" ht="31.5" customHeight="1" x14ac:dyDescent="0.3">
      <c r="B109" s="1797" t="s">
        <v>21</v>
      </c>
      <c r="C109" s="1726">
        <v>3</v>
      </c>
      <c r="D109" s="1726">
        <v>1</v>
      </c>
      <c r="E109" s="1726">
        <v>2</v>
      </c>
      <c r="M109" s="1800" t="s">
        <v>21</v>
      </c>
      <c r="N109" s="1732">
        <f>G76*C109/3</f>
        <v>2.9999999999999996</v>
      </c>
      <c r="O109" s="1732">
        <f>G76*D109/3</f>
        <v>0.99999999999999989</v>
      </c>
      <c r="P109" s="1732">
        <f>G76*E109/3</f>
        <v>1.9999999999999998</v>
      </c>
      <c r="Y109" s="1626"/>
      <c r="Z109" s="1038"/>
    </row>
    <row r="110" spans="1:26" ht="31.5" customHeight="1" x14ac:dyDescent="0.3">
      <c r="B110" s="1797" t="s">
        <v>23</v>
      </c>
      <c r="C110" s="1726">
        <v>3</v>
      </c>
      <c r="D110" s="1726">
        <v>3</v>
      </c>
      <c r="E110" s="1726">
        <v>2</v>
      </c>
      <c r="M110" s="1800" t="s">
        <v>23</v>
      </c>
      <c r="N110" s="1732">
        <f>G77*C110/3</f>
        <v>2.9999999999999996</v>
      </c>
      <c r="O110" s="1732">
        <f>G77*D110/3</f>
        <v>2.9999999999999996</v>
      </c>
      <c r="P110" s="1732">
        <f>G77*E110/3</f>
        <v>1.9999999999999998</v>
      </c>
      <c r="Y110" s="1626"/>
      <c r="Z110" s="1038"/>
    </row>
    <row r="111" spans="1:26" ht="31.5" customHeight="1" x14ac:dyDescent="0.3">
      <c r="B111" s="1797" t="s">
        <v>25</v>
      </c>
      <c r="C111" s="1726">
        <v>3</v>
      </c>
      <c r="D111" s="1726">
        <v>3</v>
      </c>
      <c r="E111" s="1726">
        <v>3</v>
      </c>
      <c r="M111" s="1800" t="s">
        <v>25</v>
      </c>
      <c r="N111" s="1732">
        <f>G78*C111/3</f>
        <v>2.9999999999999996</v>
      </c>
      <c r="O111" s="1732">
        <f>G78*D111/3</f>
        <v>2.9999999999999996</v>
      </c>
      <c r="P111" s="1732">
        <f>G78*E111/3</f>
        <v>2.9999999999999996</v>
      </c>
      <c r="Y111" s="1626"/>
      <c r="Z111" s="1038"/>
    </row>
    <row r="112" spans="1:26" ht="31.5" customHeight="1" x14ac:dyDescent="0.3">
      <c r="B112" s="1735" t="s">
        <v>24</v>
      </c>
      <c r="C112" s="1738">
        <v>3</v>
      </c>
      <c r="D112" s="1738">
        <v>1</v>
      </c>
      <c r="E112" s="1738">
        <v>2</v>
      </c>
      <c r="M112" s="1736" t="s">
        <v>24</v>
      </c>
      <c r="N112" s="1732">
        <f>G79*C112/3</f>
        <v>2.9999999999999996</v>
      </c>
      <c r="O112" s="1732">
        <f>G79*D112/3</f>
        <v>0.99999999999999989</v>
      </c>
      <c r="P112" s="1732">
        <f>G79*E112/3</f>
        <v>1.9999999999999998</v>
      </c>
      <c r="Y112" s="1626"/>
      <c r="Z112" s="1038"/>
    </row>
    <row r="113" spans="1:26" ht="31.5" customHeight="1" x14ac:dyDescent="0.3">
      <c r="B113" s="1756" t="s">
        <v>10</v>
      </c>
      <c r="C113" s="1739">
        <f>AVERAGE(C108:C112)</f>
        <v>3</v>
      </c>
      <c r="D113" s="1739">
        <f t="shared" ref="D113:E113" si="14">AVERAGE(D108:D112)</f>
        <v>1.8</v>
      </c>
      <c r="E113" s="1739">
        <f t="shared" si="14"/>
        <v>2.2000000000000002</v>
      </c>
      <c r="M113" s="1801" t="s">
        <v>10</v>
      </c>
      <c r="N113" s="1732">
        <f>AVERAGE(N108:N112)</f>
        <v>2.9999999999999996</v>
      </c>
      <c r="O113" s="1732">
        <f t="shared" ref="O113:P113" si="15">AVERAGE(O108:O112)</f>
        <v>1.7999999999999996</v>
      </c>
      <c r="P113" s="1732">
        <f t="shared" si="15"/>
        <v>2.1999999999999997</v>
      </c>
      <c r="Y113" s="1626"/>
      <c r="Z113" s="1038"/>
    </row>
    <row r="114" spans="1:26" ht="31.5" customHeight="1" x14ac:dyDescent="0.3">
      <c r="A114" s="1716"/>
      <c r="B114" s="1752" t="s">
        <v>58</v>
      </c>
      <c r="C114" s="3681">
        <f>AVERAGE(C113:E113)</f>
        <v>2.3333333333333335</v>
      </c>
      <c r="D114" s="3682"/>
      <c r="E114" s="3683"/>
      <c r="F114" s="1716"/>
      <c r="G114" s="1716"/>
      <c r="H114" s="1716"/>
      <c r="I114" s="1716"/>
      <c r="J114" s="1716"/>
      <c r="K114" s="1716"/>
      <c r="L114" s="1716"/>
      <c r="M114" s="1802" t="s">
        <v>58</v>
      </c>
      <c r="N114" s="3681">
        <f>AVERAGE(N113:P113)</f>
        <v>2.3333333333333326</v>
      </c>
      <c r="O114" s="3682"/>
      <c r="P114" s="3683"/>
      <c r="Q114" s="1716"/>
      <c r="Y114" s="1626"/>
      <c r="Z114" s="1038"/>
    </row>
    <row r="117" spans="1:26" ht="31.5" customHeight="1" x14ac:dyDescent="0.3">
      <c r="A117" s="3747"/>
      <c r="B117" s="3747"/>
      <c r="C117" s="3747"/>
      <c r="D117" s="3747"/>
      <c r="E117" s="3747"/>
      <c r="F117" s="3747"/>
      <c r="G117" s="3747"/>
      <c r="H117" s="3747"/>
      <c r="I117" s="3747"/>
      <c r="J117" s="3747"/>
      <c r="K117" s="3747"/>
      <c r="L117" s="3747"/>
      <c r="M117" s="3747"/>
      <c r="N117" s="3747"/>
      <c r="O117" s="3747"/>
      <c r="P117" s="3747"/>
      <c r="Q117" s="3747"/>
      <c r="R117" s="3747"/>
    </row>
    <row r="118" spans="1:26" ht="31.5" customHeight="1" x14ac:dyDescent="0.3">
      <c r="A118" s="1742"/>
      <c r="B118" s="1742"/>
      <c r="C118" s="1742"/>
      <c r="D118" s="1742"/>
      <c r="E118" s="1742"/>
      <c r="F118" s="1742"/>
      <c r="G118" s="1742"/>
      <c r="H118" s="1742"/>
      <c r="I118" s="1742"/>
      <c r="J118" s="1742"/>
      <c r="K118" s="1742"/>
      <c r="L118" s="1742"/>
      <c r="M118" s="1742"/>
      <c r="N118" s="1742"/>
      <c r="O118" s="1742"/>
      <c r="P118" s="1742"/>
      <c r="Q118" s="1742"/>
      <c r="R118" s="1742"/>
    </row>
    <row r="119" spans="1:26" ht="31.5" customHeight="1" x14ac:dyDescent="0.3">
      <c r="A119" s="3741"/>
      <c r="B119" s="3741"/>
      <c r="C119" s="3741"/>
      <c r="D119" s="3741"/>
      <c r="E119" s="3741"/>
      <c r="F119" s="3741"/>
      <c r="G119" s="3741"/>
      <c r="H119" s="3741"/>
      <c r="I119" s="3741"/>
      <c r="J119" s="3741"/>
      <c r="K119" s="3741"/>
      <c r="L119" s="3741"/>
      <c r="M119" s="3741"/>
      <c r="N119" s="3741"/>
      <c r="O119" s="3741"/>
      <c r="P119" s="3741"/>
      <c r="Q119" s="3741"/>
      <c r="R119" s="3741"/>
    </row>
    <row r="120" spans="1:26" ht="31.5" customHeight="1" x14ac:dyDescent="0.3">
      <c r="A120" s="3741"/>
      <c r="B120" s="3741"/>
      <c r="C120" s="3741"/>
      <c r="D120" s="3741"/>
      <c r="E120" s="3741"/>
      <c r="F120" s="3741"/>
      <c r="G120" s="3741"/>
      <c r="H120" s="3741"/>
      <c r="I120" s="3741"/>
      <c r="J120" s="3741"/>
      <c r="K120" s="3741"/>
      <c r="L120" s="3741"/>
      <c r="M120" s="3741"/>
      <c r="N120" s="3741"/>
      <c r="O120" s="3741"/>
      <c r="P120" s="3741"/>
      <c r="Q120" s="3741"/>
      <c r="R120" s="3741"/>
    </row>
    <row r="121" spans="1:26" ht="31.5" customHeight="1" x14ac:dyDescent="0.3">
      <c r="A121" s="3741"/>
      <c r="B121" s="3741"/>
      <c r="C121" s="3741"/>
      <c r="D121" s="3741"/>
      <c r="E121" s="3741"/>
      <c r="F121" s="3741"/>
      <c r="G121" s="3741"/>
      <c r="H121" s="3741"/>
      <c r="I121" s="3741"/>
      <c r="J121" s="3741"/>
      <c r="K121" s="3741"/>
      <c r="L121" s="3741"/>
      <c r="M121" s="3741"/>
      <c r="N121" s="3741"/>
      <c r="O121" s="3741"/>
      <c r="P121" s="3741"/>
      <c r="Q121" s="3741"/>
      <c r="R121" s="3741"/>
    </row>
    <row r="122" spans="1:26" ht="31.5" customHeight="1" x14ac:dyDescent="0.3">
      <c r="A122" s="3741"/>
      <c r="B122" s="3741"/>
      <c r="C122" s="3741"/>
      <c r="D122" s="3741"/>
      <c r="E122" s="3741"/>
      <c r="F122" s="3741"/>
      <c r="G122" s="3741"/>
      <c r="H122" s="3741"/>
      <c r="I122" s="3741"/>
      <c r="J122" s="3741"/>
      <c r="K122" s="3741"/>
      <c r="L122" s="3741"/>
      <c r="M122" s="3741"/>
      <c r="N122" s="3741"/>
      <c r="O122" s="3741"/>
      <c r="P122" s="3741"/>
      <c r="Q122" s="3741"/>
      <c r="R122" s="3741"/>
    </row>
    <row r="123" spans="1:26" ht="31.5" customHeight="1" x14ac:dyDescent="0.3">
      <c r="A123" s="3741"/>
      <c r="B123" s="3741"/>
      <c r="C123" s="3741"/>
      <c r="D123" s="3741"/>
      <c r="E123" s="3741"/>
      <c r="F123" s="3741"/>
      <c r="G123" s="3741"/>
      <c r="H123" s="3741"/>
      <c r="I123" s="3741"/>
      <c r="J123" s="3741"/>
      <c r="K123" s="3741"/>
      <c r="L123" s="3741"/>
      <c r="M123" s="3741"/>
      <c r="N123" s="3741"/>
      <c r="O123" s="3741"/>
      <c r="P123" s="3741"/>
      <c r="Q123" s="3741"/>
      <c r="R123" s="3741"/>
    </row>
    <row r="124" spans="1:26" ht="31.5" customHeight="1" x14ac:dyDescent="0.3">
      <c r="A124" s="3741"/>
      <c r="B124" s="3741"/>
      <c r="C124" s="3741"/>
      <c r="D124" s="3741"/>
      <c r="E124" s="3741"/>
      <c r="F124" s="3741"/>
      <c r="G124" s="3741"/>
      <c r="H124" s="3741"/>
      <c r="I124" s="3741"/>
      <c r="J124" s="3741"/>
      <c r="K124" s="3741"/>
      <c r="L124" s="3741"/>
      <c r="M124" s="3741"/>
      <c r="N124" s="3741"/>
      <c r="O124" s="3741"/>
      <c r="P124" s="3741"/>
      <c r="Q124" s="3741"/>
      <c r="R124" s="3741"/>
    </row>
    <row r="125" spans="1:26" ht="31.5" customHeight="1" x14ac:dyDescent="0.3">
      <c r="A125" s="3747"/>
      <c r="B125" s="3747"/>
      <c r="C125" s="3747"/>
      <c r="D125" s="3747"/>
      <c r="E125" s="3747"/>
      <c r="F125" s="3747"/>
      <c r="G125" s="3747"/>
      <c r="H125" s="3747"/>
      <c r="I125" s="3747"/>
      <c r="J125" s="3747"/>
      <c r="K125" s="3747"/>
      <c r="L125" s="3747"/>
      <c r="M125" s="3747"/>
      <c r="N125" s="3747"/>
      <c r="O125" s="3747"/>
      <c r="P125" s="3747"/>
      <c r="Q125" s="3747"/>
      <c r="R125" s="3747"/>
    </row>
    <row r="126" spans="1:26" ht="31.5" customHeight="1" x14ac:dyDescent="0.3">
      <c r="A126" s="3749"/>
      <c r="B126" s="3749"/>
      <c r="C126" s="3749"/>
      <c r="D126" s="3749"/>
      <c r="E126" s="3749"/>
      <c r="F126" s="3749"/>
      <c r="G126" s="3749"/>
      <c r="H126" s="3749"/>
      <c r="I126" s="3749"/>
      <c r="J126" s="3749"/>
      <c r="K126" s="3749"/>
      <c r="L126" s="3749"/>
      <c r="M126" s="3749"/>
      <c r="N126" s="3749"/>
      <c r="O126" s="3749"/>
      <c r="P126" s="3749"/>
      <c r="Q126" s="3749"/>
      <c r="R126" s="3749"/>
    </row>
    <row r="127" spans="1:26" ht="31.5" customHeight="1" x14ac:dyDescent="0.3">
      <c r="A127" s="3748"/>
      <c r="B127" s="3748"/>
      <c r="C127" s="3748"/>
      <c r="D127" s="3748"/>
      <c r="E127" s="3748"/>
      <c r="F127" s="3748"/>
      <c r="G127" s="3748"/>
      <c r="H127" s="3748"/>
      <c r="I127" s="3748"/>
      <c r="J127" s="3748"/>
      <c r="K127" s="3748"/>
      <c r="L127" s="3748"/>
      <c r="M127" s="3748"/>
      <c r="N127" s="3748"/>
      <c r="O127" s="3748"/>
      <c r="P127" s="3748"/>
      <c r="Q127" s="3748"/>
      <c r="R127" s="3748"/>
    </row>
    <row r="128" spans="1:26" ht="31.5" customHeight="1" x14ac:dyDescent="0.3">
      <c r="A128" s="3750"/>
      <c r="B128" s="3750"/>
      <c r="C128" s="3750"/>
      <c r="D128" s="3750"/>
      <c r="E128" s="3750"/>
      <c r="F128" s="3750"/>
      <c r="G128" s="3750"/>
      <c r="H128" s="3750"/>
      <c r="I128" s="3750"/>
      <c r="J128" s="3750"/>
      <c r="K128" s="3750"/>
      <c r="L128" s="3750"/>
      <c r="M128" s="3750"/>
      <c r="N128" s="3750"/>
      <c r="O128" s="3750"/>
      <c r="P128" s="3750"/>
      <c r="Q128" s="3750"/>
      <c r="R128" s="3750"/>
    </row>
    <row r="129" spans="1:18" ht="31.5" customHeight="1" x14ac:dyDescent="0.3">
      <c r="A129" s="3751"/>
      <c r="B129" s="3751"/>
      <c r="C129" s="3751"/>
      <c r="D129" s="3751"/>
      <c r="E129" s="3751"/>
      <c r="F129" s="3751"/>
      <c r="G129" s="3751"/>
      <c r="H129" s="3751"/>
      <c r="I129" s="3751"/>
      <c r="J129" s="3751"/>
      <c r="K129" s="3751"/>
      <c r="L129" s="3751"/>
      <c r="M129" s="3751"/>
      <c r="N129" s="3751"/>
      <c r="O129" s="3751"/>
      <c r="P129" s="3751"/>
      <c r="Q129" s="3751"/>
      <c r="R129" s="3751"/>
    </row>
    <row r="130" spans="1:18" ht="31.5" customHeight="1" x14ac:dyDescent="0.3">
      <c r="A130" s="3751"/>
      <c r="B130" s="3751"/>
      <c r="C130" s="3751"/>
      <c r="D130" s="3751"/>
      <c r="E130" s="3751"/>
      <c r="F130" s="3751"/>
      <c r="G130" s="3751"/>
      <c r="H130" s="3751"/>
      <c r="I130" s="3751"/>
      <c r="J130" s="3751"/>
      <c r="K130" s="3751"/>
      <c r="L130" s="3751"/>
      <c r="M130" s="3751"/>
      <c r="N130" s="3751"/>
      <c r="O130" s="3751"/>
      <c r="P130" s="3751"/>
      <c r="Q130" s="3751"/>
      <c r="R130" s="3751"/>
    </row>
    <row r="131" spans="1:18" ht="31.5" customHeight="1" x14ac:dyDescent="0.3">
      <c r="A131" s="3748"/>
      <c r="B131" s="3748"/>
      <c r="C131" s="3748"/>
      <c r="D131" s="3748"/>
      <c r="E131" s="3748"/>
      <c r="F131" s="3748"/>
      <c r="G131" s="3748"/>
      <c r="H131" s="3748"/>
      <c r="I131" s="3748"/>
      <c r="J131" s="3748"/>
      <c r="K131" s="3748"/>
      <c r="L131" s="3748"/>
      <c r="M131" s="3748"/>
      <c r="N131" s="3748"/>
      <c r="O131" s="3748"/>
      <c r="P131" s="3748"/>
      <c r="Q131" s="3748"/>
      <c r="R131" s="3748"/>
    </row>
  </sheetData>
  <mergeCells count="68">
    <mergeCell ref="A2:B2"/>
    <mergeCell ref="C2:N2"/>
    <mergeCell ref="P2:Z2"/>
    <mergeCell ref="A3:B3"/>
    <mergeCell ref="C3:N3"/>
    <mergeCell ref="P3:Z3"/>
    <mergeCell ref="T6:U6"/>
    <mergeCell ref="V6:W6"/>
    <mergeCell ref="C4:N4"/>
    <mergeCell ref="P4:Z4"/>
    <mergeCell ref="A5:B5"/>
    <mergeCell ref="C5:N5"/>
    <mergeCell ref="O5:Z5"/>
    <mergeCell ref="A6:A8"/>
    <mergeCell ref="B6:B7"/>
    <mergeCell ref="C6:E6"/>
    <mergeCell ref="F6:G6"/>
    <mergeCell ref="H6:I6"/>
    <mergeCell ref="AF6:AF8"/>
    <mergeCell ref="AG6:AG8"/>
    <mergeCell ref="A70:B70"/>
    <mergeCell ref="A71:B71"/>
    <mergeCell ref="E74:F74"/>
    <mergeCell ref="G74:I74"/>
    <mergeCell ref="X6:Y6"/>
    <mergeCell ref="AA6:AA8"/>
    <mergeCell ref="AB6:AB8"/>
    <mergeCell ref="AC6:AC8"/>
    <mergeCell ref="AD6:AD8"/>
    <mergeCell ref="AE6:AE8"/>
    <mergeCell ref="J6:K6"/>
    <mergeCell ref="L6:M6"/>
    <mergeCell ref="O6:Q6"/>
    <mergeCell ref="R6:S6"/>
    <mergeCell ref="E75:F75"/>
    <mergeCell ref="G75:I75"/>
    <mergeCell ref="E76:F76"/>
    <mergeCell ref="G76:I76"/>
    <mergeCell ref="E77:F77"/>
    <mergeCell ref="G77:I77"/>
    <mergeCell ref="E78:F78"/>
    <mergeCell ref="G78:I78"/>
    <mergeCell ref="E79:F79"/>
    <mergeCell ref="G79:I79"/>
    <mergeCell ref="B80:F80"/>
    <mergeCell ref="G80:I80"/>
    <mergeCell ref="A121:R121"/>
    <mergeCell ref="A82:B82"/>
    <mergeCell ref="C91:O91"/>
    <mergeCell ref="A94:B94"/>
    <mergeCell ref="C103:O103"/>
    <mergeCell ref="A105:B105"/>
    <mergeCell ref="L105:N105"/>
    <mergeCell ref="C114:E114"/>
    <mergeCell ref="N114:P114"/>
    <mergeCell ref="A117:R117"/>
    <mergeCell ref="A119:R119"/>
    <mergeCell ref="A120:R120"/>
    <mergeCell ref="A128:R128"/>
    <mergeCell ref="A129:R129"/>
    <mergeCell ref="A130:R130"/>
    <mergeCell ref="A131:R131"/>
    <mergeCell ref="A122:R122"/>
    <mergeCell ref="A123:R123"/>
    <mergeCell ref="A124:R124"/>
    <mergeCell ref="A125:R125"/>
    <mergeCell ref="A126:R126"/>
    <mergeCell ref="A127:R127"/>
  </mergeCells>
  <conditionalFormatting sqref="AF10:AF67">
    <cfRule type="containsText" dxfId="26" priority="1" operator="containsText" text="F">
      <formula>NOT(ISERROR(SEARCH("F",AF10)))</formula>
    </cfRule>
  </conditionalFormatting>
  <pageMargins left="0.7" right="0.7" top="0.75" bottom="0.75" header="0.3" footer="0.3"/>
  <pageSetup paperSize="8" scale="32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1"/>
  <sheetViews>
    <sheetView view="pageBreakPreview" topLeftCell="A100" zoomScale="60" zoomScaleNormal="73" workbookViewId="0">
      <selection activeCell="D102" sqref="D102"/>
    </sheetView>
  </sheetViews>
  <sheetFormatPr defaultColWidth="9.140625" defaultRowHeight="29.25" customHeight="1" x14ac:dyDescent="0.3"/>
  <cols>
    <col min="1" max="1" width="15.140625" style="1116" bestFit="1" customWidth="1"/>
    <col min="2" max="2" width="18.28515625" style="1116" bestFit="1" customWidth="1"/>
    <col min="3" max="7" width="8.7109375" style="1367" customWidth="1"/>
    <col min="8" max="8" width="9.42578125" style="1367" customWidth="1"/>
    <col min="9" max="9" width="12.140625" style="1367" customWidth="1"/>
    <col min="10" max="13" width="8.7109375" style="1367" customWidth="1"/>
    <col min="14" max="14" width="10.5703125" style="1181" customWidth="1"/>
    <col min="15" max="15" width="10.5703125" style="1116" customWidth="1"/>
    <col min="16" max="18" width="11.140625" style="1116" bestFit="1" customWidth="1"/>
    <col min="19" max="20" width="9.140625" style="1116"/>
    <col min="21" max="22" width="10.42578125" style="1116" customWidth="1"/>
    <col min="23" max="23" width="11.7109375" style="1116" customWidth="1"/>
    <col min="24" max="24" width="8.7109375" style="1116" customWidth="1"/>
    <col min="25" max="25" width="11.28515625" style="1116" customWidth="1"/>
    <col min="26" max="26" width="10.5703125" style="1181" customWidth="1"/>
    <col min="27" max="29" width="9.140625" style="1116"/>
    <col min="30" max="30" width="10.42578125" style="1116" customWidth="1"/>
    <col min="31" max="33" width="9.140625" style="1116"/>
    <col min="34" max="36" width="8" style="1116" customWidth="1"/>
    <col min="37" max="16384" width="9.140625" style="1116"/>
  </cols>
  <sheetData>
    <row r="1" spans="1:36" ht="29.25" customHeight="1" x14ac:dyDescent="0.3">
      <c r="A1" s="1831"/>
    </row>
    <row r="2" spans="1:36" ht="29.25" customHeight="1" x14ac:dyDescent="0.3">
      <c r="A2" s="3403" t="s">
        <v>0</v>
      </c>
      <c r="B2" s="3404"/>
      <c r="C2" s="3405" t="s">
        <v>298</v>
      </c>
      <c r="D2" s="3317"/>
      <c r="E2" s="3317"/>
      <c r="F2" s="3317"/>
      <c r="G2" s="3317"/>
      <c r="H2" s="3317"/>
      <c r="I2" s="3317"/>
      <c r="J2" s="3317"/>
      <c r="K2" s="3317"/>
      <c r="L2" s="3317"/>
      <c r="M2" s="3317"/>
      <c r="N2" s="3406"/>
      <c r="O2" s="1115" t="s">
        <v>63</v>
      </c>
      <c r="P2" s="3611" t="s">
        <v>299</v>
      </c>
      <c r="Q2" s="3612"/>
      <c r="R2" s="3612"/>
      <c r="S2" s="3612"/>
      <c r="T2" s="3612"/>
      <c r="U2" s="3612"/>
      <c r="V2" s="3612"/>
      <c r="W2" s="3612"/>
      <c r="X2" s="3612"/>
      <c r="Y2" s="3612"/>
      <c r="Z2" s="3612"/>
    </row>
    <row r="3" spans="1:36" ht="29.25" customHeight="1" x14ac:dyDescent="0.3">
      <c r="A3" s="3403" t="s">
        <v>1</v>
      </c>
      <c r="B3" s="3404"/>
      <c r="C3" s="3405" t="s">
        <v>300</v>
      </c>
      <c r="D3" s="3317"/>
      <c r="E3" s="3317"/>
      <c r="F3" s="3317"/>
      <c r="G3" s="3317"/>
      <c r="H3" s="3317"/>
      <c r="I3" s="3317"/>
      <c r="J3" s="3317"/>
      <c r="K3" s="3317"/>
      <c r="L3" s="3317"/>
      <c r="M3" s="3317"/>
      <c r="N3" s="3406"/>
      <c r="O3" s="1117" t="s">
        <v>64</v>
      </c>
      <c r="P3" s="3611" t="s">
        <v>232</v>
      </c>
      <c r="Q3" s="3612"/>
      <c r="R3" s="3612"/>
      <c r="S3" s="3612"/>
      <c r="T3" s="3612"/>
      <c r="U3" s="3612"/>
      <c r="V3" s="3612"/>
      <c r="W3" s="3612"/>
      <c r="X3" s="3612"/>
      <c r="Y3" s="3612"/>
      <c r="Z3" s="3612"/>
    </row>
    <row r="4" spans="1:36" ht="29.25" customHeight="1" thickBot="1" x14ac:dyDescent="0.35">
      <c r="A4" s="1832"/>
      <c r="B4" s="1833" t="s">
        <v>2</v>
      </c>
      <c r="C4" s="3855" t="s">
        <v>301</v>
      </c>
      <c r="D4" s="3856"/>
      <c r="E4" s="3856"/>
      <c r="F4" s="3856"/>
      <c r="G4" s="3856"/>
      <c r="H4" s="3856"/>
      <c r="I4" s="3856"/>
      <c r="J4" s="3856"/>
      <c r="K4" s="3856"/>
      <c r="L4" s="3856"/>
      <c r="M4" s="3856"/>
      <c r="N4" s="3857"/>
      <c r="O4" s="1833" t="s">
        <v>65</v>
      </c>
      <c r="P4" s="3858" t="s">
        <v>66</v>
      </c>
      <c r="Q4" s="3859"/>
      <c r="R4" s="3859"/>
      <c r="S4" s="3859"/>
      <c r="T4" s="3859"/>
      <c r="U4" s="3859"/>
      <c r="V4" s="3859"/>
      <c r="W4" s="3859"/>
      <c r="X4" s="3859"/>
      <c r="Y4" s="3859"/>
      <c r="Z4" s="3859"/>
    </row>
    <row r="5" spans="1:36" ht="29.25" customHeight="1" thickBot="1" x14ac:dyDescent="0.35">
      <c r="A5" s="3336"/>
      <c r="B5" s="3415"/>
      <c r="C5" s="3416" t="s">
        <v>302</v>
      </c>
      <c r="D5" s="3417"/>
      <c r="E5" s="3417"/>
      <c r="F5" s="3417"/>
      <c r="G5" s="3417"/>
      <c r="H5" s="3417"/>
      <c r="I5" s="3417"/>
      <c r="J5" s="3417"/>
      <c r="K5" s="3417"/>
      <c r="L5" s="3417"/>
      <c r="M5" s="3417"/>
      <c r="N5" s="3860"/>
      <c r="O5" s="3342" t="s">
        <v>303</v>
      </c>
      <c r="P5" s="3342"/>
      <c r="Q5" s="3342"/>
      <c r="R5" s="3342"/>
      <c r="S5" s="3342"/>
      <c r="T5" s="3342"/>
      <c r="U5" s="3342"/>
      <c r="V5" s="3342"/>
      <c r="W5" s="3342"/>
      <c r="X5" s="3342"/>
      <c r="Y5" s="3342"/>
      <c r="Z5" s="3342"/>
      <c r="AA5" s="1834"/>
      <c r="AB5" s="1014"/>
      <c r="AC5" s="1014"/>
      <c r="AD5" s="1014"/>
      <c r="AE5" s="1014"/>
      <c r="AF5" s="1014"/>
      <c r="AG5" s="1118"/>
      <c r="AH5" s="1118"/>
      <c r="AI5" s="1118"/>
      <c r="AJ5" s="1118"/>
    </row>
    <row r="6" spans="1:36" ht="29.25" customHeight="1" thickBot="1" x14ac:dyDescent="0.35">
      <c r="A6" s="3861"/>
      <c r="B6" s="3852" t="s">
        <v>5</v>
      </c>
      <c r="C6" s="3229" t="s">
        <v>6</v>
      </c>
      <c r="D6" s="3229"/>
      <c r="E6" s="3229"/>
      <c r="F6" s="3870" t="s">
        <v>7</v>
      </c>
      <c r="G6" s="3871"/>
      <c r="H6" s="3870" t="s">
        <v>8</v>
      </c>
      <c r="I6" s="3871"/>
      <c r="J6" s="3872" t="s">
        <v>9</v>
      </c>
      <c r="K6" s="3869"/>
      <c r="L6" s="3872" t="s">
        <v>236</v>
      </c>
      <c r="M6" s="3869"/>
      <c r="N6" s="1368" t="s">
        <v>146</v>
      </c>
      <c r="O6" s="3873" t="s">
        <v>6</v>
      </c>
      <c r="P6" s="3874"/>
      <c r="Q6" s="3875"/>
      <c r="R6" s="3876" t="s">
        <v>7</v>
      </c>
      <c r="S6" s="3425"/>
      <c r="T6" s="3876" t="s">
        <v>8</v>
      </c>
      <c r="U6" s="3425"/>
      <c r="V6" s="3877" t="s">
        <v>9</v>
      </c>
      <c r="W6" s="3877"/>
      <c r="X6" s="3876" t="s">
        <v>236</v>
      </c>
      <c r="Y6" s="3878"/>
      <c r="Z6" s="1835" t="s">
        <v>147</v>
      </c>
      <c r="AA6" s="3879" t="s">
        <v>151</v>
      </c>
      <c r="AB6" s="3350" t="s">
        <v>152</v>
      </c>
      <c r="AC6" s="3350" t="s">
        <v>153</v>
      </c>
      <c r="AD6" s="3867" t="s">
        <v>304</v>
      </c>
      <c r="AE6" s="3426" t="s">
        <v>10</v>
      </c>
      <c r="AF6" s="1836"/>
      <c r="AG6" s="3881" t="s">
        <v>11</v>
      </c>
      <c r="AH6" s="3864" t="s">
        <v>12</v>
      </c>
      <c r="AI6" s="1121"/>
    </row>
    <row r="7" spans="1:36" ht="29.25" customHeight="1" x14ac:dyDescent="0.3">
      <c r="A7" s="3862"/>
      <c r="B7" s="3853"/>
      <c r="C7" s="1161" t="s">
        <v>13</v>
      </c>
      <c r="D7" s="1126" t="s">
        <v>14</v>
      </c>
      <c r="E7" s="1129" t="s">
        <v>15</v>
      </c>
      <c r="F7" s="1122" t="s">
        <v>13</v>
      </c>
      <c r="G7" s="1235" t="s">
        <v>14</v>
      </c>
      <c r="H7" s="1122" t="s">
        <v>13</v>
      </c>
      <c r="I7" s="1235" t="s">
        <v>14</v>
      </c>
      <c r="J7" s="1122" t="s">
        <v>13</v>
      </c>
      <c r="K7" s="1235" t="s">
        <v>14</v>
      </c>
      <c r="L7" s="1837" t="s">
        <v>13</v>
      </c>
      <c r="M7" s="1235" t="s">
        <v>14</v>
      </c>
      <c r="N7" s="1838"/>
      <c r="O7" s="1122" t="s">
        <v>13</v>
      </c>
      <c r="P7" s="1126" t="s">
        <v>14</v>
      </c>
      <c r="Q7" s="1235" t="s">
        <v>15</v>
      </c>
      <c r="R7" s="1122" t="s">
        <v>13</v>
      </c>
      <c r="S7" s="1235"/>
      <c r="T7" s="1122" t="s">
        <v>13</v>
      </c>
      <c r="U7" s="1129" t="s">
        <v>14</v>
      </c>
      <c r="V7" s="1120" t="s">
        <v>13</v>
      </c>
      <c r="W7" s="1839" t="s">
        <v>14</v>
      </c>
      <c r="X7" s="1122" t="s">
        <v>13</v>
      </c>
      <c r="Y7" s="1129" t="s">
        <v>14</v>
      </c>
      <c r="Z7" s="1130"/>
      <c r="AA7" s="3880"/>
      <c r="AB7" s="3351"/>
      <c r="AC7" s="3351"/>
      <c r="AD7" s="3868"/>
      <c r="AE7" s="3427"/>
      <c r="AF7" s="1840"/>
      <c r="AG7" s="3882"/>
      <c r="AH7" s="3865"/>
      <c r="AI7" s="1125"/>
      <c r="AJ7" s="1127"/>
    </row>
    <row r="8" spans="1:36" ht="29.25" customHeight="1" x14ac:dyDescent="0.3">
      <c r="A8" s="3863"/>
      <c r="B8" s="1841" t="s">
        <v>19</v>
      </c>
      <c r="C8" s="1161" t="s">
        <v>22</v>
      </c>
      <c r="D8" s="1122" t="s">
        <v>21</v>
      </c>
      <c r="E8" s="1236" t="s">
        <v>23</v>
      </c>
      <c r="F8" s="1236" t="s">
        <v>20</v>
      </c>
      <c r="G8" s="1130" t="s">
        <v>20</v>
      </c>
      <c r="H8" s="1236" t="s">
        <v>21</v>
      </c>
      <c r="I8" s="1235" t="s">
        <v>21</v>
      </c>
      <c r="J8" s="1460" t="s">
        <v>23</v>
      </c>
      <c r="K8" s="1842" t="s">
        <v>23</v>
      </c>
      <c r="L8" s="1461" t="s">
        <v>20</v>
      </c>
      <c r="M8" s="1843" t="s">
        <v>21</v>
      </c>
      <c r="N8" s="1280"/>
      <c r="O8" s="1122" t="s">
        <v>42</v>
      </c>
      <c r="P8" s="1126" t="s">
        <v>42</v>
      </c>
      <c r="Q8" s="1235" t="s">
        <v>43</v>
      </c>
      <c r="R8" s="1122" t="s">
        <v>42</v>
      </c>
      <c r="S8" s="1235"/>
      <c r="T8" s="1122" t="s">
        <v>25</v>
      </c>
      <c r="U8" s="1129" t="s">
        <v>42</v>
      </c>
      <c r="V8" s="1122" t="s">
        <v>43</v>
      </c>
      <c r="W8" s="1129" t="s">
        <v>43</v>
      </c>
      <c r="X8" s="1122" t="s">
        <v>43</v>
      </c>
      <c r="Y8" s="1236" t="s">
        <v>43</v>
      </c>
      <c r="Z8" s="1130" t="s">
        <v>237</v>
      </c>
      <c r="AA8" s="3432"/>
      <c r="AB8" s="3352"/>
      <c r="AC8" s="3352"/>
      <c r="AD8" s="3869"/>
      <c r="AE8" s="3854"/>
      <c r="AF8" s="1844"/>
      <c r="AG8" s="3872"/>
      <c r="AH8" s="3866"/>
      <c r="AI8" s="1125"/>
      <c r="AJ8" s="1127"/>
    </row>
    <row r="9" spans="1:36" ht="29.25" customHeight="1" x14ac:dyDescent="0.3">
      <c r="A9" s="1129" t="s">
        <v>18</v>
      </c>
      <c r="B9" s="1130" t="s">
        <v>26</v>
      </c>
      <c r="C9" s="1161">
        <v>2</v>
      </c>
      <c r="D9" s="1126">
        <v>2</v>
      </c>
      <c r="E9" s="1129">
        <v>2</v>
      </c>
      <c r="F9" s="1122">
        <v>6</v>
      </c>
      <c r="G9" s="1235">
        <v>6</v>
      </c>
      <c r="H9" s="1122">
        <v>6</v>
      </c>
      <c r="I9" s="1235">
        <v>6</v>
      </c>
      <c r="J9" s="1122">
        <v>6</v>
      </c>
      <c r="K9" s="1282">
        <v>6</v>
      </c>
      <c r="L9" s="1122">
        <v>6</v>
      </c>
      <c r="M9" s="1235">
        <v>6</v>
      </c>
      <c r="N9" s="1280">
        <v>30</v>
      </c>
      <c r="O9" s="1122">
        <v>2</v>
      </c>
      <c r="P9" s="1126">
        <v>2</v>
      </c>
      <c r="Q9" s="1235">
        <v>2</v>
      </c>
      <c r="R9" s="1122">
        <v>12</v>
      </c>
      <c r="S9" s="1235"/>
      <c r="T9" s="1122">
        <v>6</v>
      </c>
      <c r="U9" s="1129">
        <v>6</v>
      </c>
      <c r="V9" s="1122">
        <v>6</v>
      </c>
      <c r="W9" s="1129">
        <v>6</v>
      </c>
      <c r="X9" s="1126">
        <v>6</v>
      </c>
      <c r="Y9" s="1280">
        <v>6</v>
      </c>
      <c r="Z9" s="1845">
        <v>30</v>
      </c>
      <c r="AA9" s="1161">
        <v>10</v>
      </c>
      <c r="AB9" s="1126">
        <v>10</v>
      </c>
      <c r="AC9" s="1126">
        <v>10</v>
      </c>
      <c r="AD9" s="1126">
        <v>10</v>
      </c>
      <c r="AE9" s="1013"/>
      <c r="AF9" s="1013"/>
      <c r="AG9" s="1013"/>
      <c r="AH9" s="1013"/>
      <c r="AI9" s="1013"/>
      <c r="AJ9" s="193"/>
    </row>
    <row r="10" spans="1:36" ht="29.25" customHeight="1" x14ac:dyDescent="0.3">
      <c r="A10" s="1129">
        <v>1</v>
      </c>
      <c r="B10" s="1846">
        <v>5191421001</v>
      </c>
      <c r="C10" s="1847">
        <v>1</v>
      </c>
      <c r="D10" s="1145">
        <v>1</v>
      </c>
      <c r="E10" s="1132">
        <v>1</v>
      </c>
      <c r="F10" s="1464">
        <v>5</v>
      </c>
      <c r="G10" s="1257">
        <v>5</v>
      </c>
      <c r="H10" s="1464"/>
      <c r="I10" s="1465"/>
      <c r="J10" s="1464"/>
      <c r="K10" s="1848"/>
      <c r="L10" s="1138"/>
      <c r="M10" s="1220">
        <v>4</v>
      </c>
      <c r="N10" s="1849">
        <v>17</v>
      </c>
      <c r="O10" s="1136">
        <v>2</v>
      </c>
      <c r="P10" s="1137"/>
      <c r="Q10" s="1466">
        <v>1</v>
      </c>
      <c r="R10" s="1136"/>
      <c r="S10" s="1220"/>
      <c r="T10" s="1138">
        <v>5</v>
      </c>
      <c r="U10" s="1238">
        <v>5</v>
      </c>
      <c r="V10" s="1138"/>
      <c r="W10" s="1238">
        <v>5</v>
      </c>
      <c r="X10" s="1138"/>
      <c r="Y10" s="1480"/>
      <c r="Z10" s="1850">
        <v>18</v>
      </c>
      <c r="AA10" s="1851">
        <v>9</v>
      </c>
      <c r="AB10" s="1157">
        <v>10</v>
      </c>
      <c r="AC10" s="1157">
        <v>9</v>
      </c>
      <c r="AD10" s="1157">
        <v>8</v>
      </c>
      <c r="AE10" s="1157">
        <f>AVERAGE(AA10:AD10)</f>
        <v>9</v>
      </c>
      <c r="AF10" s="1261"/>
      <c r="AG10" s="940" t="s">
        <v>32</v>
      </c>
      <c r="AH10" s="1134">
        <f>IF(AG10="O",100,IF(AG10="A+",90,IF(AG10="A",80,IF(AG10="B+",70,IF(AG10="B",60,IF(AG10="C",55,IF(AG10="P",50,IF(AG10="F",39))))))))</f>
        <v>70</v>
      </c>
    </row>
    <row r="11" spans="1:36" ht="29.25" customHeight="1" x14ac:dyDescent="0.3">
      <c r="A11" s="1852">
        <v>2</v>
      </c>
      <c r="B11" s="1853">
        <v>5191421002</v>
      </c>
      <c r="C11" s="1854">
        <v>2</v>
      </c>
      <c r="D11" s="1855">
        <v>1</v>
      </c>
      <c r="E11" s="1856">
        <v>1</v>
      </c>
      <c r="F11" s="1857">
        <v>5</v>
      </c>
      <c r="G11" s="1858">
        <v>4</v>
      </c>
      <c r="H11" s="1857"/>
      <c r="I11" s="1859"/>
      <c r="J11" s="1857"/>
      <c r="K11" s="1858"/>
      <c r="L11" s="1138"/>
      <c r="M11" s="1220"/>
      <c r="N11" s="1849">
        <v>13</v>
      </c>
      <c r="O11" s="1860">
        <v>2</v>
      </c>
      <c r="P11" s="1861"/>
      <c r="Q11" s="1862"/>
      <c r="R11" s="1860"/>
      <c r="S11" s="1220"/>
      <c r="T11" s="1138">
        <v>4</v>
      </c>
      <c r="U11" s="1238">
        <v>2</v>
      </c>
      <c r="V11" s="1138">
        <v>6</v>
      </c>
      <c r="W11" s="1238">
        <v>4</v>
      </c>
      <c r="X11" s="1857"/>
      <c r="Y11" s="1863"/>
      <c r="Z11" s="1850">
        <v>18</v>
      </c>
      <c r="AA11" s="1851">
        <v>10</v>
      </c>
      <c r="AB11" s="1157">
        <v>10</v>
      </c>
      <c r="AC11" s="1157">
        <v>10</v>
      </c>
      <c r="AD11" s="1157">
        <v>10</v>
      </c>
      <c r="AE11" s="1157">
        <f t="shared" ref="AE11:AE63" si="0">AVERAGE(AA11:AD11)</f>
        <v>10</v>
      </c>
      <c r="AF11" s="1261"/>
      <c r="AG11" s="940" t="s">
        <v>27</v>
      </c>
      <c r="AH11" s="1134">
        <f t="shared" ref="AH11:AH67" si="1">IF(AG11="O",100,IF(AG11="A+",90,IF(AG11="A",80,IF(AG11="B+",70,IF(AG11="B",60,IF(AG11="C",55,IF(AG11="P",50,IF(AG11="F",39))))))))</f>
        <v>80</v>
      </c>
    </row>
    <row r="12" spans="1:36" ht="29.25" customHeight="1" x14ac:dyDescent="0.3">
      <c r="A12" s="1129">
        <v>3</v>
      </c>
      <c r="B12" s="1846">
        <v>5191421003</v>
      </c>
      <c r="C12" s="1140">
        <v>2</v>
      </c>
      <c r="D12" s="1137">
        <v>1</v>
      </c>
      <c r="E12" s="1144">
        <v>1</v>
      </c>
      <c r="F12" s="1136">
        <v>5</v>
      </c>
      <c r="G12" s="1220">
        <v>6</v>
      </c>
      <c r="H12" s="1138"/>
      <c r="I12" s="1220"/>
      <c r="J12" s="1138">
        <v>6</v>
      </c>
      <c r="K12" s="1220">
        <v>5</v>
      </c>
      <c r="L12" s="1138"/>
      <c r="M12" s="1220"/>
      <c r="N12" s="1849">
        <v>26</v>
      </c>
      <c r="O12" s="1136">
        <v>2</v>
      </c>
      <c r="P12" s="1137"/>
      <c r="Q12" s="1466"/>
      <c r="R12" s="1136">
        <v>11</v>
      </c>
      <c r="S12" s="1220"/>
      <c r="T12" s="1138"/>
      <c r="U12" s="1238"/>
      <c r="V12" s="1138"/>
      <c r="W12" s="1238"/>
      <c r="X12" s="1138">
        <v>6</v>
      </c>
      <c r="Y12" s="1864">
        <v>6</v>
      </c>
      <c r="Z12" s="1850">
        <v>25</v>
      </c>
      <c r="AA12" s="1851">
        <v>10</v>
      </c>
      <c r="AB12" s="1157">
        <v>10</v>
      </c>
      <c r="AC12" s="1157">
        <v>10</v>
      </c>
      <c r="AD12" s="1157">
        <v>10</v>
      </c>
      <c r="AE12" s="1157">
        <f t="shared" si="0"/>
        <v>10</v>
      </c>
      <c r="AF12" s="1261"/>
      <c r="AG12" s="940" t="s">
        <v>30</v>
      </c>
      <c r="AH12" s="1134">
        <f t="shared" si="1"/>
        <v>90</v>
      </c>
    </row>
    <row r="13" spans="1:36" ht="29.25" customHeight="1" x14ac:dyDescent="0.3">
      <c r="A13" s="1129">
        <v>4</v>
      </c>
      <c r="B13" s="1846">
        <v>5191421004</v>
      </c>
      <c r="C13" s="1847">
        <v>1</v>
      </c>
      <c r="D13" s="1137">
        <v>1</v>
      </c>
      <c r="E13" s="1144">
        <v>1</v>
      </c>
      <c r="F13" s="1136">
        <v>5</v>
      </c>
      <c r="G13" s="1220">
        <v>5</v>
      </c>
      <c r="H13" s="1138"/>
      <c r="I13" s="1220"/>
      <c r="J13" s="1138"/>
      <c r="K13" s="1220"/>
      <c r="L13" s="1138"/>
      <c r="M13" s="1220"/>
      <c r="N13" s="1849">
        <v>13</v>
      </c>
      <c r="O13" s="1136"/>
      <c r="P13" s="1137"/>
      <c r="Q13" s="1466">
        <v>1</v>
      </c>
      <c r="R13" s="1136"/>
      <c r="S13" s="1220"/>
      <c r="T13" s="1138">
        <v>5</v>
      </c>
      <c r="U13" s="1238">
        <v>2</v>
      </c>
      <c r="V13" s="1138">
        <v>6</v>
      </c>
      <c r="W13" s="1238">
        <v>2</v>
      </c>
      <c r="X13" s="1138"/>
      <c r="Y13" s="1864"/>
      <c r="Z13" s="1850">
        <v>16</v>
      </c>
      <c r="AA13" s="1851">
        <v>10</v>
      </c>
      <c r="AB13" s="1157">
        <v>10</v>
      </c>
      <c r="AC13" s="1157">
        <v>10</v>
      </c>
      <c r="AD13" s="1157">
        <v>10</v>
      </c>
      <c r="AE13" s="1157">
        <f t="shared" si="0"/>
        <v>10</v>
      </c>
      <c r="AF13" s="1261"/>
      <c r="AG13" s="940" t="s">
        <v>32</v>
      </c>
      <c r="AH13" s="1134">
        <f t="shared" si="1"/>
        <v>70</v>
      </c>
    </row>
    <row r="14" spans="1:36" ht="29.25" customHeight="1" x14ac:dyDescent="0.3">
      <c r="A14" s="1272">
        <v>5</v>
      </c>
      <c r="B14" s="1865">
        <v>5191421005</v>
      </c>
      <c r="C14" s="1217">
        <v>1</v>
      </c>
      <c r="D14" s="1214">
        <v>1</v>
      </c>
      <c r="E14" s="1866">
        <v>1</v>
      </c>
      <c r="F14" s="1213">
        <v>6</v>
      </c>
      <c r="G14" s="1215">
        <v>5</v>
      </c>
      <c r="H14" s="1216"/>
      <c r="I14" s="1472"/>
      <c r="J14" s="1216"/>
      <c r="K14" s="1215"/>
      <c r="L14" s="1138">
        <v>6</v>
      </c>
      <c r="M14" s="1220">
        <v>2</v>
      </c>
      <c r="N14" s="1849">
        <v>22</v>
      </c>
      <c r="O14" s="1213">
        <v>2</v>
      </c>
      <c r="P14" s="1214">
        <v>1</v>
      </c>
      <c r="Q14" s="1471">
        <v>1</v>
      </c>
      <c r="R14" s="1213">
        <v>12</v>
      </c>
      <c r="S14" s="1220"/>
      <c r="T14" s="1138"/>
      <c r="U14" s="1238"/>
      <c r="V14" s="1138">
        <v>6</v>
      </c>
      <c r="W14" s="1238">
        <v>6</v>
      </c>
      <c r="X14" s="1216"/>
      <c r="Y14" s="1867"/>
      <c r="Z14" s="1850">
        <v>28</v>
      </c>
      <c r="AA14" s="1851">
        <v>10</v>
      </c>
      <c r="AB14" s="1157">
        <v>10</v>
      </c>
      <c r="AC14" s="1157">
        <v>10</v>
      </c>
      <c r="AD14" s="1157">
        <v>10</v>
      </c>
      <c r="AE14" s="1157">
        <f t="shared" si="0"/>
        <v>10</v>
      </c>
      <c r="AF14" s="1261"/>
      <c r="AG14" s="940" t="s">
        <v>82</v>
      </c>
      <c r="AH14" s="1134">
        <f t="shared" si="1"/>
        <v>100</v>
      </c>
    </row>
    <row r="15" spans="1:36" ht="29.25" customHeight="1" x14ac:dyDescent="0.3">
      <c r="A15" s="1129">
        <v>6</v>
      </c>
      <c r="B15" s="1846">
        <v>5191421006</v>
      </c>
      <c r="C15" s="1140">
        <v>1</v>
      </c>
      <c r="D15" s="1137">
        <v>1</v>
      </c>
      <c r="E15" s="1144">
        <v>1</v>
      </c>
      <c r="F15" s="1136"/>
      <c r="G15" s="1220"/>
      <c r="H15" s="1138">
        <v>4</v>
      </c>
      <c r="I15" s="1353">
        <v>5</v>
      </c>
      <c r="J15" s="1138"/>
      <c r="K15" s="1220"/>
      <c r="L15" s="1138">
        <v>5</v>
      </c>
      <c r="M15" s="1220">
        <v>3</v>
      </c>
      <c r="N15" s="1849">
        <v>20</v>
      </c>
      <c r="O15" s="1136" t="s">
        <v>305</v>
      </c>
      <c r="P15" s="1137"/>
      <c r="Q15" s="1466"/>
      <c r="R15" s="1136"/>
      <c r="S15" s="1220"/>
      <c r="T15" s="1138">
        <v>3</v>
      </c>
      <c r="U15" s="1238">
        <v>4</v>
      </c>
      <c r="V15" s="1138"/>
      <c r="W15" s="1238"/>
      <c r="X15" s="1138">
        <v>5</v>
      </c>
      <c r="Y15" s="1864">
        <v>5</v>
      </c>
      <c r="Z15" s="1850">
        <v>18</v>
      </c>
      <c r="AA15" s="1851">
        <v>10</v>
      </c>
      <c r="AB15" s="1157">
        <v>10</v>
      </c>
      <c r="AC15" s="1157">
        <v>10</v>
      </c>
      <c r="AD15" s="1157">
        <v>10</v>
      </c>
      <c r="AE15" s="1157">
        <f t="shared" si="0"/>
        <v>10</v>
      </c>
      <c r="AF15" s="1261"/>
      <c r="AG15" s="940" t="s">
        <v>32</v>
      </c>
      <c r="AH15" s="1134">
        <f t="shared" si="1"/>
        <v>70</v>
      </c>
    </row>
    <row r="16" spans="1:36" ht="29.25" customHeight="1" x14ac:dyDescent="0.3">
      <c r="A16" s="1129">
        <v>7</v>
      </c>
      <c r="B16" s="1846">
        <v>5191421007</v>
      </c>
      <c r="C16" s="1140">
        <v>1</v>
      </c>
      <c r="D16" s="1137">
        <v>2</v>
      </c>
      <c r="E16" s="1144">
        <v>2</v>
      </c>
      <c r="F16" s="1136">
        <v>6</v>
      </c>
      <c r="G16" s="1220">
        <v>6</v>
      </c>
      <c r="H16" s="1138"/>
      <c r="I16" s="1353"/>
      <c r="J16" s="1138">
        <v>2</v>
      </c>
      <c r="K16" s="1220"/>
      <c r="L16" s="1138"/>
      <c r="M16" s="1220"/>
      <c r="N16" s="1849">
        <v>19</v>
      </c>
      <c r="O16" s="1136">
        <v>2</v>
      </c>
      <c r="P16" s="1137">
        <v>2</v>
      </c>
      <c r="Q16" s="1466"/>
      <c r="R16" s="1136"/>
      <c r="S16" s="1220"/>
      <c r="T16" s="1138">
        <v>3</v>
      </c>
      <c r="U16" s="1238">
        <v>3</v>
      </c>
      <c r="V16" s="1138"/>
      <c r="W16" s="1238"/>
      <c r="X16" s="1138"/>
      <c r="Y16" s="1864"/>
      <c r="Z16" s="1850">
        <v>10</v>
      </c>
      <c r="AA16" s="1851">
        <v>10</v>
      </c>
      <c r="AB16" s="1157">
        <v>10</v>
      </c>
      <c r="AC16" s="1157">
        <v>10</v>
      </c>
      <c r="AD16" s="1157">
        <v>10</v>
      </c>
      <c r="AE16" s="1157">
        <f t="shared" si="0"/>
        <v>10</v>
      </c>
      <c r="AF16" s="1261"/>
      <c r="AG16" s="940" t="s">
        <v>32</v>
      </c>
      <c r="AH16" s="1134">
        <f t="shared" si="1"/>
        <v>70</v>
      </c>
    </row>
    <row r="17" spans="1:34" ht="29.25" customHeight="1" x14ac:dyDescent="0.3">
      <c r="A17" s="1129">
        <v>8</v>
      </c>
      <c r="B17" s="1846">
        <v>5191421008</v>
      </c>
      <c r="C17" s="1140"/>
      <c r="D17" s="1137"/>
      <c r="E17" s="1144"/>
      <c r="F17" s="1136">
        <v>3</v>
      </c>
      <c r="G17" s="1220">
        <v>2</v>
      </c>
      <c r="H17" s="1138"/>
      <c r="I17" s="1353"/>
      <c r="J17" s="1138"/>
      <c r="K17" s="1220"/>
      <c r="L17" s="1138">
        <v>4</v>
      </c>
      <c r="M17" s="1220">
        <v>4</v>
      </c>
      <c r="N17" s="1849">
        <v>13</v>
      </c>
      <c r="O17" s="1136">
        <v>1</v>
      </c>
      <c r="P17" s="1137"/>
      <c r="Q17" s="1466"/>
      <c r="R17" s="1136"/>
      <c r="S17" s="1220"/>
      <c r="T17" s="1138">
        <v>4</v>
      </c>
      <c r="U17" s="1238">
        <v>5</v>
      </c>
      <c r="V17" s="1138">
        <v>4</v>
      </c>
      <c r="W17" s="1238">
        <v>5</v>
      </c>
      <c r="X17" s="1138"/>
      <c r="Y17" s="1864"/>
      <c r="Z17" s="1850">
        <v>19</v>
      </c>
      <c r="AA17" s="1851">
        <v>10</v>
      </c>
      <c r="AB17" s="1157">
        <v>10</v>
      </c>
      <c r="AC17" s="1157">
        <v>10</v>
      </c>
      <c r="AD17" s="1157">
        <v>10</v>
      </c>
      <c r="AE17" s="1157">
        <f t="shared" si="0"/>
        <v>10</v>
      </c>
      <c r="AF17" s="1261"/>
      <c r="AG17" s="940" t="s">
        <v>27</v>
      </c>
      <c r="AH17" s="1134">
        <f t="shared" si="1"/>
        <v>80</v>
      </c>
    </row>
    <row r="18" spans="1:34" ht="29.25" customHeight="1" x14ac:dyDescent="0.3">
      <c r="A18" s="1129">
        <v>9</v>
      </c>
      <c r="B18" s="1846">
        <v>5191421009</v>
      </c>
      <c r="C18" s="1239">
        <v>0</v>
      </c>
      <c r="D18" s="1138">
        <v>1</v>
      </c>
      <c r="E18" s="1475">
        <v>0</v>
      </c>
      <c r="F18" s="1138">
        <v>4</v>
      </c>
      <c r="G18" s="1220">
        <v>6</v>
      </c>
      <c r="H18" s="1138"/>
      <c r="I18" s="1353"/>
      <c r="J18" s="1138"/>
      <c r="K18" s="1220"/>
      <c r="L18" s="1138"/>
      <c r="M18" s="1220">
        <v>4</v>
      </c>
      <c r="N18" s="1849">
        <v>15</v>
      </c>
      <c r="O18" s="1136">
        <v>2</v>
      </c>
      <c r="P18" s="1137">
        <v>1</v>
      </c>
      <c r="Q18" s="1466">
        <v>1</v>
      </c>
      <c r="R18" s="1136"/>
      <c r="S18" s="1220"/>
      <c r="T18" s="1138">
        <v>5</v>
      </c>
      <c r="U18" s="1238">
        <v>6</v>
      </c>
      <c r="V18" s="1138"/>
      <c r="W18" s="1238"/>
      <c r="X18" s="1138"/>
      <c r="Y18" s="1864">
        <v>5</v>
      </c>
      <c r="Z18" s="1850">
        <v>20</v>
      </c>
      <c r="AA18" s="1851">
        <v>10</v>
      </c>
      <c r="AB18" s="1157">
        <v>10</v>
      </c>
      <c r="AC18" s="1157">
        <v>10</v>
      </c>
      <c r="AD18" s="1157">
        <v>10</v>
      </c>
      <c r="AE18" s="1157">
        <f t="shared" si="0"/>
        <v>10</v>
      </c>
      <c r="AF18" s="1261"/>
      <c r="AG18" s="940" t="s">
        <v>30</v>
      </c>
      <c r="AH18" s="1134">
        <f t="shared" si="1"/>
        <v>90</v>
      </c>
    </row>
    <row r="19" spans="1:34" ht="29.25" customHeight="1" x14ac:dyDescent="0.3">
      <c r="A19" s="1129">
        <v>10</v>
      </c>
      <c r="B19" s="1846">
        <v>5191421010</v>
      </c>
      <c r="C19" s="1140">
        <v>1</v>
      </c>
      <c r="D19" s="1137"/>
      <c r="E19" s="1144"/>
      <c r="F19" s="1136">
        <v>4</v>
      </c>
      <c r="G19" s="1220">
        <v>4</v>
      </c>
      <c r="H19" s="1138"/>
      <c r="I19" s="1353"/>
      <c r="J19" s="1138"/>
      <c r="K19" s="1220"/>
      <c r="L19" s="1138"/>
      <c r="M19" s="1220">
        <v>2</v>
      </c>
      <c r="N19" s="1849">
        <v>11</v>
      </c>
      <c r="O19" s="1136">
        <v>2</v>
      </c>
      <c r="P19" s="1137">
        <v>1</v>
      </c>
      <c r="Q19" s="1466"/>
      <c r="R19" s="1136"/>
      <c r="S19" s="1220"/>
      <c r="T19" s="1138">
        <v>5</v>
      </c>
      <c r="U19" s="1238">
        <v>5</v>
      </c>
      <c r="V19" s="1138"/>
      <c r="W19" s="1238"/>
      <c r="X19" s="1138">
        <v>5</v>
      </c>
      <c r="Y19" s="1864"/>
      <c r="Z19" s="1850">
        <v>18</v>
      </c>
      <c r="AA19" s="1851">
        <v>10</v>
      </c>
      <c r="AB19" s="1157">
        <v>10</v>
      </c>
      <c r="AC19" s="1157">
        <v>10</v>
      </c>
      <c r="AD19" s="1157">
        <v>10</v>
      </c>
      <c r="AE19" s="1157">
        <f t="shared" si="0"/>
        <v>10</v>
      </c>
      <c r="AF19" s="1261"/>
      <c r="AG19" s="940" t="s">
        <v>32</v>
      </c>
      <c r="AH19" s="1134">
        <f t="shared" si="1"/>
        <v>70</v>
      </c>
    </row>
    <row r="20" spans="1:34" ht="29.25" customHeight="1" x14ac:dyDescent="0.3">
      <c r="A20" s="1129">
        <v>11</v>
      </c>
      <c r="B20" s="1846">
        <v>5191421011</v>
      </c>
      <c r="C20" s="1140">
        <v>1</v>
      </c>
      <c r="D20" s="1137">
        <v>1</v>
      </c>
      <c r="E20" s="1144"/>
      <c r="F20" s="1136">
        <v>5</v>
      </c>
      <c r="G20" s="1220">
        <v>5</v>
      </c>
      <c r="H20" s="1138"/>
      <c r="I20" s="1353"/>
      <c r="J20" s="1138">
        <v>6</v>
      </c>
      <c r="K20" s="1220">
        <v>5</v>
      </c>
      <c r="L20" s="1138"/>
      <c r="M20" s="1220"/>
      <c r="N20" s="1849">
        <v>26</v>
      </c>
      <c r="O20" s="1136"/>
      <c r="P20" s="1137"/>
      <c r="Q20" s="1466"/>
      <c r="R20" s="1136">
        <v>8</v>
      </c>
      <c r="S20" s="1220"/>
      <c r="T20" s="1138"/>
      <c r="U20" s="1238"/>
      <c r="V20" s="1138"/>
      <c r="W20" s="1238"/>
      <c r="X20" s="1138">
        <v>4</v>
      </c>
      <c r="Y20" s="1864">
        <v>4</v>
      </c>
      <c r="Z20" s="1850">
        <v>16</v>
      </c>
      <c r="AA20" s="1851">
        <v>10</v>
      </c>
      <c r="AB20" s="1157">
        <v>10</v>
      </c>
      <c r="AC20" s="1157">
        <v>10</v>
      </c>
      <c r="AD20" s="1157">
        <v>10</v>
      </c>
      <c r="AE20" s="1157">
        <f t="shared" si="0"/>
        <v>10</v>
      </c>
      <c r="AF20" s="1261"/>
      <c r="AG20" s="940" t="s">
        <v>27</v>
      </c>
      <c r="AH20" s="1134">
        <f t="shared" si="1"/>
        <v>80</v>
      </c>
    </row>
    <row r="21" spans="1:34" ht="29.25" customHeight="1" x14ac:dyDescent="0.3">
      <c r="A21" s="1129">
        <v>12</v>
      </c>
      <c r="B21" s="1846">
        <v>5191421012</v>
      </c>
      <c r="C21" s="1140"/>
      <c r="D21" s="1137"/>
      <c r="E21" s="1144">
        <v>1</v>
      </c>
      <c r="F21" s="1136"/>
      <c r="G21" s="1220">
        <v>4</v>
      </c>
      <c r="H21" s="1138">
        <v>3</v>
      </c>
      <c r="I21" s="1353">
        <v>1</v>
      </c>
      <c r="J21" s="1138"/>
      <c r="K21" s="1220"/>
      <c r="L21" s="1138"/>
      <c r="M21" s="1220">
        <v>1</v>
      </c>
      <c r="N21" s="1849">
        <v>9</v>
      </c>
      <c r="O21" s="1136">
        <v>2</v>
      </c>
      <c r="P21" s="1137"/>
      <c r="Q21" s="1466"/>
      <c r="R21" s="1136"/>
      <c r="S21" s="1220"/>
      <c r="T21" s="1138">
        <v>5</v>
      </c>
      <c r="U21" s="1238">
        <v>4</v>
      </c>
      <c r="V21" s="1138"/>
      <c r="W21" s="1238">
        <v>6</v>
      </c>
      <c r="X21" s="1138"/>
      <c r="Y21" s="1864"/>
      <c r="Z21" s="1850">
        <v>17</v>
      </c>
      <c r="AA21" s="1851">
        <v>10</v>
      </c>
      <c r="AB21" s="1157">
        <v>10</v>
      </c>
      <c r="AC21" s="1157">
        <v>10</v>
      </c>
      <c r="AD21" s="1157">
        <v>10</v>
      </c>
      <c r="AE21" s="1157">
        <f t="shared" si="0"/>
        <v>10</v>
      </c>
      <c r="AF21" s="1261"/>
      <c r="AG21" s="940" t="s">
        <v>31</v>
      </c>
      <c r="AH21" s="1134">
        <f t="shared" si="1"/>
        <v>55</v>
      </c>
    </row>
    <row r="22" spans="1:34" ht="29.25" customHeight="1" x14ac:dyDescent="0.3">
      <c r="A22" s="1129">
        <v>13</v>
      </c>
      <c r="B22" s="1846">
        <v>5191421013</v>
      </c>
      <c r="C22" s="1140">
        <v>2</v>
      </c>
      <c r="D22" s="1137">
        <v>2</v>
      </c>
      <c r="E22" s="1144"/>
      <c r="F22" s="1136">
        <v>6</v>
      </c>
      <c r="G22" s="1220"/>
      <c r="H22" s="1138"/>
      <c r="I22" s="1353"/>
      <c r="J22" s="1138"/>
      <c r="K22" s="1220"/>
      <c r="L22" s="1138">
        <v>5</v>
      </c>
      <c r="M22" s="1220">
        <v>6</v>
      </c>
      <c r="N22" s="1849">
        <v>21</v>
      </c>
      <c r="O22" s="1136">
        <v>2</v>
      </c>
      <c r="P22" s="1137"/>
      <c r="Q22" s="1466"/>
      <c r="R22" s="1136"/>
      <c r="S22" s="1220"/>
      <c r="T22" s="1138">
        <v>6</v>
      </c>
      <c r="U22" s="1238"/>
      <c r="V22" s="1138"/>
      <c r="W22" s="1238">
        <v>6</v>
      </c>
      <c r="X22" s="1138"/>
      <c r="Y22" s="1864"/>
      <c r="Z22" s="1850">
        <v>14</v>
      </c>
      <c r="AA22" s="1851">
        <v>10</v>
      </c>
      <c r="AB22" s="1157">
        <v>10</v>
      </c>
      <c r="AC22" s="1157">
        <v>10</v>
      </c>
      <c r="AD22" s="1157">
        <v>10</v>
      </c>
      <c r="AE22" s="1157">
        <f t="shared" si="0"/>
        <v>10</v>
      </c>
      <c r="AF22" s="1261"/>
      <c r="AG22" s="940" t="s">
        <v>30</v>
      </c>
      <c r="AH22" s="1134">
        <f t="shared" si="1"/>
        <v>90</v>
      </c>
    </row>
    <row r="23" spans="1:34" ht="29.25" customHeight="1" x14ac:dyDescent="0.3">
      <c r="A23" s="1129">
        <v>14</v>
      </c>
      <c r="B23" s="1846">
        <v>5191421014</v>
      </c>
      <c r="C23" s="1140"/>
      <c r="D23" s="1137">
        <v>1</v>
      </c>
      <c r="E23" s="1144"/>
      <c r="F23" s="1136">
        <v>5</v>
      </c>
      <c r="G23" s="1220">
        <v>5</v>
      </c>
      <c r="H23" s="1138"/>
      <c r="I23" s="1353"/>
      <c r="J23" s="1138"/>
      <c r="K23" s="1220"/>
      <c r="L23" s="1138"/>
      <c r="M23" s="1220">
        <v>4</v>
      </c>
      <c r="N23" s="1849">
        <v>15</v>
      </c>
      <c r="O23" s="1136">
        <v>2</v>
      </c>
      <c r="P23" s="1137">
        <v>1</v>
      </c>
      <c r="Q23" s="1466"/>
      <c r="R23" s="1136">
        <v>11</v>
      </c>
      <c r="S23" s="1220"/>
      <c r="T23" s="1138"/>
      <c r="U23" s="1238"/>
      <c r="V23" s="1138"/>
      <c r="W23" s="1238"/>
      <c r="X23" s="1138">
        <v>4</v>
      </c>
      <c r="Y23" s="1864">
        <v>5</v>
      </c>
      <c r="Z23" s="1850">
        <v>23</v>
      </c>
      <c r="AA23" s="1851">
        <v>10</v>
      </c>
      <c r="AB23" s="1157">
        <v>9</v>
      </c>
      <c r="AC23" s="1157">
        <v>8</v>
      </c>
      <c r="AD23" s="1157">
        <v>9</v>
      </c>
      <c r="AE23" s="1157">
        <f t="shared" si="0"/>
        <v>9</v>
      </c>
      <c r="AF23" s="1261"/>
      <c r="AG23" s="940" t="s">
        <v>30</v>
      </c>
      <c r="AH23" s="1134">
        <f t="shared" si="1"/>
        <v>90</v>
      </c>
    </row>
    <row r="24" spans="1:34" ht="29.25" customHeight="1" x14ac:dyDescent="0.3">
      <c r="A24" s="1129">
        <v>15</v>
      </c>
      <c r="B24" s="1846">
        <v>5191421015</v>
      </c>
      <c r="C24" s="1140"/>
      <c r="D24" s="1137">
        <v>2</v>
      </c>
      <c r="E24" s="1144"/>
      <c r="F24" s="1136">
        <v>5</v>
      </c>
      <c r="G24" s="1220">
        <v>4</v>
      </c>
      <c r="H24" s="1138"/>
      <c r="I24" s="1353"/>
      <c r="J24" s="1138"/>
      <c r="K24" s="1220"/>
      <c r="L24" s="1138">
        <v>2</v>
      </c>
      <c r="M24" s="1220">
        <v>4</v>
      </c>
      <c r="N24" s="1849">
        <v>17</v>
      </c>
      <c r="O24" s="1136"/>
      <c r="P24" s="1137"/>
      <c r="Q24" s="1466">
        <v>1</v>
      </c>
      <c r="R24" s="1136">
        <v>11</v>
      </c>
      <c r="S24" s="1220"/>
      <c r="T24" s="1138"/>
      <c r="U24" s="1238"/>
      <c r="V24" s="1138"/>
      <c r="W24" s="1238">
        <v>6</v>
      </c>
      <c r="X24" s="1138">
        <v>5</v>
      </c>
      <c r="Y24" s="1864"/>
      <c r="Z24" s="1850">
        <v>23</v>
      </c>
      <c r="AA24" s="1851">
        <v>10</v>
      </c>
      <c r="AB24" s="1157">
        <v>10</v>
      </c>
      <c r="AC24" s="1157">
        <v>10</v>
      </c>
      <c r="AD24" s="1157">
        <v>10</v>
      </c>
      <c r="AE24" s="1157">
        <f t="shared" si="0"/>
        <v>10</v>
      </c>
      <c r="AF24" s="1261"/>
      <c r="AG24" s="940" t="s">
        <v>30</v>
      </c>
      <c r="AH24" s="1134">
        <f t="shared" si="1"/>
        <v>90</v>
      </c>
    </row>
    <row r="25" spans="1:34" ht="29.25" customHeight="1" x14ac:dyDescent="0.3">
      <c r="A25" s="1129">
        <v>16</v>
      </c>
      <c r="B25" s="1846">
        <v>5191421016</v>
      </c>
      <c r="C25" s="1140">
        <v>1</v>
      </c>
      <c r="D25" s="1137"/>
      <c r="E25" s="1144"/>
      <c r="F25" s="1136">
        <v>5</v>
      </c>
      <c r="G25" s="1476"/>
      <c r="H25" s="1133"/>
      <c r="I25" s="1353"/>
      <c r="J25" s="1138"/>
      <c r="K25" s="1220">
        <v>4</v>
      </c>
      <c r="L25" s="1138"/>
      <c r="M25" s="1220"/>
      <c r="N25" s="1849">
        <v>10</v>
      </c>
      <c r="O25" s="1136"/>
      <c r="P25" s="1137"/>
      <c r="Q25" s="1466"/>
      <c r="R25" s="1136"/>
      <c r="S25" s="1220"/>
      <c r="T25" s="1138">
        <v>3</v>
      </c>
      <c r="U25" s="1238"/>
      <c r="V25" s="1138"/>
      <c r="W25" s="1238"/>
      <c r="X25" s="1138"/>
      <c r="Y25" s="1864"/>
      <c r="Z25" s="1850">
        <v>3</v>
      </c>
      <c r="AA25" s="1851">
        <v>8</v>
      </c>
      <c r="AB25" s="1157">
        <v>9</v>
      </c>
      <c r="AC25" s="1157">
        <v>9</v>
      </c>
      <c r="AD25" s="1157">
        <v>10</v>
      </c>
      <c r="AE25" s="1157">
        <f t="shared" si="0"/>
        <v>9</v>
      </c>
      <c r="AF25" s="1261"/>
      <c r="AG25" s="940" t="s">
        <v>28</v>
      </c>
      <c r="AH25" s="1134">
        <f t="shared" si="1"/>
        <v>50</v>
      </c>
    </row>
    <row r="26" spans="1:34" ht="29.25" customHeight="1" x14ac:dyDescent="0.3">
      <c r="A26" s="1129">
        <v>17</v>
      </c>
      <c r="B26" s="1846">
        <v>5191421017</v>
      </c>
      <c r="C26" s="1140"/>
      <c r="D26" s="1137">
        <v>1</v>
      </c>
      <c r="E26" s="1144"/>
      <c r="F26" s="1136"/>
      <c r="G26" s="1220"/>
      <c r="H26" s="1138">
        <v>2</v>
      </c>
      <c r="I26" s="1353">
        <v>2</v>
      </c>
      <c r="J26" s="1138">
        <v>2</v>
      </c>
      <c r="K26" s="1220">
        <v>2</v>
      </c>
      <c r="L26" s="1138"/>
      <c r="M26" s="1220"/>
      <c r="N26" s="1849">
        <v>9</v>
      </c>
      <c r="O26" s="1136">
        <v>2</v>
      </c>
      <c r="P26" s="1137"/>
      <c r="Q26" s="1466"/>
      <c r="R26" s="1136"/>
      <c r="S26" s="1220"/>
      <c r="T26" s="1138">
        <v>6</v>
      </c>
      <c r="U26" s="1238">
        <v>6</v>
      </c>
      <c r="V26" s="1138"/>
      <c r="W26" s="1238"/>
      <c r="X26" s="1138"/>
      <c r="Y26" s="1864">
        <v>6</v>
      </c>
      <c r="Z26" s="1850">
        <v>20</v>
      </c>
      <c r="AA26" s="1851">
        <v>10</v>
      </c>
      <c r="AB26" s="1157">
        <v>10</v>
      </c>
      <c r="AC26" s="1157">
        <v>10</v>
      </c>
      <c r="AD26" s="1157">
        <v>10</v>
      </c>
      <c r="AE26" s="1157">
        <f t="shared" si="0"/>
        <v>10</v>
      </c>
      <c r="AF26" s="1261"/>
      <c r="AG26" s="940" t="s">
        <v>30</v>
      </c>
      <c r="AH26" s="1134">
        <f t="shared" si="1"/>
        <v>90</v>
      </c>
    </row>
    <row r="27" spans="1:34" ht="29.25" customHeight="1" x14ac:dyDescent="0.3">
      <c r="A27" s="1129">
        <v>18</v>
      </c>
      <c r="B27" s="1846">
        <v>5191421018</v>
      </c>
      <c r="C27" s="1847"/>
      <c r="D27" s="1137"/>
      <c r="E27" s="1144"/>
      <c r="F27" s="1136"/>
      <c r="G27" s="1220"/>
      <c r="H27" s="1138"/>
      <c r="I27" s="1353">
        <v>3</v>
      </c>
      <c r="J27" s="1138"/>
      <c r="K27" s="1220"/>
      <c r="L27" s="1138"/>
      <c r="M27" s="1220">
        <v>3</v>
      </c>
      <c r="N27" s="1849">
        <v>6</v>
      </c>
      <c r="O27" s="1136"/>
      <c r="P27" s="1137"/>
      <c r="Q27" s="1466"/>
      <c r="R27" s="1136">
        <v>3</v>
      </c>
      <c r="S27" s="1220"/>
      <c r="T27" s="1138"/>
      <c r="U27" s="1238"/>
      <c r="V27" s="1138">
        <v>1</v>
      </c>
      <c r="W27" s="1238"/>
      <c r="X27" s="1138"/>
      <c r="Y27" s="1864"/>
      <c r="Z27" s="1850">
        <v>5</v>
      </c>
      <c r="AA27" s="1851">
        <v>9</v>
      </c>
      <c r="AB27" s="1157">
        <v>9</v>
      </c>
      <c r="AC27" s="1157">
        <v>9</v>
      </c>
      <c r="AD27" s="1157">
        <v>9</v>
      </c>
      <c r="AE27" s="1157">
        <f t="shared" si="0"/>
        <v>9</v>
      </c>
      <c r="AF27" s="1261"/>
      <c r="AG27" s="940" t="s">
        <v>28</v>
      </c>
      <c r="AH27" s="1134">
        <f t="shared" si="1"/>
        <v>50</v>
      </c>
    </row>
    <row r="28" spans="1:34" ht="29.25" customHeight="1" x14ac:dyDescent="0.3">
      <c r="A28" s="1129">
        <v>19</v>
      </c>
      <c r="B28" s="1846">
        <v>5191421019</v>
      </c>
      <c r="C28" s="1140">
        <v>1</v>
      </c>
      <c r="D28" s="1134">
        <v>1</v>
      </c>
      <c r="E28" s="1238">
        <v>1</v>
      </c>
      <c r="F28" s="1138">
        <v>6</v>
      </c>
      <c r="G28" s="1220">
        <v>6</v>
      </c>
      <c r="H28" s="1138"/>
      <c r="I28" s="1353"/>
      <c r="J28" s="1138"/>
      <c r="K28" s="1220"/>
      <c r="L28" s="1138">
        <v>5</v>
      </c>
      <c r="M28" s="1220">
        <v>5</v>
      </c>
      <c r="N28" s="1849">
        <v>25</v>
      </c>
      <c r="O28" s="1136">
        <v>2</v>
      </c>
      <c r="P28" s="1134">
        <v>1</v>
      </c>
      <c r="Q28" s="1220"/>
      <c r="R28" s="1138">
        <v>12</v>
      </c>
      <c r="S28" s="1220"/>
      <c r="T28" s="1138"/>
      <c r="U28" s="1238"/>
      <c r="V28" s="1138">
        <v>6</v>
      </c>
      <c r="W28" s="1238">
        <v>6</v>
      </c>
      <c r="X28" s="1138"/>
      <c r="Y28" s="1864"/>
      <c r="Z28" s="1850">
        <v>27</v>
      </c>
      <c r="AA28" s="1851">
        <v>10</v>
      </c>
      <c r="AB28" s="1157">
        <v>10</v>
      </c>
      <c r="AC28" s="1157">
        <v>10</v>
      </c>
      <c r="AD28" s="1157">
        <v>10</v>
      </c>
      <c r="AE28" s="1157">
        <f t="shared" si="0"/>
        <v>10</v>
      </c>
      <c r="AF28" s="1261"/>
      <c r="AG28" s="940" t="s">
        <v>82</v>
      </c>
      <c r="AH28" s="1134">
        <f t="shared" si="1"/>
        <v>100</v>
      </c>
    </row>
    <row r="29" spans="1:34" ht="29.25" customHeight="1" x14ac:dyDescent="0.3">
      <c r="A29" s="1129">
        <v>20</v>
      </c>
      <c r="B29" s="1846">
        <v>5191421020</v>
      </c>
      <c r="C29" s="1239">
        <v>2</v>
      </c>
      <c r="D29" s="1134"/>
      <c r="E29" s="1238">
        <v>2</v>
      </c>
      <c r="F29" s="1138">
        <v>6</v>
      </c>
      <c r="G29" s="1220">
        <v>5</v>
      </c>
      <c r="H29" s="1138"/>
      <c r="I29" s="1353"/>
      <c r="J29" s="1138">
        <v>6</v>
      </c>
      <c r="K29" s="1220">
        <v>6</v>
      </c>
      <c r="L29" s="1138"/>
      <c r="M29" s="1220"/>
      <c r="N29" s="1849">
        <v>27</v>
      </c>
      <c r="O29" s="1138">
        <v>2</v>
      </c>
      <c r="P29" s="1134"/>
      <c r="Q29" s="1220">
        <v>1</v>
      </c>
      <c r="R29" s="1138">
        <v>8</v>
      </c>
      <c r="S29" s="1220"/>
      <c r="T29" s="1138"/>
      <c r="U29" s="1238"/>
      <c r="V29" s="1138">
        <v>5</v>
      </c>
      <c r="W29" s="1238"/>
      <c r="X29" s="1138"/>
      <c r="Y29" s="1864"/>
      <c r="Z29" s="1850">
        <v>16</v>
      </c>
      <c r="AA29" s="1851">
        <v>9</v>
      </c>
      <c r="AB29" s="1157">
        <v>9</v>
      </c>
      <c r="AC29" s="1157">
        <v>9</v>
      </c>
      <c r="AD29" s="1157">
        <v>9</v>
      </c>
      <c r="AE29" s="1157">
        <f t="shared" si="0"/>
        <v>9</v>
      </c>
      <c r="AF29" s="1261"/>
      <c r="AG29" s="940" t="s">
        <v>30</v>
      </c>
      <c r="AH29" s="1134">
        <f t="shared" si="1"/>
        <v>90</v>
      </c>
    </row>
    <row r="30" spans="1:34" ht="29.25" customHeight="1" x14ac:dyDescent="0.3">
      <c r="A30" s="1129">
        <v>21</v>
      </c>
      <c r="B30" s="1846">
        <v>5191421021</v>
      </c>
      <c r="C30" s="1140">
        <v>1</v>
      </c>
      <c r="D30" s="1134"/>
      <c r="E30" s="1238"/>
      <c r="F30" s="1138">
        <v>4</v>
      </c>
      <c r="G30" s="1220">
        <v>4</v>
      </c>
      <c r="H30" s="1138"/>
      <c r="I30" s="1353"/>
      <c r="J30" s="1138"/>
      <c r="K30" s="1220"/>
      <c r="L30" s="1138"/>
      <c r="M30" s="1220">
        <v>4</v>
      </c>
      <c r="N30" s="1849">
        <v>13</v>
      </c>
      <c r="O30" s="1136">
        <v>2</v>
      </c>
      <c r="P30" s="1134"/>
      <c r="Q30" s="1220"/>
      <c r="R30" s="1138">
        <v>12</v>
      </c>
      <c r="S30" s="1220"/>
      <c r="T30" s="1138"/>
      <c r="U30" s="1238"/>
      <c r="V30" s="1138"/>
      <c r="W30" s="1238"/>
      <c r="X30" s="1138">
        <v>6</v>
      </c>
      <c r="Y30" s="1864">
        <v>6</v>
      </c>
      <c r="Z30" s="1850">
        <v>26</v>
      </c>
      <c r="AA30" s="1851">
        <v>10</v>
      </c>
      <c r="AB30" s="1157">
        <v>10</v>
      </c>
      <c r="AC30" s="1157">
        <v>10</v>
      </c>
      <c r="AD30" s="1157">
        <v>10</v>
      </c>
      <c r="AE30" s="1157">
        <f t="shared" si="0"/>
        <v>10</v>
      </c>
      <c r="AF30" s="1261"/>
      <c r="AG30" s="940" t="s">
        <v>32</v>
      </c>
      <c r="AH30" s="1134">
        <f t="shared" si="1"/>
        <v>70</v>
      </c>
    </row>
    <row r="31" spans="1:34" ht="29.25" customHeight="1" x14ac:dyDescent="0.3">
      <c r="A31" s="1129">
        <v>22</v>
      </c>
      <c r="B31" s="1846">
        <v>5191421022</v>
      </c>
      <c r="C31" s="1868">
        <v>1</v>
      </c>
      <c r="D31" s="1145"/>
      <c r="E31" s="1132"/>
      <c r="F31" s="1464">
        <v>4</v>
      </c>
      <c r="G31" s="1257">
        <v>4</v>
      </c>
      <c r="H31" s="1464"/>
      <c r="I31" s="1257"/>
      <c r="J31" s="1464"/>
      <c r="K31" s="1257"/>
      <c r="L31" s="1138">
        <v>2</v>
      </c>
      <c r="M31" s="1220">
        <v>4</v>
      </c>
      <c r="N31" s="1849">
        <v>15</v>
      </c>
      <c r="O31" s="1136">
        <v>1</v>
      </c>
      <c r="P31" s="1134"/>
      <c r="Q31" s="1220"/>
      <c r="R31" s="1138">
        <v>11</v>
      </c>
      <c r="S31" s="1220"/>
      <c r="T31" s="1138"/>
      <c r="U31" s="1238"/>
      <c r="V31" s="1138"/>
      <c r="W31" s="1238">
        <v>4</v>
      </c>
      <c r="X31" s="1138"/>
      <c r="Y31" s="1864"/>
      <c r="Z31" s="1850">
        <v>16</v>
      </c>
      <c r="AA31" s="1851">
        <v>10</v>
      </c>
      <c r="AB31" s="1851">
        <v>10</v>
      </c>
      <c r="AC31" s="1851">
        <v>10</v>
      </c>
      <c r="AD31" s="1851">
        <v>10</v>
      </c>
      <c r="AE31" s="1157">
        <f t="shared" si="0"/>
        <v>10</v>
      </c>
      <c r="AF31" s="1261"/>
      <c r="AG31" s="940" t="s">
        <v>30</v>
      </c>
      <c r="AH31" s="1134">
        <f t="shared" si="1"/>
        <v>90</v>
      </c>
    </row>
    <row r="32" spans="1:34" ht="29.25" customHeight="1" x14ac:dyDescent="0.3">
      <c r="A32" s="1129">
        <v>23</v>
      </c>
      <c r="B32" s="1846">
        <v>5191421023</v>
      </c>
      <c r="C32" s="1140">
        <v>1</v>
      </c>
      <c r="D32" s="1134"/>
      <c r="E32" s="1238"/>
      <c r="F32" s="1138">
        <v>4</v>
      </c>
      <c r="G32" s="1220">
        <v>5</v>
      </c>
      <c r="H32" s="1138"/>
      <c r="I32" s="1353"/>
      <c r="J32" s="1138"/>
      <c r="K32" s="1220"/>
      <c r="L32" s="1138"/>
      <c r="M32" s="1220"/>
      <c r="N32" s="1849">
        <v>10</v>
      </c>
      <c r="O32" s="1136">
        <v>1</v>
      </c>
      <c r="P32" s="1134"/>
      <c r="Q32" s="1220"/>
      <c r="R32" s="1138"/>
      <c r="S32" s="1220"/>
      <c r="T32" s="1138">
        <v>4</v>
      </c>
      <c r="U32" s="1238">
        <v>6</v>
      </c>
      <c r="V32" s="1138"/>
      <c r="W32" s="1238"/>
      <c r="X32" s="1138"/>
      <c r="Y32" s="1864">
        <v>3</v>
      </c>
      <c r="Z32" s="1850">
        <v>14</v>
      </c>
      <c r="AA32" s="1851">
        <v>9</v>
      </c>
      <c r="AB32" s="1157">
        <v>9</v>
      </c>
      <c r="AC32" s="1157">
        <v>8</v>
      </c>
      <c r="AD32" s="1157">
        <v>10</v>
      </c>
      <c r="AE32" s="1157">
        <f t="shared" si="0"/>
        <v>9</v>
      </c>
      <c r="AF32" s="1261"/>
      <c r="AG32" s="940" t="s">
        <v>30</v>
      </c>
      <c r="AH32" s="1134">
        <f t="shared" si="1"/>
        <v>90</v>
      </c>
    </row>
    <row r="33" spans="1:34" ht="29.25" customHeight="1" x14ac:dyDescent="0.3">
      <c r="A33" s="1129">
        <v>24</v>
      </c>
      <c r="B33" s="1846">
        <v>5191421024</v>
      </c>
      <c r="C33" s="1140"/>
      <c r="D33" s="1134"/>
      <c r="E33" s="1238"/>
      <c r="F33" s="1138"/>
      <c r="G33" s="1220"/>
      <c r="H33" s="1138"/>
      <c r="I33" s="1353"/>
      <c r="J33" s="1138"/>
      <c r="K33" s="1220"/>
      <c r="L33" s="1138"/>
      <c r="M33" s="1220"/>
      <c r="N33" s="1849">
        <v>0</v>
      </c>
      <c r="O33" s="1136">
        <v>2</v>
      </c>
      <c r="P33" s="1134"/>
      <c r="Q33" s="1220"/>
      <c r="R33" s="1138"/>
      <c r="S33" s="1220"/>
      <c r="T33" s="1138">
        <v>3</v>
      </c>
      <c r="U33" s="1238">
        <v>2</v>
      </c>
      <c r="V33" s="1138"/>
      <c r="W33" s="1238"/>
      <c r="X33" s="1138"/>
      <c r="Y33" s="1864"/>
      <c r="Z33" s="1850">
        <v>7</v>
      </c>
      <c r="AA33" s="1851">
        <v>10</v>
      </c>
      <c r="AB33" s="1851">
        <v>10</v>
      </c>
      <c r="AC33" s="1851">
        <v>10</v>
      </c>
      <c r="AD33" s="1851">
        <v>10</v>
      </c>
      <c r="AE33" s="1157">
        <f t="shared" si="0"/>
        <v>10</v>
      </c>
      <c r="AF33" s="1261"/>
      <c r="AG33" s="940" t="s">
        <v>28</v>
      </c>
      <c r="AH33" s="1134">
        <f t="shared" si="1"/>
        <v>50</v>
      </c>
    </row>
    <row r="34" spans="1:34" ht="29.25" customHeight="1" x14ac:dyDescent="0.3">
      <c r="A34" s="1129">
        <v>25</v>
      </c>
      <c r="B34" s="1846">
        <v>5191421025</v>
      </c>
      <c r="C34" s="1140">
        <v>2</v>
      </c>
      <c r="D34" s="1134">
        <v>2</v>
      </c>
      <c r="E34" s="1238">
        <v>2</v>
      </c>
      <c r="F34" s="1138">
        <v>5</v>
      </c>
      <c r="G34" s="1220">
        <v>6</v>
      </c>
      <c r="H34" s="1138"/>
      <c r="I34" s="1353"/>
      <c r="J34" s="1138"/>
      <c r="K34" s="1220"/>
      <c r="L34" s="1138">
        <v>3</v>
      </c>
      <c r="M34" s="1220">
        <v>2</v>
      </c>
      <c r="N34" s="1849">
        <v>22</v>
      </c>
      <c r="O34" s="1136">
        <v>2</v>
      </c>
      <c r="P34" s="1134">
        <v>1</v>
      </c>
      <c r="Q34" s="1220">
        <v>2</v>
      </c>
      <c r="R34" s="1138">
        <v>10</v>
      </c>
      <c r="S34" s="1220"/>
      <c r="T34" s="1138"/>
      <c r="U34" s="1238"/>
      <c r="V34" s="1138">
        <v>6</v>
      </c>
      <c r="W34" s="1238">
        <v>4</v>
      </c>
      <c r="X34" s="1138"/>
      <c r="Y34" s="1864"/>
      <c r="Z34" s="1850">
        <v>25</v>
      </c>
      <c r="AA34" s="1851">
        <v>10</v>
      </c>
      <c r="AB34" s="1157">
        <v>10</v>
      </c>
      <c r="AC34" s="1157">
        <v>10</v>
      </c>
      <c r="AD34" s="1157">
        <v>10</v>
      </c>
      <c r="AE34" s="1157">
        <f t="shared" si="0"/>
        <v>10</v>
      </c>
      <c r="AF34" s="1261"/>
      <c r="AG34" s="940" t="s">
        <v>82</v>
      </c>
      <c r="AH34" s="1134">
        <f t="shared" si="1"/>
        <v>100</v>
      </c>
    </row>
    <row r="35" spans="1:34" ht="29.25" customHeight="1" x14ac:dyDescent="0.3">
      <c r="A35" s="1129">
        <v>26</v>
      </c>
      <c r="B35" s="1846">
        <v>5191421026</v>
      </c>
      <c r="C35" s="1140"/>
      <c r="D35" s="1134">
        <v>1</v>
      </c>
      <c r="E35" s="1238"/>
      <c r="F35" s="1138"/>
      <c r="G35" s="1220"/>
      <c r="H35" s="1138">
        <v>5</v>
      </c>
      <c r="I35" s="1353">
        <v>2</v>
      </c>
      <c r="J35" s="1138">
        <v>4</v>
      </c>
      <c r="K35" s="1220"/>
      <c r="L35" s="1138"/>
      <c r="M35" s="1220"/>
      <c r="N35" s="1849">
        <v>12</v>
      </c>
      <c r="O35" s="1136">
        <v>1</v>
      </c>
      <c r="P35" s="1134">
        <v>1</v>
      </c>
      <c r="Q35" s="1220">
        <v>1</v>
      </c>
      <c r="R35" s="1138">
        <v>11</v>
      </c>
      <c r="S35" s="1220"/>
      <c r="T35" s="1138"/>
      <c r="U35" s="1238"/>
      <c r="V35" s="1138"/>
      <c r="W35" s="1238">
        <v>5</v>
      </c>
      <c r="X35" s="1138"/>
      <c r="Y35" s="1864"/>
      <c r="Z35" s="1850">
        <v>19</v>
      </c>
      <c r="AA35" s="1851">
        <v>10</v>
      </c>
      <c r="AB35" s="1851">
        <v>10</v>
      </c>
      <c r="AC35" s="1851">
        <v>10</v>
      </c>
      <c r="AD35" s="1851">
        <v>10</v>
      </c>
      <c r="AE35" s="1157">
        <f t="shared" si="0"/>
        <v>10</v>
      </c>
      <c r="AF35" s="1261"/>
      <c r="AG35" s="940" t="s">
        <v>27</v>
      </c>
      <c r="AH35" s="1134">
        <f t="shared" si="1"/>
        <v>80</v>
      </c>
    </row>
    <row r="36" spans="1:34" ht="29.25" customHeight="1" x14ac:dyDescent="0.3">
      <c r="A36" s="1129">
        <v>27</v>
      </c>
      <c r="B36" s="1846">
        <v>5191421027</v>
      </c>
      <c r="C36" s="1140">
        <v>2</v>
      </c>
      <c r="D36" s="1134">
        <v>2</v>
      </c>
      <c r="E36" s="1238"/>
      <c r="F36" s="1138">
        <v>5</v>
      </c>
      <c r="G36" s="1220">
        <v>5</v>
      </c>
      <c r="H36" s="1138"/>
      <c r="I36" s="1353">
        <v>5</v>
      </c>
      <c r="J36" s="1138"/>
      <c r="K36" s="1220"/>
      <c r="L36" s="1138"/>
      <c r="M36" s="1220"/>
      <c r="N36" s="1849">
        <v>19</v>
      </c>
      <c r="O36" s="1136">
        <v>1</v>
      </c>
      <c r="P36" s="1134"/>
      <c r="Q36" s="1220"/>
      <c r="R36" s="1138"/>
      <c r="S36" s="1220"/>
      <c r="T36" s="1138">
        <v>5</v>
      </c>
      <c r="U36" s="1238">
        <v>3</v>
      </c>
      <c r="V36" s="1138"/>
      <c r="W36" s="1238"/>
      <c r="X36" s="1138"/>
      <c r="Y36" s="1864">
        <v>6</v>
      </c>
      <c r="Z36" s="1850">
        <v>15</v>
      </c>
      <c r="AA36" s="1851">
        <v>10</v>
      </c>
      <c r="AB36" s="1157">
        <v>9</v>
      </c>
      <c r="AC36" s="1157">
        <v>9</v>
      </c>
      <c r="AD36" s="1157">
        <v>8</v>
      </c>
      <c r="AE36" s="1157">
        <f t="shared" si="0"/>
        <v>9</v>
      </c>
      <c r="AF36" s="1261"/>
      <c r="AG36" s="940" t="s">
        <v>27</v>
      </c>
      <c r="AH36" s="1134">
        <f t="shared" si="1"/>
        <v>80</v>
      </c>
    </row>
    <row r="37" spans="1:34" ht="29.25" customHeight="1" x14ac:dyDescent="0.3">
      <c r="A37" s="1129">
        <v>28</v>
      </c>
      <c r="B37" s="1846">
        <v>5191421028</v>
      </c>
      <c r="C37" s="1140">
        <v>1</v>
      </c>
      <c r="D37" s="1134">
        <v>1</v>
      </c>
      <c r="E37" s="1238"/>
      <c r="F37" s="1138">
        <v>2</v>
      </c>
      <c r="G37" s="1220"/>
      <c r="H37" s="1138"/>
      <c r="I37" s="1353"/>
      <c r="J37" s="1138"/>
      <c r="K37" s="1220"/>
      <c r="L37" s="1138"/>
      <c r="M37" s="1220"/>
      <c r="N37" s="1849">
        <v>4</v>
      </c>
      <c r="O37" s="1136">
        <v>2</v>
      </c>
      <c r="P37" s="1134">
        <v>2</v>
      </c>
      <c r="Q37" s="1220">
        <v>2</v>
      </c>
      <c r="R37" s="1138"/>
      <c r="S37" s="1220"/>
      <c r="T37" s="1138">
        <v>6</v>
      </c>
      <c r="U37" s="1238"/>
      <c r="V37" s="1138">
        <v>6</v>
      </c>
      <c r="W37" s="1238">
        <v>6</v>
      </c>
      <c r="X37" s="1138"/>
      <c r="Y37" s="1864"/>
      <c r="Z37" s="1850">
        <v>24</v>
      </c>
      <c r="AA37" s="1851">
        <v>10</v>
      </c>
      <c r="AB37" s="1157">
        <v>10</v>
      </c>
      <c r="AC37" s="1157">
        <v>10</v>
      </c>
      <c r="AD37" s="1157">
        <v>10</v>
      </c>
      <c r="AE37" s="1157">
        <f t="shared" si="0"/>
        <v>10</v>
      </c>
      <c r="AF37" s="1261"/>
      <c r="AG37" s="943" t="s">
        <v>30</v>
      </c>
      <c r="AH37" s="1134">
        <f t="shared" si="1"/>
        <v>90</v>
      </c>
    </row>
    <row r="38" spans="1:34" ht="29.25" customHeight="1" x14ac:dyDescent="0.3">
      <c r="A38" s="1129">
        <v>29</v>
      </c>
      <c r="B38" s="1846">
        <v>5191421029</v>
      </c>
      <c r="C38" s="1140">
        <v>2</v>
      </c>
      <c r="D38" s="1134">
        <v>1</v>
      </c>
      <c r="E38" s="1238">
        <v>1</v>
      </c>
      <c r="F38" s="1138">
        <v>5</v>
      </c>
      <c r="G38" s="1220">
        <v>5</v>
      </c>
      <c r="H38" s="1138"/>
      <c r="I38" s="1353"/>
      <c r="J38" s="1138">
        <v>5</v>
      </c>
      <c r="K38" s="1220">
        <v>2</v>
      </c>
      <c r="L38" s="1138"/>
      <c r="M38" s="1220"/>
      <c r="N38" s="1849">
        <v>21</v>
      </c>
      <c r="O38" s="1136">
        <v>2</v>
      </c>
      <c r="P38" s="1134">
        <v>0</v>
      </c>
      <c r="Q38" s="1220">
        <v>2</v>
      </c>
      <c r="R38" s="1138"/>
      <c r="S38" s="1220"/>
      <c r="T38" s="1138">
        <v>6</v>
      </c>
      <c r="U38" s="1238">
        <v>6</v>
      </c>
      <c r="V38" s="1138">
        <v>6</v>
      </c>
      <c r="W38" s="1238">
        <v>5</v>
      </c>
      <c r="X38" s="1138"/>
      <c r="Y38" s="1864"/>
      <c r="Z38" s="1850">
        <v>27</v>
      </c>
      <c r="AA38" s="1851">
        <v>10</v>
      </c>
      <c r="AB38" s="1157">
        <v>10</v>
      </c>
      <c r="AC38" s="1157">
        <v>10</v>
      </c>
      <c r="AD38" s="1157">
        <v>10</v>
      </c>
      <c r="AE38" s="1157">
        <f t="shared" si="0"/>
        <v>10</v>
      </c>
      <c r="AF38" s="1261"/>
      <c r="AG38" s="940" t="s">
        <v>30</v>
      </c>
      <c r="AH38" s="1134">
        <f t="shared" si="1"/>
        <v>90</v>
      </c>
    </row>
    <row r="39" spans="1:34" ht="29.25" customHeight="1" x14ac:dyDescent="0.3">
      <c r="A39" s="1129">
        <v>30</v>
      </c>
      <c r="B39" s="1846">
        <v>5191421030</v>
      </c>
      <c r="C39" s="1847"/>
      <c r="D39" s="1134"/>
      <c r="E39" s="1238"/>
      <c r="F39" s="1138">
        <v>5</v>
      </c>
      <c r="G39" s="1220">
        <v>4</v>
      </c>
      <c r="H39" s="1138"/>
      <c r="I39" s="1353"/>
      <c r="J39" s="1138"/>
      <c r="K39" s="1220"/>
      <c r="L39" s="1138"/>
      <c r="M39" s="1220"/>
      <c r="N39" s="1849">
        <v>9</v>
      </c>
      <c r="O39" s="1136">
        <v>2</v>
      </c>
      <c r="P39" s="1134"/>
      <c r="Q39" s="1220"/>
      <c r="R39" s="1138"/>
      <c r="S39" s="1220"/>
      <c r="T39" s="1138">
        <v>4</v>
      </c>
      <c r="U39" s="1238">
        <v>2</v>
      </c>
      <c r="V39" s="1138"/>
      <c r="W39" s="1238">
        <v>4</v>
      </c>
      <c r="X39" s="1138"/>
      <c r="Y39" s="1864"/>
      <c r="Z39" s="1850">
        <v>12</v>
      </c>
      <c r="AA39" s="1851">
        <v>9</v>
      </c>
      <c r="AB39" s="1157">
        <v>10</v>
      </c>
      <c r="AC39" s="1157">
        <v>8</v>
      </c>
      <c r="AD39" s="1157">
        <v>9</v>
      </c>
      <c r="AE39" s="1157">
        <f t="shared" si="0"/>
        <v>9</v>
      </c>
      <c r="AF39" s="1261"/>
      <c r="AG39" s="940" t="s">
        <v>33</v>
      </c>
      <c r="AH39" s="1134">
        <f t="shared" si="1"/>
        <v>60</v>
      </c>
    </row>
    <row r="40" spans="1:34" ht="29.25" customHeight="1" x14ac:dyDescent="0.3">
      <c r="A40" s="1129">
        <v>31</v>
      </c>
      <c r="B40" s="1846">
        <v>5191421031</v>
      </c>
      <c r="C40" s="1239"/>
      <c r="D40" s="1134"/>
      <c r="E40" s="1238">
        <v>1</v>
      </c>
      <c r="F40" s="1138">
        <v>5</v>
      </c>
      <c r="G40" s="1220">
        <v>5</v>
      </c>
      <c r="H40" s="1138"/>
      <c r="I40" s="1353"/>
      <c r="J40" s="1138"/>
      <c r="K40" s="1220"/>
      <c r="L40" s="1138">
        <v>2</v>
      </c>
      <c r="M40" s="1220">
        <v>4</v>
      </c>
      <c r="N40" s="1849">
        <v>17</v>
      </c>
      <c r="O40" s="1136">
        <v>1</v>
      </c>
      <c r="P40" s="1134"/>
      <c r="Q40" s="1220"/>
      <c r="R40" s="1138">
        <v>10</v>
      </c>
      <c r="S40" s="1220"/>
      <c r="T40" s="1138"/>
      <c r="U40" s="1238"/>
      <c r="V40" s="1138">
        <v>6</v>
      </c>
      <c r="W40" s="1238">
        <v>4</v>
      </c>
      <c r="X40" s="1138"/>
      <c r="Y40" s="1864"/>
      <c r="Z40" s="1850">
        <v>21</v>
      </c>
      <c r="AA40" s="1851">
        <v>10</v>
      </c>
      <c r="AB40" s="1157">
        <v>10</v>
      </c>
      <c r="AC40" s="1157">
        <v>10</v>
      </c>
      <c r="AD40" s="1157">
        <v>10</v>
      </c>
      <c r="AE40" s="1157">
        <f t="shared" si="0"/>
        <v>10</v>
      </c>
      <c r="AF40" s="1261"/>
      <c r="AG40" s="940" t="s">
        <v>27</v>
      </c>
      <c r="AH40" s="1134">
        <f t="shared" si="1"/>
        <v>80</v>
      </c>
    </row>
    <row r="41" spans="1:34" ht="29.25" customHeight="1" x14ac:dyDescent="0.3">
      <c r="A41" s="1129">
        <v>32</v>
      </c>
      <c r="B41" s="1846">
        <v>5191421032</v>
      </c>
      <c r="C41" s="1868">
        <v>1</v>
      </c>
      <c r="D41" s="1145">
        <v>1</v>
      </c>
      <c r="E41" s="1132"/>
      <c r="F41" s="1464"/>
      <c r="G41" s="1257"/>
      <c r="H41" s="1464">
        <v>1</v>
      </c>
      <c r="I41" s="1257">
        <v>1</v>
      </c>
      <c r="J41" s="1464"/>
      <c r="K41" s="1257"/>
      <c r="L41" s="1138">
        <v>1</v>
      </c>
      <c r="M41" s="1220">
        <v>1</v>
      </c>
      <c r="N41" s="1849">
        <v>6</v>
      </c>
      <c r="O41" s="1138">
        <v>1</v>
      </c>
      <c r="P41" s="1134">
        <v>1</v>
      </c>
      <c r="Q41" s="1220">
        <v>1</v>
      </c>
      <c r="R41" s="1138">
        <v>2</v>
      </c>
      <c r="S41" s="1220"/>
      <c r="T41" s="1138"/>
      <c r="U41" s="1238"/>
      <c r="V41" s="1138">
        <v>4</v>
      </c>
      <c r="W41" s="1238">
        <v>1</v>
      </c>
      <c r="X41" s="1138"/>
      <c r="Y41" s="1864"/>
      <c r="Z41" s="1850">
        <v>10</v>
      </c>
      <c r="AA41" s="1851">
        <v>8</v>
      </c>
      <c r="AB41" s="1157">
        <v>9</v>
      </c>
      <c r="AC41" s="1157">
        <v>9</v>
      </c>
      <c r="AD41" s="1157">
        <v>10</v>
      </c>
      <c r="AE41" s="1157">
        <f t="shared" si="0"/>
        <v>9</v>
      </c>
      <c r="AF41" s="1261"/>
      <c r="AG41" s="940" t="s">
        <v>32</v>
      </c>
      <c r="AH41" s="1134">
        <f t="shared" si="1"/>
        <v>70</v>
      </c>
    </row>
    <row r="42" spans="1:34" ht="29.25" customHeight="1" x14ac:dyDescent="0.3">
      <c r="A42" s="1129">
        <v>33</v>
      </c>
      <c r="B42" s="1846">
        <v>5191421033</v>
      </c>
      <c r="C42" s="1140">
        <v>2</v>
      </c>
      <c r="D42" s="1134">
        <v>2</v>
      </c>
      <c r="E42" s="1238">
        <v>2</v>
      </c>
      <c r="F42" s="1138">
        <v>6</v>
      </c>
      <c r="G42" s="1220">
        <v>5</v>
      </c>
      <c r="H42" s="1138"/>
      <c r="I42" s="1353"/>
      <c r="J42" s="1138"/>
      <c r="K42" s="1220"/>
      <c r="L42" s="1138">
        <v>4</v>
      </c>
      <c r="M42" s="1220">
        <v>4</v>
      </c>
      <c r="N42" s="1849">
        <v>25</v>
      </c>
      <c r="O42" s="1138">
        <v>1</v>
      </c>
      <c r="P42" s="1134"/>
      <c r="Q42" s="1220"/>
      <c r="R42" s="1138">
        <v>10</v>
      </c>
      <c r="S42" s="1220"/>
      <c r="T42" s="1138"/>
      <c r="U42" s="1238"/>
      <c r="V42" s="1138"/>
      <c r="W42" s="1238"/>
      <c r="X42" s="1138">
        <v>3</v>
      </c>
      <c r="Y42" s="1864">
        <v>6</v>
      </c>
      <c r="Z42" s="1850">
        <v>20</v>
      </c>
      <c r="AA42" s="1851">
        <v>10</v>
      </c>
      <c r="AB42" s="1157">
        <v>10</v>
      </c>
      <c r="AC42" s="1157">
        <v>10</v>
      </c>
      <c r="AD42" s="1157">
        <v>10</v>
      </c>
      <c r="AE42" s="1157">
        <f t="shared" si="0"/>
        <v>10</v>
      </c>
      <c r="AF42" s="1261"/>
      <c r="AG42" s="940" t="s">
        <v>30</v>
      </c>
      <c r="AH42" s="1134">
        <f t="shared" si="1"/>
        <v>90</v>
      </c>
    </row>
    <row r="43" spans="1:34" ht="29.25" customHeight="1" x14ac:dyDescent="0.3">
      <c r="A43" s="1129">
        <v>34</v>
      </c>
      <c r="B43" s="1846">
        <v>5191421034</v>
      </c>
      <c r="C43" s="1140">
        <v>1</v>
      </c>
      <c r="D43" s="1134"/>
      <c r="E43" s="1238"/>
      <c r="F43" s="1138">
        <v>6</v>
      </c>
      <c r="G43" s="1220">
        <v>5</v>
      </c>
      <c r="H43" s="1138"/>
      <c r="I43" s="1353"/>
      <c r="J43" s="1138">
        <v>4</v>
      </c>
      <c r="K43" s="1220">
        <v>5</v>
      </c>
      <c r="L43" s="1138"/>
      <c r="M43" s="1220"/>
      <c r="N43" s="1849">
        <v>21</v>
      </c>
      <c r="O43" s="1136">
        <v>2</v>
      </c>
      <c r="P43" s="1134"/>
      <c r="Q43" s="1220"/>
      <c r="R43" s="1138">
        <v>11</v>
      </c>
      <c r="S43" s="1220"/>
      <c r="T43" s="1138"/>
      <c r="U43" s="1238"/>
      <c r="V43" s="1138">
        <v>4</v>
      </c>
      <c r="W43" s="1238">
        <v>6</v>
      </c>
      <c r="X43" s="1138"/>
      <c r="Y43" s="1864"/>
      <c r="Z43" s="1850">
        <v>23</v>
      </c>
      <c r="AA43" s="1851">
        <v>10</v>
      </c>
      <c r="AB43" s="1157">
        <v>10</v>
      </c>
      <c r="AC43" s="1157">
        <v>10</v>
      </c>
      <c r="AD43" s="1157">
        <v>10</v>
      </c>
      <c r="AE43" s="1157">
        <f t="shared" si="0"/>
        <v>10</v>
      </c>
      <c r="AF43" s="1261"/>
      <c r="AG43" s="940" t="s">
        <v>30</v>
      </c>
      <c r="AH43" s="1134">
        <f t="shared" si="1"/>
        <v>90</v>
      </c>
    </row>
    <row r="44" spans="1:34" ht="29.25" customHeight="1" x14ac:dyDescent="0.3">
      <c r="A44" s="1129">
        <v>35</v>
      </c>
      <c r="B44" s="1846">
        <v>5191421035</v>
      </c>
      <c r="C44" s="1140"/>
      <c r="D44" s="1134"/>
      <c r="E44" s="1238"/>
      <c r="F44" s="1138"/>
      <c r="G44" s="1220"/>
      <c r="H44" s="1138"/>
      <c r="I44" s="1353"/>
      <c r="J44" s="1138"/>
      <c r="K44" s="1220"/>
      <c r="L44" s="1138"/>
      <c r="M44" s="1220">
        <v>1</v>
      </c>
      <c r="N44" s="1849">
        <v>1</v>
      </c>
      <c r="O44" s="1136"/>
      <c r="P44" s="1134"/>
      <c r="Q44" s="1220"/>
      <c r="R44" s="1138"/>
      <c r="S44" s="1220"/>
      <c r="T44" s="1138">
        <v>1</v>
      </c>
      <c r="U44" s="1238">
        <v>1</v>
      </c>
      <c r="V44" s="1138"/>
      <c r="W44" s="1238"/>
      <c r="X44" s="1138"/>
      <c r="Y44" s="1864"/>
      <c r="Z44" s="1850">
        <v>2</v>
      </c>
      <c r="AA44" s="1851">
        <v>10</v>
      </c>
      <c r="AB44" s="1157">
        <v>10</v>
      </c>
      <c r="AC44" s="1157">
        <v>10</v>
      </c>
      <c r="AD44" s="1157">
        <v>10</v>
      </c>
      <c r="AE44" s="1157">
        <f t="shared" si="0"/>
        <v>10</v>
      </c>
      <c r="AF44" s="1261"/>
      <c r="AG44" s="940" t="s">
        <v>28</v>
      </c>
      <c r="AH44" s="1134">
        <f t="shared" si="1"/>
        <v>50</v>
      </c>
    </row>
    <row r="45" spans="1:34" ht="29.25" customHeight="1" x14ac:dyDescent="0.3">
      <c r="A45" s="1129">
        <v>36</v>
      </c>
      <c r="B45" s="1846">
        <v>5191421036</v>
      </c>
      <c r="C45" s="1140">
        <v>2</v>
      </c>
      <c r="D45" s="1134">
        <v>2</v>
      </c>
      <c r="E45" s="1238">
        <v>1</v>
      </c>
      <c r="F45" s="1138"/>
      <c r="G45" s="1220"/>
      <c r="H45" s="1138">
        <v>4</v>
      </c>
      <c r="I45" s="1353">
        <v>4</v>
      </c>
      <c r="J45" s="1138"/>
      <c r="K45" s="1220"/>
      <c r="L45" s="1138">
        <v>2</v>
      </c>
      <c r="M45" s="1220">
        <v>4</v>
      </c>
      <c r="N45" s="1849">
        <v>19</v>
      </c>
      <c r="O45" s="1136">
        <v>1</v>
      </c>
      <c r="P45" s="1134"/>
      <c r="Q45" s="1220"/>
      <c r="R45" s="1138">
        <v>10</v>
      </c>
      <c r="S45" s="1220"/>
      <c r="T45" s="1138"/>
      <c r="U45" s="1238"/>
      <c r="V45" s="1138"/>
      <c r="W45" s="1238"/>
      <c r="X45" s="1138">
        <v>4</v>
      </c>
      <c r="Y45" s="1864">
        <v>6</v>
      </c>
      <c r="Z45" s="1850">
        <v>21</v>
      </c>
      <c r="AA45" s="1851">
        <v>10</v>
      </c>
      <c r="AB45" s="1157">
        <v>10</v>
      </c>
      <c r="AC45" s="1157">
        <v>10</v>
      </c>
      <c r="AD45" s="1157">
        <v>10</v>
      </c>
      <c r="AE45" s="1157">
        <f t="shared" si="0"/>
        <v>10</v>
      </c>
      <c r="AF45" s="1261"/>
      <c r="AG45" s="940" t="s">
        <v>27</v>
      </c>
      <c r="AH45" s="1134">
        <f t="shared" si="1"/>
        <v>80</v>
      </c>
    </row>
    <row r="46" spans="1:34" ht="29.25" customHeight="1" x14ac:dyDescent="0.3">
      <c r="A46" s="1129">
        <v>37</v>
      </c>
      <c r="B46" s="1846">
        <v>5191421037</v>
      </c>
      <c r="C46" s="1140">
        <v>1</v>
      </c>
      <c r="D46" s="1134">
        <v>1</v>
      </c>
      <c r="E46" s="1238"/>
      <c r="F46" s="1138">
        <v>4</v>
      </c>
      <c r="G46" s="1220">
        <v>1</v>
      </c>
      <c r="H46" s="1138"/>
      <c r="I46" s="1353">
        <v>1</v>
      </c>
      <c r="J46" s="1138"/>
      <c r="K46" s="1220"/>
      <c r="L46" s="1138"/>
      <c r="M46" s="1220"/>
      <c r="N46" s="1849">
        <v>8</v>
      </c>
      <c r="O46" s="1136"/>
      <c r="P46" s="1134">
        <v>1</v>
      </c>
      <c r="Q46" s="1220"/>
      <c r="R46" s="1138"/>
      <c r="S46" s="1220"/>
      <c r="T46" s="1138">
        <v>2</v>
      </c>
      <c r="U46" s="1238">
        <v>2</v>
      </c>
      <c r="V46" s="1138"/>
      <c r="W46" s="1238"/>
      <c r="X46" s="1138"/>
      <c r="Y46" s="1864"/>
      <c r="Z46" s="1850">
        <v>5</v>
      </c>
      <c r="AA46" s="1851">
        <v>9</v>
      </c>
      <c r="AB46" s="1157">
        <v>8</v>
      </c>
      <c r="AC46" s="1157">
        <v>9</v>
      </c>
      <c r="AD46" s="1157">
        <v>10</v>
      </c>
      <c r="AE46" s="1157">
        <f t="shared" si="0"/>
        <v>9</v>
      </c>
      <c r="AF46" s="1261"/>
      <c r="AG46" s="846" t="s">
        <v>31</v>
      </c>
      <c r="AH46" s="1134">
        <f t="shared" si="1"/>
        <v>55</v>
      </c>
    </row>
    <row r="47" spans="1:34" ht="29.25" customHeight="1" x14ac:dyDescent="0.3">
      <c r="A47" s="1129">
        <v>38</v>
      </c>
      <c r="B47" s="1846">
        <v>5191421038</v>
      </c>
      <c r="C47" s="1140"/>
      <c r="D47" s="1134">
        <v>1</v>
      </c>
      <c r="E47" s="1238"/>
      <c r="F47" s="1138">
        <v>5</v>
      </c>
      <c r="G47" s="1220">
        <v>5</v>
      </c>
      <c r="H47" s="1138"/>
      <c r="I47" s="1353"/>
      <c r="J47" s="1138"/>
      <c r="K47" s="1220"/>
      <c r="L47" s="1138"/>
      <c r="M47" s="1220">
        <v>3</v>
      </c>
      <c r="N47" s="1849">
        <v>14</v>
      </c>
      <c r="O47" s="1136">
        <v>1</v>
      </c>
      <c r="P47" s="1134"/>
      <c r="Q47" s="1220"/>
      <c r="R47" s="1138"/>
      <c r="S47" s="1220"/>
      <c r="T47" s="1138">
        <v>5</v>
      </c>
      <c r="U47" s="1238"/>
      <c r="V47" s="1138"/>
      <c r="W47" s="1238">
        <v>6</v>
      </c>
      <c r="X47" s="1138"/>
      <c r="Y47" s="1864"/>
      <c r="Z47" s="1850">
        <v>12</v>
      </c>
      <c r="AA47" s="1851">
        <v>9</v>
      </c>
      <c r="AB47" s="1157">
        <v>10</v>
      </c>
      <c r="AC47" s="1157">
        <v>9</v>
      </c>
      <c r="AD47" s="1157">
        <v>8</v>
      </c>
      <c r="AE47" s="1157">
        <f t="shared" si="0"/>
        <v>9</v>
      </c>
      <c r="AF47" s="1261"/>
      <c r="AG47" s="940" t="s">
        <v>27</v>
      </c>
      <c r="AH47" s="1134">
        <f t="shared" si="1"/>
        <v>80</v>
      </c>
    </row>
    <row r="48" spans="1:34" ht="29.25" customHeight="1" x14ac:dyDescent="0.3">
      <c r="A48" s="1129">
        <v>39</v>
      </c>
      <c r="B48" s="1846">
        <v>5191421039</v>
      </c>
      <c r="C48" s="1140">
        <v>2</v>
      </c>
      <c r="D48" s="1134"/>
      <c r="E48" s="1238">
        <v>2</v>
      </c>
      <c r="F48" s="1138">
        <v>6</v>
      </c>
      <c r="G48" s="1220"/>
      <c r="H48" s="1138"/>
      <c r="I48" s="1353"/>
      <c r="J48" s="1138">
        <v>6</v>
      </c>
      <c r="K48" s="1220">
        <v>4</v>
      </c>
      <c r="L48" s="1138"/>
      <c r="M48" s="1220"/>
      <c r="N48" s="1869">
        <v>20</v>
      </c>
      <c r="O48" s="1136">
        <v>1</v>
      </c>
      <c r="P48" s="1134"/>
      <c r="Q48" s="1220"/>
      <c r="R48" s="1138">
        <v>11</v>
      </c>
      <c r="S48" s="1220"/>
      <c r="T48" s="1138"/>
      <c r="U48" s="1238"/>
      <c r="V48" s="1138"/>
      <c r="W48" s="1238"/>
      <c r="X48" s="1138">
        <v>3</v>
      </c>
      <c r="Y48" s="1864">
        <v>3</v>
      </c>
      <c r="Z48" s="1850">
        <v>18</v>
      </c>
      <c r="AA48" s="1851">
        <v>10</v>
      </c>
      <c r="AB48" s="1851">
        <v>10</v>
      </c>
      <c r="AC48" s="1851">
        <v>10</v>
      </c>
      <c r="AD48" s="1851">
        <v>10</v>
      </c>
      <c r="AE48" s="1157">
        <f t="shared" si="0"/>
        <v>10</v>
      </c>
      <c r="AF48" s="1261"/>
      <c r="AG48" s="940" t="s">
        <v>33</v>
      </c>
      <c r="AH48" s="1134">
        <f t="shared" si="1"/>
        <v>60</v>
      </c>
    </row>
    <row r="49" spans="1:34" ht="29.25" customHeight="1" x14ac:dyDescent="0.3">
      <c r="A49" s="1129">
        <v>40</v>
      </c>
      <c r="B49" s="1846">
        <v>5191421040</v>
      </c>
      <c r="C49" s="1847"/>
      <c r="D49" s="1134">
        <v>1</v>
      </c>
      <c r="E49" s="1238"/>
      <c r="F49" s="1138">
        <v>6</v>
      </c>
      <c r="G49" s="1220">
        <v>6</v>
      </c>
      <c r="H49" s="1138"/>
      <c r="I49" s="1353">
        <v>4</v>
      </c>
      <c r="J49" s="1138"/>
      <c r="K49" s="1220"/>
      <c r="L49" s="1138">
        <v>4</v>
      </c>
      <c r="M49" s="1220"/>
      <c r="N49" s="1849">
        <v>21</v>
      </c>
      <c r="O49" s="1136">
        <v>2</v>
      </c>
      <c r="P49" s="1134"/>
      <c r="Q49" s="1220">
        <v>1</v>
      </c>
      <c r="R49" s="1138">
        <v>12</v>
      </c>
      <c r="S49" s="1220"/>
      <c r="T49" s="1138"/>
      <c r="U49" s="1238"/>
      <c r="V49" s="1138">
        <v>6</v>
      </c>
      <c r="W49" s="1238">
        <v>4</v>
      </c>
      <c r="X49" s="1138"/>
      <c r="Y49" s="1864"/>
      <c r="Z49" s="1850">
        <v>25</v>
      </c>
      <c r="AA49" s="1851">
        <v>10</v>
      </c>
      <c r="AB49" s="1851">
        <v>10</v>
      </c>
      <c r="AC49" s="1851">
        <v>10</v>
      </c>
      <c r="AD49" s="1851">
        <v>10</v>
      </c>
      <c r="AE49" s="1157">
        <f t="shared" si="0"/>
        <v>10</v>
      </c>
      <c r="AF49" s="1261"/>
      <c r="AG49" s="940" t="s">
        <v>30</v>
      </c>
      <c r="AH49" s="1134">
        <f t="shared" si="1"/>
        <v>90</v>
      </c>
    </row>
    <row r="50" spans="1:34" ht="29.25" customHeight="1" x14ac:dyDescent="0.3">
      <c r="A50" s="1129">
        <v>41</v>
      </c>
      <c r="B50" s="1846">
        <v>5191421041</v>
      </c>
      <c r="C50" s="1140">
        <v>1</v>
      </c>
      <c r="D50" s="1134"/>
      <c r="E50" s="1238"/>
      <c r="F50" s="1138">
        <v>6</v>
      </c>
      <c r="G50" s="1220">
        <v>6</v>
      </c>
      <c r="H50" s="1138"/>
      <c r="I50" s="1353"/>
      <c r="J50" s="1138"/>
      <c r="K50" s="1220"/>
      <c r="L50" s="1138">
        <v>4</v>
      </c>
      <c r="M50" s="1220"/>
      <c r="N50" s="1849">
        <v>17</v>
      </c>
      <c r="O50" s="1136">
        <v>1</v>
      </c>
      <c r="P50" s="1134">
        <v>1</v>
      </c>
      <c r="Q50" s="1220">
        <v>1</v>
      </c>
      <c r="R50" s="1138"/>
      <c r="S50" s="1220"/>
      <c r="T50" s="1138"/>
      <c r="U50" s="1238"/>
      <c r="V50" s="1138">
        <v>6</v>
      </c>
      <c r="W50" s="1238">
        <v>6</v>
      </c>
      <c r="X50" s="1138"/>
      <c r="Y50" s="1864"/>
      <c r="Z50" s="1850">
        <v>15</v>
      </c>
      <c r="AA50" s="1851">
        <v>9</v>
      </c>
      <c r="AB50" s="1157">
        <v>10</v>
      </c>
      <c r="AC50" s="1157">
        <v>9</v>
      </c>
      <c r="AD50" s="1157">
        <v>8</v>
      </c>
      <c r="AE50" s="1157">
        <f t="shared" si="0"/>
        <v>9</v>
      </c>
      <c r="AF50" s="1261"/>
      <c r="AG50" s="940" t="s">
        <v>27</v>
      </c>
      <c r="AH50" s="1134">
        <f t="shared" si="1"/>
        <v>80</v>
      </c>
    </row>
    <row r="51" spans="1:34" ht="29.25" customHeight="1" x14ac:dyDescent="0.3">
      <c r="A51" s="1129">
        <v>42</v>
      </c>
      <c r="B51" s="1846">
        <v>5191421042</v>
      </c>
      <c r="C51" s="1140"/>
      <c r="D51" s="1134"/>
      <c r="E51" s="1238"/>
      <c r="F51" s="1138">
        <v>6</v>
      </c>
      <c r="G51" s="1220">
        <v>2</v>
      </c>
      <c r="H51" s="1138"/>
      <c r="I51" s="1353"/>
      <c r="J51" s="1138">
        <v>1</v>
      </c>
      <c r="K51" s="1220"/>
      <c r="L51" s="1138"/>
      <c r="M51" s="1220"/>
      <c r="N51" s="1849">
        <v>9</v>
      </c>
      <c r="O51" s="1136">
        <v>2</v>
      </c>
      <c r="P51" s="1134"/>
      <c r="Q51" s="1220"/>
      <c r="R51" s="1138"/>
      <c r="S51" s="1220"/>
      <c r="T51" s="1138"/>
      <c r="U51" s="1238"/>
      <c r="V51" s="1138">
        <v>4</v>
      </c>
      <c r="W51" s="1238">
        <v>6</v>
      </c>
      <c r="X51" s="1138"/>
      <c r="Y51" s="1864"/>
      <c r="Z51" s="1850">
        <v>9</v>
      </c>
      <c r="AA51" s="1851">
        <v>10</v>
      </c>
      <c r="AB51" s="1851">
        <v>10</v>
      </c>
      <c r="AC51" s="1851">
        <v>10</v>
      </c>
      <c r="AD51" s="1851">
        <v>10</v>
      </c>
      <c r="AE51" s="1157">
        <f t="shared" si="0"/>
        <v>10</v>
      </c>
      <c r="AF51" s="1261"/>
      <c r="AG51" s="940" t="s">
        <v>33</v>
      </c>
      <c r="AH51" s="1134">
        <f t="shared" si="1"/>
        <v>60</v>
      </c>
    </row>
    <row r="52" spans="1:34" ht="29.25" customHeight="1" x14ac:dyDescent="0.3">
      <c r="A52" s="1129">
        <v>43</v>
      </c>
      <c r="B52" s="1846">
        <v>5191421043</v>
      </c>
      <c r="C52" s="1140">
        <v>1</v>
      </c>
      <c r="D52" s="1134">
        <v>2</v>
      </c>
      <c r="E52" s="1238">
        <v>1</v>
      </c>
      <c r="F52" s="1138">
        <v>6</v>
      </c>
      <c r="G52" s="1220">
        <v>2</v>
      </c>
      <c r="H52" s="1138"/>
      <c r="I52" s="1353"/>
      <c r="J52" s="1138"/>
      <c r="K52" s="1220"/>
      <c r="L52" s="1138"/>
      <c r="M52" s="1220">
        <v>6</v>
      </c>
      <c r="N52" s="1849">
        <v>18</v>
      </c>
      <c r="O52" s="1136">
        <v>2</v>
      </c>
      <c r="P52" s="1134"/>
      <c r="Q52" s="1220"/>
      <c r="R52" s="1138">
        <v>11</v>
      </c>
      <c r="S52" s="1220"/>
      <c r="T52" s="1138"/>
      <c r="U52" s="1238"/>
      <c r="V52" s="1138"/>
      <c r="W52" s="1238"/>
      <c r="X52" s="1138">
        <v>2</v>
      </c>
      <c r="Y52" s="1864">
        <v>6</v>
      </c>
      <c r="Z52" s="1850">
        <v>21</v>
      </c>
      <c r="AA52" s="1851">
        <v>10</v>
      </c>
      <c r="AB52" s="1157">
        <v>10</v>
      </c>
      <c r="AC52" s="1157">
        <v>10</v>
      </c>
      <c r="AD52" s="1157">
        <v>10</v>
      </c>
      <c r="AE52" s="1157">
        <f t="shared" si="0"/>
        <v>10</v>
      </c>
      <c r="AF52" s="1261"/>
      <c r="AG52" s="940" t="s">
        <v>30</v>
      </c>
      <c r="AH52" s="1134">
        <f t="shared" si="1"/>
        <v>90</v>
      </c>
    </row>
    <row r="53" spans="1:34" ht="29.25" customHeight="1" x14ac:dyDescent="0.3">
      <c r="A53" s="1129">
        <v>44</v>
      </c>
      <c r="B53" s="1846">
        <v>5191421044</v>
      </c>
      <c r="C53" s="1140">
        <v>2</v>
      </c>
      <c r="D53" s="1134">
        <v>1</v>
      </c>
      <c r="E53" s="1238"/>
      <c r="F53" s="1138">
        <v>6</v>
      </c>
      <c r="G53" s="1220">
        <v>4</v>
      </c>
      <c r="H53" s="1138"/>
      <c r="I53" s="1353"/>
      <c r="J53" s="1138"/>
      <c r="K53" s="1220"/>
      <c r="L53" s="1138">
        <v>5</v>
      </c>
      <c r="M53" s="1220">
        <v>5</v>
      </c>
      <c r="N53" s="1849">
        <v>23</v>
      </c>
      <c r="O53" s="1136">
        <v>2</v>
      </c>
      <c r="P53" s="1134">
        <v>1</v>
      </c>
      <c r="Q53" s="1220">
        <v>2</v>
      </c>
      <c r="R53" s="1138">
        <v>11</v>
      </c>
      <c r="S53" s="1220"/>
      <c r="T53" s="1138"/>
      <c r="U53" s="1238"/>
      <c r="V53" s="1138">
        <v>6</v>
      </c>
      <c r="W53" s="1238">
        <v>6</v>
      </c>
      <c r="X53" s="1138"/>
      <c r="Y53" s="1864"/>
      <c r="Z53" s="1850">
        <v>28</v>
      </c>
      <c r="AA53" s="1851">
        <v>10</v>
      </c>
      <c r="AB53" s="1157">
        <v>10</v>
      </c>
      <c r="AC53" s="1157">
        <v>10</v>
      </c>
      <c r="AD53" s="1157">
        <v>10</v>
      </c>
      <c r="AE53" s="1157">
        <f t="shared" si="0"/>
        <v>10</v>
      </c>
      <c r="AF53" s="1261"/>
      <c r="AG53" s="940" t="s">
        <v>30</v>
      </c>
      <c r="AH53" s="1134">
        <f t="shared" si="1"/>
        <v>90</v>
      </c>
    </row>
    <row r="54" spans="1:34" ht="29.25" customHeight="1" x14ac:dyDescent="0.3">
      <c r="A54" s="1129">
        <v>45</v>
      </c>
      <c r="B54" s="1846">
        <v>5191421045</v>
      </c>
      <c r="C54" s="1847">
        <v>2</v>
      </c>
      <c r="D54" s="1134">
        <v>1</v>
      </c>
      <c r="E54" s="1238"/>
      <c r="F54" s="1138">
        <v>5</v>
      </c>
      <c r="G54" s="1220"/>
      <c r="H54" s="1138"/>
      <c r="I54" s="1353"/>
      <c r="J54" s="1138"/>
      <c r="K54" s="1220"/>
      <c r="L54" s="1138"/>
      <c r="M54" s="1220"/>
      <c r="N54" s="1849">
        <v>8</v>
      </c>
      <c r="O54" s="1136"/>
      <c r="P54" s="1134"/>
      <c r="Q54" s="1220"/>
      <c r="R54" s="1138">
        <v>11</v>
      </c>
      <c r="S54" s="1220"/>
      <c r="T54" s="1138"/>
      <c r="U54" s="1238"/>
      <c r="V54" s="1138"/>
      <c r="W54" s="1238"/>
      <c r="X54" s="1138">
        <v>6</v>
      </c>
      <c r="Y54" s="1864">
        <v>4</v>
      </c>
      <c r="Z54" s="1850">
        <v>21</v>
      </c>
      <c r="AA54" s="1851">
        <v>10</v>
      </c>
      <c r="AB54" s="1851">
        <v>10</v>
      </c>
      <c r="AC54" s="1851">
        <v>10</v>
      </c>
      <c r="AD54" s="1851">
        <v>10</v>
      </c>
      <c r="AE54" s="1157">
        <f t="shared" si="0"/>
        <v>10</v>
      </c>
      <c r="AF54" s="1261"/>
      <c r="AG54" s="940" t="s">
        <v>32</v>
      </c>
      <c r="AH54" s="1134">
        <f t="shared" si="1"/>
        <v>70</v>
      </c>
    </row>
    <row r="55" spans="1:34" ht="29.25" customHeight="1" x14ac:dyDescent="0.3">
      <c r="A55" s="1129">
        <v>46</v>
      </c>
      <c r="B55" s="1846">
        <v>5191421046</v>
      </c>
      <c r="C55" s="1140">
        <v>1</v>
      </c>
      <c r="D55" s="1134">
        <v>1</v>
      </c>
      <c r="E55" s="1238">
        <v>0</v>
      </c>
      <c r="F55" s="1138">
        <v>1</v>
      </c>
      <c r="G55" s="1220">
        <v>2</v>
      </c>
      <c r="H55" s="1138"/>
      <c r="I55" s="1353"/>
      <c r="J55" s="1138"/>
      <c r="K55" s="1220"/>
      <c r="L55" s="1138">
        <v>3</v>
      </c>
      <c r="M55" s="1220">
        <v>4</v>
      </c>
      <c r="N55" s="1849">
        <v>12</v>
      </c>
      <c r="O55" s="1136">
        <v>1</v>
      </c>
      <c r="P55" s="1134"/>
      <c r="Q55" s="1220"/>
      <c r="R55" s="1138"/>
      <c r="S55" s="1220"/>
      <c r="T55" s="1138">
        <v>1</v>
      </c>
      <c r="U55" s="1238">
        <v>2</v>
      </c>
      <c r="V55" s="1138">
        <v>2</v>
      </c>
      <c r="W55" s="1238">
        <v>5</v>
      </c>
      <c r="X55" s="1138"/>
      <c r="Y55" s="1864"/>
      <c r="Z55" s="1850">
        <v>11</v>
      </c>
      <c r="AA55" s="1851">
        <v>10</v>
      </c>
      <c r="AB55" s="1851">
        <v>10</v>
      </c>
      <c r="AC55" s="1851">
        <v>10</v>
      </c>
      <c r="AD55" s="1851">
        <v>10</v>
      </c>
      <c r="AE55" s="1157">
        <f t="shared" si="0"/>
        <v>10</v>
      </c>
      <c r="AF55" s="1261"/>
      <c r="AG55" s="940" t="s">
        <v>30</v>
      </c>
      <c r="AH55" s="1134">
        <f t="shared" si="1"/>
        <v>90</v>
      </c>
    </row>
    <row r="56" spans="1:34" ht="29.25" customHeight="1" x14ac:dyDescent="0.3">
      <c r="A56" s="1129">
        <v>47</v>
      </c>
      <c r="B56" s="1846">
        <v>5191421047</v>
      </c>
      <c r="C56" s="1140"/>
      <c r="D56" s="1134"/>
      <c r="E56" s="1238"/>
      <c r="F56" s="1138"/>
      <c r="G56" s="1220"/>
      <c r="H56" s="1138"/>
      <c r="I56" s="1353"/>
      <c r="J56" s="1138"/>
      <c r="K56" s="1220"/>
      <c r="L56" s="1138"/>
      <c r="M56" s="1220"/>
      <c r="N56" s="1849"/>
      <c r="O56" s="1136">
        <v>2</v>
      </c>
      <c r="P56" s="1134"/>
      <c r="Q56" s="1220"/>
      <c r="R56" s="1138">
        <v>2</v>
      </c>
      <c r="S56" s="1220"/>
      <c r="T56" s="1138">
        <v>2</v>
      </c>
      <c r="U56" s="1238"/>
      <c r="V56" s="1138"/>
      <c r="W56" s="1238">
        <v>2</v>
      </c>
      <c r="X56" s="1138"/>
      <c r="Y56" s="1864"/>
      <c r="Z56" s="1850">
        <v>8</v>
      </c>
      <c r="AA56" s="1851">
        <v>9</v>
      </c>
      <c r="AB56" s="1157">
        <v>9</v>
      </c>
      <c r="AC56" s="1157">
        <v>8</v>
      </c>
      <c r="AD56" s="1157">
        <v>10</v>
      </c>
      <c r="AE56" s="1157">
        <f t="shared" si="0"/>
        <v>9</v>
      </c>
      <c r="AF56" s="1261"/>
      <c r="AG56" s="940" t="s">
        <v>28</v>
      </c>
      <c r="AH56" s="1134">
        <f t="shared" si="1"/>
        <v>50</v>
      </c>
    </row>
    <row r="57" spans="1:34" ht="29.25" customHeight="1" x14ac:dyDescent="0.3">
      <c r="A57" s="1129">
        <v>48</v>
      </c>
      <c r="B57" s="1846">
        <v>5191421048</v>
      </c>
      <c r="C57" s="1140"/>
      <c r="D57" s="1134"/>
      <c r="E57" s="1238"/>
      <c r="F57" s="1138">
        <v>5</v>
      </c>
      <c r="G57" s="1220">
        <v>4</v>
      </c>
      <c r="H57" s="1138"/>
      <c r="I57" s="1353"/>
      <c r="J57" s="1138">
        <v>1</v>
      </c>
      <c r="K57" s="1220">
        <v>1</v>
      </c>
      <c r="L57" s="1138"/>
      <c r="M57" s="1220"/>
      <c r="N57" s="1849">
        <v>11</v>
      </c>
      <c r="O57" s="1136">
        <v>2</v>
      </c>
      <c r="P57" s="1134"/>
      <c r="Q57" s="1220"/>
      <c r="R57" s="1138">
        <v>9</v>
      </c>
      <c r="S57" s="1220"/>
      <c r="T57" s="1138"/>
      <c r="U57" s="1238"/>
      <c r="V57" s="1138"/>
      <c r="W57" s="1238"/>
      <c r="X57" s="1138">
        <v>2</v>
      </c>
      <c r="Y57" s="1864">
        <v>4</v>
      </c>
      <c r="Z57" s="1850">
        <v>17</v>
      </c>
      <c r="AA57" s="1851">
        <v>10</v>
      </c>
      <c r="AB57" s="1157">
        <v>8</v>
      </c>
      <c r="AC57" s="1157">
        <v>9</v>
      </c>
      <c r="AD57" s="1157">
        <v>9</v>
      </c>
      <c r="AE57" s="1157">
        <f t="shared" si="0"/>
        <v>9</v>
      </c>
      <c r="AF57" s="1261"/>
      <c r="AG57" s="940" t="s">
        <v>32</v>
      </c>
      <c r="AH57" s="1134">
        <f t="shared" si="1"/>
        <v>70</v>
      </c>
    </row>
    <row r="58" spans="1:34" ht="29.25" customHeight="1" x14ac:dyDescent="0.3">
      <c r="A58" s="1129">
        <v>49</v>
      </c>
      <c r="B58" s="1846">
        <v>5191421049</v>
      </c>
      <c r="C58" s="1140"/>
      <c r="D58" s="1134"/>
      <c r="E58" s="1238"/>
      <c r="F58" s="1138"/>
      <c r="G58" s="1220"/>
      <c r="H58" s="1138"/>
      <c r="I58" s="1353"/>
      <c r="J58" s="1138"/>
      <c r="K58" s="1220"/>
      <c r="L58" s="1138"/>
      <c r="M58" s="1220"/>
      <c r="N58" s="1849"/>
      <c r="O58" s="1136">
        <v>2</v>
      </c>
      <c r="P58" s="1134"/>
      <c r="Q58" s="1220">
        <v>2</v>
      </c>
      <c r="R58" s="1138"/>
      <c r="S58" s="1220"/>
      <c r="T58" s="1138">
        <v>1</v>
      </c>
      <c r="U58" s="1238">
        <v>5</v>
      </c>
      <c r="V58" s="1138">
        <v>5</v>
      </c>
      <c r="W58" s="1238">
        <v>5</v>
      </c>
      <c r="X58" s="1138"/>
      <c r="Y58" s="1864"/>
      <c r="Z58" s="1850">
        <v>20</v>
      </c>
      <c r="AA58" s="1851">
        <v>8</v>
      </c>
      <c r="AB58" s="1157">
        <v>7</v>
      </c>
      <c r="AC58" s="1157">
        <v>7</v>
      </c>
      <c r="AD58" s="1157">
        <v>6</v>
      </c>
      <c r="AE58" s="1157">
        <f t="shared" si="0"/>
        <v>7</v>
      </c>
      <c r="AF58" s="1261"/>
      <c r="AG58" s="940" t="s">
        <v>27</v>
      </c>
      <c r="AH58" s="1134">
        <f t="shared" si="1"/>
        <v>80</v>
      </c>
    </row>
    <row r="59" spans="1:34" ht="29.25" customHeight="1" x14ac:dyDescent="0.3">
      <c r="A59" s="1129">
        <v>50</v>
      </c>
      <c r="B59" s="1846">
        <v>5191421050</v>
      </c>
      <c r="C59" s="1140"/>
      <c r="D59" s="1134">
        <v>1</v>
      </c>
      <c r="E59" s="1238"/>
      <c r="F59" s="1138">
        <v>4</v>
      </c>
      <c r="G59" s="1220">
        <v>4</v>
      </c>
      <c r="H59" s="1138"/>
      <c r="I59" s="1353"/>
      <c r="J59" s="1138">
        <v>5</v>
      </c>
      <c r="K59" s="1220">
        <v>1</v>
      </c>
      <c r="L59" s="1138"/>
      <c r="M59" s="1220"/>
      <c r="N59" s="1849">
        <v>15</v>
      </c>
      <c r="O59" s="1136">
        <v>1</v>
      </c>
      <c r="P59" s="1134"/>
      <c r="Q59" s="1220"/>
      <c r="R59" s="1138">
        <v>11</v>
      </c>
      <c r="S59" s="1220"/>
      <c r="T59" s="1138"/>
      <c r="U59" s="1238"/>
      <c r="V59" s="1138"/>
      <c r="W59" s="1238"/>
      <c r="X59" s="1138"/>
      <c r="Y59" s="1864">
        <v>6</v>
      </c>
      <c r="Z59" s="1850">
        <v>18</v>
      </c>
      <c r="AA59" s="1851">
        <v>10</v>
      </c>
      <c r="AB59" s="1851">
        <v>10</v>
      </c>
      <c r="AC59" s="1851">
        <v>10</v>
      </c>
      <c r="AD59" s="1851">
        <v>10</v>
      </c>
      <c r="AE59" s="1157">
        <f t="shared" si="0"/>
        <v>10</v>
      </c>
      <c r="AF59" s="1261"/>
      <c r="AG59" s="940" t="s">
        <v>27</v>
      </c>
      <c r="AH59" s="1134">
        <f t="shared" si="1"/>
        <v>80</v>
      </c>
    </row>
    <row r="60" spans="1:34" ht="29.25" customHeight="1" x14ac:dyDescent="0.3">
      <c r="A60" s="1129">
        <v>51</v>
      </c>
      <c r="B60" s="1846">
        <v>5191421051</v>
      </c>
      <c r="C60" s="1870">
        <v>1</v>
      </c>
      <c r="D60" s="1855">
        <v>1</v>
      </c>
      <c r="E60" s="1856">
        <v>1</v>
      </c>
      <c r="F60" s="1857">
        <v>5</v>
      </c>
      <c r="G60" s="1220">
        <v>5</v>
      </c>
      <c r="H60" s="1857"/>
      <c r="I60" s="1859"/>
      <c r="J60" s="1857"/>
      <c r="K60" s="1858"/>
      <c r="L60" s="1138">
        <v>5</v>
      </c>
      <c r="M60" s="1220">
        <v>4</v>
      </c>
      <c r="N60" s="1849">
        <v>22</v>
      </c>
      <c r="O60" s="1860">
        <v>2</v>
      </c>
      <c r="P60" s="1855">
        <v>1</v>
      </c>
      <c r="Q60" s="1858">
        <v>0</v>
      </c>
      <c r="R60" s="1857">
        <v>10</v>
      </c>
      <c r="S60" s="1220"/>
      <c r="T60" s="1138"/>
      <c r="U60" s="1238"/>
      <c r="V60" s="1138"/>
      <c r="W60" s="1238"/>
      <c r="X60" s="1857"/>
      <c r="Y60" s="1864">
        <v>5</v>
      </c>
      <c r="Z60" s="1850">
        <v>18</v>
      </c>
      <c r="AA60" s="1851">
        <v>9</v>
      </c>
      <c r="AB60" s="1157">
        <v>10</v>
      </c>
      <c r="AC60" s="1157">
        <v>9</v>
      </c>
      <c r="AD60" s="1157">
        <v>8</v>
      </c>
      <c r="AE60" s="1157">
        <f t="shared" si="0"/>
        <v>9</v>
      </c>
      <c r="AF60" s="1261"/>
      <c r="AG60" s="940" t="s">
        <v>30</v>
      </c>
      <c r="AH60" s="1134">
        <f t="shared" si="1"/>
        <v>90</v>
      </c>
    </row>
    <row r="61" spans="1:34" ht="29.25" customHeight="1" x14ac:dyDescent="0.3">
      <c r="A61" s="1129">
        <v>52</v>
      </c>
      <c r="B61" s="1846">
        <v>5191421052</v>
      </c>
      <c r="C61" s="1870"/>
      <c r="D61" s="1855">
        <v>1</v>
      </c>
      <c r="E61" s="1856">
        <v>2</v>
      </c>
      <c r="F61" s="1857"/>
      <c r="G61" s="1220"/>
      <c r="H61" s="1857">
        <v>4</v>
      </c>
      <c r="I61" s="1859">
        <v>4</v>
      </c>
      <c r="J61" s="1857">
        <v>4</v>
      </c>
      <c r="K61" s="1858">
        <v>2</v>
      </c>
      <c r="L61" s="1138"/>
      <c r="M61" s="1220"/>
      <c r="N61" s="1849">
        <v>17</v>
      </c>
      <c r="O61" s="1860">
        <v>2</v>
      </c>
      <c r="P61" s="1855"/>
      <c r="Q61" s="1858">
        <v>1</v>
      </c>
      <c r="R61" s="1857">
        <v>12</v>
      </c>
      <c r="S61" s="1220"/>
      <c r="T61" s="1138"/>
      <c r="U61" s="1238"/>
      <c r="V61" s="1138"/>
      <c r="W61" s="1238"/>
      <c r="X61" s="1857"/>
      <c r="Y61" s="1864">
        <v>6</v>
      </c>
      <c r="Z61" s="1850">
        <v>21</v>
      </c>
      <c r="AA61" s="1851">
        <v>10</v>
      </c>
      <c r="AB61" s="1157">
        <v>10</v>
      </c>
      <c r="AC61" s="1157">
        <v>10</v>
      </c>
      <c r="AD61" s="1157">
        <v>10</v>
      </c>
      <c r="AE61" s="1157">
        <f t="shared" si="0"/>
        <v>10</v>
      </c>
      <c r="AF61" s="1261"/>
      <c r="AG61" s="940" t="s">
        <v>27</v>
      </c>
      <c r="AH61" s="1134">
        <f t="shared" si="1"/>
        <v>80</v>
      </c>
    </row>
    <row r="62" spans="1:34" ht="29.25" customHeight="1" x14ac:dyDescent="0.3">
      <c r="A62" s="1129">
        <v>53</v>
      </c>
      <c r="B62" s="1846">
        <v>5191421053</v>
      </c>
      <c r="C62" s="1870"/>
      <c r="D62" s="1855"/>
      <c r="E62" s="1856">
        <v>2</v>
      </c>
      <c r="F62" s="1857">
        <v>5</v>
      </c>
      <c r="G62" s="1220">
        <v>4</v>
      </c>
      <c r="H62" s="1857"/>
      <c r="I62" s="1859"/>
      <c r="J62" s="1857">
        <v>5</v>
      </c>
      <c r="K62" s="1858"/>
      <c r="L62" s="1138"/>
      <c r="M62" s="1220"/>
      <c r="N62" s="1849">
        <v>16</v>
      </c>
      <c r="O62" s="1860">
        <v>2</v>
      </c>
      <c r="P62" s="1855"/>
      <c r="Q62" s="1858"/>
      <c r="R62" s="1857"/>
      <c r="S62" s="1220"/>
      <c r="T62" s="1138">
        <v>5</v>
      </c>
      <c r="U62" s="1238">
        <v>4</v>
      </c>
      <c r="V62" s="1138"/>
      <c r="W62" s="1238"/>
      <c r="X62" s="1857">
        <v>1</v>
      </c>
      <c r="Y62" s="1864">
        <v>1</v>
      </c>
      <c r="Z62" s="1850">
        <v>13</v>
      </c>
      <c r="AA62" s="1851">
        <v>9</v>
      </c>
      <c r="AB62" s="1157">
        <v>9</v>
      </c>
      <c r="AC62" s="1157">
        <v>9</v>
      </c>
      <c r="AD62" s="1157">
        <v>9</v>
      </c>
      <c r="AE62" s="1157">
        <f t="shared" si="0"/>
        <v>9</v>
      </c>
      <c r="AF62" s="1261"/>
      <c r="AG62" s="940" t="s">
        <v>33</v>
      </c>
      <c r="AH62" s="1134">
        <f t="shared" si="1"/>
        <v>60</v>
      </c>
    </row>
    <row r="63" spans="1:34" ht="29.25" customHeight="1" x14ac:dyDescent="0.3">
      <c r="A63" s="1129">
        <v>54</v>
      </c>
      <c r="B63" s="1846">
        <v>5191421054</v>
      </c>
      <c r="C63" s="1870">
        <v>2</v>
      </c>
      <c r="D63" s="1855">
        <v>1</v>
      </c>
      <c r="E63" s="1856">
        <v>1</v>
      </c>
      <c r="F63" s="1857">
        <v>6</v>
      </c>
      <c r="G63" s="1220">
        <v>6</v>
      </c>
      <c r="H63" s="1857"/>
      <c r="I63" s="1859"/>
      <c r="J63" s="1857"/>
      <c r="K63" s="1858"/>
      <c r="L63" s="1138"/>
      <c r="M63" s="1220"/>
      <c r="N63" s="1849">
        <v>16</v>
      </c>
      <c r="O63" s="1860">
        <v>1</v>
      </c>
      <c r="P63" s="1855"/>
      <c r="Q63" s="1858"/>
      <c r="R63" s="1857">
        <v>8</v>
      </c>
      <c r="S63" s="1220"/>
      <c r="T63" s="1138"/>
      <c r="U63" s="1238"/>
      <c r="V63" s="1138"/>
      <c r="W63" s="1238"/>
      <c r="X63" s="1857">
        <v>5</v>
      </c>
      <c r="Y63" s="1864"/>
      <c r="Z63" s="1850">
        <v>14</v>
      </c>
      <c r="AA63" s="1851">
        <v>10</v>
      </c>
      <c r="AB63" s="1851">
        <v>10</v>
      </c>
      <c r="AC63" s="1851">
        <v>10</v>
      </c>
      <c r="AD63" s="1851">
        <v>10</v>
      </c>
      <c r="AE63" s="1157">
        <f t="shared" si="0"/>
        <v>10</v>
      </c>
      <c r="AF63" s="1261"/>
      <c r="AG63" s="940" t="s">
        <v>32</v>
      </c>
      <c r="AH63" s="1134">
        <f t="shared" si="1"/>
        <v>70</v>
      </c>
    </row>
    <row r="64" spans="1:34" ht="29.25" customHeight="1" x14ac:dyDescent="0.3">
      <c r="A64" s="1129">
        <v>55</v>
      </c>
      <c r="B64" s="1846">
        <v>5191421055</v>
      </c>
      <c r="C64" s="1870">
        <v>1</v>
      </c>
      <c r="D64" s="1855">
        <v>1</v>
      </c>
      <c r="E64" s="1856"/>
      <c r="F64" s="1857">
        <v>6</v>
      </c>
      <c r="G64" s="1220">
        <v>5</v>
      </c>
      <c r="H64" s="1857"/>
      <c r="I64" s="1859"/>
      <c r="J64" s="1857">
        <v>4</v>
      </c>
      <c r="K64" s="1858">
        <v>1</v>
      </c>
      <c r="L64" s="1138"/>
      <c r="M64" s="1220"/>
      <c r="N64" s="1849">
        <v>18</v>
      </c>
      <c r="O64" s="1860"/>
      <c r="P64" s="1855"/>
      <c r="Q64" s="1858"/>
      <c r="R64" s="1857"/>
      <c r="S64" s="1220"/>
      <c r="T64" s="1138">
        <v>5</v>
      </c>
      <c r="U64" s="1238">
        <v>4</v>
      </c>
      <c r="V64" s="1138"/>
      <c r="W64" s="1238">
        <v>4</v>
      </c>
      <c r="X64" s="1857"/>
      <c r="Y64" s="1864"/>
      <c r="Z64" s="1850">
        <v>13</v>
      </c>
      <c r="AA64" s="1851">
        <v>10</v>
      </c>
      <c r="AB64" s="1851">
        <v>10</v>
      </c>
      <c r="AC64" s="1851">
        <v>10</v>
      </c>
      <c r="AD64" s="1851">
        <v>10</v>
      </c>
      <c r="AE64" s="1157">
        <f>AVERAGE(AA64:AD64)</f>
        <v>10</v>
      </c>
      <c r="AF64" s="1261"/>
      <c r="AG64" s="940" t="s">
        <v>30</v>
      </c>
      <c r="AH64" s="1134">
        <f t="shared" si="1"/>
        <v>90</v>
      </c>
    </row>
    <row r="65" spans="1:34" ht="29.25" customHeight="1" x14ac:dyDescent="0.3">
      <c r="A65" s="1129">
        <v>56</v>
      </c>
      <c r="B65" s="1846">
        <v>5191421056</v>
      </c>
      <c r="C65" s="1870"/>
      <c r="D65" s="1855">
        <v>1</v>
      </c>
      <c r="E65" s="1856"/>
      <c r="F65" s="1857">
        <v>3</v>
      </c>
      <c r="G65" s="1220">
        <v>3</v>
      </c>
      <c r="H65" s="1857"/>
      <c r="I65" s="1859"/>
      <c r="J65" s="1857"/>
      <c r="K65" s="1858">
        <v>3</v>
      </c>
      <c r="L65" s="1138"/>
      <c r="M65" s="1220"/>
      <c r="N65" s="1849">
        <v>10</v>
      </c>
      <c r="O65" s="1860">
        <v>2</v>
      </c>
      <c r="P65" s="1855"/>
      <c r="Q65" s="1858"/>
      <c r="R65" s="1857">
        <v>12</v>
      </c>
      <c r="S65" s="1220"/>
      <c r="T65" s="1138"/>
      <c r="U65" s="1238"/>
      <c r="V65" s="1138"/>
      <c r="W65" s="1238"/>
      <c r="X65" s="1857">
        <v>6</v>
      </c>
      <c r="Y65" s="1864">
        <v>5</v>
      </c>
      <c r="Z65" s="1850">
        <v>25</v>
      </c>
      <c r="AA65" s="1851">
        <v>10</v>
      </c>
      <c r="AB65" s="1851">
        <v>10</v>
      </c>
      <c r="AC65" s="1851">
        <v>10</v>
      </c>
      <c r="AD65" s="1851">
        <v>10</v>
      </c>
      <c r="AE65" s="1157">
        <f>AVERAGE(AA65:AD65)</f>
        <v>10</v>
      </c>
      <c r="AF65" s="1261"/>
      <c r="AG65" s="940" t="s">
        <v>32</v>
      </c>
      <c r="AH65" s="1134">
        <f t="shared" si="1"/>
        <v>70</v>
      </c>
    </row>
    <row r="66" spans="1:34" ht="29.25" customHeight="1" x14ac:dyDescent="0.3">
      <c r="A66" s="1129">
        <v>57</v>
      </c>
      <c r="B66" s="1846">
        <v>5191421057</v>
      </c>
      <c r="C66" s="1870">
        <v>2</v>
      </c>
      <c r="D66" s="1855">
        <v>1</v>
      </c>
      <c r="E66" s="1856">
        <v>2</v>
      </c>
      <c r="F66" s="1857">
        <v>6</v>
      </c>
      <c r="G66" s="1220">
        <v>6</v>
      </c>
      <c r="H66" s="1857"/>
      <c r="I66" s="1859"/>
      <c r="J66" s="1857">
        <v>5</v>
      </c>
      <c r="K66" s="1858">
        <v>4</v>
      </c>
      <c r="L66" s="1138"/>
      <c r="M66" s="1220"/>
      <c r="N66" s="1849">
        <v>26</v>
      </c>
      <c r="O66" s="1860">
        <v>1</v>
      </c>
      <c r="P66" s="1855">
        <v>1</v>
      </c>
      <c r="Q66" s="1858">
        <v>1</v>
      </c>
      <c r="R66" s="1857">
        <v>12</v>
      </c>
      <c r="S66" s="1220"/>
      <c r="T66" s="1138"/>
      <c r="U66" s="1238"/>
      <c r="V66" s="1138"/>
      <c r="W66" s="1238"/>
      <c r="X66" s="1857">
        <v>6</v>
      </c>
      <c r="Y66" s="1863">
        <v>6</v>
      </c>
      <c r="Z66" s="1850">
        <v>25</v>
      </c>
      <c r="AA66" s="1851">
        <v>10</v>
      </c>
      <c r="AB66" s="1851">
        <v>10</v>
      </c>
      <c r="AC66" s="1851">
        <v>10</v>
      </c>
      <c r="AD66" s="1851">
        <v>10</v>
      </c>
      <c r="AE66" s="1157">
        <f>AVERAGE(AA66:AD66)</f>
        <v>10</v>
      </c>
      <c r="AF66" s="1261"/>
      <c r="AG66" s="941" t="s">
        <v>82</v>
      </c>
      <c r="AH66" s="1134">
        <f t="shared" si="1"/>
        <v>100</v>
      </c>
    </row>
    <row r="67" spans="1:34" ht="29.25" customHeight="1" thickBot="1" x14ac:dyDescent="0.35">
      <c r="A67" s="1129">
        <v>58</v>
      </c>
      <c r="B67" s="1871">
        <v>5191421058</v>
      </c>
      <c r="C67" s="1870">
        <v>1</v>
      </c>
      <c r="D67" s="1855"/>
      <c r="E67" s="1856"/>
      <c r="F67" s="1857"/>
      <c r="G67" s="1858"/>
      <c r="H67" s="1857">
        <v>1</v>
      </c>
      <c r="I67" s="1859"/>
      <c r="J67" s="1857">
        <v>4</v>
      </c>
      <c r="K67" s="1858">
        <v>1</v>
      </c>
      <c r="L67" s="1857"/>
      <c r="M67" s="1858"/>
      <c r="N67" s="1849">
        <v>7</v>
      </c>
      <c r="O67" s="1860">
        <v>2</v>
      </c>
      <c r="P67" s="1855"/>
      <c r="Q67" s="1858"/>
      <c r="R67" s="1857"/>
      <c r="S67" s="1220"/>
      <c r="T67" s="1857">
        <v>1</v>
      </c>
      <c r="U67" s="1856">
        <v>1</v>
      </c>
      <c r="V67" s="1857"/>
      <c r="W67" s="1856"/>
      <c r="X67" s="1857">
        <v>1</v>
      </c>
      <c r="Y67" s="1856"/>
      <c r="Z67" s="1872">
        <v>5</v>
      </c>
      <c r="AA67" s="1851">
        <v>10</v>
      </c>
      <c r="AB67" s="1851">
        <v>10</v>
      </c>
      <c r="AC67" s="1851">
        <v>10</v>
      </c>
      <c r="AD67" s="1851">
        <v>10</v>
      </c>
      <c r="AE67" s="1157">
        <f>AVERAGE(AA67:AD67)</f>
        <v>10</v>
      </c>
      <c r="AF67" s="1851"/>
      <c r="AG67" s="942" t="s">
        <v>31</v>
      </c>
      <c r="AH67" s="1134">
        <f t="shared" si="1"/>
        <v>55</v>
      </c>
    </row>
    <row r="68" spans="1:34" ht="29.25" customHeight="1" x14ac:dyDescent="0.3">
      <c r="C68" s="1134">
        <f t="shared" ref="C68:M68" si="2">COUNT(C10:C67)</f>
        <v>37</v>
      </c>
      <c r="D68" s="1134">
        <f t="shared" si="2"/>
        <v>36</v>
      </c>
      <c r="E68" s="1134">
        <f t="shared" si="2"/>
        <v>24</v>
      </c>
      <c r="F68" s="1134">
        <f t="shared" si="2"/>
        <v>45</v>
      </c>
      <c r="G68" s="1134">
        <f t="shared" si="2"/>
        <v>41</v>
      </c>
      <c r="H68" s="1134">
        <f t="shared" si="2"/>
        <v>8</v>
      </c>
      <c r="I68" s="1134">
        <f t="shared" si="2"/>
        <v>11</v>
      </c>
      <c r="J68" s="1134">
        <f t="shared" si="2"/>
        <v>17</v>
      </c>
      <c r="K68" s="1134">
        <f t="shared" si="2"/>
        <v>15</v>
      </c>
      <c r="L68" s="1134">
        <f t="shared" si="2"/>
        <v>17</v>
      </c>
      <c r="M68" s="1134">
        <f t="shared" si="2"/>
        <v>25</v>
      </c>
      <c r="N68" s="1312"/>
      <c r="O68" s="1134">
        <f t="shared" ref="O68:Y68" si="3">COUNT(O10:O67)</f>
        <v>48</v>
      </c>
      <c r="P68" s="1134">
        <f t="shared" si="3"/>
        <v>16</v>
      </c>
      <c r="Q68" s="1134">
        <f t="shared" si="3"/>
        <v>18</v>
      </c>
      <c r="R68" s="1134">
        <f t="shared" si="3"/>
        <v>30</v>
      </c>
      <c r="S68" s="1134">
        <f t="shared" si="3"/>
        <v>0</v>
      </c>
      <c r="T68" s="1134">
        <f t="shared" si="3"/>
        <v>27</v>
      </c>
      <c r="U68" s="1134">
        <f t="shared" si="3"/>
        <v>22</v>
      </c>
      <c r="V68" s="1134">
        <f t="shared" si="3"/>
        <v>19</v>
      </c>
      <c r="W68" s="1134">
        <f t="shared" si="3"/>
        <v>27</v>
      </c>
      <c r="X68" s="1134">
        <f t="shared" si="3"/>
        <v>18</v>
      </c>
      <c r="Y68" s="1134">
        <f t="shared" si="3"/>
        <v>21</v>
      </c>
      <c r="Z68" s="1134"/>
      <c r="AA68" s="1134">
        <f t="shared" ref="AA68:AC68" si="4">COUNT(AA10:AA67)</f>
        <v>58</v>
      </c>
      <c r="AB68" s="1134">
        <f t="shared" si="4"/>
        <v>58</v>
      </c>
      <c r="AC68" s="1134">
        <f t="shared" si="4"/>
        <v>58</v>
      </c>
      <c r="AD68" s="1134">
        <f>COUNT(AD10:AD67)</f>
        <v>58</v>
      </c>
      <c r="AE68" s="1261"/>
    </row>
    <row r="69" spans="1:34" ht="29.25" customHeight="1" x14ac:dyDescent="0.3">
      <c r="A69" s="1873" t="s">
        <v>34</v>
      </c>
      <c r="B69" s="1013">
        <v>55</v>
      </c>
      <c r="C69" s="1137">
        <f>C9*(B69/100)</f>
        <v>1.1000000000000001</v>
      </c>
      <c r="D69" s="1137">
        <f>D9*(B69/100)</f>
        <v>1.1000000000000001</v>
      </c>
      <c r="E69" s="1137">
        <f>E9*(B69/100)</f>
        <v>1.1000000000000001</v>
      </c>
      <c r="F69" s="1137">
        <v>3</v>
      </c>
      <c r="G69" s="1137">
        <v>3</v>
      </c>
      <c r="H69" s="1137">
        <v>3</v>
      </c>
      <c r="I69" s="1137">
        <v>3</v>
      </c>
      <c r="J69" s="1137">
        <v>3</v>
      </c>
      <c r="K69" s="1137">
        <v>3</v>
      </c>
      <c r="L69" s="1137">
        <v>3</v>
      </c>
      <c r="M69" s="1137">
        <v>3</v>
      </c>
      <c r="N69" s="1312"/>
      <c r="O69" s="1137">
        <f>O9*(B69/100)</f>
        <v>1.1000000000000001</v>
      </c>
      <c r="P69" s="1137">
        <v>1</v>
      </c>
      <c r="Q69" s="1137">
        <v>1</v>
      </c>
      <c r="R69" s="1137">
        <v>3</v>
      </c>
      <c r="S69" s="1137">
        <v>3</v>
      </c>
      <c r="T69" s="1137">
        <v>3</v>
      </c>
      <c r="U69" s="1137">
        <v>3</v>
      </c>
      <c r="V69" s="1137">
        <v>3</v>
      </c>
      <c r="W69" s="1137">
        <v>3</v>
      </c>
      <c r="X69" s="1137">
        <v>3</v>
      </c>
      <c r="Y69" s="1137">
        <v>3</v>
      </c>
      <c r="Z69" s="1137"/>
      <c r="AA69" s="1137">
        <v>5</v>
      </c>
      <c r="AB69" s="1137">
        <v>6</v>
      </c>
      <c r="AC69" s="1137">
        <v>7</v>
      </c>
      <c r="AD69" s="1137">
        <v>8</v>
      </c>
      <c r="AE69" s="1261"/>
    </row>
    <row r="70" spans="1:34" ht="29.25" customHeight="1" x14ac:dyDescent="0.3">
      <c r="A70" s="2888" t="s">
        <v>35</v>
      </c>
      <c r="B70" s="2888"/>
      <c r="C70" s="1134">
        <f t="shared" ref="C70:M70" si="5">COUNTIF(C11:C67,"&gt;=" &amp;C69)</f>
        <v>14</v>
      </c>
      <c r="D70" s="1134">
        <f t="shared" si="5"/>
        <v>8</v>
      </c>
      <c r="E70" s="1134">
        <f t="shared" si="5"/>
        <v>8</v>
      </c>
      <c r="F70" s="1134">
        <f t="shared" si="5"/>
        <v>42</v>
      </c>
      <c r="G70" s="1134">
        <f t="shared" si="5"/>
        <v>35</v>
      </c>
      <c r="H70" s="1134">
        <f t="shared" si="5"/>
        <v>5</v>
      </c>
      <c r="I70" s="1134">
        <f t="shared" si="5"/>
        <v>6</v>
      </c>
      <c r="J70" s="1134">
        <f t="shared" si="5"/>
        <v>13</v>
      </c>
      <c r="K70" s="1134">
        <f t="shared" si="5"/>
        <v>8</v>
      </c>
      <c r="L70" s="1134">
        <f t="shared" si="5"/>
        <v>12</v>
      </c>
      <c r="M70" s="1134">
        <f t="shared" si="5"/>
        <v>18</v>
      </c>
      <c r="N70" s="1312"/>
      <c r="O70" s="1134">
        <f t="shared" ref="O70:Y70" si="6">COUNTIF(O10:O60,"&gt;=" &amp;O69)</f>
        <v>28</v>
      </c>
      <c r="P70" s="1134">
        <f t="shared" si="6"/>
        <v>14</v>
      </c>
      <c r="Q70" s="1134">
        <f t="shared" si="6"/>
        <v>15</v>
      </c>
      <c r="R70" s="1134">
        <f t="shared" si="6"/>
        <v>24</v>
      </c>
      <c r="S70" s="1134">
        <f t="shared" si="6"/>
        <v>0</v>
      </c>
      <c r="T70" s="1134">
        <f t="shared" si="6"/>
        <v>19</v>
      </c>
      <c r="U70" s="1134">
        <f t="shared" si="6"/>
        <v>12</v>
      </c>
      <c r="V70" s="1134">
        <f t="shared" si="6"/>
        <v>17</v>
      </c>
      <c r="W70" s="1134">
        <f t="shared" si="6"/>
        <v>23</v>
      </c>
      <c r="X70" s="1134">
        <f t="shared" si="6"/>
        <v>11</v>
      </c>
      <c r="Y70" s="1134">
        <f t="shared" si="6"/>
        <v>17</v>
      </c>
      <c r="Z70" s="1134"/>
      <c r="AA70" s="1134">
        <f t="shared" ref="AA70:AD70" si="7">COUNTIF(AA10:AA60,"&gt;=" &amp;AA69)</f>
        <v>51</v>
      </c>
      <c r="AB70" s="1134">
        <f t="shared" si="7"/>
        <v>51</v>
      </c>
      <c r="AC70" s="1134">
        <f t="shared" si="7"/>
        <v>51</v>
      </c>
      <c r="AD70" s="1134">
        <f t="shared" si="7"/>
        <v>50</v>
      </c>
      <c r="AE70" s="1261"/>
      <c r="AH70" s="1312">
        <f>COUNTIF(AH10:AH67,"&gt;="&amp;B69)</f>
        <v>53</v>
      </c>
    </row>
    <row r="71" spans="1:34" ht="29.25" customHeight="1" x14ac:dyDescent="0.3">
      <c r="A71" s="2877" t="s">
        <v>36</v>
      </c>
      <c r="B71" s="2877"/>
      <c r="C71" s="1134">
        <f t="shared" ref="C71:Y71" si="8">C70/C68</f>
        <v>0.3783783783783784</v>
      </c>
      <c r="D71" s="1134">
        <f t="shared" si="8"/>
        <v>0.22222222222222221</v>
      </c>
      <c r="E71" s="1134">
        <f t="shared" si="8"/>
        <v>0.33333333333333331</v>
      </c>
      <c r="F71" s="1134">
        <f t="shared" si="8"/>
        <v>0.93333333333333335</v>
      </c>
      <c r="G71" s="1134">
        <f t="shared" si="8"/>
        <v>0.85365853658536583</v>
      </c>
      <c r="H71" s="1134">
        <f t="shared" si="8"/>
        <v>0.625</v>
      </c>
      <c r="I71" s="1134">
        <f t="shared" si="8"/>
        <v>0.54545454545454541</v>
      </c>
      <c r="J71" s="1134">
        <f t="shared" si="8"/>
        <v>0.76470588235294112</v>
      </c>
      <c r="K71" s="1134">
        <f t="shared" si="8"/>
        <v>0.53333333333333333</v>
      </c>
      <c r="L71" s="1134">
        <f t="shared" si="8"/>
        <v>0.70588235294117652</v>
      </c>
      <c r="M71" s="1134">
        <f t="shared" si="8"/>
        <v>0.72</v>
      </c>
      <c r="N71" s="1312"/>
      <c r="O71" s="1134">
        <f t="shared" si="8"/>
        <v>0.58333333333333337</v>
      </c>
      <c r="P71" s="1134">
        <f t="shared" si="8"/>
        <v>0.875</v>
      </c>
      <c r="Q71" s="1134">
        <f t="shared" si="8"/>
        <v>0.83333333333333337</v>
      </c>
      <c r="R71" s="1134">
        <f t="shared" si="8"/>
        <v>0.8</v>
      </c>
      <c r="S71" s="1134"/>
      <c r="T71" s="1134">
        <f t="shared" si="8"/>
        <v>0.70370370370370372</v>
      </c>
      <c r="U71" s="1134">
        <f t="shared" si="8"/>
        <v>0.54545454545454541</v>
      </c>
      <c r="V71" s="1134">
        <f t="shared" si="8"/>
        <v>0.89473684210526316</v>
      </c>
      <c r="W71" s="1134">
        <f t="shared" si="8"/>
        <v>0.85185185185185186</v>
      </c>
      <c r="X71" s="1134">
        <f t="shared" si="8"/>
        <v>0.61111111111111116</v>
      </c>
      <c r="Y71" s="1134">
        <f t="shared" si="8"/>
        <v>0.80952380952380953</v>
      </c>
      <c r="Z71" s="1134"/>
      <c r="AA71" s="1134">
        <f t="shared" ref="AA71:AD71" si="9">AA70/AA68</f>
        <v>0.87931034482758619</v>
      </c>
      <c r="AB71" s="1134">
        <f t="shared" si="9"/>
        <v>0.87931034482758619</v>
      </c>
      <c r="AC71" s="1134">
        <f t="shared" si="9"/>
        <v>0.87931034482758619</v>
      </c>
      <c r="AD71" s="1134">
        <f t="shared" si="9"/>
        <v>0.86206896551724133</v>
      </c>
      <c r="AE71" s="1261"/>
      <c r="AH71" s="1312">
        <f>(AH70/A67)*100</f>
        <v>91.379310344827587</v>
      </c>
    </row>
    <row r="72" spans="1:34" ht="29.25" customHeight="1" x14ac:dyDescent="0.3">
      <c r="C72" s="1126" t="s">
        <v>22</v>
      </c>
      <c r="D72" s="1126" t="s">
        <v>21</v>
      </c>
      <c r="E72" s="1126" t="s">
        <v>23</v>
      </c>
      <c r="F72" s="1126" t="s">
        <v>20</v>
      </c>
      <c r="G72" s="1126" t="s">
        <v>20</v>
      </c>
      <c r="H72" s="1126" t="s">
        <v>20</v>
      </c>
      <c r="I72" s="1126" t="s">
        <v>21</v>
      </c>
      <c r="J72" s="1012" t="s">
        <v>21</v>
      </c>
      <c r="K72" s="1012" t="s">
        <v>23</v>
      </c>
      <c r="L72" s="1126" t="s">
        <v>40</v>
      </c>
      <c r="M72" s="1126" t="s">
        <v>41</v>
      </c>
      <c r="N72" s="1312"/>
      <c r="O72" s="1122" t="s">
        <v>41</v>
      </c>
      <c r="P72" s="1126" t="s">
        <v>42</v>
      </c>
      <c r="Q72" s="1235" t="s">
        <v>43</v>
      </c>
      <c r="R72" s="1122" t="s">
        <v>41</v>
      </c>
      <c r="S72" s="1235" t="s">
        <v>42</v>
      </c>
      <c r="T72" s="1122" t="s">
        <v>41</v>
      </c>
      <c r="U72" s="1129" t="s">
        <v>43</v>
      </c>
      <c r="V72" s="1122" t="s">
        <v>42</v>
      </c>
      <c r="W72" s="1129" t="s">
        <v>43</v>
      </c>
      <c r="X72" s="1122" t="s">
        <v>42</v>
      </c>
      <c r="Y72" s="1130" t="s">
        <v>43</v>
      </c>
      <c r="Z72" s="1312"/>
      <c r="AA72" s="1126" t="s">
        <v>22</v>
      </c>
      <c r="AB72" s="1126" t="s">
        <v>40</v>
      </c>
      <c r="AC72" s="1126" t="s">
        <v>41</v>
      </c>
      <c r="AD72" s="1126" t="s">
        <v>306</v>
      </c>
      <c r="AE72" s="1261"/>
    </row>
    <row r="74" spans="1:34" ht="29.25" customHeight="1" x14ac:dyDescent="0.3">
      <c r="D74" s="1013" t="s">
        <v>38</v>
      </c>
      <c r="E74" s="2804" t="s">
        <v>39</v>
      </c>
      <c r="F74" s="2804"/>
      <c r="G74" s="2804" t="s">
        <v>37</v>
      </c>
      <c r="H74" s="2804"/>
      <c r="I74" s="2804"/>
      <c r="J74" s="1013"/>
      <c r="K74" s="1013"/>
    </row>
    <row r="75" spans="1:34" ht="29.25" customHeight="1" x14ac:dyDescent="0.3">
      <c r="B75" s="1126" t="s">
        <v>22</v>
      </c>
      <c r="C75" s="1134">
        <f>AVERAGE(C71,F71,G71,H71,AA71)*100</f>
        <v>73.393611862493273</v>
      </c>
      <c r="D75" s="1134">
        <f t="shared" ref="D75:D79" si="10">IF(C75&gt;=70,3,IF(AND(C75&gt;=60,C75&lt;70),2,IF(AND(C75&gt;=50,C75&lt;60),1)))</f>
        <v>3</v>
      </c>
      <c r="E75" s="3849">
        <f>IF(AH71&gt;=70,3,IF(AND(AH71&gt;=60,AH71&lt;70),2,IF(AND(AH71&gt;=50,AH71&lt;60),1)))</f>
        <v>3</v>
      </c>
      <c r="F75" s="3849"/>
      <c r="G75" s="1312">
        <f>(70/100)*E75+(30/100)*D75</f>
        <v>2.9999999999999996</v>
      </c>
      <c r="H75" s="1312"/>
      <c r="I75" s="1312"/>
      <c r="J75" s="1312"/>
      <c r="K75" s="1312"/>
    </row>
    <row r="76" spans="1:34" ht="29.25" customHeight="1" x14ac:dyDescent="0.3">
      <c r="B76" s="1126" t="s">
        <v>40</v>
      </c>
      <c r="C76" s="1134">
        <f>AVERAGE(D71,I71,J71,L71,AB71)*100</f>
        <v>62.351506955969441</v>
      </c>
      <c r="D76" s="1134">
        <f t="shared" si="10"/>
        <v>2</v>
      </c>
      <c r="E76" s="3849">
        <f>IF(AH71&gt;=70,3,IF(AND(AH71&gt;=60,AH71&lt;70),2,IF(AND(AH71&gt;=50,AH71&lt;60),1)))</f>
        <v>3</v>
      </c>
      <c r="F76" s="3849"/>
      <c r="G76" s="1312">
        <f t="shared" ref="G76:G78" si="11">(70/100)*E76+(30/100)*D76</f>
        <v>2.6999999999999997</v>
      </c>
      <c r="H76" s="1312"/>
      <c r="I76" s="1312"/>
      <c r="J76" s="1312"/>
      <c r="K76" s="1312"/>
    </row>
    <row r="77" spans="1:34" ht="29.25" customHeight="1" x14ac:dyDescent="0.3">
      <c r="B77" s="1126" t="s">
        <v>41</v>
      </c>
      <c r="C77" s="1134">
        <f>AVERAGE(K71,M71,O71,R71,T71,AC71)*100</f>
        <v>70.328011919965945</v>
      </c>
      <c r="D77" s="1134">
        <f t="shared" si="10"/>
        <v>3</v>
      </c>
      <c r="E77" s="3849">
        <f>IF(AH71&gt;=70,3,IF(AND(AH71&gt;=60,AH71&lt;70),2,IF(AND(AH71&gt;=50,AH71&lt;60),1)))</f>
        <v>3</v>
      </c>
      <c r="F77" s="3849"/>
      <c r="G77" s="1312">
        <f t="shared" si="11"/>
        <v>2.9999999999999996</v>
      </c>
      <c r="H77" s="1312"/>
      <c r="I77" s="1312"/>
      <c r="J77" s="1312"/>
      <c r="K77" s="1312"/>
    </row>
    <row r="78" spans="1:34" ht="29.25" customHeight="1" x14ac:dyDescent="0.3">
      <c r="B78" s="1126" t="s">
        <v>42</v>
      </c>
      <c r="C78" s="1134">
        <f>AVERAGE(P71,S71,V71,X71,AD71)*100</f>
        <v>81.072922968340393</v>
      </c>
      <c r="D78" s="1134">
        <f t="shared" si="10"/>
        <v>3</v>
      </c>
      <c r="E78" s="3849">
        <f>IF(AH71&gt;=70,3,IF(AND(AH71&gt;=60,AH71&lt;70),2,IF(AND(AH71&gt;=50,AH71&lt;60),1)))</f>
        <v>3</v>
      </c>
      <c r="F78" s="3849"/>
      <c r="G78" s="1312">
        <f t="shared" si="11"/>
        <v>2.9999999999999996</v>
      </c>
      <c r="H78" s="1312"/>
      <c r="I78" s="1312"/>
      <c r="J78" s="1312"/>
      <c r="K78" s="1312"/>
    </row>
    <row r="79" spans="1:34" ht="29.25" customHeight="1" x14ac:dyDescent="0.3">
      <c r="B79" s="1126" t="s">
        <v>43</v>
      </c>
      <c r="C79" s="1134">
        <f>AVERAGE(Q71,U71,W71,Y71,AD71)*100</f>
        <v>78.044650113615631</v>
      </c>
      <c r="D79" s="1134">
        <f t="shared" si="10"/>
        <v>3</v>
      </c>
      <c r="E79" s="3849">
        <f>IF(AH71&gt;=70,3,IF(AND(AH71&gt;=60,AH71&lt;70),2,IF(AND(AH71&gt;=50,AH71&lt;60),1)))</f>
        <v>3</v>
      </c>
      <c r="F79" s="3849"/>
      <c r="G79" s="1312">
        <f>(70/100)*E79+(30/100)*D79</f>
        <v>2.9999999999999996</v>
      </c>
      <c r="H79" s="1312"/>
      <c r="I79" s="1312"/>
      <c r="J79" s="1312"/>
      <c r="K79" s="1312"/>
    </row>
    <row r="80" spans="1:34" ht="29.25" customHeight="1" x14ac:dyDescent="0.3">
      <c r="B80" s="3582" t="s">
        <v>44</v>
      </c>
      <c r="C80" s="3582"/>
      <c r="D80" s="3582"/>
      <c r="E80" s="3582"/>
      <c r="F80" s="3582"/>
      <c r="G80" s="1367">
        <f>AVERAGE(G75:G78)</f>
        <v>2.9249999999999998</v>
      </c>
    </row>
    <row r="82" spans="1:26" ht="29.25" customHeight="1" x14ac:dyDescent="0.3">
      <c r="A82" s="2715" t="s">
        <v>134</v>
      </c>
      <c r="B82" s="2715"/>
    </row>
    <row r="84" spans="1:26" ht="29.25" customHeight="1" x14ac:dyDescent="0.3">
      <c r="B84" s="1145" t="s">
        <v>45</v>
      </c>
      <c r="C84" s="1874" t="s">
        <v>68</v>
      </c>
      <c r="D84" s="1874" t="s">
        <v>69</v>
      </c>
      <c r="E84" s="1874" t="s">
        <v>70</v>
      </c>
      <c r="F84" s="1874" t="s">
        <v>71</v>
      </c>
      <c r="G84" s="1874" t="s">
        <v>72</v>
      </c>
      <c r="H84" s="1874" t="s">
        <v>73</v>
      </c>
      <c r="I84" s="1874" t="s">
        <v>74</v>
      </c>
      <c r="J84" s="1875" t="s">
        <v>75</v>
      </c>
      <c r="K84" s="1874" t="s">
        <v>76</v>
      </c>
      <c r="L84" s="1874" t="s">
        <v>77</v>
      </c>
      <c r="M84" s="1874" t="s">
        <v>78</v>
      </c>
      <c r="N84" s="1874" t="s">
        <v>79</v>
      </c>
      <c r="T84" s="1181"/>
      <c r="Z84" s="1116"/>
    </row>
    <row r="85" spans="1:26" ht="29.25" customHeight="1" x14ac:dyDescent="0.3">
      <c r="B85" s="1132" t="s">
        <v>20</v>
      </c>
      <c r="C85" s="945">
        <v>2</v>
      </c>
      <c r="D85" s="945">
        <v>3</v>
      </c>
      <c r="E85" s="945">
        <v>2</v>
      </c>
      <c r="F85" s="945">
        <v>2</v>
      </c>
      <c r="G85" s="945"/>
      <c r="H85" s="945">
        <v>1</v>
      </c>
      <c r="I85" s="945"/>
      <c r="J85" s="945"/>
      <c r="K85" s="945"/>
      <c r="L85" s="945"/>
      <c r="M85" s="945"/>
      <c r="N85" s="945">
        <v>1</v>
      </c>
      <c r="T85" s="1181"/>
      <c r="Z85" s="1116"/>
    </row>
    <row r="86" spans="1:26" ht="29.25" customHeight="1" x14ac:dyDescent="0.3">
      <c r="B86" s="1132" t="s">
        <v>21</v>
      </c>
      <c r="C86" s="945">
        <v>2</v>
      </c>
      <c r="D86" s="945">
        <v>3</v>
      </c>
      <c r="E86" s="945">
        <v>2</v>
      </c>
      <c r="F86" s="945">
        <v>2</v>
      </c>
      <c r="G86" s="945"/>
      <c r="H86" s="945">
        <v>2</v>
      </c>
      <c r="I86" s="945"/>
      <c r="J86" s="945"/>
      <c r="K86" s="945"/>
      <c r="L86" s="945"/>
      <c r="M86" s="945"/>
      <c r="N86" s="945">
        <v>1</v>
      </c>
      <c r="T86" s="1181"/>
      <c r="Z86" s="1116"/>
    </row>
    <row r="87" spans="1:26" ht="29.25" customHeight="1" x14ac:dyDescent="0.3">
      <c r="B87" s="1132" t="s">
        <v>23</v>
      </c>
      <c r="C87" s="945">
        <v>2</v>
      </c>
      <c r="D87" s="945">
        <v>3</v>
      </c>
      <c r="E87" s="945">
        <v>2</v>
      </c>
      <c r="F87" s="945">
        <v>2</v>
      </c>
      <c r="G87" s="945"/>
      <c r="H87" s="945">
        <v>2</v>
      </c>
      <c r="I87" s="945"/>
      <c r="J87" s="945"/>
      <c r="K87" s="945"/>
      <c r="L87" s="945"/>
      <c r="M87" s="945"/>
      <c r="N87" s="945">
        <v>1</v>
      </c>
      <c r="T87" s="1181"/>
      <c r="Z87" s="1116"/>
    </row>
    <row r="88" spans="1:26" ht="29.25" customHeight="1" x14ac:dyDescent="0.3">
      <c r="B88" s="1132" t="s">
        <v>25</v>
      </c>
      <c r="C88" s="945">
        <v>2</v>
      </c>
      <c r="D88" s="945">
        <v>3</v>
      </c>
      <c r="E88" s="945">
        <v>2</v>
      </c>
      <c r="F88" s="945">
        <v>2</v>
      </c>
      <c r="G88" s="945"/>
      <c r="H88" s="945"/>
      <c r="I88" s="945"/>
      <c r="J88" s="945"/>
      <c r="K88" s="945"/>
      <c r="L88" s="945"/>
      <c r="M88" s="945"/>
      <c r="N88" s="945">
        <v>1</v>
      </c>
      <c r="T88" s="1181"/>
      <c r="Z88" s="1116"/>
    </row>
    <row r="89" spans="1:26" ht="29.25" customHeight="1" x14ac:dyDescent="0.3">
      <c r="B89" s="1132" t="s">
        <v>24</v>
      </c>
      <c r="C89" s="945">
        <v>2</v>
      </c>
      <c r="D89" s="945">
        <v>3</v>
      </c>
      <c r="E89" s="945">
        <v>2</v>
      </c>
      <c r="F89" s="945">
        <v>2</v>
      </c>
      <c r="G89" s="945"/>
      <c r="H89" s="945">
        <v>3</v>
      </c>
      <c r="I89" s="945"/>
      <c r="J89" s="945"/>
      <c r="K89" s="945"/>
      <c r="L89" s="945"/>
      <c r="M89" s="945"/>
      <c r="N89" s="945">
        <v>1</v>
      </c>
      <c r="T89" s="1181"/>
      <c r="Z89" s="1116"/>
    </row>
    <row r="90" spans="1:26" ht="29.25" customHeight="1" x14ac:dyDescent="0.3">
      <c r="B90" s="1876" t="s">
        <v>10</v>
      </c>
      <c r="C90" s="1134">
        <f>AVERAGE(C85:C89)</f>
        <v>2</v>
      </c>
      <c r="D90" s="1134">
        <f t="shared" ref="D90:N90" si="12">AVERAGE(D85:D89)</f>
        <v>3</v>
      </c>
      <c r="E90" s="1134">
        <f t="shared" si="12"/>
        <v>2</v>
      </c>
      <c r="F90" s="1134">
        <f t="shared" si="12"/>
        <v>2</v>
      </c>
      <c r="G90" s="1134"/>
      <c r="H90" s="1134">
        <v>2</v>
      </c>
      <c r="I90" s="1134"/>
      <c r="J90" s="1134"/>
      <c r="K90" s="1134"/>
      <c r="L90" s="1134"/>
      <c r="M90" s="1134"/>
      <c r="N90" s="1134">
        <f t="shared" si="12"/>
        <v>1</v>
      </c>
      <c r="T90" s="1181"/>
      <c r="Z90" s="1116"/>
    </row>
    <row r="91" spans="1:26" ht="29.25" customHeight="1" x14ac:dyDescent="0.3">
      <c r="B91" s="1247" t="s">
        <v>58</v>
      </c>
      <c r="C91" s="3205">
        <f>AVERAGE(C90:N90)</f>
        <v>2</v>
      </c>
      <c r="D91" s="3487"/>
      <c r="E91" s="3487"/>
      <c r="F91" s="3487"/>
      <c r="G91" s="3487"/>
      <c r="H91" s="3487"/>
      <c r="I91" s="3487"/>
      <c r="J91" s="3487"/>
      <c r="K91" s="3487"/>
      <c r="L91" s="3487"/>
      <c r="M91" s="3487"/>
      <c r="N91" s="3487"/>
      <c r="O91" s="3207"/>
      <c r="P91" s="194"/>
      <c r="Q91" s="194"/>
      <c r="R91" s="194"/>
    </row>
    <row r="92" spans="1:26" ht="29.25" customHeight="1" x14ac:dyDescent="0.3">
      <c r="C92" s="1529"/>
    </row>
    <row r="94" spans="1:26" ht="29.25" customHeight="1" x14ac:dyDescent="0.3">
      <c r="A94" s="2715" t="s">
        <v>148</v>
      </c>
      <c r="B94" s="2715"/>
    </row>
    <row r="96" spans="1:26" ht="29.25" customHeight="1" x14ac:dyDescent="0.3">
      <c r="B96" s="1145" t="s">
        <v>45</v>
      </c>
      <c r="C96" s="1874" t="s">
        <v>68</v>
      </c>
      <c r="D96" s="1874" t="s">
        <v>69</v>
      </c>
      <c r="E96" s="1874" t="s">
        <v>70</v>
      </c>
      <c r="F96" s="1874" t="s">
        <v>71</v>
      </c>
      <c r="G96" s="1874" t="s">
        <v>72</v>
      </c>
      <c r="H96" s="1874" t="s">
        <v>73</v>
      </c>
      <c r="I96" s="1874" t="s">
        <v>74</v>
      </c>
      <c r="J96" s="1875" t="s">
        <v>75</v>
      </c>
      <c r="K96" s="1874" t="s">
        <v>76</v>
      </c>
      <c r="L96" s="1874" t="s">
        <v>77</v>
      </c>
      <c r="M96" s="1874" t="s">
        <v>78</v>
      </c>
      <c r="N96" s="1874" t="s">
        <v>79</v>
      </c>
      <c r="T96" s="1181"/>
      <c r="Z96" s="1116"/>
    </row>
    <row r="97" spans="1:26" ht="29.25" customHeight="1" x14ac:dyDescent="0.3">
      <c r="B97" s="1132" t="s">
        <v>20</v>
      </c>
      <c r="C97" s="1157">
        <f>G75*C85/3</f>
        <v>1.9999999999999998</v>
      </c>
      <c r="D97" s="1157">
        <f>G75*D85/3</f>
        <v>2.9999999999999996</v>
      </c>
      <c r="E97" s="1157">
        <f>G75*E85/3</f>
        <v>1.9999999999999998</v>
      </c>
      <c r="F97" s="1157">
        <f>G75*F85/3</f>
        <v>1.9999999999999998</v>
      </c>
      <c r="G97" s="1157"/>
      <c r="H97" s="1157">
        <f>G75*H85/3</f>
        <v>0.99999999999999989</v>
      </c>
      <c r="I97" s="1157"/>
      <c r="J97" s="1157"/>
      <c r="K97" s="1157"/>
      <c r="L97" s="1157"/>
      <c r="M97" s="1157"/>
      <c r="N97" s="1157">
        <f>G75*N85/3</f>
        <v>0.99999999999999989</v>
      </c>
      <c r="T97" s="1181"/>
      <c r="Z97" s="1116"/>
    </row>
    <row r="98" spans="1:26" ht="29.25" customHeight="1" x14ac:dyDescent="0.3">
      <c r="B98" s="1132" t="s">
        <v>21</v>
      </c>
      <c r="C98" s="1157">
        <f t="shared" ref="C98:C101" si="13">G76*C86/3</f>
        <v>1.7999999999999998</v>
      </c>
      <c r="D98" s="1157">
        <f t="shared" ref="D98:D101" si="14">G76*D86/3</f>
        <v>2.6999999999999997</v>
      </c>
      <c r="E98" s="1157">
        <f t="shared" ref="E98:E101" si="15">G76*E86/3</f>
        <v>1.7999999999999998</v>
      </c>
      <c r="F98" s="1157">
        <f t="shared" ref="F98:F101" si="16">G76*F86/3</f>
        <v>1.7999999999999998</v>
      </c>
      <c r="G98" s="1157"/>
      <c r="H98" s="1157">
        <f t="shared" ref="H98:H101" si="17">G76*H86/3</f>
        <v>1.7999999999999998</v>
      </c>
      <c r="I98" s="1157"/>
      <c r="J98" s="1157"/>
      <c r="K98" s="1157"/>
      <c r="L98" s="1157"/>
      <c r="M98" s="1157"/>
      <c r="N98" s="1157">
        <f t="shared" ref="N98:N101" si="18">G76*N86/3</f>
        <v>0.89999999999999991</v>
      </c>
      <c r="T98" s="1181"/>
      <c r="Z98" s="1116"/>
    </row>
    <row r="99" spans="1:26" ht="29.25" customHeight="1" x14ac:dyDescent="0.3">
      <c r="B99" s="1132" t="s">
        <v>23</v>
      </c>
      <c r="C99" s="1157">
        <f t="shared" si="13"/>
        <v>1.9999999999999998</v>
      </c>
      <c r="D99" s="1157">
        <f t="shared" si="14"/>
        <v>2.9999999999999996</v>
      </c>
      <c r="E99" s="1157">
        <f t="shared" si="15"/>
        <v>1.9999999999999998</v>
      </c>
      <c r="F99" s="1157">
        <f t="shared" si="16"/>
        <v>1.9999999999999998</v>
      </c>
      <c r="G99" s="1157"/>
      <c r="H99" s="1157">
        <f t="shared" si="17"/>
        <v>1.9999999999999998</v>
      </c>
      <c r="I99" s="1157"/>
      <c r="J99" s="1157"/>
      <c r="K99" s="1157"/>
      <c r="L99" s="1157"/>
      <c r="M99" s="1157"/>
      <c r="N99" s="1157">
        <f t="shared" si="18"/>
        <v>0.99999999999999989</v>
      </c>
      <c r="T99" s="1181"/>
      <c r="Z99" s="1116"/>
    </row>
    <row r="100" spans="1:26" ht="29.25" customHeight="1" x14ac:dyDescent="0.3">
      <c r="B100" s="1132" t="s">
        <v>25</v>
      </c>
      <c r="C100" s="1157">
        <f t="shared" si="13"/>
        <v>1.9999999999999998</v>
      </c>
      <c r="D100" s="1157">
        <f t="shared" si="14"/>
        <v>2.9999999999999996</v>
      </c>
      <c r="E100" s="1157">
        <f t="shared" si="15"/>
        <v>1.9999999999999998</v>
      </c>
      <c r="F100" s="1157">
        <f t="shared" si="16"/>
        <v>1.9999999999999998</v>
      </c>
      <c r="G100" s="1157"/>
      <c r="H100" s="1157"/>
      <c r="I100" s="1157"/>
      <c r="J100" s="1157"/>
      <c r="K100" s="1157"/>
      <c r="L100" s="1157"/>
      <c r="M100" s="1157"/>
      <c r="N100" s="1157">
        <f t="shared" si="18"/>
        <v>0.99999999999999989</v>
      </c>
      <c r="T100" s="1181"/>
      <c r="Z100" s="1116"/>
    </row>
    <row r="101" spans="1:26" ht="29.25" customHeight="1" x14ac:dyDescent="0.3">
      <c r="B101" s="1132" t="s">
        <v>24</v>
      </c>
      <c r="C101" s="1157">
        <f t="shared" si="13"/>
        <v>1.9999999999999998</v>
      </c>
      <c r="D101" s="1157">
        <f t="shared" si="14"/>
        <v>2.9999999999999996</v>
      </c>
      <c r="E101" s="1157">
        <f t="shared" si="15"/>
        <v>1.9999999999999998</v>
      </c>
      <c r="F101" s="1157">
        <f t="shared" si="16"/>
        <v>1.9999999999999998</v>
      </c>
      <c r="G101" s="1157"/>
      <c r="H101" s="1157">
        <f t="shared" si="17"/>
        <v>2.9999999999999996</v>
      </c>
      <c r="I101" s="1157"/>
      <c r="J101" s="1157"/>
      <c r="K101" s="1157"/>
      <c r="L101" s="1157"/>
      <c r="M101" s="1157"/>
      <c r="N101" s="1157">
        <f t="shared" si="18"/>
        <v>0.99999999999999989</v>
      </c>
      <c r="T101" s="1181"/>
      <c r="Z101" s="1116"/>
    </row>
    <row r="102" spans="1:26" ht="29.25" customHeight="1" x14ac:dyDescent="0.3">
      <c r="B102" s="1876" t="s">
        <v>10</v>
      </c>
      <c r="C102" s="1145">
        <f>AVERAGE(C97:C101)</f>
        <v>1.9599999999999997</v>
      </c>
      <c r="D102" s="1145">
        <f t="shared" ref="D102:N102" si="19">AVERAGE(D97:D101)</f>
        <v>2.94</v>
      </c>
      <c r="E102" s="1145">
        <f t="shared" si="19"/>
        <v>1.9599999999999997</v>
      </c>
      <c r="F102" s="1145">
        <f t="shared" si="19"/>
        <v>1.9599999999999997</v>
      </c>
      <c r="G102" s="1145"/>
      <c r="H102" s="1145">
        <f t="shared" si="19"/>
        <v>1.9499999999999997</v>
      </c>
      <c r="I102" s="1145"/>
      <c r="J102" s="1145"/>
      <c r="K102" s="1145"/>
      <c r="L102" s="1145"/>
      <c r="M102" s="1145"/>
      <c r="N102" s="1145">
        <f t="shared" si="19"/>
        <v>0.97999999999999987</v>
      </c>
      <c r="T102" s="1181"/>
      <c r="Z102" s="1116"/>
    </row>
    <row r="103" spans="1:26" ht="29.25" customHeight="1" x14ac:dyDescent="0.3">
      <c r="B103" s="1247" t="s">
        <v>58</v>
      </c>
      <c r="C103" s="3850">
        <f>AVERAGE(C102:N102)</f>
        <v>1.958333333333333</v>
      </c>
      <c r="D103" s="3484"/>
      <c r="E103" s="3484"/>
      <c r="F103" s="3484"/>
      <c r="G103" s="3484"/>
      <c r="H103" s="3484"/>
      <c r="I103" s="3484"/>
      <c r="J103" s="3484"/>
      <c r="K103" s="3484"/>
      <c r="L103" s="3484"/>
      <c r="M103" s="3484"/>
      <c r="N103" s="3484"/>
      <c r="O103" s="3851"/>
      <c r="P103" s="193"/>
      <c r="Q103" s="193"/>
      <c r="R103" s="193"/>
    </row>
    <row r="105" spans="1:26" ht="29.25" customHeight="1" x14ac:dyDescent="0.3">
      <c r="A105" s="2715" t="s">
        <v>137</v>
      </c>
      <c r="B105" s="2715"/>
      <c r="L105" s="2715" t="s">
        <v>149</v>
      </c>
      <c r="M105" s="2715"/>
      <c r="N105" s="2715"/>
    </row>
    <row r="106" spans="1:26" ht="29.25" customHeight="1" x14ac:dyDescent="0.3">
      <c r="A106" s="1367"/>
      <c r="B106" s="1367"/>
      <c r="M106" s="1248"/>
      <c r="N106" s="1116"/>
      <c r="Y106" s="1181"/>
      <c r="Z106" s="1116"/>
    </row>
    <row r="107" spans="1:26" ht="29.25" customHeight="1" x14ac:dyDescent="0.3">
      <c r="B107" s="1145" t="s">
        <v>59</v>
      </c>
      <c r="C107" s="1874" t="s">
        <v>60</v>
      </c>
      <c r="D107" s="1874" t="s">
        <v>61</v>
      </c>
      <c r="E107" s="1874" t="s">
        <v>62</v>
      </c>
      <c r="M107" s="1249" t="s">
        <v>59</v>
      </c>
      <c r="N107" s="1874" t="s">
        <v>60</v>
      </c>
      <c r="O107" s="1874" t="s">
        <v>61</v>
      </c>
      <c r="P107" s="1874" t="s">
        <v>62</v>
      </c>
      <c r="Y107" s="1181"/>
      <c r="Z107" s="1116"/>
    </row>
    <row r="108" spans="1:26" ht="29.25" customHeight="1" x14ac:dyDescent="0.3">
      <c r="B108" s="1159" t="s">
        <v>20</v>
      </c>
      <c r="C108" s="1153">
        <v>3</v>
      </c>
      <c r="D108" s="1153">
        <v>1</v>
      </c>
      <c r="E108" s="1153">
        <v>2</v>
      </c>
      <c r="M108" s="1250" t="s">
        <v>20</v>
      </c>
      <c r="N108" s="1157">
        <f>G75*C108/3</f>
        <v>2.9999999999999996</v>
      </c>
      <c r="O108" s="1157">
        <f>G75*D108/3</f>
        <v>0.99999999999999989</v>
      </c>
      <c r="P108" s="1157">
        <f>G75*E108/3</f>
        <v>1.9999999999999998</v>
      </c>
      <c r="Y108" s="1181"/>
      <c r="Z108" s="1116"/>
    </row>
    <row r="109" spans="1:26" ht="29.25" customHeight="1" x14ac:dyDescent="0.3">
      <c r="B109" s="1132" t="s">
        <v>21</v>
      </c>
      <c r="C109" s="1153">
        <v>3</v>
      </c>
      <c r="D109" s="1153">
        <v>1</v>
      </c>
      <c r="E109" s="1153">
        <v>2</v>
      </c>
      <c r="M109" s="1251" t="s">
        <v>21</v>
      </c>
      <c r="N109" s="1157">
        <f>G76*C109/3</f>
        <v>2.6999999999999997</v>
      </c>
      <c r="O109" s="1157">
        <f t="shared" ref="O109:O113" si="20">G76*D109/3</f>
        <v>0.89999999999999991</v>
      </c>
      <c r="P109" s="1157">
        <f>G76*E109/3</f>
        <v>1.7999999999999998</v>
      </c>
      <c r="Y109" s="1181"/>
      <c r="Z109" s="1116"/>
    </row>
    <row r="110" spans="1:26" ht="29.25" customHeight="1" x14ac:dyDescent="0.3">
      <c r="B110" s="1132" t="s">
        <v>23</v>
      </c>
      <c r="C110" s="1153">
        <v>3</v>
      </c>
      <c r="D110" s="1153">
        <v>1</v>
      </c>
      <c r="E110" s="1153">
        <v>2</v>
      </c>
      <c r="M110" s="1251" t="s">
        <v>23</v>
      </c>
      <c r="N110" s="1157">
        <f>G77*C110/3</f>
        <v>2.9999999999999996</v>
      </c>
      <c r="O110" s="1157">
        <f t="shared" si="20"/>
        <v>0.99999999999999989</v>
      </c>
      <c r="P110" s="1157">
        <f>G77*E110/3</f>
        <v>1.9999999999999998</v>
      </c>
      <c r="Y110" s="1181"/>
      <c r="Z110" s="1116"/>
    </row>
    <row r="111" spans="1:26" ht="29.25" customHeight="1" x14ac:dyDescent="0.3">
      <c r="B111" s="1132" t="s">
        <v>25</v>
      </c>
      <c r="C111" s="1153">
        <v>3</v>
      </c>
      <c r="D111" s="1153">
        <v>1</v>
      </c>
      <c r="E111" s="1153">
        <v>2</v>
      </c>
      <c r="M111" s="1251" t="s">
        <v>25</v>
      </c>
      <c r="N111" s="1157">
        <f>G78*C111/3</f>
        <v>2.9999999999999996</v>
      </c>
      <c r="O111" s="1157">
        <f t="shared" si="20"/>
        <v>0.99999999999999989</v>
      </c>
      <c r="P111" s="1157">
        <f>G78*E111/3</f>
        <v>1.9999999999999998</v>
      </c>
      <c r="Y111" s="1181"/>
      <c r="Z111" s="1116"/>
    </row>
    <row r="112" spans="1:26" ht="29.25" customHeight="1" x14ac:dyDescent="0.3">
      <c r="B112" s="1159" t="s">
        <v>24</v>
      </c>
      <c r="C112" s="1153">
        <v>3</v>
      </c>
      <c r="D112" s="1496">
        <v>1</v>
      </c>
      <c r="E112" s="1153">
        <v>2</v>
      </c>
      <c r="M112" s="1250" t="s">
        <v>24</v>
      </c>
      <c r="N112" s="1157">
        <f>G79*C112/3</f>
        <v>2.9999999999999996</v>
      </c>
      <c r="O112" s="1157">
        <f t="shared" si="20"/>
        <v>0.99999999999999989</v>
      </c>
      <c r="P112" s="1157">
        <f>G79*E112/3</f>
        <v>1.9999999999999998</v>
      </c>
      <c r="Y112" s="1181"/>
      <c r="Z112" s="1116"/>
    </row>
    <row r="113" spans="1:26" ht="29.25" customHeight="1" x14ac:dyDescent="0.3">
      <c r="B113" s="1246" t="s">
        <v>10</v>
      </c>
      <c r="C113" s="1160">
        <f>AVERAGE(C108:C112)</f>
        <v>3</v>
      </c>
      <c r="D113" s="1160">
        <f t="shared" ref="D113:E113" si="21">AVERAGE(D108:D112)</f>
        <v>1</v>
      </c>
      <c r="E113" s="1160">
        <f t="shared" si="21"/>
        <v>2</v>
      </c>
      <c r="M113" s="1497" t="s">
        <v>10</v>
      </c>
      <c r="N113" s="1157">
        <f>AVERAGE(N108:N112)</f>
        <v>2.94</v>
      </c>
      <c r="O113" s="1157">
        <f t="shared" si="20"/>
        <v>0.97499999999999998</v>
      </c>
      <c r="P113" s="1157">
        <f t="shared" ref="P113" si="22">AVERAGE(P108:P112)</f>
        <v>1.9599999999999997</v>
      </c>
      <c r="Y113" s="1181"/>
      <c r="Z113" s="1116"/>
    </row>
    <row r="114" spans="1:26" ht="29.25" customHeight="1" x14ac:dyDescent="0.3">
      <c r="A114" s="1312"/>
      <c r="B114" s="1129" t="s">
        <v>58</v>
      </c>
      <c r="C114" s="3205">
        <f>AVERAGE(C113:E113)</f>
        <v>2</v>
      </c>
      <c r="D114" s="3487"/>
      <c r="E114" s="3207"/>
      <c r="F114" s="1312"/>
      <c r="G114" s="1312"/>
      <c r="H114" s="1312"/>
      <c r="I114" s="1312"/>
      <c r="J114" s="1312"/>
      <c r="K114" s="1312"/>
      <c r="L114" s="1312"/>
      <c r="M114" s="1254" t="s">
        <v>58</v>
      </c>
      <c r="N114" s="3205">
        <f>AVERAGE(N113:P113)</f>
        <v>1.9583333333333333</v>
      </c>
      <c r="O114" s="3487"/>
      <c r="P114" s="3207"/>
      <c r="Q114" s="1312"/>
      <c r="Y114" s="1181"/>
      <c r="Z114" s="1116"/>
    </row>
    <row r="117" spans="1:26" ht="29.25" customHeight="1" x14ac:dyDescent="0.3">
      <c r="A117" s="3437"/>
      <c r="B117" s="3437"/>
      <c r="C117" s="3437"/>
      <c r="D117" s="3437"/>
      <c r="E117" s="3437"/>
      <c r="F117" s="3437"/>
      <c r="G117" s="3437"/>
      <c r="H117" s="3437"/>
      <c r="I117" s="3437"/>
      <c r="J117" s="3437"/>
      <c r="K117" s="3437"/>
      <c r="L117" s="3437"/>
      <c r="M117" s="3437"/>
      <c r="N117" s="3437"/>
      <c r="O117" s="3437"/>
      <c r="P117" s="3437"/>
      <c r="Q117" s="3437"/>
      <c r="R117" s="3437"/>
    </row>
    <row r="118" spans="1:26" ht="29.25" customHeight="1" x14ac:dyDescent="0.3">
      <c r="A118" s="1366"/>
      <c r="B118" s="1366"/>
      <c r="C118" s="1366"/>
      <c r="D118" s="1366"/>
      <c r="E118" s="1366"/>
      <c r="F118" s="1366"/>
      <c r="G118" s="1366"/>
      <c r="H118" s="1366"/>
      <c r="I118" s="1366"/>
      <c r="J118" s="1366"/>
      <c r="K118" s="1366"/>
      <c r="L118" s="1366"/>
      <c r="M118" s="1366"/>
      <c r="N118" s="1366"/>
      <c r="O118" s="1366"/>
      <c r="P118" s="1366"/>
      <c r="Q118" s="1366"/>
      <c r="R118" s="1366"/>
    </row>
    <row r="119" spans="1:26" ht="29.25" customHeight="1" x14ac:dyDescent="0.3">
      <c r="A119" s="3435"/>
      <c r="B119" s="3435"/>
      <c r="C119" s="3435"/>
      <c r="D119" s="3435"/>
      <c r="E119" s="3435"/>
      <c r="F119" s="3435"/>
      <c r="G119" s="3435"/>
      <c r="H119" s="3435"/>
      <c r="I119" s="3435"/>
      <c r="J119" s="3435"/>
      <c r="K119" s="3435"/>
      <c r="L119" s="3435"/>
      <c r="M119" s="3435"/>
      <c r="N119" s="3435"/>
      <c r="O119" s="3435"/>
      <c r="P119" s="3435"/>
      <c r="Q119" s="3435"/>
      <c r="R119" s="3435"/>
    </row>
    <row r="120" spans="1:26" ht="29.25" customHeight="1" x14ac:dyDescent="0.3">
      <c r="A120" s="3435"/>
      <c r="B120" s="3435"/>
      <c r="C120" s="3435"/>
      <c r="D120" s="3435"/>
      <c r="E120" s="3435"/>
      <c r="F120" s="3435"/>
      <c r="G120" s="3435"/>
      <c r="H120" s="3435"/>
      <c r="I120" s="3435"/>
      <c r="J120" s="3435"/>
      <c r="K120" s="3435"/>
      <c r="L120" s="3435"/>
      <c r="M120" s="3435"/>
      <c r="N120" s="3435"/>
      <c r="O120" s="3435"/>
      <c r="P120" s="3435"/>
      <c r="Q120" s="3435"/>
      <c r="R120" s="3435"/>
    </row>
    <row r="121" spans="1:26" ht="29.25" customHeight="1" x14ac:dyDescent="0.3">
      <c r="A121" s="3435"/>
      <c r="B121" s="3435"/>
      <c r="C121" s="3435"/>
      <c r="D121" s="3435"/>
      <c r="E121" s="3435"/>
      <c r="F121" s="3435"/>
      <c r="G121" s="3435"/>
      <c r="H121" s="3435"/>
      <c r="I121" s="3435"/>
      <c r="J121" s="3435"/>
      <c r="K121" s="3435"/>
      <c r="L121" s="3435"/>
      <c r="M121" s="3435"/>
      <c r="N121" s="3435"/>
      <c r="O121" s="3435"/>
      <c r="P121" s="3435"/>
      <c r="Q121" s="3435"/>
      <c r="R121" s="3435"/>
    </row>
    <row r="122" spans="1:26" ht="29.25" customHeight="1" x14ac:dyDescent="0.3">
      <c r="A122" s="3435"/>
      <c r="B122" s="3435"/>
      <c r="C122" s="3435"/>
      <c r="D122" s="3435"/>
      <c r="E122" s="3435"/>
      <c r="F122" s="3435"/>
      <c r="G122" s="3435"/>
      <c r="H122" s="3435"/>
      <c r="I122" s="3435"/>
      <c r="J122" s="3435"/>
      <c r="K122" s="3435"/>
      <c r="L122" s="3435"/>
      <c r="M122" s="3435"/>
      <c r="N122" s="3435"/>
      <c r="O122" s="3435"/>
      <c r="P122" s="3435"/>
      <c r="Q122" s="3435"/>
      <c r="R122" s="3435"/>
    </row>
    <row r="123" spans="1:26" ht="29.25" customHeight="1" x14ac:dyDescent="0.3">
      <c r="A123" s="3435"/>
      <c r="B123" s="3435"/>
      <c r="C123" s="3435"/>
      <c r="D123" s="3435"/>
      <c r="E123" s="3435"/>
      <c r="F123" s="3435"/>
      <c r="G123" s="3435"/>
      <c r="H123" s="3435"/>
      <c r="I123" s="3435"/>
      <c r="J123" s="3435"/>
      <c r="K123" s="3435"/>
      <c r="L123" s="3435"/>
      <c r="M123" s="3435"/>
      <c r="N123" s="3435"/>
      <c r="O123" s="3435"/>
      <c r="P123" s="3435"/>
      <c r="Q123" s="3435"/>
      <c r="R123" s="3435"/>
    </row>
    <row r="124" spans="1:26" ht="29.25" customHeight="1" x14ac:dyDescent="0.3">
      <c r="A124" s="3435"/>
      <c r="B124" s="3435"/>
      <c r="C124" s="3435"/>
      <c r="D124" s="3435"/>
      <c r="E124" s="3435"/>
      <c r="F124" s="3435"/>
      <c r="G124" s="3435"/>
      <c r="H124" s="3435"/>
      <c r="I124" s="3435"/>
      <c r="J124" s="3435"/>
      <c r="K124" s="3435"/>
      <c r="L124" s="3435"/>
      <c r="M124" s="3435"/>
      <c r="N124" s="3435"/>
      <c r="O124" s="3435"/>
      <c r="P124" s="3435"/>
      <c r="Q124" s="3435"/>
      <c r="R124" s="3435"/>
    </row>
    <row r="125" spans="1:26" ht="29.25" customHeight="1" x14ac:dyDescent="0.3">
      <c r="A125" s="3437"/>
      <c r="B125" s="3437"/>
      <c r="C125" s="3437"/>
      <c r="D125" s="3437"/>
      <c r="E125" s="3437"/>
      <c r="F125" s="3437"/>
      <c r="G125" s="3437"/>
      <c r="H125" s="3437"/>
      <c r="I125" s="3437"/>
      <c r="J125" s="3437"/>
      <c r="K125" s="3437"/>
      <c r="L125" s="3437"/>
      <c r="M125" s="3437"/>
      <c r="N125" s="3437"/>
      <c r="O125" s="3437"/>
      <c r="P125" s="3437"/>
      <c r="Q125" s="3437"/>
      <c r="R125" s="3437"/>
    </row>
    <row r="126" spans="1:26" ht="29.25" customHeight="1" x14ac:dyDescent="0.3">
      <c r="A126" s="2717"/>
      <c r="B126" s="2717"/>
      <c r="C126" s="2717"/>
      <c r="D126" s="2717"/>
      <c r="E126" s="2717"/>
      <c r="F126" s="2717"/>
      <c r="G126" s="2717"/>
      <c r="H126" s="2717"/>
      <c r="I126" s="2717"/>
      <c r="J126" s="2717"/>
      <c r="K126" s="2717"/>
      <c r="L126" s="2717"/>
      <c r="M126" s="2717"/>
      <c r="N126" s="2717"/>
      <c r="O126" s="2717"/>
      <c r="P126" s="2717"/>
      <c r="Q126" s="2717"/>
      <c r="R126" s="2717"/>
    </row>
    <row r="127" spans="1:26" ht="29.25" customHeight="1" x14ac:dyDescent="0.3">
      <c r="A127" s="2716"/>
      <c r="B127" s="2716"/>
      <c r="C127" s="2716"/>
      <c r="D127" s="2716"/>
      <c r="E127" s="2716"/>
      <c r="F127" s="2716"/>
      <c r="G127" s="2716"/>
      <c r="H127" s="2716"/>
      <c r="I127" s="2716"/>
      <c r="J127" s="2716"/>
      <c r="K127" s="2716"/>
      <c r="L127" s="2716"/>
      <c r="M127" s="2716"/>
      <c r="N127" s="2716"/>
      <c r="O127" s="2716"/>
      <c r="P127" s="2716"/>
      <c r="Q127" s="2716"/>
      <c r="R127" s="2716"/>
    </row>
    <row r="128" spans="1:26" ht="29.25" customHeight="1" x14ac:dyDescent="0.3">
      <c r="A128" s="3441"/>
      <c r="B128" s="3441"/>
      <c r="C128" s="3441"/>
      <c r="D128" s="3441"/>
      <c r="E128" s="3441"/>
      <c r="F128" s="3441"/>
      <c r="G128" s="3441"/>
      <c r="H128" s="3441"/>
      <c r="I128" s="3441"/>
      <c r="J128" s="3441"/>
      <c r="K128" s="3441"/>
      <c r="L128" s="3441"/>
      <c r="M128" s="3441"/>
      <c r="N128" s="3441"/>
      <c r="O128" s="3441"/>
      <c r="P128" s="3441"/>
      <c r="Q128" s="3441"/>
      <c r="R128" s="3441"/>
    </row>
    <row r="129" spans="1:18" ht="29.25" customHeight="1" x14ac:dyDescent="0.3">
      <c r="A129" s="3440"/>
      <c r="B129" s="3440"/>
      <c r="C129" s="3440"/>
      <c r="D129" s="3440"/>
      <c r="E129" s="3440"/>
      <c r="F129" s="3440"/>
      <c r="G129" s="3440"/>
      <c r="H129" s="3440"/>
      <c r="I129" s="3440"/>
      <c r="J129" s="3440"/>
      <c r="K129" s="3440"/>
      <c r="L129" s="3440"/>
      <c r="M129" s="3440"/>
      <c r="N129" s="3440"/>
      <c r="O129" s="3440"/>
      <c r="P129" s="3440"/>
      <c r="Q129" s="3440"/>
      <c r="R129" s="3440"/>
    </row>
    <row r="130" spans="1:18" ht="29.25" customHeight="1" x14ac:dyDescent="0.3">
      <c r="A130" s="3440"/>
      <c r="B130" s="3440"/>
      <c r="C130" s="3440"/>
      <c r="D130" s="3440"/>
      <c r="E130" s="3440"/>
      <c r="F130" s="3440"/>
      <c r="G130" s="3440"/>
      <c r="H130" s="3440"/>
      <c r="I130" s="3440"/>
      <c r="J130" s="3440"/>
      <c r="K130" s="3440"/>
      <c r="L130" s="3440"/>
      <c r="M130" s="3440"/>
      <c r="N130" s="3440"/>
      <c r="O130" s="3440"/>
      <c r="P130" s="3440"/>
      <c r="Q130" s="3440"/>
      <c r="R130" s="3440"/>
    </row>
    <row r="131" spans="1:18" ht="29.25" customHeight="1" x14ac:dyDescent="0.3">
      <c r="A131" s="2716"/>
      <c r="B131" s="2716"/>
      <c r="C131" s="2716"/>
      <c r="D131" s="2716"/>
      <c r="E131" s="2716"/>
      <c r="F131" s="2716"/>
      <c r="G131" s="2716"/>
      <c r="H131" s="2716"/>
      <c r="I131" s="2716"/>
      <c r="J131" s="2716"/>
      <c r="K131" s="2716"/>
      <c r="L131" s="2716"/>
      <c r="M131" s="2716"/>
      <c r="N131" s="2716"/>
      <c r="O131" s="2716"/>
      <c r="P131" s="2716"/>
      <c r="Q131" s="2716"/>
      <c r="R131" s="2716"/>
    </row>
  </sheetData>
  <mergeCells count="62">
    <mergeCell ref="AH6:AH8"/>
    <mergeCell ref="AC6:AC8"/>
    <mergeCell ref="AB6:AB8"/>
    <mergeCell ref="AD6:AD8"/>
    <mergeCell ref="F6:G6"/>
    <mergeCell ref="H6:I6"/>
    <mergeCell ref="J6:K6"/>
    <mergeCell ref="L6:M6"/>
    <mergeCell ref="O6:Q6"/>
    <mergeCell ref="R6:S6"/>
    <mergeCell ref="T6:U6"/>
    <mergeCell ref="V6:W6"/>
    <mergeCell ref="X6:Y6"/>
    <mergeCell ref="AA6:AA8"/>
    <mergeCell ref="AG6:AG8"/>
    <mergeCell ref="A127:R127"/>
    <mergeCell ref="A128:R128"/>
    <mergeCell ref="A129:R129"/>
    <mergeCell ref="A130:R130"/>
    <mergeCell ref="A2:B2"/>
    <mergeCell ref="C2:N2"/>
    <mergeCell ref="P2:Z2"/>
    <mergeCell ref="A3:B3"/>
    <mergeCell ref="C3:N3"/>
    <mergeCell ref="P3:Z3"/>
    <mergeCell ref="C4:N4"/>
    <mergeCell ref="P4:Z4"/>
    <mergeCell ref="A5:B5"/>
    <mergeCell ref="C5:N5"/>
    <mergeCell ref="O5:Z5"/>
    <mergeCell ref="A6:A8"/>
    <mergeCell ref="A122:R122"/>
    <mergeCell ref="A123:R123"/>
    <mergeCell ref="A124:R124"/>
    <mergeCell ref="A125:R125"/>
    <mergeCell ref="A126:R126"/>
    <mergeCell ref="E74:F74"/>
    <mergeCell ref="G74:I74"/>
    <mergeCell ref="E75:F75"/>
    <mergeCell ref="E76:F76"/>
    <mergeCell ref="C114:E114"/>
    <mergeCell ref="A70:B70"/>
    <mergeCell ref="A71:B71"/>
    <mergeCell ref="B6:B7"/>
    <mergeCell ref="C6:E6"/>
    <mergeCell ref="AE6:AE8"/>
    <mergeCell ref="A131:R131"/>
    <mergeCell ref="E77:F77"/>
    <mergeCell ref="E78:F78"/>
    <mergeCell ref="E79:F79"/>
    <mergeCell ref="B80:F80"/>
    <mergeCell ref="A82:B82"/>
    <mergeCell ref="C91:O91"/>
    <mergeCell ref="A94:B94"/>
    <mergeCell ref="C103:O103"/>
    <mergeCell ref="A105:B105"/>
    <mergeCell ref="L105:N105"/>
    <mergeCell ref="N114:P114"/>
    <mergeCell ref="A117:R117"/>
    <mergeCell ref="A119:R119"/>
    <mergeCell ref="A120:R120"/>
    <mergeCell ref="A121:R121"/>
  </mergeCells>
  <conditionalFormatting sqref="AG10:AG67">
    <cfRule type="containsText" dxfId="25" priority="2" operator="containsText" text="F">
      <formula>NOT(ISERROR(SEARCH("F",AG10)))</formula>
    </cfRule>
  </conditionalFormatting>
  <conditionalFormatting sqref="AG10:AG67">
    <cfRule type="containsText" dxfId="24" priority="1" operator="containsText" text="F">
      <formula>NOT(ISERROR(SEARCH("F",AG10)))</formula>
    </cfRule>
  </conditionalFormatting>
  <pageMargins left="0.7" right="0.7" top="0.75" bottom="0.75" header="0.3" footer="0.3"/>
  <pageSetup paperSize="8" scale="33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3"/>
  <sheetViews>
    <sheetView view="pageBreakPreview" zoomScale="60" zoomScaleNormal="64" workbookViewId="0">
      <selection activeCell="K62" sqref="K62"/>
    </sheetView>
  </sheetViews>
  <sheetFormatPr defaultColWidth="9.140625" defaultRowHeight="30" customHeight="1" x14ac:dyDescent="0.3"/>
  <cols>
    <col min="1" max="1" width="18.42578125" style="1095" customWidth="1"/>
    <col min="2" max="2" width="18.28515625" style="1095" customWidth="1"/>
    <col min="3" max="3" width="13.7109375" style="1095" customWidth="1"/>
    <col min="4" max="6" width="18.28515625" style="1095" bestFit="1" customWidth="1"/>
    <col min="7" max="9" width="11.140625" style="1095" customWidth="1"/>
    <col min="10" max="11" width="9.85546875" style="1095" customWidth="1"/>
    <col min="12" max="13" width="10.5703125" style="1095" customWidth="1"/>
    <col min="14" max="14" width="10.5703125" style="1370" customWidth="1"/>
    <col min="15" max="15" width="10.5703125" style="1095" customWidth="1"/>
    <col min="16" max="18" width="11.140625" style="1095" customWidth="1"/>
    <col min="19" max="20" width="9.28515625" style="1095" bestFit="1" customWidth="1"/>
    <col min="21" max="22" width="10.42578125" style="1095" customWidth="1"/>
    <col min="23" max="25" width="10.5703125" style="1095" customWidth="1"/>
    <col min="26" max="26" width="10.5703125" style="1370" customWidth="1"/>
    <col min="27" max="28" width="9.28515625" style="1095" bestFit="1" customWidth="1"/>
    <col min="29" max="29" width="9.140625" style="1095"/>
    <col min="30" max="30" width="17.7109375" style="1095" customWidth="1"/>
    <col min="31" max="32" width="8" style="1095" customWidth="1"/>
    <col min="33" max="33" width="17.7109375" style="1095" customWidth="1"/>
    <col min="34" max="34" width="17.140625" style="1095" customWidth="1"/>
    <col min="35" max="16384" width="9.140625" style="1095"/>
  </cols>
  <sheetData>
    <row r="1" spans="1:33" ht="30" customHeight="1" x14ac:dyDescent="0.3">
      <c r="A1" s="1530"/>
    </row>
    <row r="2" spans="1:33" ht="30" customHeight="1" x14ac:dyDescent="0.3">
      <c r="A2" s="3663" t="s">
        <v>0</v>
      </c>
      <c r="B2" s="3664"/>
      <c r="C2" s="3665" t="s">
        <v>307</v>
      </c>
      <c r="D2" s="3524"/>
      <c r="E2" s="3524"/>
      <c r="F2" s="3524"/>
      <c r="G2" s="3524"/>
      <c r="H2" s="3524"/>
      <c r="I2" s="3524"/>
      <c r="J2" s="3524"/>
      <c r="K2" s="3524"/>
      <c r="L2" s="3524"/>
      <c r="M2" s="3524"/>
      <c r="N2" s="3666"/>
      <c r="O2" s="861" t="s">
        <v>63</v>
      </c>
      <c r="P2" s="3667" t="s">
        <v>299</v>
      </c>
      <c r="Q2" s="3527"/>
      <c r="R2" s="3527"/>
      <c r="S2" s="3527"/>
      <c r="T2" s="3527"/>
      <c r="U2" s="3527"/>
      <c r="V2" s="3527"/>
      <c r="W2" s="3527"/>
      <c r="X2" s="3527"/>
      <c r="Y2" s="3527"/>
      <c r="Z2" s="3527"/>
      <c r="AA2" s="1077"/>
      <c r="AB2" s="1077"/>
      <c r="AC2" s="1077"/>
      <c r="AD2" s="1077"/>
      <c r="AE2" s="1077"/>
      <c r="AF2" s="1077"/>
      <c r="AG2" s="1077"/>
    </row>
    <row r="3" spans="1:33" ht="30" customHeight="1" x14ac:dyDescent="0.3">
      <c r="A3" s="3663" t="s">
        <v>1</v>
      </c>
      <c r="B3" s="3664"/>
      <c r="C3" s="3665" t="s">
        <v>308</v>
      </c>
      <c r="D3" s="3524"/>
      <c r="E3" s="3524"/>
      <c r="F3" s="3524"/>
      <c r="G3" s="3524"/>
      <c r="H3" s="3524"/>
      <c r="I3" s="3524"/>
      <c r="J3" s="3524"/>
      <c r="K3" s="3524"/>
      <c r="L3" s="3524"/>
      <c r="M3" s="3524"/>
      <c r="N3" s="3666"/>
      <c r="O3" s="862" t="s">
        <v>64</v>
      </c>
      <c r="P3" s="3667" t="s">
        <v>232</v>
      </c>
      <c r="Q3" s="3527"/>
      <c r="R3" s="3527"/>
      <c r="S3" s="3527"/>
      <c r="T3" s="3527"/>
      <c r="U3" s="3527"/>
      <c r="V3" s="3527"/>
      <c r="W3" s="3527"/>
      <c r="X3" s="3527"/>
      <c r="Y3" s="3527"/>
      <c r="Z3" s="3527"/>
      <c r="AA3" s="1077"/>
      <c r="AB3" s="1077"/>
      <c r="AC3" s="1077"/>
      <c r="AD3" s="1077"/>
      <c r="AE3" s="1077"/>
      <c r="AF3" s="1077"/>
      <c r="AG3" s="1077"/>
    </row>
    <row r="4" spans="1:33" ht="30" customHeight="1" thickBot="1" x14ac:dyDescent="0.35">
      <c r="A4" s="863"/>
      <c r="B4" s="864" t="s">
        <v>2</v>
      </c>
      <c r="C4" s="3544" t="s">
        <v>309</v>
      </c>
      <c r="D4" s="3545"/>
      <c r="E4" s="3545"/>
      <c r="F4" s="3545"/>
      <c r="G4" s="3545"/>
      <c r="H4" s="3545"/>
      <c r="I4" s="3545"/>
      <c r="J4" s="3545"/>
      <c r="K4" s="3545"/>
      <c r="L4" s="3545"/>
      <c r="M4" s="3545"/>
      <c r="N4" s="3546"/>
      <c r="O4" s="864" t="s">
        <v>65</v>
      </c>
      <c r="P4" s="3547" t="s">
        <v>66</v>
      </c>
      <c r="Q4" s="3548"/>
      <c r="R4" s="3548"/>
      <c r="S4" s="3548"/>
      <c r="T4" s="3548"/>
      <c r="U4" s="3548"/>
      <c r="V4" s="3548"/>
      <c r="W4" s="3548"/>
      <c r="X4" s="3548"/>
      <c r="Y4" s="3548"/>
      <c r="Z4" s="3548"/>
      <c r="AA4" s="1077"/>
      <c r="AB4" s="1077"/>
      <c r="AC4" s="1077"/>
      <c r="AD4" s="1077"/>
      <c r="AE4" s="1077"/>
      <c r="AF4" s="1077"/>
      <c r="AG4" s="1077"/>
    </row>
    <row r="5" spans="1:33" ht="30" customHeight="1" thickBot="1" x14ac:dyDescent="0.35">
      <c r="A5" s="3549"/>
      <c r="B5" s="3550"/>
      <c r="C5" s="3551" t="s">
        <v>3</v>
      </c>
      <c r="D5" s="3552"/>
      <c r="E5" s="3552"/>
      <c r="F5" s="3552"/>
      <c r="G5" s="3552"/>
      <c r="H5" s="3552"/>
      <c r="I5" s="3552"/>
      <c r="J5" s="3552"/>
      <c r="K5" s="3552"/>
      <c r="L5" s="3552"/>
      <c r="M5" s="3552"/>
      <c r="N5" s="3552"/>
      <c r="O5" s="3553"/>
      <c r="P5" s="3554" t="s">
        <v>4</v>
      </c>
      <c r="Q5" s="3555"/>
      <c r="R5" s="3555"/>
      <c r="S5" s="3555"/>
      <c r="T5" s="3555"/>
      <c r="U5" s="3555"/>
      <c r="V5" s="3555"/>
      <c r="W5" s="3555"/>
      <c r="X5" s="3555"/>
      <c r="Y5" s="3555"/>
      <c r="Z5" s="3555"/>
      <c r="AA5" s="3555"/>
      <c r="AB5" s="1877"/>
      <c r="AC5" s="1535"/>
      <c r="AD5" s="1535"/>
      <c r="AE5" s="1535"/>
      <c r="AF5" s="1535"/>
      <c r="AG5" s="1536"/>
    </row>
    <row r="6" spans="1:33" ht="30" customHeight="1" thickBot="1" x14ac:dyDescent="0.35">
      <c r="A6" s="3528"/>
      <c r="B6" s="3531" t="s">
        <v>5</v>
      </c>
      <c r="C6" s="3533" t="s">
        <v>6</v>
      </c>
      <c r="D6" s="3534"/>
      <c r="E6" s="3535"/>
      <c r="F6" s="3536" t="s">
        <v>7</v>
      </c>
      <c r="G6" s="3885"/>
      <c r="H6" s="3889" t="s">
        <v>8</v>
      </c>
      <c r="I6" s="3890"/>
      <c r="J6" s="3560" t="s">
        <v>9</v>
      </c>
      <c r="K6" s="3538"/>
      <c r="L6" s="3538" t="s">
        <v>236</v>
      </c>
      <c r="M6" s="3539"/>
      <c r="N6" s="1878" t="s">
        <v>146</v>
      </c>
      <c r="O6" s="3533" t="s">
        <v>6</v>
      </c>
      <c r="P6" s="3534"/>
      <c r="Q6" s="3534"/>
      <c r="R6" s="3536" t="s">
        <v>7</v>
      </c>
      <c r="S6" s="3537"/>
      <c r="T6" s="3538" t="s">
        <v>8</v>
      </c>
      <c r="U6" s="3539"/>
      <c r="V6" s="3536" t="s">
        <v>9</v>
      </c>
      <c r="W6" s="3885"/>
      <c r="X6" s="3889" t="s">
        <v>236</v>
      </c>
      <c r="Y6" s="3885"/>
      <c r="Z6" s="1538" t="s">
        <v>147</v>
      </c>
      <c r="AA6" s="3517" t="s">
        <v>151</v>
      </c>
      <c r="AB6" s="3517" t="s">
        <v>152</v>
      </c>
      <c r="AC6" s="1879"/>
      <c r="AD6" s="1880" t="s">
        <v>11</v>
      </c>
      <c r="AE6" s="1881" t="s">
        <v>12</v>
      </c>
    </row>
    <row r="7" spans="1:33" ht="30" customHeight="1" x14ac:dyDescent="0.3">
      <c r="A7" s="3529"/>
      <c r="B7" s="3532"/>
      <c r="C7" s="1547" t="s">
        <v>13</v>
      </c>
      <c r="D7" s="1010" t="s">
        <v>14</v>
      </c>
      <c r="E7" s="1550" t="s">
        <v>15</v>
      </c>
      <c r="F7" s="1547" t="s">
        <v>13</v>
      </c>
      <c r="G7" s="1010" t="s">
        <v>14</v>
      </c>
      <c r="H7" s="1010" t="s">
        <v>13</v>
      </c>
      <c r="I7" s="1010" t="s">
        <v>14</v>
      </c>
      <c r="J7" s="1547" t="s">
        <v>13</v>
      </c>
      <c r="K7" s="1395" t="s">
        <v>14</v>
      </c>
      <c r="L7" s="1882" t="s">
        <v>13</v>
      </c>
      <c r="M7" s="1010" t="s">
        <v>14</v>
      </c>
      <c r="N7" s="1883"/>
      <c r="O7" s="1547" t="s">
        <v>13</v>
      </c>
      <c r="P7" s="1010" t="s">
        <v>14</v>
      </c>
      <c r="Q7" s="1395" t="s">
        <v>15</v>
      </c>
      <c r="R7" s="1547" t="s">
        <v>13</v>
      </c>
      <c r="S7" s="1010" t="s">
        <v>14</v>
      </c>
      <c r="T7" s="1395" t="s">
        <v>13</v>
      </c>
      <c r="U7" s="1010" t="s">
        <v>14</v>
      </c>
      <c r="V7" s="1547" t="s">
        <v>13</v>
      </c>
      <c r="W7" s="1010" t="s">
        <v>14</v>
      </c>
      <c r="X7" s="1010" t="s">
        <v>13</v>
      </c>
      <c r="Y7" s="1010" t="s">
        <v>14</v>
      </c>
      <c r="Z7" s="1546"/>
      <c r="AA7" s="3518"/>
      <c r="AB7" s="3518"/>
      <c r="AC7" s="1880"/>
      <c r="AE7" s="1884"/>
      <c r="AF7" s="1885"/>
    </row>
    <row r="8" spans="1:33" ht="30" customHeight="1" x14ac:dyDescent="0.3">
      <c r="A8" s="3530"/>
      <c r="B8" s="1392" t="s">
        <v>19</v>
      </c>
      <c r="C8" s="1547" t="s">
        <v>22</v>
      </c>
      <c r="D8" s="1547" t="s">
        <v>21</v>
      </c>
      <c r="E8" s="1548" t="s">
        <v>21</v>
      </c>
      <c r="F8" s="1547" t="s">
        <v>22</v>
      </c>
      <c r="G8" s="1547" t="s">
        <v>22</v>
      </c>
      <c r="H8" s="1395" t="s">
        <v>21</v>
      </c>
      <c r="I8" s="1395" t="s">
        <v>21</v>
      </c>
      <c r="J8" s="1551" t="s">
        <v>21</v>
      </c>
      <c r="K8" s="1551" t="s">
        <v>21</v>
      </c>
      <c r="L8" s="1547" t="s">
        <v>40</v>
      </c>
      <c r="M8" s="1551" t="s">
        <v>21</v>
      </c>
      <c r="N8" s="1548"/>
      <c r="O8" s="1547" t="s">
        <v>41</v>
      </c>
      <c r="P8" s="1010" t="s">
        <v>42</v>
      </c>
      <c r="Q8" s="1395" t="s">
        <v>43</v>
      </c>
      <c r="R8" s="1547" t="s">
        <v>41</v>
      </c>
      <c r="S8" s="1010" t="s">
        <v>41</v>
      </c>
      <c r="T8" s="1395" t="s">
        <v>41</v>
      </c>
      <c r="U8" s="1010" t="s">
        <v>41</v>
      </c>
      <c r="V8" s="1547" t="s">
        <v>42</v>
      </c>
      <c r="W8" s="1547" t="s">
        <v>42</v>
      </c>
      <c r="X8" s="1010" t="s">
        <v>42</v>
      </c>
      <c r="Y8" s="1010" t="s">
        <v>42</v>
      </c>
      <c r="Z8" s="1546" t="s">
        <v>237</v>
      </c>
      <c r="AA8" s="3519"/>
      <c r="AB8" s="3519"/>
      <c r="AC8" s="1546"/>
      <c r="AD8" s="1546"/>
      <c r="AE8" s="1884"/>
      <c r="AF8" s="1885"/>
    </row>
    <row r="9" spans="1:33" ht="30" customHeight="1" x14ac:dyDescent="0.3">
      <c r="A9" s="1010" t="s">
        <v>18</v>
      </c>
      <c r="B9" s="1395" t="s">
        <v>26</v>
      </c>
      <c r="C9" s="1547">
        <v>2</v>
      </c>
      <c r="D9" s="1010">
        <v>2</v>
      </c>
      <c r="E9" s="1550">
        <v>2</v>
      </c>
      <c r="F9" s="1547">
        <v>6</v>
      </c>
      <c r="G9" s="1010">
        <v>6</v>
      </c>
      <c r="H9" s="1010">
        <v>6</v>
      </c>
      <c r="I9" s="1010">
        <v>6</v>
      </c>
      <c r="J9" s="1547">
        <v>6</v>
      </c>
      <c r="K9" s="1396">
        <v>6</v>
      </c>
      <c r="L9" s="1010">
        <v>6</v>
      </c>
      <c r="M9" s="1010">
        <v>6</v>
      </c>
      <c r="N9" s="1553">
        <v>30</v>
      </c>
      <c r="O9" s="1547">
        <v>2</v>
      </c>
      <c r="P9" s="1010">
        <v>2</v>
      </c>
      <c r="Q9" s="1395">
        <v>2</v>
      </c>
      <c r="R9" s="1547">
        <v>6</v>
      </c>
      <c r="S9" s="1010">
        <v>6</v>
      </c>
      <c r="T9" s="1395">
        <v>6</v>
      </c>
      <c r="U9" s="1010">
        <v>6</v>
      </c>
      <c r="V9" s="1010">
        <v>6</v>
      </c>
      <c r="W9" s="1010">
        <v>6</v>
      </c>
      <c r="X9" s="1010">
        <v>6</v>
      </c>
      <c r="Y9" s="1010">
        <v>6</v>
      </c>
      <c r="Z9" s="1546">
        <v>30</v>
      </c>
      <c r="AA9" s="1074">
        <v>10</v>
      </c>
      <c r="AB9" s="1074">
        <v>10</v>
      </c>
      <c r="AC9" s="1074"/>
      <c r="AD9" s="1074"/>
      <c r="AE9" s="1011"/>
      <c r="AF9" s="1102"/>
    </row>
    <row r="10" spans="1:33" ht="30" customHeight="1" x14ac:dyDescent="0.35">
      <c r="A10" s="1010">
        <v>1</v>
      </c>
      <c r="B10" s="1556">
        <v>5191421001</v>
      </c>
      <c r="C10" s="1597">
        <v>2</v>
      </c>
      <c r="D10" s="1376">
        <v>1</v>
      </c>
      <c r="E10" s="1558">
        <v>1</v>
      </c>
      <c r="F10" s="1559"/>
      <c r="G10" s="1376"/>
      <c r="H10" s="1886">
        <v>5</v>
      </c>
      <c r="I10" s="1886">
        <v>6</v>
      </c>
      <c r="J10" s="1559"/>
      <c r="K10" s="1073"/>
      <c r="L10" s="1372">
        <v>3</v>
      </c>
      <c r="M10" s="1372">
        <v>4</v>
      </c>
      <c r="N10" s="1887">
        <v>22</v>
      </c>
      <c r="O10" s="1563">
        <v>2</v>
      </c>
      <c r="P10" s="1564">
        <v>2</v>
      </c>
      <c r="Q10" s="1888"/>
      <c r="R10" s="1563">
        <v>3</v>
      </c>
      <c r="S10" s="1371">
        <v>3</v>
      </c>
      <c r="T10" s="1395"/>
      <c r="U10" s="1010"/>
      <c r="V10" s="1889">
        <v>4</v>
      </c>
      <c r="W10" s="1557"/>
      <c r="X10" s="1568"/>
      <c r="Y10" s="1569"/>
      <c r="Z10" s="1887">
        <v>14</v>
      </c>
      <c r="AA10" s="1890"/>
      <c r="AB10" s="1890"/>
      <c r="AC10" s="1890"/>
      <c r="AD10" s="1371" t="b">
        <f>IF(AA10="O",100,IF(AA10="A+",90,IF(AA10="A",80,IF(AA10="B+",70,IF(AA10="B",60,IF(AA10="C",55,IF(AA10="P",50,IF(AA10="F",39))))))))</f>
        <v>0</v>
      </c>
    </row>
    <row r="11" spans="1:33" ht="30" customHeight="1" x14ac:dyDescent="0.35">
      <c r="A11" s="1891">
        <v>2</v>
      </c>
      <c r="B11" s="1892">
        <v>5191421002</v>
      </c>
      <c r="C11" s="1886">
        <v>2</v>
      </c>
      <c r="D11" s="1893">
        <v>1</v>
      </c>
      <c r="E11" s="1894">
        <v>1</v>
      </c>
      <c r="F11" s="1559">
        <v>6</v>
      </c>
      <c r="G11" s="1376">
        <v>4</v>
      </c>
      <c r="H11" s="1895"/>
      <c r="I11" s="1895"/>
      <c r="J11" s="1896"/>
      <c r="K11" s="1897"/>
      <c r="L11" s="1372">
        <v>3</v>
      </c>
      <c r="M11" s="1898">
        <v>3</v>
      </c>
      <c r="N11" s="1887">
        <v>20</v>
      </c>
      <c r="O11" s="1896">
        <v>2</v>
      </c>
      <c r="P11" s="1897">
        <v>2</v>
      </c>
      <c r="Q11" s="1899">
        <v>1</v>
      </c>
      <c r="R11" s="1896">
        <v>5</v>
      </c>
      <c r="S11" s="1897">
        <v>5</v>
      </c>
      <c r="T11" s="1395"/>
      <c r="U11" s="1010"/>
      <c r="V11" s="1900"/>
      <c r="W11" s="1896">
        <v>2</v>
      </c>
      <c r="X11" s="1895"/>
      <c r="Y11" s="1895"/>
      <c r="Z11" s="1887">
        <v>17</v>
      </c>
      <c r="AA11" s="1901"/>
      <c r="AB11" s="1901"/>
      <c r="AC11" s="1901"/>
      <c r="AD11" s="1897" t="b">
        <f t="shared" ref="AD11:AD32" si="0">IF(AA11="O",100,IF(AA11="A+",90,IF(AA11="A",80,IF(AA11="B+",70,IF(AA11="B",60,IF(AA11="C",55,IF(AA11="P",50,IF(AA11="F",39))))))))</f>
        <v>0</v>
      </c>
    </row>
    <row r="12" spans="1:33" s="1073" customFormat="1" ht="30" customHeight="1" x14ac:dyDescent="0.35">
      <c r="A12" s="1010">
        <v>4</v>
      </c>
      <c r="B12" s="1892">
        <v>5191421004</v>
      </c>
      <c r="C12" s="1902">
        <v>2</v>
      </c>
      <c r="D12" s="1564">
        <v>1</v>
      </c>
      <c r="E12" s="1564">
        <v>2</v>
      </c>
      <c r="F12" s="1564"/>
      <c r="G12" s="1371"/>
      <c r="H12" s="1371">
        <v>3</v>
      </c>
      <c r="I12" s="1371">
        <v>4</v>
      </c>
      <c r="J12" s="1371"/>
      <c r="K12" s="1371"/>
      <c r="L12" s="1372">
        <v>5</v>
      </c>
      <c r="M12" s="1372">
        <v>3</v>
      </c>
      <c r="N12" s="1887">
        <v>20</v>
      </c>
      <c r="O12" s="1564">
        <v>2</v>
      </c>
      <c r="P12" s="1564">
        <v>1</v>
      </c>
      <c r="Q12" s="1888">
        <v>1</v>
      </c>
      <c r="R12" s="1563">
        <v>5</v>
      </c>
      <c r="S12" s="1371">
        <v>4</v>
      </c>
      <c r="T12" s="1395"/>
      <c r="U12" s="1010"/>
      <c r="V12" s="1889"/>
      <c r="W12" s="1557"/>
      <c r="X12" s="1568">
        <v>5</v>
      </c>
      <c r="Y12" s="1568">
        <v>2</v>
      </c>
      <c r="Z12" s="1887">
        <v>20</v>
      </c>
      <c r="AA12" s="1890"/>
      <c r="AB12" s="1890"/>
      <c r="AC12" s="1890"/>
      <c r="AD12" s="1371" t="b">
        <f t="shared" si="0"/>
        <v>0</v>
      </c>
    </row>
    <row r="13" spans="1:33" ht="30" customHeight="1" x14ac:dyDescent="0.35">
      <c r="A13" s="1540">
        <v>5</v>
      </c>
      <c r="B13" s="1586">
        <v>5191421005</v>
      </c>
      <c r="C13" s="1587">
        <v>2</v>
      </c>
      <c r="D13" s="1588">
        <v>1</v>
      </c>
      <c r="E13" s="1589">
        <v>2</v>
      </c>
      <c r="F13" s="1587"/>
      <c r="G13" s="1382"/>
      <c r="H13" s="1594">
        <v>5</v>
      </c>
      <c r="I13" s="1594">
        <v>6</v>
      </c>
      <c r="J13" s="1591">
        <v>6</v>
      </c>
      <c r="K13" s="1382">
        <v>5</v>
      </c>
      <c r="L13" s="1372"/>
      <c r="M13" s="1372"/>
      <c r="N13" s="1887">
        <v>27</v>
      </c>
      <c r="O13" s="1587">
        <v>2</v>
      </c>
      <c r="P13" s="1588">
        <v>1</v>
      </c>
      <c r="Q13" s="1903">
        <v>1</v>
      </c>
      <c r="R13" s="1587">
        <v>5</v>
      </c>
      <c r="S13" s="1371">
        <v>4</v>
      </c>
      <c r="T13" s="1395"/>
      <c r="U13" s="1010"/>
      <c r="V13" s="1904"/>
      <c r="W13" s="1591"/>
      <c r="X13" s="1594">
        <v>6</v>
      </c>
      <c r="Y13" s="1594">
        <v>3</v>
      </c>
      <c r="Z13" s="1887">
        <v>22</v>
      </c>
      <c r="AA13" s="1905"/>
      <c r="AB13" s="1905"/>
      <c r="AC13" s="1905"/>
      <c r="AD13" s="1382" t="b">
        <f t="shared" si="0"/>
        <v>0</v>
      </c>
    </row>
    <row r="14" spans="1:33" ht="30" customHeight="1" x14ac:dyDescent="0.35">
      <c r="A14" s="1010">
        <v>12</v>
      </c>
      <c r="B14" s="1556">
        <v>5191421012</v>
      </c>
      <c r="C14" s="1563">
        <v>2</v>
      </c>
      <c r="D14" s="1564">
        <v>1</v>
      </c>
      <c r="E14" s="1565">
        <v>2</v>
      </c>
      <c r="F14" s="1563"/>
      <c r="G14" s="1371"/>
      <c r="H14" s="1568">
        <v>2</v>
      </c>
      <c r="I14" s="1568">
        <v>4</v>
      </c>
      <c r="J14" s="1557"/>
      <c r="K14" s="1371"/>
      <c r="L14" s="1372">
        <v>5</v>
      </c>
      <c r="M14" s="1372">
        <v>4</v>
      </c>
      <c r="N14" s="1887">
        <v>20</v>
      </c>
      <c r="O14" s="1563">
        <v>2</v>
      </c>
      <c r="P14" s="1564"/>
      <c r="Q14" s="1888">
        <v>2</v>
      </c>
      <c r="R14" s="1563">
        <v>5</v>
      </c>
      <c r="S14" s="1371">
        <v>5</v>
      </c>
      <c r="T14" s="1395">
        <v>4</v>
      </c>
      <c r="U14" s="1010">
        <v>4</v>
      </c>
      <c r="V14" s="1889"/>
      <c r="W14" s="1557"/>
      <c r="X14" s="1568"/>
      <c r="Y14" s="1568"/>
      <c r="Z14" s="1887">
        <v>22</v>
      </c>
      <c r="AA14" s="1890"/>
      <c r="AB14" s="1890"/>
      <c r="AC14" s="1890"/>
      <c r="AD14" s="1371" t="b">
        <f t="shared" si="0"/>
        <v>0</v>
      </c>
    </row>
    <row r="15" spans="1:33" ht="30" customHeight="1" x14ac:dyDescent="0.35">
      <c r="A15" s="1010">
        <v>14</v>
      </c>
      <c r="B15" s="1556">
        <v>5191421014</v>
      </c>
      <c r="C15" s="1563">
        <v>2</v>
      </c>
      <c r="D15" s="1564">
        <v>0</v>
      </c>
      <c r="E15" s="1565">
        <v>2</v>
      </c>
      <c r="F15" s="1563"/>
      <c r="G15" s="1371"/>
      <c r="H15" s="1568">
        <v>5</v>
      </c>
      <c r="I15" s="1568">
        <v>5</v>
      </c>
      <c r="J15" s="1557"/>
      <c r="K15" s="1371"/>
      <c r="L15" s="1372">
        <v>3</v>
      </c>
      <c r="M15" s="1372">
        <v>5</v>
      </c>
      <c r="N15" s="1887">
        <v>22</v>
      </c>
      <c r="O15" s="1563">
        <v>2</v>
      </c>
      <c r="P15" s="1564">
        <v>1</v>
      </c>
      <c r="Q15" s="1888">
        <v>2</v>
      </c>
      <c r="R15" s="1563">
        <v>5</v>
      </c>
      <c r="S15" s="1371">
        <v>4</v>
      </c>
      <c r="T15" s="1395"/>
      <c r="U15" s="1010"/>
      <c r="V15" s="1889">
        <v>4</v>
      </c>
      <c r="W15" s="1557">
        <v>2</v>
      </c>
      <c r="X15" s="1568"/>
      <c r="Y15" s="1568"/>
      <c r="Z15" s="1887">
        <v>20</v>
      </c>
      <c r="AA15" s="1890"/>
      <c r="AB15" s="1890"/>
      <c r="AC15" s="1890"/>
      <c r="AD15" s="1371" t="b">
        <f t="shared" si="0"/>
        <v>0</v>
      </c>
    </row>
    <row r="16" spans="1:33" ht="30" customHeight="1" x14ac:dyDescent="0.35">
      <c r="A16" s="1010">
        <v>15</v>
      </c>
      <c r="B16" s="1556">
        <v>5191421015</v>
      </c>
      <c r="C16" s="1563">
        <v>2</v>
      </c>
      <c r="D16" s="1564">
        <v>1</v>
      </c>
      <c r="E16" s="1565">
        <v>2</v>
      </c>
      <c r="F16" s="1563"/>
      <c r="G16" s="1371"/>
      <c r="H16" s="1568">
        <v>5</v>
      </c>
      <c r="I16" s="1568">
        <v>6</v>
      </c>
      <c r="J16" s="1557">
        <v>5</v>
      </c>
      <c r="K16" s="1371">
        <v>2</v>
      </c>
      <c r="L16" s="1372"/>
      <c r="M16" s="1372"/>
      <c r="N16" s="1887">
        <v>23</v>
      </c>
      <c r="O16" s="1563">
        <v>2</v>
      </c>
      <c r="P16" s="1564">
        <v>2</v>
      </c>
      <c r="Q16" s="1888">
        <v>2</v>
      </c>
      <c r="R16" s="1563"/>
      <c r="S16" s="1371">
        <v>3</v>
      </c>
      <c r="T16" s="1395">
        <v>3</v>
      </c>
      <c r="U16" s="1010"/>
      <c r="V16" s="1889"/>
      <c r="W16" s="1557">
        <v>5</v>
      </c>
      <c r="X16" s="1568">
        <v>5</v>
      </c>
      <c r="Y16" s="1568"/>
      <c r="Z16" s="1906">
        <v>22</v>
      </c>
      <c r="AA16" s="1890"/>
      <c r="AB16" s="1890"/>
      <c r="AC16" s="1890"/>
      <c r="AD16" s="1371" t="b">
        <f t="shared" si="0"/>
        <v>0</v>
      </c>
    </row>
    <row r="17" spans="1:30" ht="30" customHeight="1" x14ac:dyDescent="0.35">
      <c r="A17" s="1010">
        <v>17</v>
      </c>
      <c r="B17" s="1556">
        <v>5191421017</v>
      </c>
      <c r="C17" s="1563">
        <v>2</v>
      </c>
      <c r="D17" s="1564">
        <v>1</v>
      </c>
      <c r="E17" s="1565">
        <v>2</v>
      </c>
      <c r="F17" s="1563"/>
      <c r="G17" s="1371"/>
      <c r="H17" s="1568">
        <v>5</v>
      </c>
      <c r="I17" s="1568">
        <v>5</v>
      </c>
      <c r="J17" s="1557"/>
      <c r="K17" s="1371"/>
      <c r="L17" s="1372">
        <v>4</v>
      </c>
      <c r="M17" s="1372">
        <v>5</v>
      </c>
      <c r="N17" s="1887">
        <v>24</v>
      </c>
      <c r="O17" s="1563">
        <v>2</v>
      </c>
      <c r="P17" s="1564"/>
      <c r="Q17" s="1888">
        <v>1</v>
      </c>
      <c r="R17" s="1563">
        <v>5</v>
      </c>
      <c r="S17" s="1371">
        <v>5</v>
      </c>
      <c r="T17" s="1395"/>
      <c r="U17" s="1010"/>
      <c r="V17" s="1889"/>
      <c r="W17" s="1557"/>
      <c r="X17" s="1568">
        <v>5</v>
      </c>
      <c r="Y17" s="1568"/>
      <c r="Z17" s="1887">
        <v>18</v>
      </c>
      <c r="AA17" s="1890"/>
      <c r="AB17" s="1890"/>
      <c r="AC17" s="1890"/>
      <c r="AD17" s="1371" t="b">
        <f t="shared" si="0"/>
        <v>0</v>
      </c>
    </row>
    <row r="18" spans="1:30" ht="30" customHeight="1" x14ac:dyDescent="0.35">
      <c r="A18" s="1010">
        <v>18</v>
      </c>
      <c r="B18" s="1556">
        <v>5191421018</v>
      </c>
      <c r="C18" s="1597">
        <v>2</v>
      </c>
      <c r="D18" s="1564"/>
      <c r="E18" s="1565"/>
      <c r="F18" s="1563"/>
      <c r="G18" s="1371"/>
      <c r="H18" s="1568">
        <v>0</v>
      </c>
      <c r="I18" s="1568">
        <v>2</v>
      </c>
      <c r="J18" s="1557">
        <v>2</v>
      </c>
      <c r="K18" s="1371">
        <v>2</v>
      </c>
      <c r="L18" s="1372"/>
      <c r="M18" s="1372"/>
      <c r="N18" s="1887">
        <v>8</v>
      </c>
      <c r="O18" s="1563">
        <v>2</v>
      </c>
      <c r="P18" s="1564">
        <v>1</v>
      </c>
      <c r="Q18" s="1888">
        <v>1</v>
      </c>
      <c r="R18" s="1563">
        <v>3</v>
      </c>
      <c r="S18" s="1371">
        <v>2</v>
      </c>
      <c r="T18" s="1395"/>
      <c r="U18" s="1010"/>
      <c r="V18" s="1889">
        <v>2</v>
      </c>
      <c r="W18" s="1557">
        <v>2</v>
      </c>
      <c r="X18" s="1568"/>
      <c r="Y18" s="1568"/>
      <c r="Z18" s="1887">
        <v>13</v>
      </c>
      <c r="AA18" s="1890"/>
      <c r="AB18" s="1890"/>
      <c r="AC18" s="1890"/>
      <c r="AD18" s="1371" t="b">
        <f t="shared" si="0"/>
        <v>0</v>
      </c>
    </row>
    <row r="19" spans="1:30" ht="30" customHeight="1" x14ac:dyDescent="0.35">
      <c r="A19" s="1010">
        <v>19</v>
      </c>
      <c r="B19" s="1556">
        <v>5191421019</v>
      </c>
      <c r="C19" s="1563">
        <v>2</v>
      </c>
      <c r="D19" s="1371">
        <v>1</v>
      </c>
      <c r="E19" s="1561">
        <v>2</v>
      </c>
      <c r="F19" s="1557"/>
      <c r="G19" s="1371"/>
      <c r="H19" s="1568">
        <v>6</v>
      </c>
      <c r="I19" s="1568">
        <v>6</v>
      </c>
      <c r="J19" s="1557">
        <v>6</v>
      </c>
      <c r="K19" s="1371">
        <v>4</v>
      </c>
      <c r="L19" s="1372"/>
      <c r="M19" s="1372"/>
      <c r="N19" s="1887">
        <v>27</v>
      </c>
      <c r="O19" s="1563">
        <v>2</v>
      </c>
      <c r="P19" s="1371">
        <v>1</v>
      </c>
      <c r="Q19" s="1583">
        <v>2</v>
      </c>
      <c r="R19" s="1557">
        <v>6</v>
      </c>
      <c r="S19" s="1371">
        <v>5</v>
      </c>
      <c r="T19" s="1395"/>
      <c r="U19" s="1010"/>
      <c r="V19" s="1889">
        <v>6</v>
      </c>
      <c r="W19" s="1557">
        <v>6</v>
      </c>
      <c r="X19" s="1568"/>
      <c r="Y19" s="1568"/>
      <c r="Z19" s="1887">
        <v>28</v>
      </c>
      <c r="AA19" s="1890"/>
      <c r="AB19" s="1890"/>
      <c r="AC19" s="1890"/>
      <c r="AD19" s="1371" t="b">
        <f t="shared" si="0"/>
        <v>0</v>
      </c>
    </row>
    <row r="20" spans="1:30" ht="30" customHeight="1" x14ac:dyDescent="0.35">
      <c r="A20" s="1010">
        <v>23</v>
      </c>
      <c r="B20" s="1556">
        <v>5191421023</v>
      </c>
      <c r="C20" s="1563">
        <v>1</v>
      </c>
      <c r="D20" s="1371">
        <v>1</v>
      </c>
      <c r="E20" s="1561">
        <v>1</v>
      </c>
      <c r="F20" s="1557">
        <v>5</v>
      </c>
      <c r="G20" s="1371">
        <v>3</v>
      </c>
      <c r="H20" s="1568"/>
      <c r="I20" s="1568"/>
      <c r="J20" s="1557"/>
      <c r="K20" s="1371"/>
      <c r="L20" s="1372">
        <v>4</v>
      </c>
      <c r="M20" s="1372"/>
      <c r="N20" s="1887">
        <v>15</v>
      </c>
      <c r="O20" s="1563">
        <v>2</v>
      </c>
      <c r="P20" s="1371">
        <v>2</v>
      </c>
      <c r="Q20" s="1583">
        <v>1</v>
      </c>
      <c r="R20" s="1557">
        <v>5</v>
      </c>
      <c r="S20" s="1371">
        <v>5</v>
      </c>
      <c r="T20" s="1395"/>
      <c r="U20" s="1010"/>
      <c r="V20" s="1889"/>
      <c r="W20" s="1557"/>
      <c r="X20" s="1568">
        <v>5</v>
      </c>
      <c r="Y20" s="1568">
        <v>2</v>
      </c>
      <c r="Z20" s="1887">
        <v>22</v>
      </c>
      <c r="AA20" s="1890"/>
      <c r="AB20" s="1890"/>
      <c r="AC20" s="1890"/>
      <c r="AD20" s="1371" t="b">
        <f t="shared" si="0"/>
        <v>0</v>
      </c>
    </row>
    <row r="21" spans="1:30" ht="30" customHeight="1" x14ac:dyDescent="0.35">
      <c r="A21" s="1010">
        <v>24</v>
      </c>
      <c r="B21" s="1556">
        <v>5191421024</v>
      </c>
      <c r="C21" s="1563">
        <v>1</v>
      </c>
      <c r="D21" s="1371">
        <v>1</v>
      </c>
      <c r="E21" s="1561"/>
      <c r="F21" s="1557">
        <v>5</v>
      </c>
      <c r="G21" s="1371"/>
      <c r="H21" s="1568"/>
      <c r="I21" s="1568"/>
      <c r="J21" s="1557"/>
      <c r="K21" s="1371"/>
      <c r="L21" s="1372"/>
      <c r="M21" s="1372"/>
      <c r="N21" s="1887">
        <v>7</v>
      </c>
      <c r="O21" s="1563">
        <v>2</v>
      </c>
      <c r="P21" s="1371">
        <v>2</v>
      </c>
      <c r="Q21" s="1583">
        <v>2</v>
      </c>
      <c r="R21" s="1557">
        <v>6</v>
      </c>
      <c r="S21" s="1371"/>
      <c r="T21" s="1395"/>
      <c r="U21" s="1010"/>
      <c r="V21" s="1889"/>
      <c r="W21" s="1557"/>
      <c r="X21" s="1568">
        <v>2</v>
      </c>
      <c r="Y21" s="1568">
        <v>4</v>
      </c>
      <c r="Z21" s="1887">
        <v>18</v>
      </c>
      <c r="AA21" s="1890"/>
      <c r="AB21" s="1890"/>
      <c r="AC21" s="1890"/>
      <c r="AD21" s="1371" t="b">
        <f t="shared" si="0"/>
        <v>0</v>
      </c>
    </row>
    <row r="22" spans="1:30" ht="30" customHeight="1" x14ac:dyDescent="0.35">
      <c r="A22" s="1010">
        <v>26</v>
      </c>
      <c r="B22" s="1556">
        <v>5191421026</v>
      </c>
      <c r="C22" s="1563"/>
      <c r="D22" s="1371">
        <v>1</v>
      </c>
      <c r="E22" s="1561">
        <v>1</v>
      </c>
      <c r="F22" s="1557"/>
      <c r="G22" s="1371"/>
      <c r="H22" s="1568">
        <v>5</v>
      </c>
      <c r="I22" s="1568">
        <v>4</v>
      </c>
      <c r="J22" s="1557">
        <v>5</v>
      </c>
      <c r="K22" s="1371">
        <v>3</v>
      </c>
      <c r="L22" s="1372"/>
      <c r="M22" s="1372"/>
      <c r="N22" s="1887">
        <v>19</v>
      </c>
      <c r="O22" s="1557">
        <v>2</v>
      </c>
      <c r="P22" s="1371">
        <v>2</v>
      </c>
      <c r="Q22" s="1583">
        <v>1</v>
      </c>
      <c r="R22" s="1557"/>
      <c r="S22" s="1371"/>
      <c r="T22" s="1395">
        <v>3</v>
      </c>
      <c r="U22" s="1010">
        <v>4</v>
      </c>
      <c r="V22" s="1889">
        <v>6</v>
      </c>
      <c r="W22" s="1557">
        <v>6</v>
      </c>
      <c r="X22" s="1568"/>
      <c r="Y22" s="1568"/>
      <c r="Z22" s="1887">
        <v>24</v>
      </c>
      <c r="AA22" s="1890"/>
      <c r="AB22" s="1890"/>
      <c r="AC22" s="1890"/>
      <c r="AD22" s="1371" t="b">
        <f t="shared" si="0"/>
        <v>0</v>
      </c>
    </row>
    <row r="23" spans="1:30" ht="30" customHeight="1" x14ac:dyDescent="0.35">
      <c r="A23" s="1010">
        <v>30</v>
      </c>
      <c r="B23" s="1556">
        <v>5191421030</v>
      </c>
      <c r="C23" s="1907">
        <v>2</v>
      </c>
      <c r="D23" s="1371"/>
      <c r="E23" s="1561">
        <v>2</v>
      </c>
      <c r="F23" s="1557"/>
      <c r="G23" s="1371"/>
      <c r="H23" s="1568">
        <v>4</v>
      </c>
      <c r="I23" s="1568">
        <v>4</v>
      </c>
      <c r="J23" s="1557"/>
      <c r="K23" s="1371"/>
      <c r="L23" s="1372">
        <v>4</v>
      </c>
      <c r="M23" s="1372"/>
      <c r="N23" s="1887">
        <v>16</v>
      </c>
      <c r="O23" s="1563">
        <v>2</v>
      </c>
      <c r="P23" s="1371"/>
      <c r="Q23" s="1583">
        <v>2</v>
      </c>
      <c r="R23" s="1557">
        <v>3</v>
      </c>
      <c r="S23" s="1371"/>
      <c r="T23" s="1395"/>
      <c r="U23" s="1010"/>
      <c r="V23" s="1889">
        <v>2</v>
      </c>
      <c r="W23" s="1557">
        <v>2</v>
      </c>
      <c r="X23" s="1568"/>
      <c r="Y23" s="1568"/>
      <c r="Z23" s="1887">
        <v>11</v>
      </c>
      <c r="AA23" s="1890"/>
      <c r="AB23" s="1890"/>
      <c r="AC23" s="1890"/>
      <c r="AD23" s="1371" t="b">
        <f t="shared" si="0"/>
        <v>0</v>
      </c>
    </row>
    <row r="24" spans="1:30" ht="30" customHeight="1" x14ac:dyDescent="0.35">
      <c r="A24" s="1010">
        <v>35</v>
      </c>
      <c r="B24" s="1556">
        <v>5191421035</v>
      </c>
      <c r="C24" s="1563"/>
      <c r="D24" s="1371">
        <v>1</v>
      </c>
      <c r="E24" s="1561"/>
      <c r="F24" s="1557"/>
      <c r="G24" s="1371"/>
      <c r="H24" s="1568"/>
      <c r="I24" s="1568">
        <v>4</v>
      </c>
      <c r="J24" s="1557"/>
      <c r="K24" s="1371"/>
      <c r="L24" s="1372">
        <v>3</v>
      </c>
      <c r="M24" s="1372">
        <v>3</v>
      </c>
      <c r="N24" s="1887">
        <v>11</v>
      </c>
      <c r="O24" s="1563">
        <v>2</v>
      </c>
      <c r="P24" s="1371"/>
      <c r="Q24" s="1583"/>
      <c r="R24" s="1557"/>
      <c r="S24" s="1371"/>
      <c r="T24" s="1395"/>
      <c r="U24" s="1010"/>
      <c r="V24" s="1889"/>
      <c r="W24" s="1557"/>
      <c r="X24" s="1568"/>
      <c r="Y24" s="1568"/>
      <c r="Z24" s="1887">
        <v>2</v>
      </c>
      <c r="AA24" s="1890"/>
      <c r="AB24" s="1890"/>
      <c r="AC24" s="1890"/>
      <c r="AD24" s="1371" t="b">
        <f t="shared" si="0"/>
        <v>0</v>
      </c>
    </row>
    <row r="25" spans="1:30" ht="30" customHeight="1" x14ac:dyDescent="0.35">
      <c r="A25" s="1010">
        <v>37</v>
      </c>
      <c r="B25" s="1556">
        <v>5191421037</v>
      </c>
      <c r="C25" s="1563">
        <v>2</v>
      </c>
      <c r="D25" s="1371">
        <v>1</v>
      </c>
      <c r="E25" s="1561"/>
      <c r="F25" s="1557"/>
      <c r="G25" s="1371"/>
      <c r="H25" s="1568">
        <v>2</v>
      </c>
      <c r="I25" s="1568">
        <v>3</v>
      </c>
      <c r="J25" s="1557"/>
      <c r="K25" s="1371"/>
      <c r="L25" s="1372">
        <v>3</v>
      </c>
      <c r="M25" s="1372"/>
      <c r="N25" s="1887">
        <v>11</v>
      </c>
      <c r="O25" s="1563">
        <v>2</v>
      </c>
      <c r="P25" s="1371">
        <v>0</v>
      </c>
      <c r="Q25" s="1583">
        <v>2</v>
      </c>
      <c r="R25" s="1557">
        <v>3</v>
      </c>
      <c r="S25" s="1371">
        <v>1</v>
      </c>
      <c r="T25" s="1395"/>
      <c r="U25" s="1010">
        <v>3</v>
      </c>
      <c r="V25" s="1889">
        <v>4</v>
      </c>
      <c r="W25" s="1557"/>
      <c r="X25" s="1568"/>
      <c r="Y25" s="1568"/>
      <c r="Z25" s="1887">
        <v>15</v>
      </c>
      <c r="AA25" s="1890"/>
      <c r="AB25" s="1890"/>
      <c r="AC25" s="1890"/>
      <c r="AD25" s="1371" t="b">
        <f t="shared" si="0"/>
        <v>0</v>
      </c>
    </row>
    <row r="26" spans="1:30" ht="30" customHeight="1" x14ac:dyDescent="0.35">
      <c r="A26" s="1010">
        <v>38</v>
      </c>
      <c r="B26" s="1556">
        <v>5191421038</v>
      </c>
      <c r="C26" s="1563">
        <v>2</v>
      </c>
      <c r="D26" s="1371">
        <v>1</v>
      </c>
      <c r="E26" s="1561">
        <v>2</v>
      </c>
      <c r="F26" s="1557"/>
      <c r="G26" s="1371"/>
      <c r="H26" s="1568">
        <v>3</v>
      </c>
      <c r="I26" s="1568">
        <v>5</v>
      </c>
      <c r="J26" s="1557">
        <v>4</v>
      </c>
      <c r="K26" s="1371"/>
      <c r="L26" s="1372"/>
      <c r="M26" s="1372"/>
      <c r="N26" s="1887">
        <v>17</v>
      </c>
      <c r="O26" s="1563">
        <v>2</v>
      </c>
      <c r="P26" s="1371">
        <v>2</v>
      </c>
      <c r="Q26" s="1583">
        <v>2</v>
      </c>
      <c r="R26" s="1557">
        <v>4</v>
      </c>
      <c r="S26" s="1371">
        <v>2</v>
      </c>
      <c r="T26" s="1395"/>
      <c r="U26" s="1010"/>
      <c r="V26" s="1889">
        <v>6</v>
      </c>
      <c r="W26" s="1557"/>
      <c r="X26" s="1568"/>
      <c r="Y26" s="1568"/>
      <c r="Z26" s="1887">
        <v>18</v>
      </c>
      <c r="AA26" s="1890"/>
      <c r="AB26" s="1890"/>
      <c r="AC26" s="1890"/>
      <c r="AD26" s="1371" t="b">
        <f t="shared" si="0"/>
        <v>0</v>
      </c>
    </row>
    <row r="27" spans="1:30" ht="30" customHeight="1" x14ac:dyDescent="0.35">
      <c r="A27" s="1010">
        <v>40</v>
      </c>
      <c r="B27" s="1556">
        <v>5191421040</v>
      </c>
      <c r="C27" s="1907">
        <v>1</v>
      </c>
      <c r="D27" s="1371">
        <v>1</v>
      </c>
      <c r="E27" s="1561">
        <v>2</v>
      </c>
      <c r="F27" s="1557"/>
      <c r="G27" s="1371"/>
      <c r="H27" s="1568">
        <v>5</v>
      </c>
      <c r="I27" s="1568">
        <v>5</v>
      </c>
      <c r="J27" s="1557"/>
      <c r="K27" s="1371"/>
      <c r="L27" s="1372">
        <v>4</v>
      </c>
      <c r="M27" s="1372">
        <v>5</v>
      </c>
      <c r="N27" s="1887">
        <v>23</v>
      </c>
      <c r="O27" s="1563">
        <v>2</v>
      </c>
      <c r="P27" s="1371">
        <v>2</v>
      </c>
      <c r="Q27" s="1583"/>
      <c r="R27" s="1557">
        <v>5</v>
      </c>
      <c r="S27" s="1371">
        <v>5</v>
      </c>
      <c r="T27" s="1395"/>
      <c r="U27" s="1010"/>
      <c r="V27" s="1889">
        <v>5</v>
      </c>
      <c r="W27" s="1557">
        <v>5</v>
      </c>
      <c r="X27" s="1568"/>
      <c r="Y27" s="1568"/>
      <c r="Z27" s="1887">
        <v>24</v>
      </c>
      <c r="AA27" s="1890"/>
      <c r="AB27" s="1890"/>
      <c r="AC27" s="1890"/>
      <c r="AD27" s="1371" t="b">
        <f t="shared" si="0"/>
        <v>0</v>
      </c>
    </row>
    <row r="28" spans="1:30" ht="30" customHeight="1" x14ac:dyDescent="0.35">
      <c r="A28" s="1010">
        <v>43</v>
      </c>
      <c r="B28" s="1556">
        <v>5191421043</v>
      </c>
      <c r="C28" s="1563">
        <v>2</v>
      </c>
      <c r="D28" s="1371">
        <v>1</v>
      </c>
      <c r="E28" s="1561">
        <v>2</v>
      </c>
      <c r="F28" s="1557"/>
      <c r="G28" s="1371"/>
      <c r="H28" s="1568">
        <v>6</v>
      </c>
      <c r="I28" s="1568">
        <v>6</v>
      </c>
      <c r="J28" s="1557">
        <v>6</v>
      </c>
      <c r="K28" s="1371">
        <v>3</v>
      </c>
      <c r="L28" s="1372"/>
      <c r="M28" s="1372"/>
      <c r="N28" s="1887">
        <v>26</v>
      </c>
      <c r="O28" s="1563">
        <v>2</v>
      </c>
      <c r="P28" s="1371"/>
      <c r="Q28" s="1583">
        <v>2</v>
      </c>
      <c r="R28" s="1557"/>
      <c r="S28" s="1371"/>
      <c r="T28" s="1395">
        <v>6</v>
      </c>
      <c r="U28" s="1010"/>
      <c r="V28" s="1889"/>
      <c r="W28" s="1557"/>
      <c r="X28" s="1568">
        <v>6</v>
      </c>
      <c r="Y28" s="1568">
        <v>2</v>
      </c>
      <c r="Z28" s="1887">
        <v>18</v>
      </c>
      <c r="AA28" s="1890"/>
      <c r="AB28" s="1890"/>
      <c r="AC28" s="1890"/>
      <c r="AD28" s="1371" t="b">
        <f t="shared" si="0"/>
        <v>0</v>
      </c>
    </row>
    <row r="29" spans="1:30" ht="30" customHeight="1" x14ac:dyDescent="0.35">
      <c r="A29" s="1010">
        <v>47</v>
      </c>
      <c r="B29" s="1556">
        <v>5191421047</v>
      </c>
      <c r="C29" s="1563"/>
      <c r="D29" s="1371"/>
      <c r="E29" s="1561"/>
      <c r="F29" s="1557"/>
      <c r="G29" s="1371"/>
      <c r="H29" s="1568"/>
      <c r="I29" s="1568"/>
      <c r="J29" s="1557"/>
      <c r="K29" s="1371"/>
      <c r="L29" s="1372"/>
      <c r="M29" s="1372"/>
      <c r="N29" s="1887"/>
      <c r="O29" s="1563">
        <v>2</v>
      </c>
      <c r="P29" s="1371">
        <v>2</v>
      </c>
      <c r="Q29" s="1583">
        <v>2</v>
      </c>
      <c r="R29" s="1557"/>
      <c r="S29" s="1371"/>
      <c r="T29" s="1395">
        <v>2</v>
      </c>
      <c r="U29" s="1010">
        <v>0</v>
      </c>
      <c r="V29" s="1889">
        <v>0</v>
      </c>
      <c r="W29" s="1557">
        <v>2</v>
      </c>
      <c r="X29" s="1568"/>
      <c r="Y29" s="1568"/>
      <c r="Z29" s="1887">
        <v>10</v>
      </c>
      <c r="AA29" s="1890"/>
      <c r="AB29" s="1890"/>
      <c r="AC29" s="1890"/>
      <c r="AD29" s="1371" t="b">
        <f t="shared" si="0"/>
        <v>0</v>
      </c>
    </row>
    <row r="30" spans="1:30" ht="30" customHeight="1" x14ac:dyDescent="0.35">
      <c r="A30" s="1010">
        <v>49</v>
      </c>
      <c r="B30" s="1556">
        <v>5191421049</v>
      </c>
      <c r="C30" s="1563"/>
      <c r="D30" s="1371"/>
      <c r="E30" s="1561"/>
      <c r="F30" s="1557"/>
      <c r="G30" s="1371"/>
      <c r="H30" s="1568"/>
      <c r="I30" s="1568"/>
      <c r="J30" s="1557"/>
      <c r="K30" s="1371"/>
      <c r="L30" s="1372"/>
      <c r="M30" s="1372"/>
      <c r="N30" s="1887"/>
      <c r="O30" s="1563">
        <v>2</v>
      </c>
      <c r="P30" s="1371">
        <v>2</v>
      </c>
      <c r="Q30" s="1583">
        <v>2</v>
      </c>
      <c r="R30" s="1557">
        <v>5</v>
      </c>
      <c r="S30" s="1371">
        <v>5</v>
      </c>
      <c r="T30" s="1395"/>
      <c r="U30" s="1010"/>
      <c r="V30" s="1889">
        <v>5</v>
      </c>
      <c r="W30" s="1557">
        <v>4</v>
      </c>
      <c r="X30" s="1568"/>
      <c r="Y30" s="1568"/>
      <c r="Z30" s="1887">
        <v>25</v>
      </c>
      <c r="AA30" s="1890"/>
      <c r="AB30" s="1890"/>
      <c r="AC30" s="1890"/>
      <c r="AD30" s="1371" t="b">
        <f t="shared" si="0"/>
        <v>0</v>
      </c>
    </row>
    <row r="31" spans="1:30" ht="30" customHeight="1" x14ac:dyDescent="0.35">
      <c r="A31" s="1010">
        <v>50</v>
      </c>
      <c r="B31" s="1556">
        <v>5191421050</v>
      </c>
      <c r="C31" s="1563">
        <v>2</v>
      </c>
      <c r="D31" s="1371">
        <v>1</v>
      </c>
      <c r="E31" s="1561">
        <v>2</v>
      </c>
      <c r="F31" s="1557"/>
      <c r="G31" s="1371"/>
      <c r="H31" s="1568">
        <v>3</v>
      </c>
      <c r="I31" s="1568">
        <v>5</v>
      </c>
      <c r="J31" s="1557">
        <v>2</v>
      </c>
      <c r="K31" s="1371"/>
      <c r="L31" s="1372"/>
      <c r="M31" s="1372"/>
      <c r="N31" s="1887">
        <v>15</v>
      </c>
      <c r="O31" s="1563">
        <v>2</v>
      </c>
      <c r="P31" s="1371">
        <v>2</v>
      </c>
      <c r="Q31" s="1583">
        <v>2</v>
      </c>
      <c r="R31" s="1557">
        <v>2</v>
      </c>
      <c r="S31" s="1371">
        <v>4</v>
      </c>
      <c r="T31" s="1395"/>
      <c r="U31" s="1010"/>
      <c r="V31" s="1889">
        <v>3</v>
      </c>
      <c r="W31" s="1557"/>
      <c r="X31" s="1568"/>
      <c r="Y31" s="1568"/>
      <c r="Z31" s="1887">
        <v>15</v>
      </c>
      <c r="AA31" s="1890"/>
      <c r="AB31" s="1890"/>
      <c r="AC31" s="1890"/>
      <c r="AD31" s="1371" t="b">
        <f t="shared" si="0"/>
        <v>0</v>
      </c>
    </row>
    <row r="32" spans="1:30" ht="30" customHeight="1" x14ac:dyDescent="0.35">
      <c r="A32" s="1010">
        <v>51</v>
      </c>
      <c r="B32" s="1556">
        <v>5191421051</v>
      </c>
      <c r="C32" s="1908">
        <v>2</v>
      </c>
      <c r="D32" s="1897">
        <v>2</v>
      </c>
      <c r="E32" s="1894">
        <v>2</v>
      </c>
      <c r="F32" s="1896">
        <v>5</v>
      </c>
      <c r="G32" s="1371">
        <v>6</v>
      </c>
      <c r="H32" s="1895"/>
      <c r="I32" s="1895"/>
      <c r="J32" s="1896">
        <v>6</v>
      </c>
      <c r="K32" s="1897">
        <v>4</v>
      </c>
      <c r="L32" s="1372"/>
      <c r="M32" s="1372"/>
      <c r="N32" s="1887">
        <v>27</v>
      </c>
      <c r="O32" s="1908">
        <v>2</v>
      </c>
      <c r="P32" s="1897">
        <v>2</v>
      </c>
      <c r="Q32" s="1909">
        <v>1</v>
      </c>
      <c r="R32" s="1896"/>
      <c r="S32" s="1371"/>
      <c r="T32" s="1395">
        <v>6</v>
      </c>
      <c r="U32" s="1010">
        <v>5</v>
      </c>
      <c r="V32" s="1900">
        <v>5</v>
      </c>
      <c r="W32" s="1896">
        <v>5</v>
      </c>
      <c r="X32" s="1895"/>
      <c r="Y32" s="1568"/>
      <c r="Z32" s="1887">
        <v>26</v>
      </c>
      <c r="AA32" s="1890"/>
      <c r="AB32" s="1890"/>
      <c r="AC32" s="1890"/>
      <c r="AD32" s="1371" t="b">
        <f t="shared" si="0"/>
        <v>0</v>
      </c>
    </row>
    <row r="33" spans="1:30" ht="30" customHeight="1" x14ac:dyDescent="0.35">
      <c r="A33" s="1010">
        <v>55</v>
      </c>
      <c r="B33" s="1556">
        <v>5191421055</v>
      </c>
      <c r="C33" s="1563">
        <v>2</v>
      </c>
      <c r="D33" s="1371">
        <v>1</v>
      </c>
      <c r="E33" s="1561">
        <v>2</v>
      </c>
      <c r="F33" s="1557">
        <v>6</v>
      </c>
      <c r="G33" s="1371">
        <v>6</v>
      </c>
      <c r="H33" s="1568"/>
      <c r="I33" s="1568"/>
      <c r="J33" s="1557"/>
      <c r="K33" s="1371"/>
      <c r="L33" s="1372">
        <v>4</v>
      </c>
      <c r="M33" s="1372">
        <v>2</v>
      </c>
      <c r="N33" s="1910">
        <v>23</v>
      </c>
      <c r="O33" s="1908">
        <v>2</v>
      </c>
      <c r="P33" s="1897">
        <v>1</v>
      </c>
      <c r="Q33" s="1909">
        <v>2</v>
      </c>
      <c r="R33" s="1896">
        <v>5</v>
      </c>
      <c r="S33" s="1371">
        <v>4</v>
      </c>
      <c r="T33" s="1395"/>
      <c r="U33" s="1010"/>
      <c r="V33" s="1900">
        <v>6</v>
      </c>
      <c r="W33" s="1896"/>
      <c r="X33" s="1895"/>
      <c r="Y33" s="1568"/>
      <c r="Z33" s="1887">
        <v>20</v>
      </c>
      <c r="AA33" s="1890"/>
      <c r="AB33" s="1890"/>
      <c r="AC33" s="1890"/>
      <c r="AD33" s="1371"/>
    </row>
    <row r="34" spans="1:30" ht="30" customHeight="1" x14ac:dyDescent="0.3">
      <c r="A34" s="3886" t="s">
        <v>34</v>
      </c>
      <c r="B34" s="3888">
        <v>55</v>
      </c>
      <c r="C34" s="1394">
        <f t="shared" ref="C34:M34" si="1">COUNT(C11:C33)</f>
        <v>19</v>
      </c>
      <c r="D34" s="1394">
        <f t="shared" si="1"/>
        <v>19</v>
      </c>
      <c r="E34" s="1394">
        <f t="shared" si="1"/>
        <v>17</v>
      </c>
      <c r="F34" s="1394">
        <f t="shared" si="1"/>
        <v>5</v>
      </c>
      <c r="G34" s="1394">
        <f t="shared" si="1"/>
        <v>4</v>
      </c>
      <c r="H34" s="1394">
        <f t="shared" si="1"/>
        <v>15</v>
      </c>
      <c r="I34" s="1394">
        <f t="shared" si="1"/>
        <v>16</v>
      </c>
      <c r="J34" s="1394">
        <f t="shared" si="1"/>
        <v>9</v>
      </c>
      <c r="K34" s="1394">
        <f t="shared" si="1"/>
        <v>7</v>
      </c>
      <c r="L34" s="1394">
        <f t="shared" si="1"/>
        <v>11</v>
      </c>
      <c r="M34" s="1394">
        <f t="shared" si="1"/>
        <v>8</v>
      </c>
      <c r="N34" s="1394"/>
      <c r="O34" s="1394">
        <f t="shared" ref="O34:Y34" si="2">COUNT(O10:O33)</f>
        <v>24</v>
      </c>
      <c r="P34" s="1394">
        <f t="shared" si="2"/>
        <v>19</v>
      </c>
      <c r="Q34" s="1394">
        <f t="shared" si="2"/>
        <v>21</v>
      </c>
      <c r="R34" s="1394">
        <f t="shared" si="2"/>
        <v>18</v>
      </c>
      <c r="S34" s="1394">
        <f t="shared" si="2"/>
        <v>17</v>
      </c>
      <c r="T34" s="1394">
        <f t="shared" si="2"/>
        <v>6</v>
      </c>
      <c r="U34" s="1394">
        <f t="shared" si="2"/>
        <v>5</v>
      </c>
      <c r="V34" s="1394">
        <f t="shared" si="2"/>
        <v>14</v>
      </c>
      <c r="W34" s="1394">
        <f t="shared" si="2"/>
        <v>11</v>
      </c>
      <c r="X34" s="1394">
        <f t="shared" si="2"/>
        <v>7</v>
      </c>
      <c r="Y34" s="1394">
        <f t="shared" si="2"/>
        <v>5</v>
      </c>
      <c r="Z34" s="1095"/>
    </row>
    <row r="35" spans="1:30" ht="41.25" customHeight="1" x14ac:dyDescent="0.3">
      <c r="A35" s="3887"/>
      <c r="B35" s="2635"/>
      <c r="C35" s="1609">
        <f>C9*(B34/100)</f>
        <v>1.1000000000000001</v>
      </c>
      <c r="D35" s="1609">
        <f>D9*(B34/100)</f>
        <v>1.1000000000000001</v>
      </c>
      <c r="E35" s="1609">
        <f t="shared" ref="E35:M35" si="3">E9*(C35/100)</f>
        <v>2.2000000000000002E-2</v>
      </c>
      <c r="F35" s="1609">
        <f t="shared" si="3"/>
        <v>6.6000000000000003E-2</v>
      </c>
      <c r="G35" s="1609">
        <f t="shared" si="3"/>
        <v>1.3200000000000002E-3</v>
      </c>
      <c r="H35" s="1609">
        <f t="shared" si="3"/>
        <v>3.96E-3</v>
      </c>
      <c r="I35" s="1609">
        <f t="shared" si="3"/>
        <v>7.9200000000000014E-5</v>
      </c>
      <c r="J35" s="1609">
        <f t="shared" si="3"/>
        <v>2.376E-4</v>
      </c>
      <c r="K35" s="1609">
        <f t="shared" si="3"/>
        <v>4.7520000000000004E-6</v>
      </c>
      <c r="L35" s="1609">
        <f t="shared" si="3"/>
        <v>1.4256E-5</v>
      </c>
      <c r="M35" s="1609">
        <f t="shared" si="3"/>
        <v>2.8512000000000005E-7</v>
      </c>
      <c r="N35" s="1394"/>
      <c r="O35" s="1609">
        <f>O9*(B34/100)</f>
        <v>1.1000000000000001</v>
      </c>
      <c r="P35" s="1609">
        <f>P9*(B34/100)</f>
        <v>1.1000000000000001</v>
      </c>
      <c r="Q35" s="1609">
        <f>Q9*(B34/100)</f>
        <v>1.1000000000000001</v>
      </c>
      <c r="R35" s="1609">
        <f>R9*(B34/100)</f>
        <v>3.3000000000000003</v>
      </c>
      <c r="S35" s="1609">
        <f>S9*(B34/100)</f>
        <v>3.3000000000000003</v>
      </c>
      <c r="T35" s="1609">
        <f>T9*(B34/100)</f>
        <v>3.3000000000000003</v>
      </c>
      <c r="U35" s="1609">
        <f>U9*(B34/100)</f>
        <v>3.3000000000000003</v>
      </c>
      <c r="V35" s="1609">
        <f>V9*(C35/100)</f>
        <v>6.6000000000000003E-2</v>
      </c>
      <c r="W35" s="1609">
        <f>W9*(D35/100)</f>
        <v>6.6000000000000003E-2</v>
      </c>
      <c r="X35" s="1609">
        <f>X9*(E35/100)</f>
        <v>1.3200000000000002E-3</v>
      </c>
      <c r="Y35" s="1609">
        <f>Y9*(F35/100)</f>
        <v>3.96E-3</v>
      </c>
      <c r="Z35" s="1095"/>
    </row>
    <row r="36" spans="1:30" ht="42.75" customHeight="1" x14ac:dyDescent="0.3">
      <c r="A36" s="2853" t="s">
        <v>35</v>
      </c>
      <c r="B36" s="2853"/>
      <c r="C36" s="1394">
        <f t="shared" ref="C36:M36" si="4">COUNTIF(C11:C33,"&gt;="&amp;C35)</f>
        <v>16</v>
      </c>
      <c r="D36" s="1394">
        <f t="shared" si="4"/>
        <v>1</v>
      </c>
      <c r="E36" s="1394">
        <f t="shared" si="4"/>
        <v>17</v>
      </c>
      <c r="F36" s="1394">
        <f t="shared" si="4"/>
        <v>5</v>
      </c>
      <c r="G36" s="1394">
        <f t="shared" si="4"/>
        <v>4</v>
      </c>
      <c r="H36" s="1394">
        <f t="shared" si="4"/>
        <v>14</v>
      </c>
      <c r="I36" s="1394">
        <f t="shared" si="4"/>
        <v>16</v>
      </c>
      <c r="J36" s="1394">
        <f t="shared" si="4"/>
        <v>9</v>
      </c>
      <c r="K36" s="1394">
        <f t="shared" si="4"/>
        <v>7</v>
      </c>
      <c r="L36" s="1394">
        <f t="shared" si="4"/>
        <v>11</v>
      </c>
      <c r="M36" s="1394">
        <f t="shared" si="4"/>
        <v>8</v>
      </c>
      <c r="N36" s="1394"/>
      <c r="O36" s="1394">
        <f t="shared" ref="O36:Y36" si="5">COUNTIF(O10:O32,"&gt;="&amp;O35)</f>
        <v>23</v>
      </c>
      <c r="P36" s="1394">
        <f t="shared" si="5"/>
        <v>12</v>
      </c>
      <c r="Q36" s="1394">
        <f t="shared" si="5"/>
        <v>12</v>
      </c>
      <c r="R36" s="1394">
        <f t="shared" si="5"/>
        <v>12</v>
      </c>
      <c r="S36" s="1394">
        <f t="shared" si="5"/>
        <v>11</v>
      </c>
      <c r="T36" s="1394">
        <f t="shared" si="5"/>
        <v>3</v>
      </c>
      <c r="U36" s="1394">
        <f t="shared" si="5"/>
        <v>3</v>
      </c>
      <c r="V36" s="1394">
        <f t="shared" si="5"/>
        <v>12</v>
      </c>
      <c r="W36" s="1394">
        <f t="shared" si="5"/>
        <v>11</v>
      </c>
      <c r="X36" s="1394">
        <f t="shared" si="5"/>
        <v>7</v>
      </c>
      <c r="Y36" s="1394">
        <f t="shared" si="5"/>
        <v>5</v>
      </c>
      <c r="Z36" s="1095"/>
      <c r="AD36" s="1394">
        <f>COUNTIF(AD10:AD33,"&gt;="&amp;B34)</f>
        <v>0</v>
      </c>
    </row>
    <row r="37" spans="1:30" ht="39.75" customHeight="1" x14ac:dyDescent="0.3">
      <c r="A37" s="2863" t="s">
        <v>36</v>
      </c>
      <c r="B37" s="2863"/>
      <c r="C37" s="1394">
        <f t="shared" ref="C37:Y37" si="6">C36/C34</f>
        <v>0.84210526315789469</v>
      </c>
      <c r="D37" s="1394">
        <f t="shared" si="6"/>
        <v>5.2631578947368418E-2</v>
      </c>
      <c r="E37" s="1394">
        <f t="shared" si="6"/>
        <v>1</v>
      </c>
      <c r="F37" s="1394">
        <f t="shared" si="6"/>
        <v>1</v>
      </c>
      <c r="G37" s="1394">
        <f t="shared" si="6"/>
        <v>1</v>
      </c>
      <c r="H37" s="1394">
        <f t="shared" si="6"/>
        <v>0.93333333333333335</v>
      </c>
      <c r="I37" s="1394">
        <f t="shared" si="6"/>
        <v>1</v>
      </c>
      <c r="J37" s="1394">
        <f t="shared" si="6"/>
        <v>1</v>
      </c>
      <c r="K37" s="1394">
        <f t="shared" si="6"/>
        <v>1</v>
      </c>
      <c r="L37" s="1394">
        <f t="shared" si="6"/>
        <v>1</v>
      </c>
      <c r="M37" s="1394">
        <f t="shared" si="6"/>
        <v>1</v>
      </c>
      <c r="N37" s="1394"/>
      <c r="O37" s="1394">
        <f t="shared" si="6"/>
        <v>0.95833333333333337</v>
      </c>
      <c r="P37" s="1394">
        <f t="shared" si="6"/>
        <v>0.63157894736842102</v>
      </c>
      <c r="Q37" s="1394">
        <f t="shared" si="6"/>
        <v>0.5714285714285714</v>
      </c>
      <c r="R37" s="1394">
        <f t="shared" si="6"/>
        <v>0.66666666666666663</v>
      </c>
      <c r="S37" s="1394">
        <f t="shared" si="6"/>
        <v>0.6470588235294118</v>
      </c>
      <c r="T37" s="1394">
        <f t="shared" si="6"/>
        <v>0.5</v>
      </c>
      <c r="U37" s="1394">
        <f t="shared" si="6"/>
        <v>0.6</v>
      </c>
      <c r="V37" s="1394">
        <f t="shared" si="6"/>
        <v>0.8571428571428571</v>
      </c>
      <c r="W37" s="1394">
        <f t="shared" si="6"/>
        <v>1</v>
      </c>
      <c r="X37" s="1394">
        <f t="shared" si="6"/>
        <v>1</v>
      </c>
      <c r="Y37" s="1394">
        <f t="shared" si="6"/>
        <v>1</v>
      </c>
      <c r="Z37" s="1095"/>
      <c r="AD37" s="1394" t="e">
        <f>(AD36/#REF!)*100</f>
        <v>#REF!</v>
      </c>
    </row>
    <row r="38" spans="1:30" ht="30" customHeight="1" x14ac:dyDescent="0.3">
      <c r="C38" s="1911"/>
      <c r="D38" s="1911"/>
      <c r="E38" s="1911"/>
      <c r="F38" s="1911"/>
      <c r="G38" s="1911"/>
      <c r="H38" s="1911"/>
      <c r="I38" s="1911"/>
      <c r="J38" s="1911"/>
      <c r="K38" s="1911"/>
      <c r="L38" s="1911"/>
      <c r="M38" s="1912"/>
      <c r="N38" s="1394"/>
      <c r="O38" s="1010"/>
      <c r="P38" s="1010"/>
      <c r="Q38" s="1010"/>
      <c r="R38" s="1010"/>
      <c r="S38" s="1010"/>
      <c r="T38" s="1010"/>
      <c r="U38" s="1010"/>
      <c r="V38" s="1010"/>
      <c r="W38" s="1010"/>
      <c r="X38" s="1010"/>
      <c r="Y38" s="1882"/>
      <c r="Z38" s="1394"/>
      <c r="AA38" s="1394"/>
    </row>
    <row r="40" spans="1:30" ht="30" customHeight="1" x14ac:dyDescent="0.3">
      <c r="D40" s="1011" t="s">
        <v>38</v>
      </c>
      <c r="E40" s="2635" t="s">
        <v>39</v>
      </c>
      <c r="F40" s="2635"/>
      <c r="G40" s="2635" t="s">
        <v>37</v>
      </c>
      <c r="H40" s="2635"/>
      <c r="I40" s="2635"/>
      <c r="J40" s="1114"/>
      <c r="K40" s="1011"/>
    </row>
    <row r="41" spans="1:30" ht="30" customHeight="1" x14ac:dyDescent="0.3">
      <c r="B41" s="1011" t="s">
        <v>22</v>
      </c>
      <c r="C41" s="1394">
        <v>100</v>
      </c>
      <c r="D41" s="1394">
        <v>2</v>
      </c>
      <c r="E41" s="3561">
        <v>2</v>
      </c>
      <c r="F41" s="3561"/>
      <c r="G41" s="1373">
        <f>(70/100)*E41+(30/100)*D41</f>
        <v>2</v>
      </c>
      <c r="H41" s="1373"/>
      <c r="I41" s="1373"/>
      <c r="J41" s="1373"/>
      <c r="K41" s="1373"/>
    </row>
    <row r="42" spans="1:30" ht="30" customHeight="1" x14ac:dyDescent="0.3">
      <c r="B42" s="1011" t="s">
        <v>40</v>
      </c>
      <c r="C42" s="1394">
        <f>AVERAGE(E37,F37,K37)*100</f>
        <v>100</v>
      </c>
      <c r="D42" s="1394">
        <f t="shared" ref="D42:D44" si="7">IF(C42&gt;=70,3,IF(AND(C42&gt;=60,C42&lt;70),2,IF(AND(C42&gt;=50,C42&lt;60),1)))</f>
        <v>3</v>
      </c>
      <c r="E42" s="3561">
        <v>2</v>
      </c>
      <c r="F42" s="3561"/>
      <c r="G42" s="1373">
        <f>(70/100)*E42+(30/100)*D42</f>
        <v>2.2999999999999998</v>
      </c>
      <c r="H42" s="1373"/>
      <c r="I42" s="1373"/>
      <c r="J42" s="1373"/>
      <c r="K42" s="1373"/>
    </row>
    <row r="43" spans="1:30" ht="30" customHeight="1" x14ac:dyDescent="0.3">
      <c r="B43" s="1011" t="s">
        <v>41</v>
      </c>
      <c r="C43" s="1394">
        <f>AVERAGE(G37,M37,O37,P37)*100</f>
        <v>89.747807017543863</v>
      </c>
      <c r="D43" s="1394">
        <f t="shared" si="7"/>
        <v>3</v>
      </c>
      <c r="E43" s="3561">
        <v>2</v>
      </c>
      <c r="F43" s="3561"/>
      <c r="G43" s="1373">
        <v>2.2000000000000002</v>
      </c>
      <c r="H43" s="1373"/>
      <c r="I43" s="1373"/>
      <c r="J43" s="1373"/>
      <c r="K43" s="1373"/>
    </row>
    <row r="44" spans="1:30" ht="30" customHeight="1" x14ac:dyDescent="0.3">
      <c r="B44" s="1011" t="s">
        <v>42</v>
      </c>
      <c r="C44" s="1394">
        <f>AVERAGE(Q37,T37)*100</f>
        <v>53.571428571428569</v>
      </c>
      <c r="D44" s="1394">
        <f t="shared" si="7"/>
        <v>1</v>
      </c>
      <c r="E44" s="3561">
        <v>2</v>
      </c>
      <c r="F44" s="3561"/>
      <c r="G44" s="1373">
        <f>(70/100)*E44+(30/100)*D44</f>
        <v>1.7</v>
      </c>
      <c r="H44" s="1373"/>
      <c r="I44" s="1373"/>
      <c r="J44" s="1373"/>
      <c r="K44" s="1373"/>
    </row>
    <row r="45" spans="1:30" ht="30" customHeight="1" x14ac:dyDescent="0.3">
      <c r="B45" s="2862" t="s">
        <v>44</v>
      </c>
      <c r="C45" s="2862"/>
      <c r="D45" s="2862"/>
      <c r="E45" s="2862"/>
      <c r="F45" s="2862"/>
      <c r="G45" s="1375">
        <f>AVERAGE(G41:G44)</f>
        <v>2.0499999999999998</v>
      </c>
      <c r="H45" s="1375"/>
      <c r="I45" s="1375"/>
      <c r="J45" s="1375"/>
      <c r="K45" s="1375"/>
    </row>
    <row r="47" spans="1:30" ht="30" customHeight="1" x14ac:dyDescent="0.3">
      <c r="A47" s="2862" t="s">
        <v>134</v>
      </c>
      <c r="B47" s="2862"/>
    </row>
    <row r="49" spans="1:26" ht="30" customHeight="1" x14ac:dyDescent="0.3">
      <c r="B49" s="1376" t="s">
        <v>45</v>
      </c>
      <c r="C49" s="1913" t="s">
        <v>68</v>
      </c>
      <c r="D49" s="1913" t="s">
        <v>69</v>
      </c>
      <c r="E49" s="1913" t="s">
        <v>70</v>
      </c>
      <c r="F49" s="1913" t="s">
        <v>71</v>
      </c>
      <c r="G49" s="1913" t="s">
        <v>72</v>
      </c>
      <c r="H49" s="1913"/>
      <c r="I49" s="1913" t="s">
        <v>73</v>
      </c>
      <c r="J49" s="1913" t="s">
        <v>74</v>
      </c>
      <c r="K49" s="1914" t="s">
        <v>75</v>
      </c>
      <c r="L49" s="1913" t="s">
        <v>76</v>
      </c>
      <c r="M49" s="1913" t="s">
        <v>77</v>
      </c>
      <c r="N49" s="1913" t="s">
        <v>78</v>
      </c>
      <c r="O49" s="1913" t="s">
        <v>79</v>
      </c>
      <c r="U49" s="1370"/>
      <c r="V49" s="1370"/>
      <c r="Z49" s="1095"/>
    </row>
    <row r="50" spans="1:26" ht="30" customHeight="1" x14ac:dyDescent="0.3">
      <c r="B50" s="1379" t="s">
        <v>20</v>
      </c>
      <c r="C50" s="1380">
        <v>3</v>
      </c>
      <c r="D50" s="1380">
        <v>3</v>
      </c>
      <c r="E50" s="1380">
        <v>2</v>
      </c>
      <c r="F50" s="1380">
        <v>1</v>
      </c>
      <c r="G50" s="1380">
        <v>2</v>
      </c>
      <c r="H50" s="1380"/>
      <c r="I50" s="1380"/>
      <c r="J50" s="1380"/>
      <c r="K50" s="1380"/>
      <c r="L50" s="1380"/>
      <c r="M50" s="1380"/>
      <c r="N50" s="1380"/>
      <c r="O50" s="1380">
        <v>2</v>
      </c>
      <c r="U50" s="1370"/>
      <c r="V50" s="1370"/>
      <c r="Z50" s="1095"/>
    </row>
    <row r="51" spans="1:26" ht="30" customHeight="1" x14ac:dyDescent="0.3">
      <c r="B51" s="1379" t="s">
        <v>21</v>
      </c>
      <c r="C51" s="1380">
        <v>2</v>
      </c>
      <c r="D51" s="1380">
        <v>3</v>
      </c>
      <c r="E51" s="1380">
        <v>3</v>
      </c>
      <c r="F51" s="1380">
        <v>1</v>
      </c>
      <c r="G51" s="1380">
        <v>3</v>
      </c>
      <c r="H51" s="1380"/>
      <c r="I51" s="1380">
        <v>1</v>
      </c>
      <c r="J51" s="1380"/>
      <c r="K51" s="1380"/>
      <c r="L51" s="1380"/>
      <c r="M51" s="1380"/>
      <c r="N51" s="1380"/>
      <c r="O51" s="1380">
        <v>2</v>
      </c>
      <c r="U51" s="1370"/>
      <c r="V51" s="1370"/>
      <c r="Z51" s="1095"/>
    </row>
    <row r="52" spans="1:26" ht="30" customHeight="1" x14ac:dyDescent="0.3">
      <c r="B52" s="1379" t="s">
        <v>23</v>
      </c>
      <c r="C52" s="1380">
        <v>3</v>
      </c>
      <c r="D52" s="1380">
        <v>3</v>
      </c>
      <c r="E52" s="1380">
        <v>3</v>
      </c>
      <c r="F52" s="1380">
        <v>1</v>
      </c>
      <c r="G52" s="1380">
        <v>3</v>
      </c>
      <c r="H52" s="1380"/>
      <c r="I52" s="1380">
        <v>3</v>
      </c>
      <c r="J52" s="1380"/>
      <c r="K52" s="1380"/>
      <c r="L52" s="1380"/>
      <c r="M52" s="1380"/>
      <c r="N52" s="1380"/>
      <c r="O52" s="1380">
        <v>2</v>
      </c>
      <c r="U52" s="1370"/>
      <c r="V52" s="1370"/>
      <c r="Z52" s="1095"/>
    </row>
    <row r="53" spans="1:26" ht="30" customHeight="1" x14ac:dyDescent="0.3">
      <c r="B53" s="1379" t="s">
        <v>25</v>
      </c>
      <c r="C53" s="1380">
        <v>2</v>
      </c>
      <c r="D53" s="1380">
        <v>2</v>
      </c>
      <c r="E53" s="1380">
        <v>3</v>
      </c>
      <c r="F53" s="1380">
        <v>1</v>
      </c>
      <c r="G53" s="1380">
        <v>1</v>
      </c>
      <c r="H53" s="1380"/>
      <c r="I53" s="1380"/>
      <c r="J53" s="1380"/>
      <c r="K53" s="1380"/>
      <c r="L53" s="1380"/>
      <c r="M53" s="1380"/>
      <c r="N53" s="1380"/>
      <c r="O53" s="1380">
        <v>2</v>
      </c>
      <c r="U53" s="1370"/>
      <c r="V53" s="1370"/>
      <c r="Z53" s="1095"/>
    </row>
    <row r="54" spans="1:26" ht="30" customHeight="1" x14ac:dyDescent="0.3">
      <c r="B54" s="1915" t="s">
        <v>10</v>
      </c>
      <c r="C54" s="1916">
        <f t="shared" ref="C54:I54" si="8">AVERAGE(C50:C53)</f>
        <v>2.5</v>
      </c>
      <c r="D54" s="1916">
        <f t="shared" si="8"/>
        <v>2.75</v>
      </c>
      <c r="E54" s="1916">
        <f t="shared" si="8"/>
        <v>2.75</v>
      </c>
      <c r="F54" s="1916">
        <f t="shared" si="8"/>
        <v>1</v>
      </c>
      <c r="G54" s="1916">
        <f t="shared" si="8"/>
        <v>2.25</v>
      </c>
      <c r="H54" s="1916"/>
      <c r="I54" s="1916">
        <f t="shared" si="8"/>
        <v>2</v>
      </c>
      <c r="J54" s="1916"/>
      <c r="K54" s="1916"/>
      <c r="L54" s="1916"/>
      <c r="M54" s="1916"/>
      <c r="N54" s="1916"/>
      <c r="O54" s="1916">
        <f>AVERAGE(O50:O53)</f>
        <v>2</v>
      </c>
      <c r="U54" s="1370"/>
      <c r="V54" s="1370"/>
      <c r="Z54" s="1095"/>
    </row>
    <row r="55" spans="1:26" ht="30" customHeight="1" x14ac:dyDescent="0.3">
      <c r="B55" s="1381" t="s">
        <v>58</v>
      </c>
      <c r="C55" s="3679">
        <f>AVERAGE(C54:O54)</f>
        <v>2.1785714285714284</v>
      </c>
      <c r="D55" s="3563"/>
      <c r="E55" s="3563"/>
      <c r="F55" s="3563"/>
      <c r="G55" s="3563"/>
      <c r="H55" s="3563"/>
      <c r="I55" s="3563"/>
      <c r="J55" s="3563"/>
      <c r="K55" s="3563"/>
      <c r="L55" s="3563"/>
      <c r="M55" s="3563"/>
      <c r="N55" s="3563"/>
      <c r="O55" s="3680"/>
      <c r="P55" s="1072"/>
      <c r="Q55" s="1072"/>
      <c r="R55" s="1072"/>
    </row>
    <row r="56" spans="1:26" ht="30" customHeight="1" x14ac:dyDescent="0.3">
      <c r="C56" s="1383"/>
    </row>
    <row r="58" spans="1:26" ht="30" customHeight="1" x14ac:dyDescent="0.3">
      <c r="A58" s="2862" t="s">
        <v>148</v>
      </c>
      <c r="B58" s="2862"/>
    </row>
    <row r="60" spans="1:26" ht="30" customHeight="1" x14ac:dyDescent="0.3">
      <c r="B60" s="1376" t="s">
        <v>45</v>
      </c>
      <c r="C60" s="1913" t="s">
        <v>68</v>
      </c>
      <c r="D60" s="1913" t="s">
        <v>69</v>
      </c>
      <c r="E60" s="1913" t="s">
        <v>70</v>
      </c>
      <c r="F60" s="1913" t="s">
        <v>71</v>
      </c>
      <c r="G60" s="1913" t="s">
        <v>72</v>
      </c>
      <c r="H60" s="1913" t="s">
        <v>73</v>
      </c>
      <c r="I60" s="1913" t="s">
        <v>74</v>
      </c>
      <c r="J60" s="1914" t="s">
        <v>75</v>
      </c>
      <c r="K60" s="1913" t="s">
        <v>76</v>
      </c>
      <c r="L60" s="1913" t="s">
        <v>77</v>
      </c>
      <c r="M60" s="1913" t="s">
        <v>78</v>
      </c>
      <c r="N60" s="1913" t="s">
        <v>79</v>
      </c>
      <c r="T60" s="1370"/>
      <c r="U60" s="1370"/>
      <c r="Z60" s="1095"/>
    </row>
    <row r="61" spans="1:26" ht="30" customHeight="1" x14ac:dyDescent="0.3">
      <c r="B61" s="1379" t="s">
        <v>20</v>
      </c>
      <c r="C61" s="1384">
        <f>C50*G41/3</f>
        <v>2</v>
      </c>
      <c r="D61" s="1384">
        <f>D50*G41/3</f>
        <v>2</v>
      </c>
      <c r="E61" s="1384">
        <f>E50*G41/3</f>
        <v>1.3333333333333333</v>
      </c>
      <c r="F61" s="1384">
        <f>F50*G41/3</f>
        <v>0.66666666666666663</v>
      </c>
      <c r="G61" s="1384">
        <f>G50*G41/3</f>
        <v>1.3333333333333333</v>
      </c>
      <c r="H61" s="1384"/>
      <c r="I61" s="1384"/>
      <c r="J61" s="1384"/>
      <c r="K61" s="1384"/>
      <c r="L61" s="1384"/>
      <c r="M61" s="1384"/>
      <c r="N61" s="1384">
        <f>G41*O50/3</f>
        <v>1.3333333333333333</v>
      </c>
      <c r="T61" s="1370"/>
      <c r="U61" s="1370"/>
      <c r="Z61" s="1095"/>
    </row>
    <row r="62" spans="1:26" ht="30" customHeight="1" x14ac:dyDescent="0.3">
      <c r="B62" s="1379" t="s">
        <v>21</v>
      </c>
      <c r="C62" s="1384">
        <f t="shared" ref="C62:C64" si="9">C51*G42/3</f>
        <v>1.5333333333333332</v>
      </c>
      <c r="D62" s="1384">
        <f t="shared" ref="D62:D64" si="10">D51*G42/3</f>
        <v>2.2999999999999998</v>
      </c>
      <c r="E62" s="1384">
        <f t="shared" ref="E62:E64" si="11">E51*G42/3</f>
        <v>2.2999999999999998</v>
      </c>
      <c r="F62" s="1384">
        <f t="shared" ref="F62:F64" si="12">F51*G42/3</f>
        <v>0.76666666666666661</v>
      </c>
      <c r="G62" s="1384">
        <f t="shared" ref="G62:G64" si="13">G51*G42/3</f>
        <v>2.2999999999999998</v>
      </c>
      <c r="H62" s="1384">
        <f>I51*G42/3</f>
        <v>0.76666666666666661</v>
      </c>
      <c r="I62" s="1384"/>
      <c r="J62" s="1384"/>
      <c r="K62" s="1384"/>
      <c r="L62" s="1384"/>
      <c r="M62" s="1384"/>
      <c r="N62" s="1384">
        <f>G42*O51/3</f>
        <v>1.5333333333333332</v>
      </c>
      <c r="T62" s="1370"/>
      <c r="U62" s="1370"/>
      <c r="Z62" s="1095"/>
    </row>
    <row r="63" spans="1:26" ht="30" customHeight="1" x14ac:dyDescent="0.3">
      <c r="B63" s="1379" t="s">
        <v>23</v>
      </c>
      <c r="C63" s="1384">
        <f t="shared" si="9"/>
        <v>2.2000000000000002</v>
      </c>
      <c r="D63" s="1384">
        <f t="shared" si="10"/>
        <v>2.2000000000000002</v>
      </c>
      <c r="E63" s="1384">
        <f t="shared" si="11"/>
        <v>2.2000000000000002</v>
      </c>
      <c r="F63" s="1384">
        <f t="shared" si="12"/>
        <v>0.73333333333333339</v>
      </c>
      <c r="G63" s="1384">
        <f t="shared" si="13"/>
        <v>2.2000000000000002</v>
      </c>
      <c r="H63" s="1384">
        <f>I52*G43/3</f>
        <v>2.2000000000000002</v>
      </c>
      <c r="I63" s="1384"/>
      <c r="J63" s="1384"/>
      <c r="K63" s="1384"/>
      <c r="L63" s="1384"/>
      <c r="M63" s="1384"/>
      <c r="N63" s="1384">
        <f>G43*O52/3</f>
        <v>1.4666666666666668</v>
      </c>
      <c r="T63" s="1370"/>
      <c r="U63" s="1370"/>
      <c r="Z63" s="1095"/>
    </row>
    <row r="64" spans="1:26" ht="30" customHeight="1" x14ac:dyDescent="0.3">
      <c r="B64" s="1379" t="s">
        <v>25</v>
      </c>
      <c r="C64" s="1384">
        <f t="shared" si="9"/>
        <v>1.1333333333333333</v>
      </c>
      <c r="D64" s="1384">
        <f t="shared" si="10"/>
        <v>1.1333333333333333</v>
      </c>
      <c r="E64" s="1384">
        <f t="shared" si="11"/>
        <v>1.7</v>
      </c>
      <c r="F64" s="1384">
        <f t="shared" si="12"/>
        <v>0.56666666666666665</v>
      </c>
      <c r="G64" s="1384">
        <f t="shared" si="13"/>
        <v>0.56666666666666665</v>
      </c>
      <c r="H64" s="1384"/>
      <c r="I64" s="1384"/>
      <c r="J64" s="1384"/>
      <c r="K64" s="1384"/>
      <c r="L64" s="1384"/>
      <c r="M64" s="1384"/>
      <c r="N64" s="1384">
        <f>G44*O53/3</f>
        <v>1.1333333333333333</v>
      </c>
      <c r="T64" s="1370"/>
      <c r="U64" s="1370"/>
      <c r="Z64" s="1095"/>
    </row>
    <row r="65" spans="1:26" ht="30" customHeight="1" x14ac:dyDescent="0.3">
      <c r="B65" s="1915" t="s">
        <v>10</v>
      </c>
      <c r="C65" s="1621">
        <f t="shared" ref="C65:N65" si="14">AVERAGE(C61:C64)</f>
        <v>1.7166666666666668</v>
      </c>
      <c r="D65" s="1621">
        <f t="shared" si="14"/>
        <v>1.9083333333333332</v>
      </c>
      <c r="E65" s="1621">
        <f t="shared" si="14"/>
        <v>1.8833333333333333</v>
      </c>
      <c r="F65" s="1621">
        <f t="shared" si="14"/>
        <v>0.68333333333333335</v>
      </c>
      <c r="G65" s="1621">
        <f t="shared" si="14"/>
        <v>1.5999999999999999</v>
      </c>
      <c r="H65" s="1621">
        <f t="shared" si="14"/>
        <v>1.4833333333333334</v>
      </c>
      <c r="I65" s="1621"/>
      <c r="J65" s="1621"/>
      <c r="K65" s="1621"/>
      <c r="L65" s="1621"/>
      <c r="M65" s="1621"/>
      <c r="N65" s="1621">
        <f t="shared" si="14"/>
        <v>1.3666666666666667</v>
      </c>
      <c r="T65" s="1370"/>
      <c r="U65" s="1370"/>
      <c r="Z65" s="1095"/>
    </row>
    <row r="66" spans="1:26" ht="30" customHeight="1" x14ac:dyDescent="0.3">
      <c r="B66" s="1381" t="s">
        <v>58</v>
      </c>
      <c r="C66" s="3883">
        <f>AVERAGE(C65:N65)</f>
        <v>1.5202380952380952</v>
      </c>
      <c r="D66" s="3565"/>
      <c r="E66" s="3565"/>
      <c r="F66" s="3565"/>
      <c r="G66" s="3565"/>
      <c r="H66" s="3565"/>
      <c r="I66" s="3565"/>
      <c r="J66" s="3565"/>
      <c r="K66" s="3565"/>
      <c r="L66" s="3565"/>
      <c r="M66" s="3565"/>
      <c r="N66" s="3565"/>
      <c r="O66" s="3884"/>
      <c r="P66" s="1069"/>
      <c r="Q66" s="1069"/>
      <c r="R66" s="1069"/>
    </row>
    <row r="68" spans="1:26" ht="30" customHeight="1" x14ac:dyDescent="0.3">
      <c r="A68" s="2862" t="s">
        <v>137</v>
      </c>
      <c r="B68" s="2862"/>
      <c r="C68" s="1375"/>
      <c r="D68" s="1375"/>
      <c r="L68" s="2862" t="s">
        <v>149</v>
      </c>
      <c r="M68" s="2862"/>
      <c r="N68" s="2862"/>
      <c r="O68" s="1375"/>
      <c r="P68" s="1375"/>
    </row>
    <row r="69" spans="1:26" ht="30" customHeight="1" x14ac:dyDescent="0.3">
      <c r="A69" s="1386"/>
      <c r="B69" s="1386"/>
      <c r="C69" s="1375"/>
      <c r="D69" s="1375"/>
      <c r="L69" s="1386"/>
      <c r="M69" s="1386"/>
      <c r="N69" s="1387"/>
      <c r="O69" s="1375"/>
      <c r="P69" s="1375"/>
    </row>
    <row r="70" spans="1:26" ht="30" customHeight="1" x14ac:dyDescent="0.3">
      <c r="B70" s="1376" t="s">
        <v>59</v>
      </c>
      <c r="C70" s="1913" t="s">
        <v>60</v>
      </c>
      <c r="D70" s="1913" t="s">
        <v>61</v>
      </c>
      <c r="E70" s="1913" t="s">
        <v>62</v>
      </c>
      <c r="N70" s="1388" t="s">
        <v>59</v>
      </c>
      <c r="O70" s="1913" t="s">
        <v>60</v>
      </c>
      <c r="P70" s="1913" t="s">
        <v>61</v>
      </c>
      <c r="Q70" s="1913" t="s">
        <v>62</v>
      </c>
    </row>
    <row r="71" spans="1:26" ht="30" customHeight="1" x14ac:dyDescent="0.3">
      <c r="B71" s="1389" t="s">
        <v>20</v>
      </c>
      <c r="C71" s="1380">
        <v>3</v>
      </c>
      <c r="D71" s="1380">
        <v>2</v>
      </c>
      <c r="E71" s="1380"/>
      <c r="N71" s="1390" t="s">
        <v>20</v>
      </c>
      <c r="O71" s="1384">
        <f>G41*C71/3</f>
        <v>2</v>
      </c>
      <c r="P71" s="1384">
        <f>D71*G41/3</f>
        <v>1.3333333333333333</v>
      </c>
      <c r="Q71" s="1384"/>
    </row>
    <row r="72" spans="1:26" ht="30" customHeight="1" x14ac:dyDescent="0.3">
      <c r="B72" s="1379" t="s">
        <v>21</v>
      </c>
      <c r="C72" s="1380">
        <v>2</v>
      </c>
      <c r="D72" s="1380">
        <v>3</v>
      </c>
      <c r="E72" s="1380">
        <v>1</v>
      </c>
      <c r="N72" s="1391" t="s">
        <v>21</v>
      </c>
      <c r="O72" s="1384">
        <f t="shared" ref="O72:O74" si="15">G42*C72/3</f>
        <v>1.5333333333333332</v>
      </c>
      <c r="P72" s="1384">
        <f t="shared" ref="P72:P74" si="16">D72*G42/3</f>
        <v>2.2999999999999998</v>
      </c>
      <c r="Q72" s="1384">
        <f t="shared" ref="Q72:Q73" si="17">E72*G42/3</f>
        <v>0.76666666666666661</v>
      </c>
    </row>
    <row r="73" spans="1:26" ht="30" customHeight="1" x14ac:dyDescent="0.3">
      <c r="B73" s="1379" t="s">
        <v>23</v>
      </c>
      <c r="C73" s="1380">
        <v>3</v>
      </c>
      <c r="D73" s="1380">
        <v>3</v>
      </c>
      <c r="E73" s="1380">
        <v>1</v>
      </c>
      <c r="N73" s="1391" t="s">
        <v>23</v>
      </c>
      <c r="O73" s="1384">
        <f t="shared" si="15"/>
        <v>2.2000000000000002</v>
      </c>
      <c r="P73" s="1384">
        <f t="shared" si="16"/>
        <v>2.2000000000000002</v>
      </c>
      <c r="Q73" s="1384">
        <f t="shared" si="17"/>
        <v>0.73333333333333339</v>
      </c>
    </row>
    <row r="74" spans="1:26" ht="30" customHeight="1" x14ac:dyDescent="0.3">
      <c r="B74" s="1379" t="s">
        <v>25</v>
      </c>
      <c r="C74" s="1380">
        <v>2</v>
      </c>
      <c r="D74" s="1380">
        <v>2</v>
      </c>
      <c r="E74" s="1380"/>
      <c r="N74" s="1391" t="s">
        <v>25</v>
      </c>
      <c r="O74" s="1384">
        <f t="shared" si="15"/>
        <v>1.1333333333333333</v>
      </c>
      <c r="P74" s="1384">
        <f t="shared" si="16"/>
        <v>1.1333333333333333</v>
      </c>
      <c r="Q74" s="1384"/>
    </row>
    <row r="75" spans="1:26" ht="30" customHeight="1" x14ac:dyDescent="0.3">
      <c r="B75" s="1392" t="s">
        <v>10</v>
      </c>
      <c r="C75" s="1393">
        <f>AVERAGE(C71:C74)</f>
        <v>2.5</v>
      </c>
      <c r="D75" s="1393">
        <f>AVERAGE(D71:D74)</f>
        <v>2.5</v>
      </c>
      <c r="E75" s="1393">
        <f>AVERAGE(E71:E74)</f>
        <v>1</v>
      </c>
      <c r="N75" s="1623" t="s">
        <v>10</v>
      </c>
      <c r="O75" s="1384">
        <f>AVERAGE(O71:O74)</f>
        <v>1.7166666666666668</v>
      </c>
      <c r="P75" s="1384">
        <f>AVERAGE(P71:P74)</f>
        <v>1.7416666666666667</v>
      </c>
      <c r="Q75" s="1384">
        <f>AVERAGE(Q71:Q74)</f>
        <v>0.75</v>
      </c>
    </row>
    <row r="76" spans="1:26" ht="30" customHeight="1" x14ac:dyDescent="0.3">
      <c r="A76" s="1394"/>
      <c r="B76" s="1395" t="s">
        <v>58</v>
      </c>
      <c r="C76" s="3679">
        <f>AVERAGE(C75:E75)</f>
        <v>2</v>
      </c>
      <c r="D76" s="3563"/>
      <c r="E76" s="3680"/>
      <c r="F76" s="1394"/>
      <c r="G76" s="1394"/>
      <c r="H76" s="1394"/>
      <c r="I76" s="1394"/>
      <c r="J76" s="1394"/>
      <c r="K76" s="1394"/>
      <c r="L76" s="1394"/>
      <c r="M76" s="1394"/>
      <c r="N76" s="1396" t="s">
        <v>58</v>
      </c>
      <c r="O76" s="3679">
        <f>AVERAGE(O75:Q75)</f>
        <v>1.4027777777777779</v>
      </c>
      <c r="P76" s="3563"/>
      <c r="Q76" s="3680"/>
      <c r="R76" s="1394"/>
    </row>
    <row r="79" spans="1:26" ht="30" customHeight="1" x14ac:dyDescent="0.3">
      <c r="A79" s="3567"/>
      <c r="B79" s="3567"/>
      <c r="C79" s="3567"/>
      <c r="D79" s="3567"/>
      <c r="E79" s="3567"/>
      <c r="F79" s="3567"/>
      <c r="G79" s="3567"/>
      <c r="H79" s="3567"/>
      <c r="I79" s="3567"/>
      <c r="J79" s="3567"/>
      <c r="K79" s="3567"/>
      <c r="L79" s="3567"/>
      <c r="M79" s="3567"/>
      <c r="N79" s="3567"/>
      <c r="O79" s="3567"/>
      <c r="P79" s="3567"/>
      <c r="Q79" s="3567"/>
      <c r="R79" s="3567"/>
    </row>
    <row r="80" spans="1:26" ht="30" customHeight="1" x14ac:dyDescent="0.3">
      <c r="A80" s="1624"/>
      <c r="B80" s="1624"/>
      <c r="C80" s="1624"/>
      <c r="D80" s="1624"/>
      <c r="E80" s="1624"/>
      <c r="F80" s="1624"/>
      <c r="G80" s="1624"/>
      <c r="H80" s="1624"/>
      <c r="I80" s="1624"/>
      <c r="J80" s="1624"/>
      <c r="K80" s="1624"/>
      <c r="L80" s="1624"/>
      <c r="M80" s="1624"/>
      <c r="N80" s="1624"/>
      <c r="O80" s="1624"/>
      <c r="P80" s="1624"/>
      <c r="Q80" s="1624"/>
      <c r="R80" s="1624"/>
    </row>
    <row r="81" spans="1:18" ht="30" customHeight="1" x14ac:dyDescent="0.3">
      <c r="A81" s="3562"/>
      <c r="B81" s="3562"/>
      <c r="C81" s="3562"/>
      <c r="D81" s="3562"/>
      <c r="E81" s="3562"/>
      <c r="F81" s="3562"/>
      <c r="G81" s="3562"/>
      <c r="H81" s="3562"/>
      <c r="I81" s="3562"/>
      <c r="J81" s="3562"/>
      <c r="K81" s="3562"/>
      <c r="L81" s="3562"/>
      <c r="M81" s="3562"/>
      <c r="N81" s="3562"/>
      <c r="O81" s="3562"/>
      <c r="P81" s="3562"/>
      <c r="Q81" s="3562"/>
      <c r="R81" s="3562"/>
    </row>
    <row r="82" spans="1:18" ht="30" customHeight="1" x14ac:dyDescent="0.3">
      <c r="A82" s="3562"/>
      <c r="B82" s="3562"/>
      <c r="C82" s="3562"/>
      <c r="D82" s="3562"/>
      <c r="E82" s="3562"/>
      <c r="F82" s="3562"/>
      <c r="G82" s="3562"/>
      <c r="H82" s="3562"/>
      <c r="I82" s="3562"/>
      <c r="J82" s="3562"/>
      <c r="K82" s="3562"/>
      <c r="L82" s="3562"/>
      <c r="M82" s="3562"/>
      <c r="N82" s="3562"/>
      <c r="O82" s="3562"/>
      <c r="P82" s="3562"/>
      <c r="Q82" s="3562"/>
      <c r="R82" s="3562"/>
    </row>
    <row r="83" spans="1:18" ht="30" customHeight="1" x14ac:dyDescent="0.3">
      <c r="A83" s="3562"/>
      <c r="B83" s="3562"/>
      <c r="C83" s="3562"/>
      <c r="D83" s="3562"/>
      <c r="E83" s="3562"/>
      <c r="F83" s="3562"/>
      <c r="G83" s="3562"/>
      <c r="H83" s="3562"/>
      <c r="I83" s="3562"/>
      <c r="J83" s="3562"/>
      <c r="K83" s="3562"/>
      <c r="L83" s="3562"/>
      <c r="M83" s="3562"/>
      <c r="N83" s="3562"/>
      <c r="O83" s="3562"/>
      <c r="P83" s="3562"/>
      <c r="Q83" s="3562"/>
      <c r="R83" s="3562"/>
    </row>
    <row r="84" spans="1:18" ht="30" customHeight="1" x14ac:dyDescent="0.3">
      <c r="A84" s="3562"/>
      <c r="B84" s="3562"/>
      <c r="C84" s="3562"/>
      <c r="D84" s="3562"/>
      <c r="E84" s="3562"/>
      <c r="F84" s="3562"/>
      <c r="G84" s="3562"/>
      <c r="H84" s="3562"/>
      <c r="I84" s="3562"/>
      <c r="J84" s="3562"/>
      <c r="K84" s="3562"/>
      <c r="L84" s="3562"/>
      <c r="M84" s="3562"/>
      <c r="N84" s="3562"/>
      <c r="O84" s="3562"/>
      <c r="P84" s="3562"/>
      <c r="Q84" s="3562"/>
      <c r="R84" s="3562"/>
    </row>
    <row r="85" spans="1:18" ht="30" customHeight="1" x14ac:dyDescent="0.3">
      <c r="A85" s="3562"/>
      <c r="B85" s="3562"/>
      <c r="C85" s="3562"/>
      <c r="D85" s="3562"/>
      <c r="E85" s="3562"/>
      <c r="F85" s="3562"/>
      <c r="G85" s="3562"/>
      <c r="H85" s="3562"/>
      <c r="I85" s="3562"/>
      <c r="J85" s="3562"/>
      <c r="K85" s="3562"/>
      <c r="L85" s="3562"/>
      <c r="M85" s="3562"/>
      <c r="N85" s="3562"/>
      <c r="O85" s="3562"/>
      <c r="P85" s="3562"/>
      <c r="Q85" s="3562"/>
      <c r="R85" s="3562"/>
    </row>
    <row r="86" spans="1:18" ht="30" customHeight="1" x14ac:dyDescent="0.3">
      <c r="A86" s="3562"/>
      <c r="B86" s="3562"/>
      <c r="C86" s="3562"/>
      <c r="D86" s="3562"/>
      <c r="E86" s="3562"/>
      <c r="F86" s="3562"/>
      <c r="G86" s="3562"/>
      <c r="H86" s="3562"/>
      <c r="I86" s="3562"/>
      <c r="J86" s="3562"/>
      <c r="K86" s="3562"/>
      <c r="L86" s="3562"/>
      <c r="M86" s="3562"/>
      <c r="N86" s="3562"/>
      <c r="O86" s="3562"/>
      <c r="P86" s="3562"/>
      <c r="Q86" s="3562"/>
      <c r="R86" s="3562"/>
    </row>
    <row r="87" spans="1:18" ht="30" customHeight="1" x14ac:dyDescent="0.3">
      <c r="A87" s="3567"/>
      <c r="B87" s="3567"/>
      <c r="C87" s="3567"/>
      <c r="D87" s="3567"/>
      <c r="E87" s="3567"/>
      <c r="F87" s="3567"/>
      <c r="G87" s="3567"/>
      <c r="H87" s="3567"/>
      <c r="I87" s="3567"/>
      <c r="J87" s="3567"/>
      <c r="K87" s="3567"/>
      <c r="L87" s="3567"/>
      <c r="M87" s="3567"/>
      <c r="N87" s="3567"/>
      <c r="O87" s="3567"/>
      <c r="P87" s="3567"/>
      <c r="Q87" s="3567"/>
      <c r="R87" s="3567"/>
    </row>
    <row r="88" spans="1:18" ht="30" customHeight="1" x14ac:dyDescent="0.3">
      <c r="A88" s="3569"/>
      <c r="B88" s="3569"/>
      <c r="C88" s="3569"/>
      <c r="D88" s="3569"/>
      <c r="E88" s="3569"/>
      <c r="F88" s="3569"/>
      <c r="G88" s="3569"/>
      <c r="H88" s="3569"/>
      <c r="I88" s="3569"/>
      <c r="J88" s="3569"/>
      <c r="K88" s="3569"/>
      <c r="L88" s="3569"/>
      <c r="M88" s="3569"/>
      <c r="N88" s="3569"/>
      <c r="O88" s="3569"/>
      <c r="P88" s="3569"/>
      <c r="Q88" s="3569"/>
      <c r="R88" s="3569"/>
    </row>
    <row r="89" spans="1:18" ht="30" customHeight="1" x14ac:dyDescent="0.3">
      <c r="A89" s="3568"/>
      <c r="B89" s="3568"/>
      <c r="C89" s="3568"/>
      <c r="D89" s="3568"/>
      <c r="E89" s="3568"/>
      <c r="F89" s="3568"/>
      <c r="G89" s="3568"/>
      <c r="H89" s="3568"/>
      <c r="I89" s="3568"/>
      <c r="J89" s="3568"/>
      <c r="K89" s="3568"/>
      <c r="L89" s="3568"/>
      <c r="M89" s="3568"/>
      <c r="N89" s="3568"/>
      <c r="O89" s="3568"/>
      <c r="P89" s="3568"/>
      <c r="Q89" s="3568"/>
      <c r="R89" s="3568"/>
    </row>
    <row r="90" spans="1:18" ht="30" customHeight="1" x14ac:dyDescent="0.3">
      <c r="A90" s="3570"/>
      <c r="B90" s="3570"/>
      <c r="C90" s="3570"/>
      <c r="D90" s="3570"/>
      <c r="E90" s="3570"/>
      <c r="F90" s="3570"/>
      <c r="G90" s="3570"/>
      <c r="H90" s="3570"/>
      <c r="I90" s="3570"/>
      <c r="J90" s="3570"/>
      <c r="K90" s="3570"/>
      <c r="L90" s="3570"/>
      <c r="M90" s="3570"/>
      <c r="N90" s="3570"/>
      <c r="O90" s="3570"/>
      <c r="P90" s="3570"/>
      <c r="Q90" s="3570"/>
      <c r="R90" s="3570"/>
    </row>
    <row r="91" spans="1:18" ht="30" customHeight="1" x14ac:dyDescent="0.3">
      <c r="A91" s="3571"/>
      <c r="B91" s="3571"/>
      <c r="C91" s="3571"/>
      <c r="D91" s="3571"/>
      <c r="E91" s="3571"/>
      <c r="F91" s="3571"/>
      <c r="G91" s="3571"/>
      <c r="H91" s="3571"/>
      <c r="I91" s="3571"/>
      <c r="J91" s="3571"/>
      <c r="K91" s="3571"/>
      <c r="L91" s="3571"/>
      <c r="M91" s="3571"/>
      <c r="N91" s="3571"/>
      <c r="O91" s="3571"/>
      <c r="P91" s="3571"/>
      <c r="Q91" s="3571"/>
      <c r="R91" s="3571"/>
    </row>
    <row r="92" spans="1:18" ht="30" customHeight="1" x14ac:dyDescent="0.3">
      <c r="A92" s="3571"/>
      <c r="B92" s="3571"/>
      <c r="C92" s="3571"/>
      <c r="D92" s="3571"/>
      <c r="E92" s="3571"/>
      <c r="F92" s="3571"/>
      <c r="G92" s="3571"/>
      <c r="H92" s="3571"/>
      <c r="I92" s="3571"/>
      <c r="J92" s="3571"/>
      <c r="K92" s="3571"/>
      <c r="L92" s="3571"/>
      <c r="M92" s="3571"/>
      <c r="N92" s="3571"/>
      <c r="O92" s="3571"/>
      <c r="P92" s="3571"/>
      <c r="Q92" s="3571"/>
      <c r="R92" s="3571"/>
    </row>
    <row r="93" spans="1:18" ht="30" customHeight="1" x14ac:dyDescent="0.3">
      <c r="A93" s="3568"/>
      <c r="B93" s="3568"/>
      <c r="C93" s="3568"/>
      <c r="D93" s="3568"/>
      <c r="E93" s="3568"/>
      <c r="F93" s="3568"/>
      <c r="G93" s="3568"/>
      <c r="H93" s="3568"/>
      <c r="I93" s="3568"/>
      <c r="J93" s="3568"/>
      <c r="K93" s="3568"/>
      <c r="L93" s="3568"/>
      <c r="M93" s="3568"/>
      <c r="N93" s="3568"/>
      <c r="O93" s="3568"/>
      <c r="P93" s="3568"/>
      <c r="Q93" s="3568"/>
      <c r="R93" s="3568"/>
    </row>
  </sheetData>
  <mergeCells count="58">
    <mergeCell ref="P2:Z2"/>
    <mergeCell ref="A3:B3"/>
    <mergeCell ref="C3:N3"/>
    <mergeCell ref="P3:Z3"/>
    <mergeCell ref="C6:E6"/>
    <mergeCell ref="F6:G6"/>
    <mergeCell ref="H6:I6"/>
    <mergeCell ref="A2:B2"/>
    <mergeCell ref="C2:N2"/>
    <mergeCell ref="C4:N4"/>
    <mergeCell ref="P4:Z4"/>
    <mergeCell ref="A5:B5"/>
    <mergeCell ref="C5:O5"/>
    <mergeCell ref="P5:AA5"/>
    <mergeCell ref="X6:Y6"/>
    <mergeCell ref="AA6:AA8"/>
    <mergeCell ref="E40:F40"/>
    <mergeCell ref="G40:I40"/>
    <mergeCell ref="J6:K6"/>
    <mergeCell ref="L6:M6"/>
    <mergeCell ref="O6:Q6"/>
    <mergeCell ref="AB6:AB8"/>
    <mergeCell ref="A36:B36"/>
    <mergeCell ref="A37:B37"/>
    <mergeCell ref="R6:S6"/>
    <mergeCell ref="T6:U6"/>
    <mergeCell ref="V6:W6"/>
    <mergeCell ref="A6:A8"/>
    <mergeCell ref="B6:B7"/>
    <mergeCell ref="A34:A35"/>
    <mergeCell ref="B34:B35"/>
    <mergeCell ref="A47:B47"/>
    <mergeCell ref="C76:E76"/>
    <mergeCell ref="O76:Q76"/>
    <mergeCell ref="A79:R79"/>
    <mergeCell ref="A81:R81"/>
    <mergeCell ref="E41:F41"/>
    <mergeCell ref="E42:F42"/>
    <mergeCell ref="E43:F43"/>
    <mergeCell ref="E44:F44"/>
    <mergeCell ref="B45:F45"/>
    <mergeCell ref="A92:R92"/>
    <mergeCell ref="A93:R93"/>
    <mergeCell ref="A86:R86"/>
    <mergeCell ref="A87:R87"/>
    <mergeCell ref="A88:R88"/>
    <mergeCell ref="A89:R89"/>
    <mergeCell ref="A90:R90"/>
    <mergeCell ref="A91:R91"/>
    <mergeCell ref="A85:R85"/>
    <mergeCell ref="C55:O55"/>
    <mergeCell ref="A58:B58"/>
    <mergeCell ref="C66:O66"/>
    <mergeCell ref="A68:B68"/>
    <mergeCell ref="L68:N68"/>
    <mergeCell ref="A83:R83"/>
    <mergeCell ref="A84:R84"/>
    <mergeCell ref="A82:R82"/>
  </mergeCells>
  <conditionalFormatting sqref="AA10:AC33">
    <cfRule type="containsText" dxfId="23" priority="1" operator="containsText" text="F">
      <formula>NOT(ISERROR(SEARCH("F",AA10)))</formula>
    </cfRule>
  </conditionalFormatting>
  <pageMargins left="0.7" right="0.7" top="0.75" bottom="0.75" header="0.3" footer="0.3"/>
  <pageSetup paperSize="8" scale="34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47"/>
  <sheetViews>
    <sheetView topLeftCell="A67" zoomScale="71" zoomScaleNormal="100" workbookViewId="0">
      <selection activeCell="L92" sqref="L92"/>
    </sheetView>
  </sheetViews>
  <sheetFormatPr defaultColWidth="9.140625" defaultRowHeight="29.25" customHeight="1" x14ac:dyDescent="0.3"/>
  <cols>
    <col min="1" max="1" width="15.140625" style="1038" bestFit="1" customWidth="1"/>
    <col min="2" max="2" width="18.28515625" style="1038" bestFit="1" customWidth="1"/>
    <col min="3" max="3" width="13.7109375" style="1038" bestFit="1" customWidth="1"/>
    <col min="4" max="6" width="9.140625" style="1038"/>
    <col min="7" max="7" width="11.140625" style="1038" bestFit="1" customWidth="1"/>
    <col min="8" max="8" width="11.140625" style="1038" customWidth="1"/>
    <col min="9" max="9" width="11.42578125" style="1038" customWidth="1"/>
    <col min="10" max="11" width="9.85546875" style="1038" customWidth="1"/>
    <col min="12" max="13" width="10.5703125" style="1038" customWidth="1"/>
    <col min="14" max="14" width="10.5703125" style="1626" customWidth="1"/>
    <col min="15" max="15" width="10.5703125" style="1038" customWidth="1"/>
    <col min="16" max="18" width="11.140625" style="1038" bestFit="1" customWidth="1"/>
    <col min="19" max="19" width="9.140625" style="1038"/>
    <col min="20" max="20" width="16.28515625" style="1039" customWidth="1"/>
    <col min="21" max="21" width="15.5703125" style="1038" customWidth="1"/>
    <col min="22" max="24" width="10.5703125" style="1038" customWidth="1"/>
    <col min="25" max="25" width="10.85546875" style="1626" customWidth="1"/>
    <col min="26" max="26" width="10.28515625" style="1038" customWidth="1"/>
    <col min="27" max="27" width="11.85546875" style="1038" customWidth="1"/>
    <col min="28" max="28" width="11" style="1038" customWidth="1"/>
    <col min="29" max="31" width="8" style="1038" customWidth="1"/>
    <col min="32" max="32" width="17.7109375" style="1038" bestFit="1" customWidth="1"/>
    <col min="33" max="33" width="17.140625" style="1038" bestFit="1" customWidth="1"/>
    <col min="34" max="16384" width="9.140625" style="1038"/>
  </cols>
  <sheetData>
    <row r="1" spans="1:32" ht="29.25" customHeight="1" x14ac:dyDescent="0.3">
      <c r="A1" s="1625"/>
    </row>
    <row r="2" spans="1:32" ht="29.25" customHeight="1" x14ac:dyDescent="0.3">
      <c r="A2" s="3708" t="s">
        <v>0</v>
      </c>
      <c r="B2" s="3709"/>
      <c r="C2" s="3710" t="s">
        <v>310</v>
      </c>
      <c r="D2" s="3729"/>
      <c r="E2" s="3729"/>
      <c r="F2" s="3729"/>
      <c r="G2" s="3729"/>
      <c r="H2" s="3729"/>
      <c r="I2" s="3729"/>
      <c r="J2" s="3729"/>
      <c r="K2" s="3729"/>
      <c r="L2" s="3729"/>
      <c r="M2" s="3729"/>
      <c r="N2" s="3712"/>
      <c r="O2" s="1627" t="s">
        <v>63</v>
      </c>
      <c r="P2" s="3706" t="s">
        <v>299</v>
      </c>
      <c r="Q2" s="3732"/>
      <c r="R2" s="3732"/>
      <c r="S2" s="3732"/>
      <c r="T2" s="3732"/>
      <c r="U2" s="3732"/>
      <c r="V2" s="3732"/>
      <c r="W2" s="3732"/>
      <c r="X2" s="3732"/>
      <c r="Y2" s="3732"/>
      <c r="Z2" s="1015"/>
      <c r="AA2" s="1015"/>
      <c r="AB2" s="1015"/>
      <c r="AC2" s="1015"/>
      <c r="AD2" s="1015"/>
      <c r="AE2" s="1015"/>
      <c r="AF2" s="1015"/>
    </row>
    <row r="3" spans="1:32" ht="29.25" customHeight="1" x14ac:dyDescent="0.3">
      <c r="A3" s="3708" t="s">
        <v>1</v>
      </c>
      <c r="B3" s="3709"/>
      <c r="C3" s="3710" t="s">
        <v>311</v>
      </c>
      <c r="D3" s="3729"/>
      <c r="E3" s="3729"/>
      <c r="F3" s="3729"/>
      <c r="G3" s="3729"/>
      <c r="H3" s="3729"/>
      <c r="I3" s="3729"/>
      <c r="J3" s="3729"/>
      <c r="K3" s="3729"/>
      <c r="L3" s="3729"/>
      <c r="M3" s="3729"/>
      <c r="N3" s="3712"/>
      <c r="O3" s="1628" t="s">
        <v>64</v>
      </c>
      <c r="P3" s="3706" t="s">
        <v>232</v>
      </c>
      <c r="Q3" s="3732"/>
      <c r="R3" s="3732"/>
      <c r="S3" s="3732"/>
      <c r="T3" s="3732"/>
      <c r="U3" s="3732"/>
      <c r="V3" s="3732"/>
      <c r="W3" s="3732"/>
      <c r="X3" s="3732"/>
      <c r="Y3" s="3732"/>
      <c r="Z3" s="1015"/>
      <c r="AA3" s="1015"/>
      <c r="AB3" s="1015"/>
      <c r="AC3" s="1015"/>
      <c r="AD3" s="1015"/>
      <c r="AE3" s="1015"/>
      <c r="AF3" s="1015"/>
    </row>
    <row r="4" spans="1:32" ht="29.25" customHeight="1" thickBot="1" x14ac:dyDescent="0.35">
      <c r="A4" s="1743"/>
      <c r="B4" s="1744" t="s">
        <v>2</v>
      </c>
      <c r="C4" s="3714" t="s">
        <v>301</v>
      </c>
      <c r="D4" s="3715"/>
      <c r="E4" s="3715"/>
      <c r="F4" s="3715"/>
      <c r="G4" s="3715"/>
      <c r="H4" s="3715"/>
      <c r="I4" s="3715"/>
      <c r="J4" s="3715"/>
      <c r="K4" s="3715"/>
      <c r="L4" s="3715"/>
      <c r="M4" s="3715"/>
      <c r="N4" s="3716"/>
      <c r="O4" s="1744" t="s">
        <v>65</v>
      </c>
      <c r="P4" s="3717" t="s">
        <v>66</v>
      </c>
      <c r="Q4" s="3718"/>
      <c r="R4" s="3718"/>
      <c r="S4" s="3718"/>
      <c r="T4" s="3718"/>
      <c r="U4" s="3718"/>
      <c r="V4" s="3718"/>
      <c r="W4" s="3718"/>
      <c r="X4" s="3718"/>
      <c r="Y4" s="3718"/>
      <c r="Z4" s="1015"/>
      <c r="AA4" s="1015"/>
      <c r="AB4" s="1015"/>
      <c r="AC4" s="1015"/>
      <c r="AD4" s="1015"/>
      <c r="AE4" s="1015"/>
      <c r="AF4" s="1015"/>
    </row>
    <row r="5" spans="1:32" ht="29.25" customHeight="1" thickBot="1" x14ac:dyDescent="0.35">
      <c r="A5" s="3719"/>
      <c r="B5" s="3720"/>
      <c r="C5" s="3721" t="s">
        <v>3</v>
      </c>
      <c r="D5" s="3722"/>
      <c r="E5" s="3722"/>
      <c r="F5" s="3722"/>
      <c r="G5" s="3722"/>
      <c r="H5" s="3722"/>
      <c r="I5" s="3722"/>
      <c r="J5" s="3722"/>
      <c r="K5" s="3722"/>
      <c r="L5" s="3722"/>
      <c r="M5" s="3722"/>
      <c r="N5" s="3722"/>
      <c r="O5" s="3723"/>
      <c r="P5" s="3724" t="s">
        <v>4</v>
      </c>
      <c r="Q5" s="3725"/>
      <c r="R5" s="3725"/>
      <c r="S5" s="3725"/>
      <c r="T5" s="3725"/>
      <c r="U5" s="3725"/>
      <c r="V5" s="3725"/>
      <c r="W5" s="3725"/>
      <c r="X5" s="3725"/>
      <c r="Y5" s="3725"/>
      <c r="Z5" s="3725"/>
      <c r="AA5" s="1745"/>
      <c r="AB5" s="1746"/>
      <c r="AC5" s="1632"/>
      <c r="AD5" s="1632"/>
      <c r="AE5" s="1632"/>
      <c r="AF5" s="1633"/>
    </row>
    <row r="6" spans="1:32" ht="29.25" customHeight="1" thickBot="1" x14ac:dyDescent="0.35">
      <c r="A6" s="3701"/>
      <c r="B6" s="3704" t="s">
        <v>5</v>
      </c>
      <c r="C6" s="3697" t="s">
        <v>6</v>
      </c>
      <c r="D6" s="3698"/>
      <c r="E6" s="3713"/>
      <c r="F6" s="3699" t="s">
        <v>7</v>
      </c>
      <c r="G6" s="3700"/>
      <c r="H6" s="3699" t="s">
        <v>8</v>
      </c>
      <c r="I6" s="3700"/>
      <c r="J6" s="3695" t="s">
        <v>9</v>
      </c>
      <c r="K6" s="3696"/>
      <c r="L6" s="3695" t="s">
        <v>236</v>
      </c>
      <c r="M6" s="3696"/>
      <c r="N6" s="1747" t="s">
        <v>146</v>
      </c>
      <c r="O6" s="3697" t="s">
        <v>6</v>
      </c>
      <c r="P6" s="3698"/>
      <c r="Q6" s="3698"/>
      <c r="R6" s="3699" t="s">
        <v>7</v>
      </c>
      <c r="S6" s="3700"/>
      <c r="T6" s="1748" t="s">
        <v>8</v>
      </c>
      <c r="U6" s="1749" t="s">
        <v>9</v>
      </c>
      <c r="V6" s="3699" t="s">
        <v>236</v>
      </c>
      <c r="W6" s="3700"/>
      <c r="X6" s="1750" t="s">
        <v>147</v>
      </c>
      <c r="Y6" s="3688" t="s">
        <v>151</v>
      </c>
      <c r="Z6" s="3688" t="s">
        <v>152</v>
      </c>
      <c r="AA6" s="3691" t="s">
        <v>11</v>
      </c>
      <c r="AB6" s="3691" t="s">
        <v>12</v>
      </c>
    </row>
    <row r="7" spans="1:32" ht="29.25" customHeight="1" x14ac:dyDescent="0.3">
      <c r="A7" s="3702"/>
      <c r="B7" s="3705"/>
      <c r="C7" s="1637" t="s">
        <v>13</v>
      </c>
      <c r="D7" s="1638" t="s">
        <v>14</v>
      </c>
      <c r="E7" s="1639" t="s">
        <v>15</v>
      </c>
      <c r="F7" s="1637" t="s">
        <v>13</v>
      </c>
      <c r="G7" s="1639" t="s">
        <v>14</v>
      </c>
      <c r="H7" s="1637" t="s">
        <v>13</v>
      </c>
      <c r="I7" s="1639" t="s">
        <v>14</v>
      </c>
      <c r="J7" s="1637" t="s">
        <v>13</v>
      </c>
      <c r="K7" s="1639" t="s">
        <v>14</v>
      </c>
      <c r="L7" s="1640" t="s">
        <v>13</v>
      </c>
      <c r="M7" s="1639" t="s">
        <v>14</v>
      </c>
      <c r="N7" s="1751"/>
      <c r="O7" s="1637" t="s">
        <v>13</v>
      </c>
      <c r="P7" s="1638" t="s">
        <v>14</v>
      </c>
      <c r="Q7" s="1752" t="s">
        <v>67</v>
      </c>
      <c r="R7" s="1637" t="s">
        <v>13</v>
      </c>
      <c r="S7" s="1639" t="s">
        <v>14</v>
      </c>
      <c r="T7" s="1822"/>
      <c r="U7" s="1646"/>
      <c r="V7" s="1637" t="s">
        <v>13</v>
      </c>
      <c r="W7" s="1639" t="s">
        <v>14</v>
      </c>
      <c r="X7" s="1754"/>
      <c r="Y7" s="3689"/>
      <c r="Z7" s="3689"/>
      <c r="AA7" s="3691"/>
      <c r="AB7" s="3691"/>
      <c r="AC7" s="1755"/>
      <c r="AD7" s="1644"/>
    </row>
    <row r="8" spans="1:32" ht="29.25" customHeight="1" x14ac:dyDescent="0.3">
      <c r="A8" s="3703"/>
      <c r="B8" s="1756" t="s">
        <v>19</v>
      </c>
      <c r="C8" s="1637" t="s">
        <v>41</v>
      </c>
      <c r="D8" s="1637" t="s">
        <v>23</v>
      </c>
      <c r="E8" s="1646" t="s">
        <v>21</v>
      </c>
      <c r="F8" s="1647" t="s">
        <v>23</v>
      </c>
      <c r="G8" s="1646" t="s">
        <v>23</v>
      </c>
      <c r="H8" s="1647" t="s">
        <v>20</v>
      </c>
      <c r="I8" s="1639" t="s">
        <v>20</v>
      </c>
      <c r="J8" s="1757" t="s">
        <v>21</v>
      </c>
      <c r="K8" s="1758" t="s">
        <v>40</v>
      </c>
      <c r="L8" s="1759" t="s">
        <v>22</v>
      </c>
      <c r="M8" s="1760" t="s">
        <v>22</v>
      </c>
      <c r="N8" s="1642"/>
      <c r="O8" s="1637" t="s">
        <v>41</v>
      </c>
      <c r="P8" s="1638" t="s">
        <v>42</v>
      </c>
      <c r="Q8" s="1752" t="s">
        <v>43</v>
      </c>
      <c r="R8" s="1637" t="s">
        <v>41</v>
      </c>
      <c r="S8" s="1639" t="s">
        <v>43</v>
      </c>
      <c r="T8" s="1822" t="s">
        <v>41</v>
      </c>
      <c r="U8" s="1646" t="s">
        <v>42</v>
      </c>
      <c r="V8" s="1637" t="s">
        <v>43</v>
      </c>
      <c r="W8" s="1639" t="s">
        <v>41</v>
      </c>
      <c r="X8" s="1754" t="s">
        <v>237</v>
      </c>
      <c r="Y8" s="3690"/>
      <c r="Z8" s="3690"/>
      <c r="AA8" s="3691"/>
      <c r="AB8" s="3691"/>
      <c r="AC8" s="1755"/>
      <c r="AD8" s="1644"/>
    </row>
    <row r="9" spans="1:32" ht="29.25" customHeight="1" x14ac:dyDescent="0.3">
      <c r="A9" s="1638" t="s">
        <v>18</v>
      </c>
      <c r="B9" s="1752" t="s">
        <v>26</v>
      </c>
      <c r="C9" s="1637">
        <v>2</v>
      </c>
      <c r="D9" s="1638">
        <v>2</v>
      </c>
      <c r="E9" s="1639">
        <v>2</v>
      </c>
      <c r="F9" s="1637">
        <v>6</v>
      </c>
      <c r="G9" s="1639">
        <v>6</v>
      </c>
      <c r="H9" s="1637">
        <v>6</v>
      </c>
      <c r="I9" s="1639">
        <v>6</v>
      </c>
      <c r="J9" s="1637">
        <v>6</v>
      </c>
      <c r="K9" s="1649">
        <v>6</v>
      </c>
      <c r="L9" s="1637">
        <v>6</v>
      </c>
      <c r="M9" s="1639">
        <v>6</v>
      </c>
      <c r="N9" s="1642">
        <v>30</v>
      </c>
      <c r="O9" s="1637">
        <v>2</v>
      </c>
      <c r="P9" s="1638">
        <v>2</v>
      </c>
      <c r="Q9" s="1752">
        <v>2</v>
      </c>
      <c r="R9" s="1637">
        <v>6</v>
      </c>
      <c r="S9" s="1639">
        <v>6</v>
      </c>
      <c r="T9" s="1822">
        <v>12</v>
      </c>
      <c r="U9" s="1646">
        <v>12</v>
      </c>
      <c r="V9" s="1637">
        <v>6</v>
      </c>
      <c r="W9" s="1639">
        <v>6</v>
      </c>
      <c r="X9" s="1754">
        <v>30</v>
      </c>
      <c r="Y9" s="1638">
        <v>10</v>
      </c>
      <c r="Z9" s="1638">
        <v>10</v>
      </c>
      <c r="AA9" s="3691"/>
      <c r="AB9" s="3691"/>
      <c r="AC9" s="1650"/>
      <c r="AD9" s="1651"/>
    </row>
    <row r="10" spans="1:32" ht="29.25" customHeight="1" x14ac:dyDescent="0.3">
      <c r="A10" s="1638">
        <v>1</v>
      </c>
      <c r="B10" s="1808">
        <v>5191421003</v>
      </c>
      <c r="C10" s="1811">
        <v>1</v>
      </c>
      <c r="D10" s="1654">
        <v>2</v>
      </c>
      <c r="E10" s="1655">
        <v>1</v>
      </c>
      <c r="F10" s="1656"/>
      <c r="G10" s="1655"/>
      <c r="H10" s="1656">
        <v>6</v>
      </c>
      <c r="I10" s="1657">
        <v>6</v>
      </c>
      <c r="J10" s="1656"/>
      <c r="K10" s="1658"/>
      <c r="L10" s="1666">
        <v>6</v>
      </c>
      <c r="M10" s="1665">
        <v>6</v>
      </c>
      <c r="N10" s="1661">
        <f>SUM(C10:M10)</f>
        <v>28</v>
      </c>
      <c r="O10" s="1662">
        <v>2</v>
      </c>
      <c r="P10" s="1663">
        <v>1</v>
      </c>
      <c r="Q10" s="1762">
        <v>2</v>
      </c>
      <c r="R10" s="1662">
        <v>6</v>
      </c>
      <c r="S10" s="1665">
        <v>6</v>
      </c>
      <c r="T10" s="1774"/>
      <c r="U10" s="1698"/>
      <c r="V10" s="1666">
        <v>5</v>
      </c>
      <c r="W10" s="1661">
        <v>6</v>
      </c>
      <c r="X10" s="1809">
        <f>SUM(O10:W10)</f>
        <v>28</v>
      </c>
      <c r="Y10" s="1810">
        <v>10</v>
      </c>
      <c r="Z10" s="1810">
        <v>10</v>
      </c>
      <c r="AA10" s="1810" t="s">
        <v>30</v>
      </c>
      <c r="AB10" s="1671">
        <f>IF(AA10="O",100,IF(AA10="A+",90,IF(AA10="A",80,IF(AA10="B+",70,IF(AA10="B",60,IF(AA10="C",55,IF(AA10="P",50,IF(AA10="F",39))))))))</f>
        <v>90</v>
      </c>
    </row>
    <row r="11" spans="1:32" ht="29.25" customHeight="1" x14ac:dyDescent="0.3">
      <c r="A11" s="1765">
        <v>2</v>
      </c>
      <c r="B11" s="1808">
        <v>5191421006</v>
      </c>
      <c r="C11" s="1776">
        <v>1</v>
      </c>
      <c r="D11" s="1768">
        <v>1</v>
      </c>
      <c r="E11" s="1769">
        <v>1</v>
      </c>
      <c r="F11" s="1767"/>
      <c r="G11" s="1769"/>
      <c r="H11" s="1767">
        <v>4</v>
      </c>
      <c r="I11" s="1770">
        <v>4</v>
      </c>
      <c r="J11" s="1767"/>
      <c r="K11" s="1769"/>
      <c r="L11" s="1666">
        <v>5</v>
      </c>
      <c r="M11" s="1665">
        <v>5</v>
      </c>
      <c r="N11" s="1661">
        <f t="shared" ref="N11:N43" si="0">SUM(C11:M11)</f>
        <v>21</v>
      </c>
      <c r="O11" s="1771">
        <v>1</v>
      </c>
      <c r="P11" s="1772">
        <v>2</v>
      </c>
      <c r="Q11" s="1773">
        <v>1</v>
      </c>
      <c r="R11" s="1771">
        <v>6</v>
      </c>
      <c r="S11" s="1665">
        <v>6</v>
      </c>
      <c r="T11" s="1774"/>
      <c r="U11" s="1775"/>
      <c r="V11" s="1767">
        <v>6</v>
      </c>
      <c r="W11" s="1770">
        <v>6</v>
      </c>
      <c r="X11" s="1809">
        <f t="shared" ref="X11:X43" si="1">SUM(O11:W11)</f>
        <v>28</v>
      </c>
      <c r="Y11" s="1917">
        <v>10</v>
      </c>
      <c r="Z11" s="1917">
        <v>10</v>
      </c>
      <c r="AA11" s="1670" t="s">
        <v>27</v>
      </c>
      <c r="AB11" s="1671">
        <f t="shared" ref="AB11:AB43" si="2">IF(AA11="O",100,IF(AA11="A+",90,IF(AA11="A",80,IF(AA11="B+",70,IF(AA11="B",60,IF(AA11="C",55,IF(AA11="P",50,IF(AA11="F",39))))))))</f>
        <v>80</v>
      </c>
    </row>
    <row r="12" spans="1:32" s="1683" customFormat="1" ht="29.25" customHeight="1" x14ac:dyDescent="0.3">
      <c r="A12" s="1638">
        <v>3</v>
      </c>
      <c r="B12" s="1808">
        <v>5191421007</v>
      </c>
      <c r="C12" s="1809">
        <v>2</v>
      </c>
      <c r="D12" s="1663">
        <v>2</v>
      </c>
      <c r="E12" s="1682">
        <v>1</v>
      </c>
      <c r="F12" s="1662"/>
      <c r="G12" s="1665">
        <v>5</v>
      </c>
      <c r="H12" s="1666">
        <v>6</v>
      </c>
      <c r="I12" s="1665"/>
      <c r="J12" s="1666"/>
      <c r="K12" s="1665"/>
      <c r="L12" s="1666">
        <v>6</v>
      </c>
      <c r="M12" s="1665">
        <v>5</v>
      </c>
      <c r="N12" s="1661">
        <f t="shared" si="0"/>
        <v>27</v>
      </c>
      <c r="O12" s="1663">
        <v>2</v>
      </c>
      <c r="P12" s="1663">
        <v>2</v>
      </c>
      <c r="Q12" s="1762">
        <v>2</v>
      </c>
      <c r="R12" s="1662">
        <v>6</v>
      </c>
      <c r="S12" s="1665">
        <v>6</v>
      </c>
      <c r="T12" s="1774"/>
      <c r="U12" s="1698"/>
      <c r="V12" s="1666">
        <v>5</v>
      </c>
      <c r="W12" s="1667">
        <v>5</v>
      </c>
      <c r="X12" s="1809">
        <f t="shared" si="1"/>
        <v>28</v>
      </c>
      <c r="Y12" s="1810">
        <v>10</v>
      </c>
      <c r="Z12" s="1810">
        <v>10</v>
      </c>
      <c r="AA12" s="1670" t="s">
        <v>27</v>
      </c>
      <c r="AB12" s="1671">
        <f t="shared" si="2"/>
        <v>80</v>
      </c>
    </row>
    <row r="13" spans="1:32" s="1683" customFormat="1" ht="29.25" customHeight="1" x14ac:dyDescent="0.3">
      <c r="A13" s="1638">
        <v>4</v>
      </c>
      <c r="B13" s="1808">
        <v>5191421008</v>
      </c>
      <c r="C13" s="1811">
        <v>1</v>
      </c>
      <c r="D13" s="1663"/>
      <c r="E13" s="1682"/>
      <c r="F13" s="1662">
        <v>3</v>
      </c>
      <c r="G13" s="1665">
        <v>3</v>
      </c>
      <c r="H13" s="1666"/>
      <c r="I13" s="1665"/>
      <c r="J13" s="1666"/>
      <c r="K13" s="1665"/>
      <c r="L13" s="1666">
        <v>5</v>
      </c>
      <c r="M13" s="1665">
        <v>6</v>
      </c>
      <c r="N13" s="1661">
        <f t="shared" si="0"/>
        <v>18</v>
      </c>
      <c r="O13" s="1663">
        <v>2</v>
      </c>
      <c r="P13" s="1663">
        <v>2</v>
      </c>
      <c r="Q13" s="1762">
        <v>1</v>
      </c>
      <c r="R13" s="1662"/>
      <c r="S13" s="1665"/>
      <c r="T13" s="1774">
        <v>10</v>
      </c>
      <c r="U13" s="1698"/>
      <c r="V13" s="1666">
        <v>5</v>
      </c>
      <c r="W13" s="1667">
        <v>5</v>
      </c>
      <c r="X13" s="1809">
        <f t="shared" si="1"/>
        <v>25</v>
      </c>
      <c r="Y13" s="1810">
        <v>9</v>
      </c>
      <c r="Z13" s="1810">
        <v>9</v>
      </c>
      <c r="AA13" s="1918" t="s">
        <v>27</v>
      </c>
      <c r="AB13" s="1671">
        <f t="shared" si="2"/>
        <v>80</v>
      </c>
    </row>
    <row r="14" spans="1:32" ht="29.25" customHeight="1" x14ac:dyDescent="0.3">
      <c r="A14" s="1685">
        <v>5</v>
      </c>
      <c r="B14" s="1808">
        <v>5191421009</v>
      </c>
      <c r="C14" s="1812"/>
      <c r="D14" s="1688">
        <v>1</v>
      </c>
      <c r="E14" s="1689"/>
      <c r="F14" s="1687">
        <v>5</v>
      </c>
      <c r="G14" s="1690">
        <v>5</v>
      </c>
      <c r="H14" s="1691"/>
      <c r="I14" s="1692"/>
      <c r="J14" s="1691"/>
      <c r="K14" s="1690"/>
      <c r="L14" s="1666">
        <v>6</v>
      </c>
      <c r="M14" s="1665">
        <v>6</v>
      </c>
      <c r="N14" s="1661">
        <f t="shared" si="0"/>
        <v>23</v>
      </c>
      <c r="O14" s="1687">
        <v>1</v>
      </c>
      <c r="P14" s="1688">
        <v>2</v>
      </c>
      <c r="Q14" s="1693">
        <v>2</v>
      </c>
      <c r="R14" s="1687">
        <v>5</v>
      </c>
      <c r="S14" s="1665">
        <v>6</v>
      </c>
      <c r="T14" s="1774"/>
      <c r="U14" s="1777"/>
      <c r="V14" s="1691">
        <v>5</v>
      </c>
      <c r="W14" s="1692">
        <v>5</v>
      </c>
      <c r="X14" s="1809">
        <f t="shared" si="1"/>
        <v>26</v>
      </c>
      <c r="Y14" s="1814">
        <v>10</v>
      </c>
      <c r="Z14" s="1814">
        <v>10</v>
      </c>
      <c r="AA14" s="1670" t="s">
        <v>30</v>
      </c>
      <c r="AB14" s="1671">
        <f t="shared" si="2"/>
        <v>90</v>
      </c>
    </row>
    <row r="15" spans="1:32" ht="29.25" customHeight="1" x14ac:dyDescent="0.3">
      <c r="A15" s="1638">
        <v>6</v>
      </c>
      <c r="B15" s="1808">
        <v>5191421010</v>
      </c>
      <c r="C15" s="1809">
        <v>2</v>
      </c>
      <c r="D15" s="1663">
        <v>2</v>
      </c>
      <c r="E15" s="1682">
        <v>1</v>
      </c>
      <c r="F15" s="1662"/>
      <c r="G15" s="1665"/>
      <c r="H15" s="1666">
        <v>5</v>
      </c>
      <c r="I15" s="1667">
        <v>5</v>
      </c>
      <c r="J15" s="1666"/>
      <c r="K15" s="1665"/>
      <c r="L15" s="1666">
        <v>6</v>
      </c>
      <c r="M15" s="1665">
        <v>6</v>
      </c>
      <c r="N15" s="1661">
        <f t="shared" si="0"/>
        <v>27</v>
      </c>
      <c r="O15" s="1662">
        <v>1</v>
      </c>
      <c r="P15" s="1663">
        <v>2</v>
      </c>
      <c r="Q15" s="1762">
        <v>1</v>
      </c>
      <c r="R15" s="1662">
        <v>5</v>
      </c>
      <c r="S15" s="1665">
        <v>5</v>
      </c>
      <c r="T15" s="1774"/>
      <c r="U15" s="1698"/>
      <c r="V15" s="1666">
        <v>6</v>
      </c>
      <c r="W15" s="1667"/>
      <c r="X15" s="1809">
        <f t="shared" si="1"/>
        <v>20</v>
      </c>
      <c r="Y15" s="1810">
        <v>9</v>
      </c>
      <c r="Z15" s="1810">
        <v>9</v>
      </c>
      <c r="AA15" s="1670" t="s">
        <v>27</v>
      </c>
      <c r="AB15" s="1671">
        <f t="shared" si="2"/>
        <v>80</v>
      </c>
    </row>
    <row r="16" spans="1:32" ht="29.25" customHeight="1" x14ac:dyDescent="0.3">
      <c r="A16" s="1638">
        <v>7</v>
      </c>
      <c r="B16" s="1808">
        <v>5191421011</v>
      </c>
      <c r="C16" s="1809">
        <v>1</v>
      </c>
      <c r="D16" s="1663">
        <v>2</v>
      </c>
      <c r="E16" s="1682"/>
      <c r="F16" s="1662"/>
      <c r="G16" s="1665"/>
      <c r="H16" s="1666">
        <v>5</v>
      </c>
      <c r="I16" s="1667">
        <v>5</v>
      </c>
      <c r="J16" s="1666"/>
      <c r="K16" s="1665"/>
      <c r="L16" s="1666">
        <v>6</v>
      </c>
      <c r="M16" s="1665">
        <v>6</v>
      </c>
      <c r="N16" s="1661">
        <f t="shared" si="0"/>
        <v>25</v>
      </c>
      <c r="O16" s="1662">
        <v>2</v>
      </c>
      <c r="P16" s="1663">
        <v>1</v>
      </c>
      <c r="Q16" s="1762">
        <v>1</v>
      </c>
      <c r="R16" s="1662">
        <v>4</v>
      </c>
      <c r="S16" s="1665">
        <v>6</v>
      </c>
      <c r="T16" s="1774"/>
      <c r="U16" s="1698"/>
      <c r="V16" s="1666">
        <v>5</v>
      </c>
      <c r="W16" s="1667"/>
      <c r="X16" s="1809">
        <f t="shared" si="1"/>
        <v>19</v>
      </c>
      <c r="Y16" s="1810">
        <v>9</v>
      </c>
      <c r="Z16" s="1810">
        <v>9</v>
      </c>
      <c r="AA16" s="1670" t="s">
        <v>30</v>
      </c>
      <c r="AB16" s="1671">
        <f t="shared" si="2"/>
        <v>90</v>
      </c>
    </row>
    <row r="17" spans="1:28" ht="29.25" customHeight="1" x14ac:dyDescent="0.3">
      <c r="A17" s="1638">
        <v>8</v>
      </c>
      <c r="B17" s="1808">
        <v>5191421013</v>
      </c>
      <c r="C17" s="1809">
        <v>2</v>
      </c>
      <c r="D17" s="1663">
        <v>1</v>
      </c>
      <c r="E17" s="1682">
        <v>2</v>
      </c>
      <c r="F17" s="1662">
        <v>3</v>
      </c>
      <c r="G17" s="1665">
        <v>4</v>
      </c>
      <c r="H17" s="1666"/>
      <c r="I17" s="1667"/>
      <c r="J17" s="1666"/>
      <c r="K17" s="1665"/>
      <c r="L17" s="1666">
        <v>6</v>
      </c>
      <c r="M17" s="1665">
        <v>5</v>
      </c>
      <c r="N17" s="1661">
        <f t="shared" si="0"/>
        <v>23</v>
      </c>
      <c r="O17" s="1662">
        <v>1</v>
      </c>
      <c r="P17" s="1663">
        <v>2</v>
      </c>
      <c r="Q17" s="1762">
        <v>1</v>
      </c>
      <c r="R17" s="1662"/>
      <c r="S17" s="1665">
        <v>6</v>
      </c>
      <c r="T17" s="1774"/>
      <c r="U17" s="1698"/>
      <c r="V17" s="1666">
        <v>6</v>
      </c>
      <c r="W17" s="1667">
        <v>2</v>
      </c>
      <c r="X17" s="1809">
        <f t="shared" si="1"/>
        <v>18</v>
      </c>
      <c r="Y17" s="1810">
        <v>8</v>
      </c>
      <c r="Z17" s="1810">
        <v>8</v>
      </c>
      <c r="AA17" s="1810" t="s">
        <v>27</v>
      </c>
      <c r="AB17" s="1671">
        <f t="shared" si="2"/>
        <v>80</v>
      </c>
    </row>
    <row r="18" spans="1:28" ht="29.25" customHeight="1" x14ac:dyDescent="0.3">
      <c r="A18" s="1638">
        <v>9</v>
      </c>
      <c r="B18" s="1808">
        <v>5191421016</v>
      </c>
      <c r="C18" s="1764">
        <v>2</v>
      </c>
      <c r="D18" s="1666"/>
      <c r="E18" s="1698"/>
      <c r="F18" s="1666"/>
      <c r="G18" s="1665">
        <v>4</v>
      </c>
      <c r="H18" s="1666"/>
      <c r="I18" s="1667"/>
      <c r="J18" s="1666"/>
      <c r="K18" s="1665"/>
      <c r="L18" s="1666">
        <v>6</v>
      </c>
      <c r="M18" s="1665"/>
      <c r="N18" s="1661">
        <f t="shared" si="0"/>
        <v>12</v>
      </c>
      <c r="O18" s="1662">
        <v>2</v>
      </c>
      <c r="P18" s="1663">
        <v>2</v>
      </c>
      <c r="Q18" s="1762"/>
      <c r="R18" s="1662">
        <v>6</v>
      </c>
      <c r="S18" s="1665"/>
      <c r="T18" s="1774"/>
      <c r="U18" s="1698"/>
      <c r="V18" s="1666"/>
      <c r="W18" s="1667"/>
      <c r="X18" s="1809">
        <f t="shared" si="1"/>
        <v>10</v>
      </c>
      <c r="Y18" s="1810">
        <v>8</v>
      </c>
      <c r="Z18" s="1810">
        <v>8</v>
      </c>
      <c r="AA18" s="1810" t="s">
        <v>31</v>
      </c>
      <c r="AB18" s="1671">
        <f t="shared" si="2"/>
        <v>55</v>
      </c>
    </row>
    <row r="19" spans="1:28" ht="29.25" customHeight="1" x14ac:dyDescent="0.3">
      <c r="A19" s="1638">
        <v>10</v>
      </c>
      <c r="B19" s="1808">
        <v>5191421020</v>
      </c>
      <c r="C19" s="1809"/>
      <c r="D19" s="1663"/>
      <c r="E19" s="1682"/>
      <c r="F19" s="1662"/>
      <c r="G19" s="1665"/>
      <c r="H19" s="1666"/>
      <c r="I19" s="1667"/>
      <c r="J19" s="1666"/>
      <c r="K19" s="1665"/>
      <c r="L19" s="1666"/>
      <c r="M19" s="1665"/>
      <c r="N19" s="1661">
        <f t="shared" si="0"/>
        <v>0</v>
      </c>
      <c r="O19" s="1662">
        <v>2</v>
      </c>
      <c r="P19" s="1663">
        <v>2</v>
      </c>
      <c r="Q19" s="1762">
        <v>2</v>
      </c>
      <c r="R19" s="1662">
        <v>5</v>
      </c>
      <c r="S19" s="1665">
        <v>6</v>
      </c>
      <c r="T19" s="1774"/>
      <c r="U19" s="1698"/>
      <c r="V19" s="1666">
        <v>5</v>
      </c>
      <c r="W19" s="1667">
        <v>6</v>
      </c>
      <c r="X19" s="1809">
        <f t="shared" si="1"/>
        <v>28</v>
      </c>
      <c r="Y19" s="1810">
        <v>10</v>
      </c>
      <c r="Z19" s="1810">
        <v>10</v>
      </c>
      <c r="AA19" s="1670" t="s">
        <v>30</v>
      </c>
      <c r="AB19" s="1671">
        <f t="shared" si="2"/>
        <v>90</v>
      </c>
    </row>
    <row r="20" spans="1:28" ht="29.25" customHeight="1" x14ac:dyDescent="0.3">
      <c r="A20" s="1638">
        <v>11</v>
      </c>
      <c r="B20" s="1808">
        <v>5191421021</v>
      </c>
      <c r="C20" s="1809">
        <v>2</v>
      </c>
      <c r="D20" s="1663">
        <v>2</v>
      </c>
      <c r="E20" s="1682">
        <v>1</v>
      </c>
      <c r="F20" s="1662"/>
      <c r="G20" s="1665"/>
      <c r="H20" s="1666">
        <v>3</v>
      </c>
      <c r="I20" s="1667">
        <v>4</v>
      </c>
      <c r="J20" s="1666">
        <v>5</v>
      </c>
      <c r="K20" s="1665">
        <v>5</v>
      </c>
      <c r="L20" s="1666"/>
      <c r="M20" s="1665"/>
      <c r="N20" s="1661">
        <f t="shared" si="0"/>
        <v>22</v>
      </c>
      <c r="O20" s="1662">
        <v>2</v>
      </c>
      <c r="P20" s="1663">
        <v>2</v>
      </c>
      <c r="Q20" s="1762">
        <v>2</v>
      </c>
      <c r="R20" s="1662">
        <v>5</v>
      </c>
      <c r="S20" s="1665">
        <v>6</v>
      </c>
      <c r="T20" s="1774"/>
      <c r="U20" s="1698"/>
      <c r="V20" s="1666">
        <v>5</v>
      </c>
      <c r="W20" s="1667">
        <v>6</v>
      </c>
      <c r="X20" s="1809">
        <f t="shared" si="1"/>
        <v>28</v>
      </c>
      <c r="Y20" s="1810">
        <v>9</v>
      </c>
      <c r="Z20" s="1810">
        <v>9</v>
      </c>
      <c r="AA20" s="1670" t="s">
        <v>27</v>
      </c>
      <c r="AB20" s="1671">
        <f t="shared" si="2"/>
        <v>80</v>
      </c>
    </row>
    <row r="21" spans="1:28" ht="29.25" customHeight="1" x14ac:dyDescent="0.3">
      <c r="A21" s="1638">
        <v>12</v>
      </c>
      <c r="B21" s="1808">
        <v>5191421022</v>
      </c>
      <c r="C21" s="1809"/>
      <c r="D21" s="1663">
        <v>1</v>
      </c>
      <c r="E21" s="1682">
        <v>1</v>
      </c>
      <c r="F21" s="1662"/>
      <c r="G21" s="1665">
        <v>3</v>
      </c>
      <c r="H21" s="1666"/>
      <c r="I21" s="1667"/>
      <c r="J21" s="1666"/>
      <c r="K21" s="1665"/>
      <c r="L21" s="1666">
        <v>6</v>
      </c>
      <c r="M21" s="1665">
        <v>4</v>
      </c>
      <c r="N21" s="1661">
        <f t="shared" si="0"/>
        <v>15</v>
      </c>
      <c r="O21" s="1662">
        <v>2</v>
      </c>
      <c r="P21" s="1663">
        <v>2</v>
      </c>
      <c r="Q21" s="1762">
        <v>1</v>
      </c>
      <c r="R21" s="1662"/>
      <c r="S21" s="1665"/>
      <c r="T21" s="1774">
        <v>10</v>
      </c>
      <c r="U21" s="1698"/>
      <c r="V21" s="1666">
        <v>6</v>
      </c>
      <c r="W21" s="1667">
        <v>6</v>
      </c>
      <c r="X21" s="1809">
        <f t="shared" si="1"/>
        <v>27</v>
      </c>
      <c r="Y21" s="1810">
        <v>8</v>
      </c>
      <c r="Z21" s="1810">
        <v>8</v>
      </c>
      <c r="AA21" s="1670" t="s">
        <v>27</v>
      </c>
      <c r="AB21" s="1671">
        <f t="shared" si="2"/>
        <v>80</v>
      </c>
    </row>
    <row r="22" spans="1:28" ht="29.25" customHeight="1" x14ac:dyDescent="0.3">
      <c r="A22" s="1638">
        <v>13</v>
      </c>
      <c r="B22" s="1808">
        <v>5191421025</v>
      </c>
      <c r="C22" s="1809">
        <v>1</v>
      </c>
      <c r="D22" s="1663">
        <v>1</v>
      </c>
      <c r="E22" s="1682">
        <v>1</v>
      </c>
      <c r="F22" s="1662"/>
      <c r="G22" s="1665"/>
      <c r="H22" s="1666">
        <v>6</v>
      </c>
      <c r="I22" s="1667">
        <v>5</v>
      </c>
      <c r="J22" s="1666"/>
      <c r="K22" s="1665"/>
      <c r="L22" s="1666">
        <v>6</v>
      </c>
      <c r="M22" s="1665">
        <v>6</v>
      </c>
      <c r="N22" s="1661">
        <f t="shared" si="0"/>
        <v>26</v>
      </c>
      <c r="O22" s="1662">
        <v>2</v>
      </c>
      <c r="P22" s="1663">
        <v>2</v>
      </c>
      <c r="Q22" s="1762">
        <v>2</v>
      </c>
      <c r="R22" s="1662">
        <v>6</v>
      </c>
      <c r="S22" s="1665">
        <v>6</v>
      </c>
      <c r="T22" s="1774"/>
      <c r="U22" s="1698"/>
      <c r="V22" s="1666">
        <v>6</v>
      </c>
      <c r="W22" s="1667">
        <v>6</v>
      </c>
      <c r="X22" s="1809">
        <f t="shared" si="1"/>
        <v>30</v>
      </c>
      <c r="Y22" s="1810">
        <v>10</v>
      </c>
      <c r="Z22" s="1810">
        <v>10</v>
      </c>
      <c r="AA22" s="1810" t="s">
        <v>30</v>
      </c>
      <c r="AB22" s="1671">
        <f t="shared" si="2"/>
        <v>90</v>
      </c>
    </row>
    <row r="23" spans="1:28" ht="29.25" customHeight="1" x14ac:dyDescent="0.3">
      <c r="A23" s="1638">
        <v>14</v>
      </c>
      <c r="B23" s="1808">
        <v>5191421027</v>
      </c>
      <c r="C23" s="1809">
        <v>1</v>
      </c>
      <c r="D23" s="1663">
        <v>2</v>
      </c>
      <c r="E23" s="1682">
        <v>2</v>
      </c>
      <c r="F23" s="1662"/>
      <c r="G23" s="1665"/>
      <c r="H23" s="1666">
        <v>2</v>
      </c>
      <c r="I23" s="1667">
        <v>1</v>
      </c>
      <c r="J23" s="1666">
        <v>6</v>
      </c>
      <c r="K23" s="1665">
        <v>5</v>
      </c>
      <c r="L23" s="1666"/>
      <c r="M23" s="1665"/>
      <c r="N23" s="1661">
        <f t="shared" si="0"/>
        <v>19</v>
      </c>
      <c r="O23" s="1662">
        <v>2</v>
      </c>
      <c r="P23" s="1663">
        <v>2</v>
      </c>
      <c r="Q23" s="1762">
        <v>1</v>
      </c>
      <c r="R23" s="1662">
        <v>6</v>
      </c>
      <c r="S23" s="1665">
        <v>6</v>
      </c>
      <c r="T23" s="1774"/>
      <c r="U23" s="1698">
        <v>11</v>
      </c>
      <c r="V23" s="1666"/>
      <c r="W23" s="1667"/>
      <c r="X23" s="1809">
        <f t="shared" si="1"/>
        <v>28</v>
      </c>
      <c r="Y23" s="1810">
        <v>9</v>
      </c>
      <c r="Z23" s="1810">
        <v>9</v>
      </c>
      <c r="AA23" s="1670" t="s">
        <v>27</v>
      </c>
      <c r="AB23" s="1671">
        <f t="shared" si="2"/>
        <v>80</v>
      </c>
    </row>
    <row r="24" spans="1:28" ht="29.25" customHeight="1" x14ac:dyDescent="0.3">
      <c r="A24" s="1638">
        <v>15</v>
      </c>
      <c r="B24" s="1808">
        <v>5191421028</v>
      </c>
      <c r="C24" s="1809">
        <v>2</v>
      </c>
      <c r="D24" s="1663">
        <v>1</v>
      </c>
      <c r="E24" s="1682">
        <v>2</v>
      </c>
      <c r="F24" s="1662"/>
      <c r="G24" s="1665"/>
      <c r="H24" s="1666">
        <v>6</v>
      </c>
      <c r="I24" s="1667">
        <v>6</v>
      </c>
      <c r="J24" s="1666"/>
      <c r="K24" s="1665"/>
      <c r="L24" s="1666">
        <v>6</v>
      </c>
      <c r="M24" s="1665">
        <v>6</v>
      </c>
      <c r="N24" s="1661">
        <f t="shared" si="0"/>
        <v>29</v>
      </c>
      <c r="O24" s="1662">
        <v>1</v>
      </c>
      <c r="P24" s="1663">
        <v>2</v>
      </c>
      <c r="Q24" s="1762">
        <v>2</v>
      </c>
      <c r="R24" s="1662">
        <v>5</v>
      </c>
      <c r="S24" s="1665">
        <v>5</v>
      </c>
      <c r="T24" s="1774"/>
      <c r="U24" s="1698"/>
      <c r="V24" s="1666">
        <v>6</v>
      </c>
      <c r="W24" s="1667">
        <v>6</v>
      </c>
      <c r="X24" s="1809">
        <f t="shared" si="1"/>
        <v>27</v>
      </c>
      <c r="Y24" s="1810">
        <v>10</v>
      </c>
      <c r="Z24" s="1810">
        <v>10</v>
      </c>
      <c r="AA24" s="1703" t="s">
        <v>27</v>
      </c>
      <c r="AB24" s="1671">
        <f t="shared" si="2"/>
        <v>80</v>
      </c>
    </row>
    <row r="25" spans="1:28" ht="29.25" customHeight="1" x14ac:dyDescent="0.3">
      <c r="A25" s="1638">
        <v>16</v>
      </c>
      <c r="B25" s="1808">
        <v>5191421029</v>
      </c>
      <c r="C25" s="1809">
        <v>2</v>
      </c>
      <c r="D25" s="1663">
        <v>2</v>
      </c>
      <c r="E25" s="1682">
        <v>2</v>
      </c>
      <c r="F25" s="1662">
        <v>6</v>
      </c>
      <c r="G25" s="1697">
        <v>6</v>
      </c>
      <c r="H25" s="1684"/>
      <c r="I25" s="1667"/>
      <c r="J25" s="1666"/>
      <c r="K25" s="1665"/>
      <c r="L25" s="1666">
        <v>6</v>
      </c>
      <c r="M25" s="1665">
        <v>5</v>
      </c>
      <c r="N25" s="1661">
        <f t="shared" si="0"/>
        <v>29</v>
      </c>
      <c r="O25" s="1662">
        <v>2</v>
      </c>
      <c r="P25" s="1663">
        <v>2</v>
      </c>
      <c r="Q25" s="1762">
        <v>1</v>
      </c>
      <c r="R25" s="1662"/>
      <c r="S25" s="1665"/>
      <c r="T25" s="1774">
        <v>12</v>
      </c>
      <c r="U25" s="1698"/>
      <c r="V25" s="1666">
        <v>6</v>
      </c>
      <c r="W25" s="1667">
        <v>5</v>
      </c>
      <c r="X25" s="1809">
        <f t="shared" si="1"/>
        <v>28</v>
      </c>
      <c r="Y25" s="1810">
        <v>10</v>
      </c>
      <c r="Z25" s="1810">
        <v>10</v>
      </c>
      <c r="AA25" s="1670" t="s">
        <v>30</v>
      </c>
      <c r="AB25" s="1671">
        <f t="shared" si="2"/>
        <v>90</v>
      </c>
    </row>
    <row r="26" spans="1:28" ht="29.25" customHeight="1" x14ac:dyDescent="0.3">
      <c r="A26" s="1638">
        <v>17</v>
      </c>
      <c r="B26" s="1808">
        <v>5191421031</v>
      </c>
      <c r="C26" s="1809">
        <v>1</v>
      </c>
      <c r="D26" s="1663">
        <v>1</v>
      </c>
      <c r="E26" s="1682"/>
      <c r="F26" s="1662">
        <v>5</v>
      </c>
      <c r="G26" s="1665">
        <v>4</v>
      </c>
      <c r="H26" s="1666"/>
      <c r="I26" s="1667"/>
      <c r="J26" s="1666">
        <v>3</v>
      </c>
      <c r="K26" s="1665">
        <v>4</v>
      </c>
      <c r="L26" s="1666"/>
      <c r="M26" s="1665"/>
      <c r="N26" s="1661">
        <f t="shared" si="0"/>
        <v>18</v>
      </c>
      <c r="O26" s="1662"/>
      <c r="P26" s="1663">
        <v>2</v>
      </c>
      <c r="Q26" s="1762"/>
      <c r="R26" s="1662"/>
      <c r="S26" s="1665"/>
      <c r="T26" s="1774">
        <v>10</v>
      </c>
      <c r="U26" s="1698"/>
      <c r="V26" s="1666">
        <v>5</v>
      </c>
      <c r="W26" s="1667">
        <v>5</v>
      </c>
      <c r="X26" s="1809">
        <f t="shared" si="1"/>
        <v>22</v>
      </c>
      <c r="Y26" s="1810">
        <v>8</v>
      </c>
      <c r="Z26" s="1810">
        <v>8</v>
      </c>
      <c r="AA26" s="1670" t="s">
        <v>27</v>
      </c>
      <c r="AB26" s="1671">
        <f t="shared" si="2"/>
        <v>80</v>
      </c>
    </row>
    <row r="27" spans="1:28" ht="29.25" customHeight="1" x14ac:dyDescent="0.3">
      <c r="A27" s="1638">
        <v>18</v>
      </c>
      <c r="B27" s="1808">
        <v>5191421032</v>
      </c>
      <c r="C27" s="1811">
        <v>1</v>
      </c>
      <c r="D27" s="1663"/>
      <c r="E27" s="1682"/>
      <c r="F27" s="1662"/>
      <c r="G27" s="1665"/>
      <c r="H27" s="1666">
        <v>4</v>
      </c>
      <c r="I27" s="1667">
        <v>4</v>
      </c>
      <c r="J27" s="1666"/>
      <c r="K27" s="1665"/>
      <c r="L27" s="1666">
        <v>4</v>
      </c>
      <c r="M27" s="1665">
        <v>3</v>
      </c>
      <c r="N27" s="1661">
        <f t="shared" si="0"/>
        <v>16</v>
      </c>
      <c r="O27" s="1662">
        <v>1</v>
      </c>
      <c r="P27" s="1663">
        <v>2</v>
      </c>
      <c r="Q27" s="1762">
        <v>2</v>
      </c>
      <c r="R27" s="1662"/>
      <c r="S27" s="1665"/>
      <c r="T27" s="1774">
        <v>8</v>
      </c>
      <c r="U27" s="1698"/>
      <c r="V27" s="1666">
        <v>4</v>
      </c>
      <c r="W27" s="1667">
        <v>4</v>
      </c>
      <c r="X27" s="1809">
        <f t="shared" si="1"/>
        <v>21</v>
      </c>
      <c r="Y27" s="1810">
        <v>8</v>
      </c>
      <c r="Z27" s="1810">
        <v>8</v>
      </c>
      <c r="AA27" s="1670" t="s">
        <v>32</v>
      </c>
      <c r="AB27" s="1671">
        <f t="shared" si="2"/>
        <v>70</v>
      </c>
    </row>
    <row r="28" spans="1:28" ht="29.25" customHeight="1" x14ac:dyDescent="0.3">
      <c r="A28" s="1638">
        <v>19</v>
      </c>
      <c r="B28" s="1808">
        <v>5191421033</v>
      </c>
      <c r="C28" s="1809">
        <v>1</v>
      </c>
      <c r="D28" s="1671">
        <v>2</v>
      </c>
      <c r="E28" s="1665">
        <v>1</v>
      </c>
      <c r="F28" s="1666"/>
      <c r="G28" s="1665"/>
      <c r="H28" s="1666">
        <v>5</v>
      </c>
      <c r="I28" s="1667">
        <v>4</v>
      </c>
      <c r="J28" s="1666">
        <v>5</v>
      </c>
      <c r="K28" s="1665">
        <v>5</v>
      </c>
      <c r="L28" s="1666"/>
      <c r="M28" s="1665"/>
      <c r="N28" s="1661">
        <f t="shared" si="0"/>
        <v>23</v>
      </c>
      <c r="O28" s="1662">
        <v>2</v>
      </c>
      <c r="P28" s="1671">
        <v>2</v>
      </c>
      <c r="Q28" s="1779">
        <v>1</v>
      </c>
      <c r="R28" s="1666">
        <v>5</v>
      </c>
      <c r="S28" s="1665">
        <v>5</v>
      </c>
      <c r="T28" s="1774"/>
      <c r="U28" s="1698"/>
      <c r="V28" s="1666">
        <v>5</v>
      </c>
      <c r="W28" s="1667">
        <v>5</v>
      </c>
      <c r="X28" s="1809">
        <f t="shared" si="1"/>
        <v>25</v>
      </c>
      <c r="Y28" s="1810">
        <v>9</v>
      </c>
      <c r="Z28" s="1810">
        <v>9</v>
      </c>
      <c r="AA28" s="1670" t="s">
        <v>30</v>
      </c>
      <c r="AB28" s="1671">
        <f t="shared" si="2"/>
        <v>90</v>
      </c>
    </row>
    <row r="29" spans="1:28" ht="29.25" customHeight="1" x14ac:dyDescent="0.3">
      <c r="A29" s="1638">
        <v>20</v>
      </c>
      <c r="B29" s="1808">
        <v>5191421034</v>
      </c>
      <c r="C29" s="1764">
        <v>2</v>
      </c>
      <c r="D29" s="1671"/>
      <c r="E29" s="1665">
        <v>1</v>
      </c>
      <c r="F29" s="1666"/>
      <c r="G29" s="1665"/>
      <c r="H29" s="1666">
        <v>4</v>
      </c>
      <c r="I29" s="1667">
        <v>4</v>
      </c>
      <c r="J29" s="1666">
        <v>6</v>
      </c>
      <c r="K29" s="1665">
        <v>6</v>
      </c>
      <c r="L29" s="1666"/>
      <c r="M29" s="1665"/>
      <c r="N29" s="1661">
        <f t="shared" si="0"/>
        <v>23</v>
      </c>
      <c r="O29" s="1666">
        <v>1</v>
      </c>
      <c r="P29" s="1671">
        <v>2</v>
      </c>
      <c r="Q29" s="1779">
        <v>1</v>
      </c>
      <c r="R29" s="1666">
        <v>6</v>
      </c>
      <c r="S29" s="1665">
        <v>6</v>
      </c>
      <c r="T29" s="1774"/>
      <c r="U29" s="1698"/>
      <c r="V29" s="1666">
        <v>6</v>
      </c>
      <c r="W29" s="1667">
        <v>5</v>
      </c>
      <c r="X29" s="1809">
        <f t="shared" si="1"/>
        <v>27</v>
      </c>
      <c r="Y29" s="1810">
        <v>9</v>
      </c>
      <c r="Z29" s="1810">
        <v>9</v>
      </c>
      <c r="AA29" s="1670" t="s">
        <v>27</v>
      </c>
      <c r="AB29" s="1671">
        <f t="shared" si="2"/>
        <v>80</v>
      </c>
    </row>
    <row r="30" spans="1:28" ht="29.25" customHeight="1" x14ac:dyDescent="0.3">
      <c r="A30" s="1638">
        <v>21</v>
      </c>
      <c r="B30" s="1808">
        <v>5191421036</v>
      </c>
      <c r="C30" s="1809">
        <v>2</v>
      </c>
      <c r="D30" s="1671">
        <v>2</v>
      </c>
      <c r="E30" s="1665">
        <v>2</v>
      </c>
      <c r="F30" s="1666">
        <v>4</v>
      </c>
      <c r="G30" s="1665">
        <v>3</v>
      </c>
      <c r="H30" s="1666"/>
      <c r="I30" s="1667"/>
      <c r="J30" s="1666">
        <v>5</v>
      </c>
      <c r="K30" s="1665">
        <v>2</v>
      </c>
      <c r="L30" s="1666"/>
      <c r="M30" s="1665"/>
      <c r="N30" s="1661">
        <f t="shared" si="0"/>
        <v>20</v>
      </c>
      <c r="O30" s="1662">
        <v>1</v>
      </c>
      <c r="P30" s="1671">
        <v>1</v>
      </c>
      <c r="Q30" s="1779">
        <v>1</v>
      </c>
      <c r="R30" s="1666">
        <v>5</v>
      </c>
      <c r="S30" s="1665">
        <v>6</v>
      </c>
      <c r="T30" s="1774"/>
      <c r="U30" s="1698"/>
      <c r="V30" s="1666">
        <v>5</v>
      </c>
      <c r="W30" s="1667">
        <v>5</v>
      </c>
      <c r="X30" s="1809">
        <f t="shared" si="1"/>
        <v>24</v>
      </c>
      <c r="Y30" s="1810">
        <v>8</v>
      </c>
      <c r="Z30" s="1810">
        <v>8</v>
      </c>
      <c r="AA30" s="1810" t="s">
        <v>30</v>
      </c>
      <c r="AB30" s="1671">
        <f t="shared" si="2"/>
        <v>90</v>
      </c>
    </row>
    <row r="31" spans="1:28" ht="29.25" customHeight="1" x14ac:dyDescent="0.3">
      <c r="A31" s="1638">
        <v>22</v>
      </c>
      <c r="B31" s="1808">
        <v>5191421039</v>
      </c>
      <c r="C31" s="1816">
        <v>2</v>
      </c>
      <c r="D31" s="1701">
        <v>1</v>
      </c>
      <c r="E31" s="1702">
        <v>2</v>
      </c>
      <c r="F31" s="1700"/>
      <c r="G31" s="1702"/>
      <c r="H31" s="1700">
        <v>5</v>
      </c>
      <c r="I31" s="1702"/>
      <c r="J31" s="1700">
        <v>5</v>
      </c>
      <c r="K31" s="1702">
        <v>5</v>
      </c>
      <c r="L31" s="1666"/>
      <c r="M31" s="1665"/>
      <c r="N31" s="1661">
        <f t="shared" si="0"/>
        <v>20</v>
      </c>
      <c r="O31" s="1662">
        <v>2</v>
      </c>
      <c r="P31" s="1671">
        <v>2</v>
      </c>
      <c r="Q31" s="1779">
        <v>2</v>
      </c>
      <c r="R31" s="1666">
        <v>5</v>
      </c>
      <c r="S31" s="1665">
        <v>6</v>
      </c>
      <c r="T31" s="1774"/>
      <c r="U31" s="1698"/>
      <c r="V31" s="1666">
        <v>5</v>
      </c>
      <c r="W31" s="1667">
        <v>5</v>
      </c>
      <c r="X31" s="1809">
        <f t="shared" si="1"/>
        <v>27</v>
      </c>
      <c r="Y31" s="1810">
        <v>9</v>
      </c>
      <c r="Z31" s="1810">
        <v>9</v>
      </c>
      <c r="AA31" s="1810" t="s">
        <v>30</v>
      </c>
      <c r="AB31" s="1671">
        <f t="shared" si="2"/>
        <v>90</v>
      </c>
    </row>
    <row r="32" spans="1:28" ht="29.25" customHeight="1" x14ac:dyDescent="0.3">
      <c r="A32" s="1638">
        <v>23</v>
      </c>
      <c r="B32" s="1808">
        <v>5191421041</v>
      </c>
      <c r="C32" s="1809">
        <v>1</v>
      </c>
      <c r="D32" s="1671">
        <v>1</v>
      </c>
      <c r="E32" s="1665">
        <v>1</v>
      </c>
      <c r="F32" s="1666"/>
      <c r="G32" s="1665"/>
      <c r="H32" s="1666">
        <v>5</v>
      </c>
      <c r="I32" s="1667">
        <v>5</v>
      </c>
      <c r="J32" s="1666"/>
      <c r="K32" s="1665"/>
      <c r="L32" s="1666"/>
      <c r="M32" s="1665"/>
      <c r="N32" s="1661">
        <f t="shared" si="0"/>
        <v>13</v>
      </c>
      <c r="O32" s="1662">
        <v>1</v>
      </c>
      <c r="P32" s="1671">
        <v>2</v>
      </c>
      <c r="Q32" s="1779">
        <v>1</v>
      </c>
      <c r="R32" s="1666"/>
      <c r="S32" s="1665"/>
      <c r="T32" s="1774"/>
      <c r="U32" s="1698"/>
      <c r="V32" s="1666"/>
      <c r="W32" s="1667">
        <v>6</v>
      </c>
      <c r="X32" s="1809">
        <f t="shared" si="1"/>
        <v>10</v>
      </c>
      <c r="Y32" s="1810">
        <v>8</v>
      </c>
      <c r="Z32" s="1810">
        <v>8</v>
      </c>
      <c r="AA32" s="1670" t="s">
        <v>32</v>
      </c>
      <c r="AB32" s="1671">
        <f t="shared" si="2"/>
        <v>70</v>
      </c>
    </row>
    <row r="33" spans="1:28" ht="29.25" customHeight="1" x14ac:dyDescent="0.3">
      <c r="A33" s="1638">
        <v>24</v>
      </c>
      <c r="B33" s="1808">
        <v>5191421042</v>
      </c>
      <c r="C33" s="1809">
        <v>1</v>
      </c>
      <c r="D33" s="1671">
        <v>1</v>
      </c>
      <c r="E33" s="1665">
        <v>1</v>
      </c>
      <c r="F33" s="1666"/>
      <c r="G33" s="1665">
        <v>4</v>
      </c>
      <c r="H33" s="1666"/>
      <c r="I33" s="1667"/>
      <c r="J33" s="1666"/>
      <c r="K33" s="1665"/>
      <c r="L33" s="1666">
        <v>5</v>
      </c>
      <c r="M33" s="1665">
        <v>4</v>
      </c>
      <c r="N33" s="1661">
        <f t="shared" si="0"/>
        <v>16</v>
      </c>
      <c r="O33" s="1662">
        <v>2</v>
      </c>
      <c r="P33" s="1671">
        <v>2</v>
      </c>
      <c r="Q33" s="1779">
        <v>2</v>
      </c>
      <c r="R33" s="1666">
        <v>6</v>
      </c>
      <c r="S33" s="1665">
        <v>6</v>
      </c>
      <c r="T33" s="1774"/>
      <c r="U33" s="1698"/>
      <c r="V33" s="1666">
        <v>6</v>
      </c>
      <c r="W33" s="1667">
        <v>5</v>
      </c>
      <c r="X33" s="1809">
        <f t="shared" si="1"/>
        <v>29</v>
      </c>
      <c r="Y33" s="1810">
        <v>8</v>
      </c>
      <c r="Z33" s="1810">
        <v>8</v>
      </c>
      <c r="AA33" s="1670" t="s">
        <v>32</v>
      </c>
      <c r="AB33" s="1671">
        <f t="shared" si="2"/>
        <v>70</v>
      </c>
    </row>
    <row r="34" spans="1:28" ht="29.25" customHeight="1" x14ac:dyDescent="0.3">
      <c r="A34" s="1638">
        <v>25</v>
      </c>
      <c r="B34" s="1808">
        <v>5191421044</v>
      </c>
      <c r="C34" s="1809">
        <v>1</v>
      </c>
      <c r="D34" s="1671">
        <v>2</v>
      </c>
      <c r="E34" s="1665">
        <v>1</v>
      </c>
      <c r="F34" s="1666">
        <v>5</v>
      </c>
      <c r="G34" s="1665">
        <v>5</v>
      </c>
      <c r="H34" s="1666"/>
      <c r="I34" s="1667"/>
      <c r="J34" s="1666"/>
      <c r="K34" s="1665"/>
      <c r="L34" s="1666">
        <v>6</v>
      </c>
      <c r="M34" s="1665">
        <v>5</v>
      </c>
      <c r="N34" s="1661">
        <f t="shared" si="0"/>
        <v>25</v>
      </c>
      <c r="O34" s="1662">
        <v>2</v>
      </c>
      <c r="P34" s="1671">
        <v>2</v>
      </c>
      <c r="Q34" s="1779">
        <v>1</v>
      </c>
      <c r="R34" s="1666">
        <v>5</v>
      </c>
      <c r="S34" s="1665">
        <v>5</v>
      </c>
      <c r="T34" s="1774"/>
      <c r="U34" s="1698"/>
      <c r="V34" s="1666">
        <v>5</v>
      </c>
      <c r="W34" s="1667">
        <v>5</v>
      </c>
      <c r="X34" s="1809">
        <f t="shared" si="1"/>
        <v>25</v>
      </c>
      <c r="Y34" s="1810">
        <v>9</v>
      </c>
      <c r="Z34" s="1810">
        <v>9</v>
      </c>
      <c r="AA34" s="1670" t="s">
        <v>30</v>
      </c>
      <c r="AB34" s="1671">
        <f t="shared" si="2"/>
        <v>90</v>
      </c>
    </row>
    <row r="35" spans="1:28" ht="29.25" customHeight="1" x14ac:dyDescent="0.3">
      <c r="A35" s="1638">
        <v>26</v>
      </c>
      <c r="B35" s="1808">
        <v>5191421045</v>
      </c>
      <c r="C35" s="1809">
        <v>1</v>
      </c>
      <c r="D35" s="1671">
        <v>2</v>
      </c>
      <c r="E35" s="1665">
        <v>1</v>
      </c>
      <c r="F35" s="1666"/>
      <c r="G35" s="1665"/>
      <c r="H35" s="1666">
        <v>6</v>
      </c>
      <c r="I35" s="1667">
        <v>3</v>
      </c>
      <c r="J35" s="1666"/>
      <c r="K35" s="1665"/>
      <c r="L35" s="1666"/>
      <c r="M35" s="1665">
        <v>4</v>
      </c>
      <c r="N35" s="1661">
        <f t="shared" si="0"/>
        <v>17</v>
      </c>
      <c r="O35" s="1662">
        <v>2</v>
      </c>
      <c r="P35" s="1671">
        <v>2</v>
      </c>
      <c r="Q35" s="1779">
        <v>1</v>
      </c>
      <c r="R35" s="1666"/>
      <c r="S35" s="1665"/>
      <c r="T35" s="1774">
        <v>11</v>
      </c>
      <c r="U35" s="1698"/>
      <c r="V35" s="1666">
        <v>5</v>
      </c>
      <c r="W35" s="1667">
        <v>4</v>
      </c>
      <c r="X35" s="1809">
        <f t="shared" si="1"/>
        <v>25</v>
      </c>
      <c r="Y35" s="1810">
        <v>8</v>
      </c>
      <c r="Z35" s="1810">
        <v>8</v>
      </c>
      <c r="AA35" s="1670" t="s">
        <v>27</v>
      </c>
      <c r="AB35" s="1671">
        <f t="shared" si="2"/>
        <v>80</v>
      </c>
    </row>
    <row r="36" spans="1:28" ht="29.25" customHeight="1" x14ac:dyDescent="0.3">
      <c r="A36" s="1638">
        <v>27</v>
      </c>
      <c r="B36" s="1808">
        <v>5191421046</v>
      </c>
      <c r="C36" s="1809">
        <v>1</v>
      </c>
      <c r="D36" s="1671">
        <v>2</v>
      </c>
      <c r="E36" s="1665">
        <v>1</v>
      </c>
      <c r="F36" s="1666"/>
      <c r="G36" s="1665"/>
      <c r="H36" s="1666">
        <v>5</v>
      </c>
      <c r="I36" s="1667">
        <v>4</v>
      </c>
      <c r="J36" s="1666"/>
      <c r="K36" s="1665"/>
      <c r="L36" s="1666">
        <v>5</v>
      </c>
      <c r="M36" s="1665">
        <v>4</v>
      </c>
      <c r="N36" s="1661">
        <f t="shared" si="0"/>
        <v>22</v>
      </c>
      <c r="O36" s="1662">
        <v>1</v>
      </c>
      <c r="P36" s="1671">
        <v>2</v>
      </c>
      <c r="Q36" s="1779">
        <v>1</v>
      </c>
      <c r="R36" s="1666">
        <v>6</v>
      </c>
      <c r="S36" s="1665">
        <v>5</v>
      </c>
      <c r="T36" s="1774"/>
      <c r="U36" s="1698"/>
      <c r="V36" s="1666">
        <v>5</v>
      </c>
      <c r="W36" s="1667">
        <v>5</v>
      </c>
      <c r="X36" s="1809">
        <f t="shared" si="1"/>
        <v>25</v>
      </c>
      <c r="Y36" s="1810">
        <v>8</v>
      </c>
      <c r="Z36" s="1810">
        <v>8</v>
      </c>
      <c r="AA36" s="1670" t="s">
        <v>30</v>
      </c>
      <c r="AB36" s="1671">
        <f t="shared" si="2"/>
        <v>90</v>
      </c>
    </row>
    <row r="37" spans="1:28" ht="29.25" customHeight="1" x14ac:dyDescent="0.3">
      <c r="A37" s="1638">
        <v>28</v>
      </c>
      <c r="B37" s="1808">
        <v>5191421048</v>
      </c>
      <c r="C37" s="1809">
        <v>1</v>
      </c>
      <c r="D37" s="1671"/>
      <c r="E37" s="1665"/>
      <c r="F37" s="1666"/>
      <c r="G37" s="1665">
        <v>2</v>
      </c>
      <c r="H37" s="1666"/>
      <c r="I37" s="1667"/>
      <c r="J37" s="1666"/>
      <c r="K37" s="1665"/>
      <c r="L37" s="1666">
        <v>6</v>
      </c>
      <c r="M37" s="1665">
        <v>5</v>
      </c>
      <c r="N37" s="1661">
        <f t="shared" si="0"/>
        <v>14</v>
      </c>
      <c r="O37" s="1662">
        <v>2</v>
      </c>
      <c r="P37" s="1671">
        <v>2</v>
      </c>
      <c r="Q37" s="1779">
        <v>2</v>
      </c>
      <c r="R37" s="1666"/>
      <c r="S37" s="1665"/>
      <c r="T37" s="1774">
        <v>5</v>
      </c>
      <c r="U37" s="1698"/>
      <c r="V37" s="1666">
        <v>6</v>
      </c>
      <c r="W37" s="1667">
        <v>5</v>
      </c>
      <c r="X37" s="1809">
        <f t="shared" si="1"/>
        <v>22</v>
      </c>
      <c r="Y37" s="1810">
        <v>8</v>
      </c>
      <c r="Z37" s="1810">
        <v>8</v>
      </c>
      <c r="AA37" s="1810" t="s">
        <v>33</v>
      </c>
      <c r="AB37" s="1671">
        <f t="shared" si="2"/>
        <v>60</v>
      </c>
    </row>
    <row r="38" spans="1:28" ht="29.25" customHeight="1" x14ac:dyDescent="0.3">
      <c r="A38" s="1638">
        <v>29</v>
      </c>
      <c r="B38" s="1808">
        <v>5191421052</v>
      </c>
      <c r="C38" s="1809">
        <v>2</v>
      </c>
      <c r="D38" s="1671">
        <v>1</v>
      </c>
      <c r="E38" s="1665">
        <v>2</v>
      </c>
      <c r="F38" s="1666"/>
      <c r="G38" s="1665"/>
      <c r="H38" s="1666">
        <v>5</v>
      </c>
      <c r="I38" s="1667">
        <v>5</v>
      </c>
      <c r="J38" s="1666">
        <v>6</v>
      </c>
      <c r="K38" s="1665">
        <v>6</v>
      </c>
      <c r="L38" s="1666"/>
      <c r="M38" s="1665"/>
      <c r="N38" s="1661">
        <f t="shared" si="0"/>
        <v>27</v>
      </c>
      <c r="O38" s="1662">
        <v>2</v>
      </c>
      <c r="P38" s="1671">
        <v>2</v>
      </c>
      <c r="Q38" s="1779">
        <v>2</v>
      </c>
      <c r="R38" s="1666">
        <v>6</v>
      </c>
      <c r="S38" s="1665">
        <v>6</v>
      </c>
      <c r="T38" s="1774"/>
      <c r="U38" s="1698"/>
      <c r="V38" s="1666">
        <v>5</v>
      </c>
      <c r="W38" s="1667">
        <v>4</v>
      </c>
      <c r="X38" s="1809">
        <f t="shared" si="1"/>
        <v>27</v>
      </c>
      <c r="Y38" s="1810">
        <v>10</v>
      </c>
      <c r="Z38" s="1810">
        <v>10</v>
      </c>
      <c r="AA38" s="1670" t="s">
        <v>30</v>
      </c>
      <c r="AB38" s="1671">
        <f t="shared" si="2"/>
        <v>90</v>
      </c>
    </row>
    <row r="39" spans="1:28" ht="29.25" customHeight="1" x14ac:dyDescent="0.3">
      <c r="A39" s="1638">
        <v>30</v>
      </c>
      <c r="B39" s="1808">
        <v>5191421053</v>
      </c>
      <c r="C39" s="1811">
        <v>2</v>
      </c>
      <c r="D39" s="1671">
        <v>2</v>
      </c>
      <c r="E39" s="1665">
        <v>2</v>
      </c>
      <c r="F39" s="1666"/>
      <c r="G39" s="1665"/>
      <c r="H39" s="1666">
        <v>6</v>
      </c>
      <c r="I39" s="1667">
        <v>5</v>
      </c>
      <c r="J39" s="1666"/>
      <c r="K39" s="1665"/>
      <c r="L39" s="1666">
        <v>6</v>
      </c>
      <c r="M39" s="1665">
        <v>4</v>
      </c>
      <c r="N39" s="1661">
        <f t="shared" si="0"/>
        <v>27</v>
      </c>
      <c r="O39" s="1662">
        <v>2</v>
      </c>
      <c r="P39" s="1671">
        <v>2</v>
      </c>
      <c r="Q39" s="1779">
        <v>2</v>
      </c>
      <c r="R39" s="1666">
        <v>6</v>
      </c>
      <c r="S39" s="1665">
        <v>6</v>
      </c>
      <c r="T39" s="1774"/>
      <c r="U39" s="1698"/>
      <c r="V39" s="1666">
        <v>5</v>
      </c>
      <c r="W39" s="1667">
        <v>5</v>
      </c>
      <c r="X39" s="1809">
        <f t="shared" si="1"/>
        <v>28</v>
      </c>
      <c r="Y39" s="1810">
        <v>10</v>
      </c>
      <c r="Z39" s="1810">
        <v>10</v>
      </c>
      <c r="AA39" s="1670" t="s">
        <v>27</v>
      </c>
      <c r="AB39" s="1671">
        <f t="shared" si="2"/>
        <v>80</v>
      </c>
    </row>
    <row r="40" spans="1:28" ht="29.25" customHeight="1" x14ac:dyDescent="0.3">
      <c r="A40" s="1638">
        <v>31</v>
      </c>
      <c r="B40" s="1808">
        <v>5191421054</v>
      </c>
      <c r="C40" s="1764"/>
      <c r="D40" s="1671"/>
      <c r="E40" s="1665"/>
      <c r="F40" s="1666"/>
      <c r="G40" s="1665"/>
      <c r="H40" s="1666">
        <v>4</v>
      </c>
      <c r="I40" s="1667">
        <v>1</v>
      </c>
      <c r="J40" s="1666"/>
      <c r="K40" s="1665"/>
      <c r="L40" s="1666">
        <v>5</v>
      </c>
      <c r="M40" s="1665">
        <v>2</v>
      </c>
      <c r="N40" s="1661">
        <f t="shared" si="0"/>
        <v>12</v>
      </c>
      <c r="O40" s="1662">
        <v>2</v>
      </c>
      <c r="P40" s="1671">
        <v>2</v>
      </c>
      <c r="Q40" s="1779">
        <v>2</v>
      </c>
      <c r="R40" s="1666"/>
      <c r="S40" s="1665"/>
      <c r="T40" s="1774">
        <v>4</v>
      </c>
      <c r="U40" s="1698"/>
      <c r="V40" s="1666"/>
      <c r="W40" s="1667"/>
      <c r="X40" s="1809">
        <f t="shared" si="1"/>
        <v>10</v>
      </c>
      <c r="Y40" s="1810">
        <v>8</v>
      </c>
      <c r="Z40" s="1810">
        <v>8</v>
      </c>
      <c r="AA40" s="1670" t="s">
        <v>33</v>
      </c>
      <c r="AB40" s="1671">
        <f t="shared" si="2"/>
        <v>60</v>
      </c>
    </row>
    <row r="41" spans="1:28" ht="29.25" customHeight="1" x14ac:dyDescent="0.3">
      <c r="A41" s="1638">
        <v>32</v>
      </c>
      <c r="B41" s="1808">
        <v>5191421056</v>
      </c>
      <c r="C41" s="1817">
        <v>1</v>
      </c>
      <c r="D41" s="1654">
        <v>2</v>
      </c>
      <c r="E41" s="1655">
        <v>2</v>
      </c>
      <c r="F41" s="1700"/>
      <c r="G41" s="1702"/>
      <c r="H41" s="1700">
        <v>4</v>
      </c>
      <c r="I41" s="1702">
        <v>4</v>
      </c>
      <c r="J41" s="1700">
        <v>4</v>
      </c>
      <c r="K41" s="1702">
        <v>3</v>
      </c>
      <c r="L41" s="1666"/>
      <c r="M41" s="1665"/>
      <c r="N41" s="1661">
        <f t="shared" si="0"/>
        <v>20</v>
      </c>
      <c r="O41" s="1666">
        <v>2</v>
      </c>
      <c r="P41" s="1671">
        <v>2</v>
      </c>
      <c r="Q41" s="1779">
        <v>1</v>
      </c>
      <c r="R41" s="1666">
        <v>5</v>
      </c>
      <c r="S41" s="1665"/>
      <c r="T41" s="1774"/>
      <c r="U41" s="1698"/>
      <c r="V41" s="1666">
        <v>5</v>
      </c>
      <c r="W41" s="1667">
        <v>5</v>
      </c>
      <c r="X41" s="1809">
        <f t="shared" si="1"/>
        <v>20</v>
      </c>
      <c r="Y41" s="1810">
        <v>8</v>
      </c>
      <c r="Z41" s="1810">
        <v>8</v>
      </c>
      <c r="AA41" s="1670" t="s">
        <v>32</v>
      </c>
      <c r="AB41" s="1671">
        <f t="shared" si="2"/>
        <v>70</v>
      </c>
    </row>
    <row r="42" spans="1:28" ht="29.25" customHeight="1" x14ac:dyDescent="0.3">
      <c r="A42" s="1638">
        <v>33</v>
      </c>
      <c r="B42" s="1808">
        <v>5191421057</v>
      </c>
      <c r="C42" s="1809">
        <v>2</v>
      </c>
      <c r="D42" s="1671">
        <v>2</v>
      </c>
      <c r="E42" s="1665">
        <v>2</v>
      </c>
      <c r="F42" s="1666"/>
      <c r="G42" s="1665"/>
      <c r="H42" s="1666">
        <v>5</v>
      </c>
      <c r="I42" s="1667">
        <v>4</v>
      </c>
      <c r="J42" s="1666"/>
      <c r="K42" s="1665"/>
      <c r="L42" s="1666">
        <v>6</v>
      </c>
      <c r="M42" s="1665">
        <v>6</v>
      </c>
      <c r="N42" s="1661">
        <f t="shared" si="0"/>
        <v>27</v>
      </c>
      <c r="O42" s="1662">
        <v>2</v>
      </c>
      <c r="P42" s="1671">
        <v>2</v>
      </c>
      <c r="Q42" s="1779">
        <v>2</v>
      </c>
      <c r="R42" s="1666">
        <v>6</v>
      </c>
      <c r="S42" s="1665">
        <v>6</v>
      </c>
      <c r="T42" s="1774"/>
      <c r="U42" s="1698"/>
      <c r="V42" s="1666"/>
      <c r="W42" s="1667">
        <v>5</v>
      </c>
      <c r="X42" s="1809">
        <f t="shared" si="1"/>
        <v>23</v>
      </c>
      <c r="Y42" s="1810">
        <v>9</v>
      </c>
      <c r="Z42" s="1810">
        <v>9</v>
      </c>
      <c r="AA42" s="1705" t="s">
        <v>30</v>
      </c>
      <c r="AB42" s="1671">
        <f t="shared" si="2"/>
        <v>90</v>
      </c>
    </row>
    <row r="43" spans="1:28" ht="29.25" customHeight="1" x14ac:dyDescent="0.3">
      <c r="A43" s="1638">
        <v>34</v>
      </c>
      <c r="B43" s="1808">
        <v>5191421058</v>
      </c>
      <c r="C43" s="1662">
        <v>1</v>
      </c>
      <c r="D43" s="1671"/>
      <c r="E43" s="1665">
        <v>1</v>
      </c>
      <c r="F43" s="1666"/>
      <c r="G43" s="1665"/>
      <c r="H43" s="1666">
        <v>5</v>
      </c>
      <c r="I43" s="1667">
        <v>6</v>
      </c>
      <c r="J43" s="1666"/>
      <c r="K43" s="1665"/>
      <c r="L43" s="1666">
        <v>6</v>
      </c>
      <c r="M43" s="1665"/>
      <c r="N43" s="1661">
        <f t="shared" si="0"/>
        <v>19</v>
      </c>
      <c r="O43" s="1666">
        <v>2</v>
      </c>
      <c r="P43" s="1671">
        <v>2</v>
      </c>
      <c r="Q43" s="1779">
        <v>2</v>
      </c>
      <c r="R43" s="1666"/>
      <c r="S43" s="1665"/>
      <c r="T43" s="1774">
        <v>6</v>
      </c>
      <c r="U43" s="1698"/>
      <c r="V43" s="1666">
        <v>5</v>
      </c>
      <c r="W43" s="1667">
        <v>5</v>
      </c>
      <c r="X43" s="1809">
        <f t="shared" si="1"/>
        <v>22</v>
      </c>
      <c r="Y43" s="1810">
        <v>8</v>
      </c>
      <c r="Z43" s="1810">
        <v>8</v>
      </c>
      <c r="AA43" s="1715" t="s">
        <v>32</v>
      </c>
      <c r="AB43" s="1671">
        <f t="shared" si="2"/>
        <v>70</v>
      </c>
    </row>
    <row r="44" spans="1:28" ht="29.25" customHeight="1" x14ac:dyDescent="0.3">
      <c r="C44" s="1716">
        <f t="shared" ref="C44:M44" si="3">COUNT(C11:C43)</f>
        <v>29</v>
      </c>
      <c r="D44" s="1716">
        <f t="shared" si="3"/>
        <v>25</v>
      </c>
      <c r="E44" s="1716">
        <f t="shared" si="3"/>
        <v>24</v>
      </c>
      <c r="F44" s="1716">
        <f t="shared" si="3"/>
        <v>7</v>
      </c>
      <c r="G44" s="1716">
        <f t="shared" si="3"/>
        <v>12</v>
      </c>
      <c r="H44" s="1716">
        <f t="shared" si="3"/>
        <v>21</v>
      </c>
      <c r="I44" s="1716">
        <f t="shared" si="3"/>
        <v>19</v>
      </c>
      <c r="J44" s="1716">
        <f t="shared" si="3"/>
        <v>9</v>
      </c>
      <c r="K44" s="1716">
        <f t="shared" si="3"/>
        <v>9</v>
      </c>
      <c r="L44" s="1716">
        <f t="shared" si="3"/>
        <v>21</v>
      </c>
      <c r="M44" s="1716">
        <f t="shared" si="3"/>
        <v>20</v>
      </c>
      <c r="N44" s="1716"/>
      <c r="O44" s="1716">
        <f t="shared" ref="O44:W44" si="4">COUNT(O10:O43)</f>
        <v>33</v>
      </c>
      <c r="P44" s="1716">
        <f t="shared" si="4"/>
        <v>34</v>
      </c>
      <c r="Q44" s="1716">
        <f t="shared" si="4"/>
        <v>32</v>
      </c>
      <c r="R44" s="1716">
        <f t="shared" si="4"/>
        <v>23</v>
      </c>
      <c r="S44" s="1716">
        <f t="shared" si="4"/>
        <v>22</v>
      </c>
      <c r="T44" s="1716">
        <f t="shared" si="4"/>
        <v>9</v>
      </c>
      <c r="U44" s="1716">
        <f t="shared" si="4"/>
        <v>1</v>
      </c>
      <c r="V44" s="1716">
        <f t="shared" si="4"/>
        <v>29</v>
      </c>
      <c r="W44" s="1716">
        <f t="shared" si="4"/>
        <v>29</v>
      </c>
      <c r="Y44" s="1038"/>
    </row>
    <row r="45" spans="1:28" ht="29.25" customHeight="1" x14ac:dyDescent="0.3">
      <c r="A45" s="1717" t="s">
        <v>34</v>
      </c>
      <c r="B45" s="1650">
        <v>55</v>
      </c>
      <c r="C45" s="1718">
        <f>C9*(B45/100)</f>
        <v>1.1000000000000001</v>
      </c>
      <c r="D45" s="1718">
        <f>D9*(B45/100)</f>
        <v>1.1000000000000001</v>
      </c>
      <c r="E45" s="1718">
        <f>E9*(B45/100)</f>
        <v>1.1000000000000001</v>
      </c>
      <c r="F45" s="1718">
        <f>F9*(B45/100)</f>
        <v>3.3000000000000003</v>
      </c>
      <c r="G45" s="1718">
        <v>3</v>
      </c>
      <c r="H45" s="1718">
        <v>3</v>
      </c>
      <c r="I45" s="1718">
        <v>3</v>
      </c>
      <c r="J45" s="1718">
        <v>3</v>
      </c>
      <c r="K45" s="1718">
        <v>3</v>
      </c>
      <c r="L45" s="1718">
        <v>3</v>
      </c>
      <c r="M45" s="1718">
        <v>3</v>
      </c>
      <c r="N45" s="1716"/>
      <c r="O45" s="1718">
        <f>O9*(B45/100)</f>
        <v>1.1000000000000001</v>
      </c>
      <c r="P45" s="1718">
        <f>P9*(B45/100)</f>
        <v>1.1000000000000001</v>
      </c>
      <c r="Q45" s="1718">
        <f>Q9*(B45/100)</f>
        <v>1.1000000000000001</v>
      </c>
      <c r="R45" s="1718">
        <f>R9*(B45/100)</f>
        <v>3.3000000000000003</v>
      </c>
      <c r="S45" s="1718">
        <f>S9*(B45/100)</f>
        <v>3.3000000000000003</v>
      </c>
      <c r="T45" s="1718">
        <f>T9*(C45/100)</f>
        <v>0.13200000000000001</v>
      </c>
      <c r="U45" s="1718">
        <f>U9*(B45/100)</f>
        <v>6.6000000000000005</v>
      </c>
      <c r="V45" s="1718">
        <f>V9*(C45/100)</f>
        <v>6.6000000000000003E-2</v>
      </c>
      <c r="W45" s="1718">
        <f>W9*(D45/100)</f>
        <v>6.6000000000000003E-2</v>
      </c>
      <c r="Y45" s="1038"/>
    </row>
    <row r="46" spans="1:28" ht="29.25" customHeight="1" x14ac:dyDescent="0.3">
      <c r="A46" s="3692" t="s">
        <v>35</v>
      </c>
      <c r="B46" s="3692"/>
      <c r="C46" s="1716">
        <f t="shared" ref="C46:M46" si="5">COUNTIF(C11:C43,"&gt;=" &amp;C45)</f>
        <v>13</v>
      </c>
      <c r="D46" s="1716">
        <f t="shared" si="5"/>
        <v>14</v>
      </c>
      <c r="E46" s="1716">
        <f t="shared" si="5"/>
        <v>10</v>
      </c>
      <c r="F46" s="1716">
        <f t="shared" si="5"/>
        <v>5</v>
      </c>
      <c r="G46" s="1716">
        <f t="shared" si="5"/>
        <v>11</v>
      </c>
      <c r="H46" s="1716">
        <f t="shared" si="5"/>
        <v>20</v>
      </c>
      <c r="I46" s="1716">
        <f t="shared" si="5"/>
        <v>17</v>
      </c>
      <c r="J46" s="1716">
        <f t="shared" si="5"/>
        <v>9</v>
      </c>
      <c r="K46" s="1716">
        <f t="shared" si="5"/>
        <v>8</v>
      </c>
      <c r="L46" s="1716">
        <f t="shared" si="5"/>
        <v>21</v>
      </c>
      <c r="M46" s="1716">
        <f t="shared" si="5"/>
        <v>19</v>
      </c>
      <c r="N46" s="1716"/>
      <c r="O46" s="1716">
        <f t="shared" ref="O46:W46" si="6">COUNTIF(O10:O43,"&gt;=" &amp;O45)</f>
        <v>23</v>
      </c>
      <c r="P46" s="1716">
        <f t="shared" si="6"/>
        <v>31</v>
      </c>
      <c r="Q46" s="1716">
        <f t="shared" si="6"/>
        <v>16</v>
      </c>
      <c r="R46" s="1716">
        <f t="shared" si="6"/>
        <v>23</v>
      </c>
      <c r="S46" s="1716">
        <f t="shared" si="6"/>
        <v>22</v>
      </c>
      <c r="T46" s="1716">
        <f t="shared" si="6"/>
        <v>9</v>
      </c>
      <c r="U46" s="1716">
        <f t="shared" si="6"/>
        <v>1</v>
      </c>
      <c r="V46" s="1716">
        <f t="shared" si="6"/>
        <v>29</v>
      </c>
      <c r="W46" s="1716">
        <f t="shared" si="6"/>
        <v>29</v>
      </c>
      <c r="Y46" s="1038"/>
      <c r="AB46" s="1716">
        <f>COUNTIF(AB10:AB43,"&gt;="&amp;B45)</f>
        <v>34</v>
      </c>
    </row>
    <row r="47" spans="1:28" ht="29.25" customHeight="1" x14ac:dyDescent="0.3">
      <c r="A47" s="3693" t="s">
        <v>36</v>
      </c>
      <c r="B47" s="3693"/>
      <c r="C47" s="1716">
        <f t="shared" ref="C47:W47" si="7">C46/C44</f>
        <v>0.44827586206896552</v>
      </c>
      <c r="D47" s="1716">
        <f t="shared" si="7"/>
        <v>0.56000000000000005</v>
      </c>
      <c r="E47" s="1716">
        <f t="shared" si="7"/>
        <v>0.41666666666666669</v>
      </c>
      <c r="F47" s="1716">
        <f t="shared" si="7"/>
        <v>0.7142857142857143</v>
      </c>
      <c r="G47" s="1716">
        <f t="shared" si="7"/>
        <v>0.91666666666666663</v>
      </c>
      <c r="H47" s="1716">
        <f t="shared" si="7"/>
        <v>0.95238095238095233</v>
      </c>
      <c r="I47" s="1716">
        <f t="shared" si="7"/>
        <v>0.89473684210526316</v>
      </c>
      <c r="J47" s="1716">
        <f t="shared" si="7"/>
        <v>1</v>
      </c>
      <c r="K47" s="1716">
        <f t="shared" si="7"/>
        <v>0.88888888888888884</v>
      </c>
      <c r="L47" s="1716">
        <f t="shared" si="7"/>
        <v>1</v>
      </c>
      <c r="M47" s="1716">
        <f t="shared" si="7"/>
        <v>0.95</v>
      </c>
      <c r="N47" s="1716"/>
      <c r="O47" s="1716">
        <f t="shared" si="7"/>
        <v>0.69696969696969702</v>
      </c>
      <c r="P47" s="1716">
        <f t="shared" si="7"/>
        <v>0.91176470588235292</v>
      </c>
      <c r="Q47" s="1716">
        <f t="shared" si="7"/>
        <v>0.5</v>
      </c>
      <c r="R47" s="1716">
        <f t="shared" si="7"/>
        <v>1</v>
      </c>
      <c r="S47" s="1716">
        <f t="shared" si="7"/>
        <v>1</v>
      </c>
      <c r="T47" s="1716">
        <f t="shared" si="7"/>
        <v>1</v>
      </c>
      <c r="U47" s="1716">
        <f t="shared" si="7"/>
        <v>1</v>
      </c>
      <c r="V47" s="1716">
        <f t="shared" si="7"/>
        <v>1</v>
      </c>
      <c r="W47" s="1716">
        <f t="shared" si="7"/>
        <v>1</v>
      </c>
      <c r="Y47" s="1038"/>
      <c r="AB47" s="1716">
        <f>(AB46/A43)*100</f>
        <v>100</v>
      </c>
    </row>
    <row r="48" spans="1:28" ht="29.25" customHeight="1" x14ac:dyDescent="0.3">
      <c r="C48" s="1638" t="s">
        <v>41</v>
      </c>
      <c r="D48" s="1638" t="s">
        <v>23</v>
      </c>
      <c r="E48" s="1638" t="s">
        <v>21</v>
      </c>
      <c r="F48" s="1638" t="s">
        <v>23</v>
      </c>
      <c r="G48" s="1638" t="s">
        <v>23</v>
      </c>
      <c r="H48" s="1638" t="s">
        <v>20</v>
      </c>
      <c r="I48" s="1638" t="s">
        <v>20</v>
      </c>
      <c r="J48" s="1806" t="s">
        <v>21</v>
      </c>
      <c r="K48" s="1638" t="s">
        <v>40</v>
      </c>
      <c r="L48" s="1638" t="s">
        <v>22</v>
      </c>
      <c r="M48" s="1638" t="s">
        <v>22</v>
      </c>
      <c r="N48" s="1716"/>
      <c r="O48" s="1637" t="s">
        <v>41</v>
      </c>
      <c r="P48" s="1638" t="s">
        <v>42</v>
      </c>
      <c r="Q48" s="1752" t="s">
        <v>43</v>
      </c>
      <c r="R48" s="1637" t="s">
        <v>41</v>
      </c>
      <c r="S48" s="1639" t="s">
        <v>43</v>
      </c>
      <c r="T48" s="1822" t="s">
        <v>41</v>
      </c>
      <c r="U48" s="1646" t="s">
        <v>42</v>
      </c>
      <c r="V48" s="1637" t="s">
        <v>43</v>
      </c>
      <c r="W48" s="1639" t="s">
        <v>41</v>
      </c>
      <c r="X48" s="1716"/>
      <c r="Y48" s="1716"/>
    </row>
    <row r="50" spans="1:25" ht="29.25" customHeight="1" x14ac:dyDescent="0.3">
      <c r="D50" s="1650" t="s">
        <v>38</v>
      </c>
      <c r="E50" s="3694" t="s">
        <v>39</v>
      </c>
      <c r="F50" s="3694"/>
      <c r="G50" s="3694" t="s">
        <v>37</v>
      </c>
      <c r="H50" s="3694"/>
      <c r="I50" s="3694"/>
      <c r="J50" s="1719"/>
      <c r="K50" s="1650"/>
    </row>
    <row r="51" spans="1:25" ht="29.25" customHeight="1" x14ac:dyDescent="0.3">
      <c r="B51" s="1650" t="s">
        <v>22</v>
      </c>
      <c r="C51" s="1716">
        <f>AVERAGE(H47,I47,L47,M47)*100</f>
        <v>94.927944862155385</v>
      </c>
      <c r="D51" s="1716">
        <f t="shared" ref="D51:D55" si="8">IF(C51&gt;=70,3,IF(AND(C51&gt;=60,C51&lt;70),2,IF(AND(C51&gt;=50,C51&lt;60),1)))</f>
        <v>3</v>
      </c>
      <c r="E51" s="3740">
        <f>IF(AB47&gt;=70,3,IF(AND(AB47&gt;=60,AB47&lt;70),2,IF(AND(AB47&gt;=50,AB47&lt;60),1)))</f>
        <v>3</v>
      </c>
      <c r="F51" s="3740"/>
      <c r="G51" s="1720">
        <f>(70/100)*E51+(30/100)*D51</f>
        <v>2.9999999999999996</v>
      </c>
      <c r="H51" s="1720"/>
      <c r="I51" s="1720"/>
      <c r="J51" s="1720"/>
      <c r="K51" s="1720"/>
    </row>
    <row r="52" spans="1:25" ht="29.25" customHeight="1" x14ac:dyDescent="0.3">
      <c r="B52" s="1650" t="s">
        <v>40</v>
      </c>
      <c r="C52" s="1716">
        <f>AVERAGE(E47,J47,K47)*100</f>
        <v>76.851851851851848</v>
      </c>
      <c r="D52" s="1716">
        <f t="shared" si="8"/>
        <v>3</v>
      </c>
      <c r="E52" s="3740">
        <f>IF(AB47&gt;=70,3,IF(AND(AB47&gt;=60,AB47&lt;70),2,IF(AND(AB47&gt;=50,AB47&lt;60),1)))</f>
        <v>3</v>
      </c>
      <c r="F52" s="3740"/>
      <c r="G52" s="1720">
        <f t="shared" ref="G52:G54" si="9">(70/100)*E52+(30/100)*D52</f>
        <v>2.9999999999999996</v>
      </c>
      <c r="H52" s="1720"/>
      <c r="I52" s="1720"/>
      <c r="J52" s="1720"/>
      <c r="K52" s="1720"/>
    </row>
    <row r="53" spans="1:25" ht="29.25" customHeight="1" x14ac:dyDescent="0.3">
      <c r="B53" s="1650" t="s">
        <v>41</v>
      </c>
      <c r="C53" s="1716">
        <f>AVERAGE(C47,D47,F47,G47,O47,R47,T47,W47)*100</f>
        <v>79.202474249888041</v>
      </c>
      <c r="D53" s="1716">
        <f t="shared" si="8"/>
        <v>3</v>
      </c>
      <c r="E53" s="3740">
        <f>IF(AB47&gt;=70,3,IF(AND(AB47&gt;=60,AB47&lt;70),2,IF(AND(AB47&gt;=50,AB47&lt;60),1)))</f>
        <v>3</v>
      </c>
      <c r="F53" s="3740"/>
      <c r="G53" s="1720">
        <f t="shared" si="9"/>
        <v>2.9999999999999996</v>
      </c>
      <c r="H53" s="1720"/>
      <c r="I53" s="1720"/>
      <c r="J53" s="1720"/>
      <c r="K53" s="1720"/>
    </row>
    <row r="54" spans="1:25" ht="29.25" customHeight="1" x14ac:dyDescent="0.3">
      <c r="B54" s="1650" t="s">
        <v>42</v>
      </c>
      <c r="C54" s="1716">
        <f>AVERAGE(P47,U47)*100</f>
        <v>95.588235294117638</v>
      </c>
      <c r="D54" s="1716">
        <f t="shared" si="8"/>
        <v>3</v>
      </c>
      <c r="E54" s="3740">
        <f>IF(AB47&gt;=70,3,IF(AND(AB47&gt;=60,AB47&lt;70),2,IF(AND(AB47&gt;=50,AB47&lt;60),1)))</f>
        <v>3</v>
      </c>
      <c r="F54" s="3740"/>
      <c r="G54" s="1720">
        <f t="shared" si="9"/>
        <v>2.9999999999999996</v>
      </c>
      <c r="H54" s="1720"/>
      <c r="I54" s="1720"/>
      <c r="J54" s="1720"/>
      <c r="K54" s="1720"/>
    </row>
    <row r="55" spans="1:25" ht="29.25" customHeight="1" x14ac:dyDescent="0.3">
      <c r="B55" s="1650" t="s">
        <v>43</v>
      </c>
      <c r="C55" s="1716">
        <f>AVERAGE(Q47,S47,V47)*100</f>
        <v>83.333333333333343</v>
      </c>
      <c r="D55" s="1716">
        <f t="shared" si="8"/>
        <v>3</v>
      </c>
      <c r="E55" s="3740">
        <f>IF(AB47&gt;=70,3,IF(AND(AB47&gt;=60,AB47&lt;70),2,IF(AND(AB47&gt;=50,AB47&lt;60),1)))</f>
        <v>3</v>
      </c>
      <c r="F55" s="3740"/>
      <c r="G55" s="1720">
        <f>(70/100)*E55+(30/100)*D55</f>
        <v>2.9999999999999996</v>
      </c>
      <c r="H55" s="1720"/>
      <c r="I55" s="1720"/>
      <c r="J55" s="1720"/>
      <c r="K55" s="1720"/>
    </row>
    <row r="56" spans="1:25" ht="29.25" customHeight="1" x14ac:dyDescent="0.3">
      <c r="B56" s="2775" t="s">
        <v>44</v>
      </c>
      <c r="C56" s="2775"/>
      <c r="D56" s="2775"/>
      <c r="E56" s="2775"/>
      <c r="F56" s="2775"/>
      <c r="G56" s="1721">
        <f>AVERAGE(G51:G55)</f>
        <v>2.9999999999999996</v>
      </c>
      <c r="H56" s="1721"/>
      <c r="I56" s="1721"/>
      <c r="J56" s="1721"/>
      <c r="K56" s="1721"/>
    </row>
    <row r="58" spans="1:25" ht="29.25" customHeight="1" x14ac:dyDescent="0.3">
      <c r="A58" s="2775" t="s">
        <v>134</v>
      </c>
      <c r="B58" s="2775"/>
    </row>
    <row r="60" spans="1:25" ht="29.25" customHeight="1" x14ac:dyDescent="0.3">
      <c r="B60" s="1654" t="s">
        <v>45</v>
      </c>
      <c r="C60" s="1795" t="s">
        <v>68</v>
      </c>
      <c r="D60" s="1795" t="s">
        <v>69</v>
      </c>
      <c r="E60" s="1795" t="s">
        <v>70</v>
      </c>
      <c r="F60" s="1795" t="s">
        <v>71</v>
      </c>
      <c r="G60" s="1795" t="s">
        <v>72</v>
      </c>
      <c r="H60" s="1795" t="s">
        <v>73</v>
      </c>
      <c r="I60" s="1795" t="s">
        <v>74</v>
      </c>
      <c r="J60" s="1796" t="s">
        <v>75</v>
      </c>
      <c r="K60" s="1795" t="s">
        <v>76</v>
      </c>
      <c r="L60" s="1795" t="s">
        <v>77</v>
      </c>
      <c r="M60" s="1795" t="s">
        <v>78</v>
      </c>
      <c r="N60" s="1795" t="s">
        <v>79</v>
      </c>
      <c r="T60" s="1724"/>
      <c r="Y60" s="1038"/>
    </row>
    <row r="61" spans="1:25" ht="29.25" customHeight="1" x14ac:dyDescent="0.3">
      <c r="B61" s="1797" t="s">
        <v>20</v>
      </c>
      <c r="C61" s="1820">
        <v>3</v>
      </c>
      <c r="D61" s="1820">
        <v>3</v>
      </c>
      <c r="E61" s="1820">
        <v>1</v>
      </c>
      <c r="F61" s="1820"/>
      <c r="G61" s="1820"/>
      <c r="H61" s="1820"/>
      <c r="I61" s="1820">
        <v>2</v>
      </c>
      <c r="J61" s="1820"/>
      <c r="K61" s="1820">
        <v>3</v>
      </c>
      <c r="L61" s="1820">
        <v>2</v>
      </c>
      <c r="M61" s="1820"/>
      <c r="N61" s="1820"/>
      <c r="T61" s="1724"/>
      <c r="Y61" s="1038"/>
    </row>
    <row r="62" spans="1:25" ht="29.25" customHeight="1" x14ac:dyDescent="0.3">
      <c r="B62" s="1797" t="s">
        <v>21</v>
      </c>
      <c r="C62" s="1820">
        <v>3</v>
      </c>
      <c r="D62" s="1820">
        <v>3</v>
      </c>
      <c r="E62" s="1820">
        <v>3</v>
      </c>
      <c r="F62" s="1820">
        <v>3</v>
      </c>
      <c r="G62" s="1820">
        <v>3</v>
      </c>
      <c r="H62" s="1820"/>
      <c r="I62" s="1820">
        <v>2</v>
      </c>
      <c r="J62" s="1820"/>
      <c r="K62" s="1820">
        <v>3</v>
      </c>
      <c r="L62" s="1820">
        <v>2</v>
      </c>
      <c r="M62" s="1820"/>
      <c r="N62" s="1820">
        <v>2</v>
      </c>
      <c r="T62" s="1724"/>
      <c r="Y62" s="1038"/>
    </row>
    <row r="63" spans="1:25" ht="29.25" customHeight="1" x14ac:dyDescent="0.3">
      <c r="B63" s="1797" t="s">
        <v>23</v>
      </c>
      <c r="C63" s="1820">
        <v>3</v>
      </c>
      <c r="D63" s="1820">
        <v>2</v>
      </c>
      <c r="E63" s="1820">
        <v>3</v>
      </c>
      <c r="F63" s="1820">
        <v>2</v>
      </c>
      <c r="G63" s="1820">
        <v>3</v>
      </c>
      <c r="H63" s="1820"/>
      <c r="I63" s="1820">
        <v>3</v>
      </c>
      <c r="J63" s="1820"/>
      <c r="K63" s="1820">
        <v>3</v>
      </c>
      <c r="L63" s="1820">
        <v>2</v>
      </c>
      <c r="M63" s="1820"/>
      <c r="N63" s="1820">
        <v>2</v>
      </c>
      <c r="T63" s="1724"/>
      <c r="Y63" s="1038"/>
    </row>
    <row r="64" spans="1:25" ht="29.25" customHeight="1" x14ac:dyDescent="0.3">
      <c r="B64" s="1797" t="s">
        <v>25</v>
      </c>
      <c r="C64" s="1820">
        <v>3</v>
      </c>
      <c r="D64" s="1820">
        <v>3</v>
      </c>
      <c r="E64" s="1820">
        <v>2</v>
      </c>
      <c r="F64" s="1820">
        <v>2</v>
      </c>
      <c r="G64" s="1820">
        <v>3</v>
      </c>
      <c r="H64" s="1820"/>
      <c r="I64" s="1820">
        <v>3</v>
      </c>
      <c r="J64" s="1820"/>
      <c r="K64" s="1820">
        <v>3</v>
      </c>
      <c r="L64" s="1820"/>
      <c r="M64" s="1820"/>
      <c r="N64" s="1820">
        <v>2</v>
      </c>
      <c r="T64" s="1724"/>
      <c r="Y64" s="1038"/>
    </row>
    <row r="65" spans="1:25" ht="29.25" customHeight="1" x14ac:dyDescent="0.3">
      <c r="B65" s="1797" t="s">
        <v>24</v>
      </c>
      <c r="C65" s="1820">
        <v>3</v>
      </c>
      <c r="D65" s="1820">
        <v>2</v>
      </c>
      <c r="E65" s="1820">
        <v>2</v>
      </c>
      <c r="F65" s="1820">
        <v>2</v>
      </c>
      <c r="G65" s="1820">
        <v>3</v>
      </c>
      <c r="H65" s="1820"/>
      <c r="I65" s="1820">
        <v>2</v>
      </c>
      <c r="J65" s="1820"/>
      <c r="K65" s="1820">
        <v>3</v>
      </c>
      <c r="L65" s="1820">
        <v>3</v>
      </c>
      <c r="M65" s="1820"/>
      <c r="N65" s="1820">
        <v>3</v>
      </c>
      <c r="T65" s="1724"/>
      <c r="Y65" s="1038"/>
    </row>
    <row r="66" spans="1:25" ht="29.25" customHeight="1" x14ac:dyDescent="0.3">
      <c r="B66" s="1798" t="s">
        <v>10</v>
      </c>
      <c r="C66" s="1671">
        <f>AVERAGE(C61:C65)</f>
        <v>3</v>
      </c>
      <c r="D66" s="1671">
        <f t="shared" ref="D66:N66" si="10">AVERAGE(D61:D65)</f>
        <v>2.6</v>
      </c>
      <c r="E66" s="1671">
        <f t="shared" si="10"/>
        <v>2.2000000000000002</v>
      </c>
      <c r="F66" s="1671">
        <f t="shared" si="10"/>
        <v>2.25</v>
      </c>
      <c r="G66" s="1671">
        <f t="shared" si="10"/>
        <v>3</v>
      </c>
      <c r="H66" s="1671"/>
      <c r="I66" s="1671">
        <f t="shared" si="10"/>
        <v>2.4</v>
      </c>
      <c r="J66" s="1671"/>
      <c r="K66" s="1671">
        <f t="shared" si="10"/>
        <v>3</v>
      </c>
      <c r="L66" s="1671">
        <f t="shared" si="10"/>
        <v>2.25</v>
      </c>
      <c r="M66" s="1671"/>
      <c r="N66" s="1671">
        <f t="shared" si="10"/>
        <v>2.25</v>
      </c>
      <c r="T66" s="1724"/>
      <c r="Y66" s="1038"/>
    </row>
    <row r="67" spans="1:25" ht="29.25" customHeight="1" x14ac:dyDescent="0.3">
      <c r="B67" s="1729" t="s">
        <v>58</v>
      </c>
      <c r="C67" s="3684">
        <f>AVERAGE(C66:N66)</f>
        <v>2.5500000000000003</v>
      </c>
      <c r="D67" s="3684"/>
      <c r="E67" s="3684"/>
      <c r="F67" s="3684"/>
      <c r="G67" s="3684"/>
      <c r="H67" s="3684"/>
      <c r="I67" s="3684"/>
      <c r="J67" s="3684"/>
      <c r="K67" s="3684"/>
      <c r="L67" s="3684"/>
      <c r="M67" s="3684"/>
      <c r="N67" s="3684"/>
      <c r="O67" s="1730"/>
      <c r="P67" s="1730"/>
      <c r="Q67" s="1730"/>
      <c r="R67" s="1730"/>
    </row>
    <row r="68" spans="1:25" ht="29.25" customHeight="1" x14ac:dyDescent="0.3">
      <c r="C68" s="1731"/>
    </row>
    <row r="70" spans="1:25" ht="29.25" customHeight="1" x14ac:dyDescent="0.3">
      <c r="A70" s="2775" t="s">
        <v>148</v>
      </c>
      <c r="B70" s="2775"/>
    </row>
    <row r="72" spans="1:25" ht="29.25" customHeight="1" x14ac:dyDescent="0.3">
      <c r="B72" s="1654" t="s">
        <v>45</v>
      </c>
      <c r="C72" s="1795" t="s">
        <v>68</v>
      </c>
      <c r="D72" s="1795" t="s">
        <v>69</v>
      </c>
      <c r="E72" s="1795" t="s">
        <v>70</v>
      </c>
      <c r="F72" s="1795" t="s">
        <v>71</v>
      </c>
      <c r="G72" s="1795" t="s">
        <v>72</v>
      </c>
      <c r="H72" s="1795" t="s">
        <v>73</v>
      </c>
      <c r="I72" s="1795" t="s">
        <v>74</v>
      </c>
      <c r="J72" s="1796" t="s">
        <v>75</v>
      </c>
      <c r="K72" s="1795" t="s">
        <v>76</v>
      </c>
      <c r="L72" s="1795" t="s">
        <v>77</v>
      </c>
      <c r="M72" s="1795" t="s">
        <v>78</v>
      </c>
      <c r="N72" s="1795" t="s">
        <v>79</v>
      </c>
      <c r="S72" s="1039"/>
      <c r="T72" s="1626"/>
      <c r="Y72" s="1038"/>
    </row>
    <row r="73" spans="1:25" ht="29.25" customHeight="1" x14ac:dyDescent="0.3">
      <c r="B73" s="1797" t="s">
        <v>20</v>
      </c>
      <c r="C73" s="1732">
        <f>G51*C61/3</f>
        <v>2.9999999999999996</v>
      </c>
      <c r="D73" s="1732">
        <f>G51*D61/3</f>
        <v>2.9999999999999996</v>
      </c>
      <c r="E73" s="1732">
        <f>G51*E61/3</f>
        <v>0.99999999999999989</v>
      </c>
      <c r="F73" s="1732"/>
      <c r="G73" s="1732"/>
      <c r="H73" s="1732"/>
      <c r="I73" s="1732">
        <f>G51*I61/3</f>
        <v>1.9999999999999998</v>
      </c>
      <c r="J73" s="1732"/>
      <c r="K73" s="1732">
        <f>G51*K61/3</f>
        <v>2.9999999999999996</v>
      </c>
      <c r="L73" s="1732">
        <f>G51*L61/3</f>
        <v>1.9999999999999998</v>
      </c>
      <c r="M73" s="1732"/>
      <c r="N73" s="1732"/>
      <c r="S73" s="1039"/>
      <c r="T73" s="1626"/>
      <c r="Y73" s="1038"/>
    </row>
    <row r="74" spans="1:25" ht="29.25" customHeight="1" x14ac:dyDescent="0.3">
      <c r="B74" s="1797" t="s">
        <v>21</v>
      </c>
      <c r="C74" s="1732">
        <f>G52*C62/3</f>
        <v>2.9999999999999996</v>
      </c>
      <c r="D74" s="1732">
        <f>G52*D62/3</f>
        <v>2.9999999999999996</v>
      </c>
      <c r="E74" s="1732">
        <f>G52*E62/3</f>
        <v>2.9999999999999996</v>
      </c>
      <c r="F74" s="1732">
        <f>G52*F62/3</f>
        <v>2.9999999999999996</v>
      </c>
      <c r="G74" s="1732">
        <f>G52*G62/3</f>
        <v>2.9999999999999996</v>
      </c>
      <c r="H74" s="1732"/>
      <c r="I74" s="1732">
        <f>G52*I62/3</f>
        <v>1.9999999999999998</v>
      </c>
      <c r="J74" s="1732"/>
      <c r="K74" s="1732">
        <f>G52*K62/3</f>
        <v>2.9999999999999996</v>
      </c>
      <c r="L74" s="1732">
        <f>G52*L62/3</f>
        <v>1.9999999999999998</v>
      </c>
      <c r="M74" s="1732"/>
      <c r="N74" s="1732">
        <f>G52*N62/3</f>
        <v>1.9999999999999998</v>
      </c>
      <c r="S74" s="1039"/>
      <c r="T74" s="1626"/>
      <c r="Y74" s="1038"/>
    </row>
    <row r="75" spans="1:25" ht="29.25" customHeight="1" x14ac:dyDescent="0.3">
      <c r="B75" s="1797" t="s">
        <v>23</v>
      </c>
      <c r="C75" s="1732">
        <f>G53*C63/3</f>
        <v>2.9999999999999996</v>
      </c>
      <c r="D75" s="1732">
        <f>G53*D63/3</f>
        <v>1.9999999999999998</v>
      </c>
      <c r="E75" s="1732">
        <f>G53*E63/3</f>
        <v>2.9999999999999996</v>
      </c>
      <c r="F75" s="1732">
        <f>G53*F63/3</f>
        <v>1.9999999999999998</v>
      </c>
      <c r="G75" s="1732">
        <f>G53*G63/3</f>
        <v>2.9999999999999996</v>
      </c>
      <c r="H75" s="1732"/>
      <c r="I75" s="1732">
        <f>G53*I63/3</f>
        <v>2.9999999999999996</v>
      </c>
      <c r="J75" s="1732"/>
      <c r="K75" s="1732">
        <f>G53*K63/3</f>
        <v>2.9999999999999996</v>
      </c>
      <c r="L75" s="1732">
        <f>G53*L63/3</f>
        <v>1.9999999999999998</v>
      </c>
      <c r="M75" s="1732"/>
      <c r="N75" s="1732">
        <f>G53*N63/3</f>
        <v>1.9999999999999998</v>
      </c>
      <c r="S75" s="1039"/>
      <c r="T75" s="1626"/>
      <c r="Y75" s="1038"/>
    </row>
    <row r="76" spans="1:25" ht="29.25" customHeight="1" x14ac:dyDescent="0.3">
      <c r="B76" s="1797" t="s">
        <v>25</v>
      </c>
      <c r="C76" s="1732">
        <f>G54*C64/3</f>
        <v>2.9999999999999996</v>
      </c>
      <c r="D76" s="1732">
        <f>G54*D64/3</f>
        <v>2.9999999999999996</v>
      </c>
      <c r="E76" s="1732">
        <f>G54*E64/3</f>
        <v>1.9999999999999998</v>
      </c>
      <c r="F76" s="1732">
        <f>G54*F64/3</f>
        <v>1.9999999999999998</v>
      </c>
      <c r="G76" s="1732">
        <f>G54*G64/3</f>
        <v>2.9999999999999996</v>
      </c>
      <c r="H76" s="1732"/>
      <c r="I76" s="1732">
        <f>G54*I64/3</f>
        <v>2.9999999999999996</v>
      </c>
      <c r="J76" s="1732"/>
      <c r="K76" s="1732">
        <f>G54*K64/3</f>
        <v>2.9999999999999996</v>
      </c>
      <c r="L76" s="1732"/>
      <c r="M76" s="1732"/>
      <c r="N76" s="1732">
        <f>G54*N64/3</f>
        <v>1.9999999999999998</v>
      </c>
      <c r="S76" s="1039"/>
      <c r="T76" s="1626"/>
      <c r="Y76" s="1038"/>
    </row>
    <row r="77" spans="1:25" ht="29.25" customHeight="1" x14ac:dyDescent="0.3">
      <c r="B77" s="1797" t="s">
        <v>24</v>
      </c>
      <c r="C77" s="1732">
        <f>G55*C65/3</f>
        <v>2.9999999999999996</v>
      </c>
      <c r="D77" s="1732">
        <f>G55*D65/3</f>
        <v>1.9999999999999998</v>
      </c>
      <c r="E77" s="1732">
        <f>G55*E65/3</f>
        <v>1.9999999999999998</v>
      </c>
      <c r="F77" s="1732">
        <f>G55*F65/3</f>
        <v>1.9999999999999998</v>
      </c>
      <c r="G77" s="1732">
        <f>G55*G65/3</f>
        <v>2.9999999999999996</v>
      </c>
      <c r="H77" s="1732"/>
      <c r="I77" s="1732">
        <f>G55*I65/3</f>
        <v>1.9999999999999998</v>
      </c>
      <c r="J77" s="1732"/>
      <c r="K77" s="1732">
        <f>G55*K65/3</f>
        <v>2.9999999999999996</v>
      </c>
      <c r="L77" s="1732">
        <f t="shared" ref="L77" si="11">G55*L65/3</f>
        <v>2.9999999999999996</v>
      </c>
      <c r="M77" s="1732"/>
      <c r="N77" s="1732">
        <f>G55*N65/3</f>
        <v>2.9999999999999996</v>
      </c>
      <c r="S77" s="1039"/>
      <c r="T77" s="1626"/>
      <c r="Y77" s="1038"/>
    </row>
    <row r="78" spans="1:25" ht="29.25" customHeight="1" x14ac:dyDescent="0.3">
      <c r="B78" s="1798" t="s">
        <v>10</v>
      </c>
      <c r="C78" s="1799">
        <f>AVERAGE(C73:C77)</f>
        <v>2.9999999999999996</v>
      </c>
      <c r="D78" s="1799">
        <f t="shared" ref="D78:N78" si="12">AVERAGE(D73:D77)</f>
        <v>2.5999999999999996</v>
      </c>
      <c r="E78" s="1799">
        <f t="shared" si="12"/>
        <v>2.1999999999999997</v>
      </c>
      <c r="F78" s="1799">
        <f t="shared" si="12"/>
        <v>2.2499999999999996</v>
      </c>
      <c r="G78" s="1799">
        <f t="shared" si="12"/>
        <v>2.9999999999999996</v>
      </c>
      <c r="H78" s="1799"/>
      <c r="I78" s="1799">
        <f t="shared" si="12"/>
        <v>2.3999999999999995</v>
      </c>
      <c r="J78" s="1799"/>
      <c r="K78" s="1799">
        <f t="shared" si="12"/>
        <v>2.9999999999999996</v>
      </c>
      <c r="L78" s="1799">
        <f t="shared" si="12"/>
        <v>2.2499999999999996</v>
      </c>
      <c r="M78" s="1799"/>
      <c r="N78" s="1799">
        <f t="shared" si="12"/>
        <v>2.2499999999999996</v>
      </c>
      <c r="S78" s="1039"/>
      <c r="T78" s="1626"/>
      <c r="Y78" s="1038"/>
    </row>
    <row r="79" spans="1:25" ht="29.25" customHeight="1" x14ac:dyDescent="0.3">
      <c r="B79" s="1729" t="s">
        <v>58</v>
      </c>
      <c r="C79" s="3685">
        <f>AVERAGE(C78:N78)</f>
        <v>2.5499999999999998</v>
      </c>
      <c r="D79" s="3685"/>
      <c r="E79" s="3685"/>
      <c r="F79" s="3685"/>
      <c r="G79" s="3685"/>
      <c r="H79" s="3685"/>
      <c r="I79" s="3685"/>
      <c r="J79" s="3685"/>
      <c r="K79" s="3685"/>
      <c r="L79" s="3685"/>
      <c r="M79" s="3685"/>
      <c r="N79" s="3685"/>
      <c r="O79" s="1733"/>
      <c r="P79" s="1733"/>
      <c r="Q79" s="1733"/>
      <c r="R79" s="1733"/>
    </row>
    <row r="81" spans="1:18" ht="29.25" customHeight="1" x14ac:dyDescent="0.3">
      <c r="A81" s="2775" t="s">
        <v>137</v>
      </c>
      <c r="B81" s="2775"/>
      <c r="C81" s="1721"/>
      <c r="D81" s="1721"/>
      <c r="L81" s="2775" t="s">
        <v>149</v>
      </c>
      <c r="M81" s="2775"/>
      <c r="N81" s="2775"/>
      <c r="O81" s="1721"/>
      <c r="P81" s="1721"/>
    </row>
    <row r="82" spans="1:18" ht="29.25" customHeight="1" x14ac:dyDescent="0.3">
      <c r="A82" s="1039"/>
      <c r="B82" s="1039"/>
      <c r="C82" s="1721"/>
      <c r="D82" s="1721"/>
      <c r="L82" s="1039"/>
      <c r="M82" s="1039"/>
      <c r="N82" s="1724"/>
      <c r="O82" s="1721"/>
      <c r="P82" s="1721"/>
    </row>
    <row r="83" spans="1:18" ht="29.25" customHeight="1" x14ac:dyDescent="0.3">
      <c r="B83" s="1654" t="s">
        <v>59</v>
      </c>
      <c r="C83" s="1795" t="s">
        <v>60</v>
      </c>
      <c r="D83" s="1795" t="s">
        <v>61</v>
      </c>
      <c r="E83" s="1795" t="s">
        <v>62</v>
      </c>
      <c r="N83" s="1734" t="s">
        <v>59</v>
      </c>
      <c r="O83" s="1795" t="s">
        <v>60</v>
      </c>
      <c r="P83" s="1795" t="s">
        <v>61</v>
      </c>
      <c r="Q83" s="1795" t="s">
        <v>62</v>
      </c>
    </row>
    <row r="84" spans="1:18" ht="29.25" customHeight="1" x14ac:dyDescent="0.3">
      <c r="B84" s="1735" t="s">
        <v>20</v>
      </c>
      <c r="C84" s="2413">
        <v>3</v>
      </c>
      <c r="D84" s="936">
        <v>3</v>
      </c>
      <c r="E84" s="936">
        <v>2</v>
      </c>
      <c r="N84" s="1736" t="s">
        <v>20</v>
      </c>
      <c r="O84" s="1732">
        <f>G51*C84/3</f>
        <v>2.9999999999999996</v>
      </c>
      <c r="P84" s="1732">
        <f>G51*D84/3</f>
        <v>2.9999999999999996</v>
      </c>
      <c r="Q84" s="1732">
        <f>G51*E84/3</f>
        <v>1.9999999999999998</v>
      </c>
    </row>
    <row r="85" spans="1:18" ht="29.25" customHeight="1" x14ac:dyDescent="0.3">
      <c r="B85" s="1797" t="s">
        <v>21</v>
      </c>
      <c r="C85" s="936">
        <v>3</v>
      </c>
      <c r="D85" s="936">
        <v>2</v>
      </c>
      <c r="E85" s="936">
        <v>3</v>
      </c>
      <c r="N85" s="1800" t="s">
        <v>21</v>
      </c>
      <c r="O85" s="1732">
        <f>G52*C85/3</f>
        <v>2.9999999999999996</v>
      </c>
      <c r="P85" s="1732">
        <f>G52*D85/3</f>
        <v>1.9999999999999998</v>
      </c>
      <c r="Q85" s="1732">
        <f>G52*E85/3</f>
        <v>2.9999999999999996</v>
      </c>
    </row>
    <row r="86" spans="1:18" ht="29.25" customHeight="1" x14ac:dyDescent="0.3">
      <c r="B86" s="1797" t="s">
        <v>23</v>
      </c>
      <c r="C86" s="936">
        <v>3</v>
      </c>
      <c r="D86" s="936">
        <v>2</v>
      </c>
      <c r="E86" s="936">
        <v>3</v>
      </c>
      <c r="N86" s="1800" t="s">
        <v>23</v>
      </c>
      <c r="O86" s="1732">
        <f>G53*C86/3</f>
        <v>2.9999999999999996</v>
      </c>
      <c r="P86" s="1732">
        <f>G53*D86/3</f>
        <v>1.9999999999999998</v>
      </c>
      <c r="Q86" s="1732">
        <f>G53*E86/3</f>
        <v>2.9999999999999996</v>
      </c>
    </row>
    <row r="87" spans="1:18" ht="29.25" customHeight="1" x14ac:dyDescent="0.3">
      <c r="B87" s="1797" t="s">
        <v>25</v>
      </c>
      <c r="C87" s="1821">
        <v>3</v>
      </c>
      <c r="D87" s="936">
        <v>3</v>
      </c>
      <c r="E87" s="936">
        <v>2</v>
      </c>
      <c r="N87" s="1800" t="s">
        <v>25</v>
      </c>
      <c r="O87" s="1732">
        <f>G54*C87/3</f>
        <v>2.9999999999999996</v>
      </c>
      <c r="P87" s="1732">
        <f>G54*D87/3</f>
        <v>2.9999999999999996</v>
      </c>
      <c r="Q87" s="1732">
        <f>G54*E87/3</f>
        <v>1.9999999999999998</v>
      </c>
    </row>
    <row r="88" spans="1:18" ht="29.25" customHeight="1" x14ac:dyDescent="0.3">
      <c r="B88" s="1735" t="s">
        <v>24</v>
      </c>
      <c r="C88" s="938">
        <v>3</v>
      </c>
      <c r="D88" s="936">
        <v>2</v>
      </c>
      <c r="E88" s="936">
        <v>2</v>
      </c>
      <c r="N88" s="1736" t="s">
        <v>24</v>
      </c>
      <c r="O88" s="1732">
        <f>G55*C88/3</f>
        <v>2.9999999999999996</v>
      </c>
      <c r="P88" s="1732">
        <f>G55*D88/3</f>
        <v>1.9999999999999998</v>
      </c>
      <c r="Q88" s="1732">
        <f>G55*E88/3</f>
        <v>1.9999999999999998</v>
      </c>
    </row>
    <row r="89" spans="1:18" ht="29.25" customHeight="1" x14ac:dyDescent="0.3">
      <c r="B89" s="1756" t="s">
        <v>10</v>
      </c>
      <c r="C89" s="1739">
        <f>AVERAGE(C84:C88)</f>
        <v>3</v>
      </c>
      <c r="D89" s="1739">
        <f t="shared" ref="D89:E89" si="13">AVERAGE(D84:D88)</f>
        <v>2.4</v>
      </c>
      <c r="E89" s="1739">
        <f t="shared" si="13"/>
        <v>2.4</v>
      </c>
      <c r="N89" s="1801" t="s">
        <v>10</v>
      </c>
      <c r="O89" s="1732">
        <f>AVERAGE(O84:O88)</f>
        <v>2.9999999999999996</v>
      </c>
      <c r="P89" s="1732">
        <f t="shared" ref="P89:Q89" si="14">AVERAGE(P84:P88)</f>
        <v>2.3999999999999995</v>
      </c>
      <c r="Q89" s="1732">
        <f t="shared" si="14"/>
        <v>2.3999999999999995</v>
      </c>
    </row>
    <row r="90" spans="1:18" ht="29.25" customHeight="1" x14ac:dyDescent="0.3">
      <c r="A90" s="1716"/>
      <c r="B90" s="1752" t="s">
        <v>58</v>
      </c>
      <c r="C90" s="3681">
        <f>AVERAGE(C89:E89)</f>
        <v>2.6</v>
      </c>
      <c r="D90" s="3682"/>
      <c r="E90" s="3683"/>
      <c r="F90" s="1716"/>
      <c r="G90" s="1716"/>
      <c r="H90" s="1716"/>
      <c r="I90" s="1716"/>
      <c r="J90" s="1716"/>
      <c r="K90" s="1716"/>
      <c r="L90" s="1716"/>
      <c r="M90" s="1716"/>
      <c r="N90" s="1802" t="s">
        <v>58</v>
      </c>
      <c r="O90" s="3681">
        <f>AVERAGE(O89:Q89)</f>
        <v>2.5999999999999992</v>
      </c>
      <c r="P90" s="3682"/>
      <c r="Q90" s="3683"/>
      <c r="R90" s="1716"/>
    </row>
    <row r="93" spans="1:18" ht="29.25" customHeight="1" x14ac:dyDescent="0.3">
      <c r="A93" s="1742"/>
      <c r="B93" s="1742"/>
      <c r="C93" s="1742"/>
      <c r="D93" s="1742"/>
      <c r="E93" s="1742"/>
      <c r="F93" s="1742"/>
      <c r="G93" s="1742"/>
      <c r="H93" s="1742"/>
      <c r="I93" s="1742"/>
      <c r="J93" s="1742"/>
      <c r="K93" s="1742"/>
      <c r="L93" s="1742"/>
      <c r="M93" s="1742"/>
      <c r="N93" s="1742"/>
      <c r="O93" s="1742"/>
      <c r="P93" s="1742"/>
      <c r="Q93" s="1742"/>
      <c r="R93" s="1742"/>
    </row>
    <row r="113" spans="3:5" ht="29.25" customHeight="1" x14ac:dyDescent="0.3">
      <c r="C113" s="1683"/>
      <c r="D113" s="1683"/>
      <c r="E113" s="1683"/>
    </row>
    <row r="114" spans="3:5" ht="29.25" customHeight="1" x14ac:dyDescent="0.3">
      <c r="C114" s="1683"/>
      <c r="D114" s="1919"/>
      <c r="E114" s="1683"/>
    </row>
    <row r="115" spans="3:5" ht="29.25" customHeight="1" x14ac:dyDescent="0.3">
      <c r="C115" s="1683"/>
      <c r="D115" s="1919"/>
      <c r="E115" s="1683"/>
    </row>
    <row r="116" spans="3:5" ht="29.25" customHeight="1" x14ac:dyDescent="0.3">
      <c r="C116" s="1683"/>
      <c r="D116" s="1919"/>
      <c r="E116" s="1683"/>
    </row>
    <row r="117" spans="3:5" ht="29.25" customHeight="1" x14ac:dyDescent="0.3">
      <c r="C117" s="1683"/>
      <c r="D117" s="1919"/>
      <c r="E117" s="1683"/>
    </row>
    <row r="118" spans="3:5" ht="29.25" customHeight="1" x14ac:dyDescent="0.3">
      <c r="C118" s="1683"/>
      <c r="D118" s="1919"/>
      <c r="E118" s="1683"/>
    </row>
    <row r="119" spans="3:5" ht="29.25" customHeight="1" x14ac:dyDescent="0.3">
      <c r="C119" s="1683"/>
      <c r="D119" s="1919"/>
      <c r="E119" s="1683"/>
    </row>
    <row r="120" spans="3:5" ht="29.25" customHeight="1" x14ac:dyDescent="0.3">
      <c r="C120" s="1683"/>
      <c r="D120" s="1919"/>
      <c r="E120" s="1683"/>
    </row>
    <row r="121" spans="3:5" ht="29.25" customHeight="1" x14ac:dyDescent="0.3">
      <c r="C121" s="1683"/>
      <c r="D121" s="1919"/>
      <c r="E121" s="1683"/>
    </row>
    <row r="122" spans="3:5" ht="29.25" customHeight="1" x14ac:dyDescent="0.3">
      <c r="C122" s="1683"/>
      <c r="D122" s="1919"/>
      <c r="E122" s="1683"/>
    </row>
    <row r="123" spans="3:5" ht="29.25" customHeight="1" x14ac:dyDescent="0.3">
      <c r="C123" s="1683"/>
      <c r="D123" s="1919"/>
      <c r="E123" s="1683"/>
    </row>
    <row r="124" spans="3:5" ht="29.25" customHeight="1" x14ac:dyDescent="0.3">
      <c r="C124" s="1683"/>
      <c r="D124" s="1919"/>
      <c r="E124" s="1683"/>
    </row>
    <row r="125" spans="3:5" ht="29.25" customHeight="1" x14ac:dyDescent="0.3">
      <c r="C125" s="1683"/>
      <c r="D125" s="1919"/>
      <c r="E125" s="1683"/>
    </row>
    <row r="126" spans="3:5" ht="29.25" customHeight="1" x14ac:dyDescent="0.3">
      <c r="C126" s="1683"/>
      <c r="D126" s="1919"/>
      <c r="E126" s="1683"/>
    </row>
    <row r="127" spans="3:5" ht="29.25" customHeight="1" x14ac:dyDescent="0.3">
      <c r="C127" s="1683"/>
      <c r="D127" s="1919"/>
      <c r="E127" s="1683"/>
    </row>
    <row r="128" spans="3:5" ht="29.25" customHeight="1" x14ac:dyDescent="0.3">
      <c r="C128" s="1683"/>
      <c r="D128" s="1919"/>
      <c r="E128" s="1683"/>
    </row>
    <row r="129" spans="3:5" ht="29.25" customHeight="1" x14ac:dyDescent="0.3">
      <c r="C129" s="1683"/>
      <c r="D129" s="1919"/>
      <c r="E129" s="1683"/>
    </row>
    <row r="130" spans="3:5" ht="29.25" customHeight="1" x14ac:dyDescent="0.3">
      <c r="C130" s="1683"/>
      <c r="D130" s="1919"/>
      <c r="E130" s="1683"/>
    </row>
    <row r="131" spans="3:5" ht="29.25" customHeight="1" x14ac:dyDescent="0.3">
      <c r="C131" s="1683"/>
      <c r="D131" s="1919"/>
      <c r="E131" s="1683"/>
    </row>
    <row r="132" spans="3:5" ht="29.25" customHeight="1" x14ac:dyDescent="0.3">
      <c r="C132" s="1683"/>
      <c r="D132" s="1919"/>
      <c r="E132" s="1683"/>
    </row>
    <row r="133" spans="3:5" ht="29.25" customHeight="1" x14ac:dyDescent="0.3">
      <c r="C133" s="1683"/>
      <c r="D133" s="1919"/>
      <c r="E133" s="1683"/>
    </row>
    <row r="134" spans="3:5" ht="29.25" customHeight="1" x14ac:dyDescent="0.3">
      <c r="C134" s="1683"/>
      <c r="D134" s="1919"/>
      <c r="E134" s="1683"/>
    </row>
    <row r="135" spans="3:5" ht="29.25" customHeight="1" x14ac:dyDescent="0.3">
      <c r="C135" s="1683"/>
      <c r="D135" s="1919"/>
      <c r="E135" s="1683"/>
    </row>
    <row r="136" spans="3:5" ht="29.25" customHeight="1" x14ac:dyDescent="0.3">
      <c r="C136" s="1683"/>
      <c r="D136" s="1919"/>
      <c r="E136" s="1683"/>
    </row>
    <row r="137" spans="3:5" ht="29.25" customHeight="1" x14ac:dyDescent="0.3">
      <c r="C137" s="1683"/>
      <c r="D137" s="1919"/>
      <c r="E137" s="1683"/>
    </row>
    <row r="138" spans="3:5" ht="29.25" customHeight="1" x14ac:dyDescent="0.3">
      <c r="C138" s="1683"/>
      <c r="D138" s="1919"/>
      <c r="E138" s="1683"/>
    </row>
    <row r="139" spans="3:5" ht="29.25" customHeight="1" x14ac:dyDescent="0.3">
      <c r="C139" s="1683"/>
      <c r="D139" s="1919"/>
      <c r="E139" s="1683"/>
    </row>
    <row r="140" spans="3:5" ht="29.25" customHeight="1" x14ac:dyDescent="0.3">
      <c r="C140" s="1683"/>
      <c r="D140" s="1919"/>
      <c r="E140" s="1683"/>
    </row>
    <row r="141" spans="3:5" ht="29.25" customHeight="1" x14ac:dyDescent="0.3">
      <c r="C141" s="1683"/>
      <c r="D141" s="1919"/>
      <c r="E141" s="1683"/>
    </row>
    <row r="142" spans="3:5" ht="29.25" customHeight="1" x14ac:dyDescent="0.3">
      <c r="C142" s="1683"/>
      <c r="D142" s="1919"/>
      <c r="E142" s="1683"/>
    </row>
    <row r="143" spans="3:5" ht="29.25" customHeight="1" x14ac:dyDescent="0.3">
      <c r="C143" s="1683"/>
      <c r="D143" s="1919"/>
      <c r="E143" s="1683"/>
    </row>
    <row r="144" spans="3:5" ht="29.25" customHeight="1" x14ac:dyDescent="0.3">
      <c r="C144" s="1683"/>
      <c r="D144" s="1919"/>
      <c r="E144" s="1683"/>
    </row>
    <row r="145" spans="3:5" ht="29.25" customHeight="1" x14ac:dyDescent="0.3">
      <c r="C145" s="1683"/>
      <c r="D145" s="1919"/>
      <c r="E145" s="1683"/>
    </row>
    <row r="146" spans="3:5" ht="29.25" customHeight="1" x14ac:dyDescent="0.3">
      <c r="C146" s="1683"/>
      <c r="D146" s="1919"/>
      <c r="E146" s="1683"/>
    </row>
    <row r="147" spans="3:5" ht="29.25" customHeight="1" x14ac:dyDescent="0.3">
      <c r="C147" s="1683"/>
      <c r="D147" s="1919"/>
      <c r="E147" s="1683"/>
    </row>
  </sheetData>
  <mergeCells count="43">
    <mergeCell ref="P2:Y2"/>
    <mergeCell ref="A3:B3"/>
    <mergeCell ref="C3:N3"/>
    <mergeCell ref="P3:Y3"/>
    <mergeCell ref="C6:E6"/>
    <mergeCell ref="F6:G6"/>
    <mergeCell ref="H6:I6"/>
    <mergeCell ref="A2:B2"/>
    <mergeCell ref="C2:N2"/>
    <mergeCell ref="C4:N4"/>
    <mergeCell ref="P4:Y4"/>
    <mergeCell ref="A5:B5"/>
    <mergeCell ref="C5:O5"/>
    <mergeCell ref="P5:Z5"/>
    <mergeCell ref="B56:F56"/>
    <mergeCell ref="Z6:Z8"/>
    <mergeCell ref="AA6:AA9"/>
    <mergeCell ref="AB6:AB9"/>
    <mergeCell ref="A46:B46"/>
    <mergeCell ref="A47:B47"/>
    <mergeCell ref="E50:F50"/>
    <mergeCell ref="G50:I50"/>
    <mergeCell ref="J6:K6"/>
    <mergeCell ref="L6:M6"/>
    <mergeCell ref="O6:Q6"/>
    <mergeCell ref="R6:S6"/>
    <mergeCell ref="V6:W6"/>
    <mergeCell ref="Y6:Y8"/>
    <mergeCell ref="A6:A8"/>
    <mergeCell ref="B6:B7"/>
    <mergeCell ref="E51:F51"/>
    <mergeCell ref="E52:F52"/>
    <mergeCell ref="E53:F53"/>
    <mergeCell ref="E54:F54"/>
    <mergeCell ref="E55:F55"/>
    <mergeCell ref="C90:E90"/>
    <mergeCell ref="O90:Q90"/>
    <mergeCell ref="A58:B58"/>
    <mergeCell ref="C67:N67"/>
    <mergeCell ref="A70:B70"/>
    <mergeCell ref="C79:N79"/>
    <mergeCell ref="A81:B81"/>
    <mergeCell ref="L81:N81"/>
  </mergeCells>
  <conditionalFormatting sqref="Y10:AA10 Y17:AA18 Y11:Z16 Y22:AA22 Y19:Z21 Y30:AA31 Y23:Z29 Y37:AA37 Y32:Z36 Y38:Z43">
    <cfRule type="containsText" dxfId="22" priority="10" operator="containsText" text="F">
      <formula>NOT(ISERROR(SEARCH("F",Y10)))</formula>
    </cfRule>
  </conditionalFormatting>
  <conditionalFormatting sqref="AA11:AA13">
    <cfRule type="containsText" dxfId="21" priority="9" operator="containsText" text="F">
      <formula>NOT(ISERROR(SEARCH("F",AA11)))</formula>
    </cfRule>
  </conditionalFormatting>
  <conditionalFormatting sqref="AA14:AA16">
    <cfRule type="containsText" dxfId="20" priority="8" operator="containsText" text="F">
      <formula>NOT(ISERROR(SEARCH("F",AA14)))</formula>
    </cfRule>
  </conditionalFormatting>
  <conditionalFormatting sqref="AA19:AA21">
    <cfRule type="containsText" dxfId="19" priority="7" operator="containsText" text="F">
      <formula>NOT(ISERROR(SEARCH("F",AA19)))</formula>
    </cfRule>
  </conditionalFormatting>
  <conditionalFormatting sqref="AA23:AA25">
    <cfRule type="containsText" dxfId="18" priority="6" operator="containsText" text="F">
      <formula>NOT(ISERROR(SEARCH("F",AA23)))</formula>
    </cfRule>
  </conditionalFormatting>
  <conditionalFormatting sqref="AA26:AA29">
    <cfRule type="containsText" dxfId="17" priority="5" operator="containsText" text="F">
      <formula>NOT(ISERROR(SEARCH("F",AA26)))</formula>
    </cfRule>
  </conditionalFormatting>
  <conditionalFormatting sqref="AA32:AA33">
    <cfRule type="containsText" dxfId="16" priority="4" operator="containsText" text="F">
      <formula>NOT(ISERROR(SEARCH("F",AA32)))</formula>
    </cfRule>
  </conditionalFormatting>
  <conditionalFormatting sqref="AA34:AA36">
    <cfRule type="containsText" dxfId="15" priority="3" operator="containsText" text="F">
      <formula>NOT(ISERROR(SEARCH("F",AA34)))</formula>
    </cfRule>
  </conditionalFormatting>
  <conditionalFormatting sqref="AA38:AA40">
    <cfRule type="containsText" dxfId="14" priority="2" operator="containsText" text="F">
      <formula>NOT(ISERROR(SEARCH("F",AA38)))</formula>
    </cfRule>
  </conditionalFormatting>
  <conditionalFormatting sqref="AA41:AA43">
    <cfRule type="containsText" dxfId="13" priority="1" operator="containsText" text="F">
      <formula>NOT(ISERROR(SEARCH("F",AA41)))</formula>
    </cfRule>
  </conditionalFormatting>
  <pageMargins left="0.7" right="0.7" top="0.75" bottom="0.75" header="0.3" footer="0.3"/>
  <pageSetup paperSize="8" scale="36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94"/>
  <sheetViews>
    <sheetView topLeftCell="A58" zoomScale="96" zoomScaleNormal="96" workbookViewId="0">
      <selection activeCell="A57" sqref="A57:XFD57"/>
    </sheetView>
  </sheetViews>
  <sheetFormatPr defaultColWidth="9.140625" defaultRowHeight="32.25" customHeight="1" x14ac:dyDescent="0.25"/>
  <cols>
    <col min="1" max="1" width="15.140625" style="2271" bestFit="1" customWidth="1"/>
    <col min="2" max="2" width="16.28515625" style="2271" customWidth="1"/>
    <col min="3" max="13" width="7.5703125" style="2359" customWidth="1"/>
    <col min="14" max="14" width="7.5703125" style="806" customWidth="1"/>
    <col min="15" max="25" width="7.5703125" style="2271" customWidth="1"/>
    <col min="26" max="26" width="7.5703125" style="806" customWidth="1"/>
    <col min="27" max="35" width="7.5703125" style="2271" customWidth="1"/>
    <col min="36" max="37" width="8" style="2271" customWidth="1"/>
    <col min="38" max="38" width="17.7109375" style="2271" bestFit="1" customWidth="1"/>
    <col min="39" max="39" width="17.140625" style="2271" bestFit="1" customWidth="1"/>
    <col min="40" max="16384" width="9.140625" style="2271"/>
  </cols>
  <sheetData>
    <row r="1" spans="1:38" ht="32.25" customHeight="1" x14ac:dyDescent="0.25">
      <c r="A1" s="333"/>
    </row>
    <row r="2" spans="1:38" ht="32.25" customHeight="1" x14ac:dyDescent="0.25">
      <c r="A2" s="3124" t="s">
        <v>0</v>
      </c>
      <c r="B2" s="3125"/>
      <c r="C2" s="3126" t="s">
        <v>313</v>
      </c>
      <c r="D2" s="3374"/>
      <c r="E2" s="3374"/>
      <c r="F2" s="3374"/>
      <c r="G2" s="3374"/>
      <c r="H2" s="3374"/>
      <c r="I2" s="3374"/>
      <c r="J2" s="3374"/>
      <c r="K2" s="3374"/>
      <c r="L2" s="3374"/>
      <c r="M2" s="3374"/>
      <c r="N2" s="3128"/>
      <c r="O2" s="2383" t="s">
        <v>63</v>
      </c>
      <c r="P2" s="3129" t="s">
        <v>299</v>
      </c>
      <c r="Q2" s="3781"/>
      <c r="R2" s="3781"/>
      <c r="S2" s="3781"/>
      <c r="T2" s="3781"/>
      <c r="U2" s="3781"/>
      <c r="V2" s="3781"/>
      <c r="W2" s="3781"/>
      <c r="X2" s="3781"/>
      <c r="Y2" s="3781"/>
      <c r="Z2" s="3781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</row>
    <row r="3" spans="1:38" ht="32.25" customHeight="1" x14ac:dyDescent="0.25">
      <c r="A3" s="3124" t="s">
        <v>1</v>
      </c>
      <c r="B3" s="3125"/>
      <c r="C3" s="3126" t="s">
        <v>314</v>
      </c>
      <c r="D3" s="3374"/>
      <c r="E3" s="3374"/>
      <c r="F3" s="3374"/>
      <c r="G3" s="3374"/>
      <c r="H3" s="3374"/>
      <c r="I3" s="3374"/>
      <c r="J3" s="3374"/>
      <c r="K3" s="3374"/>
      <c r="L3" s="3374"/>
      <c r="M3" s="3374"/>
      <c r="N3" s="3128"/>
      <c r="O3" s="803" t="s">
        <v>64</v>
      </c>
      <c r="P3" s="3129" t="s">
        <v>232</v>
      </c>
      <c r="Q3" s="3781"/>
      <c r="R3" s="3781"/>
      <c r="S3" s="3781"/>
      <c r="T3" s="3781"/>
      <c r="U3" s="3781"/>
      <c r="V3" s="3781"/>
      <c r="W3" s="3781"/>
      <c r="X3" s="3781"/>
      <c r="Y3" s="3781"/>
      <c r="Z3" s="3781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</row>
    <row r="4" spans="1:38" ht="32.25" customHeight="1" thickBot="1" x14ac:dyDescent="0.3">
      <c r="A4" s="772"/>
      <c r="B4" s="773" t="s">
        <v>2</v>
      </c>
      <c r="C4" s="3588" t="s">
        <v>301</v>
      </c>
      <c r="D4" s="3589"/>
      <c r="E4" s="3589"/>
      <c r="F4" s="3589"/>
      <c r="G4" s="3589"/>
      <c r="H4" s="3589"/>
      <c r="I4" s="3589"/>
      <c r="J4" s="3589"/>
      <c r="K4" s="3589"/>
      <c r="L4" s="3589"/>
      <c r="M4" s="3589"/>
      <c r="N4" s="3590"/>
      <c r="O4" s="773" t="s">
        <v>65</v>
      </c>
      <c r="P4" s="3782" t="s">
        <v>66</v>
      </c>
      <c r="Q4" s="3783"/>
      <c r="R4" s="3783"/>
      <c r="S4" s="3783"/>
      <c r="T4" s="3783"/>
      <c r="U4" s="3783"/>
      <c r="V4" s="3783"/>
      <c r="W4" s="3783"/>
      <c r="X4" s="3783"/>
      <c r="Y4" s="3783"/>
      <c r="Z4" s="3783"/>
      <c r="AA4" s="735"/>
      <c r="AB4" s="735"/>
      <c r="AC4" s="735"/>
      <c r="AD4" s="735"/>
      <c r="AE4" s="735"/>
      <c r="AF4" s="735"/>
      <c r="AG4" s="735"/>
      <c r="AH4" s="735"/>
      <c r="AI4" s="735"/>
      <c r="AJ4" s="735"/>
      <c r="AK4" s="735"/>
      <c r="AL4" s="735"/>
    </row>
    <row r="5" spans="1:38" ht="32.25" customHeight="1" thickBot="1" x14ac:dyDescent="0.3">
      <c r="A5" s="3064"/>
      <c r="B5" s="3591"/>
      <c r="C5" s="3294" t="s">
        <v>302</v>
      </c>
      <c r="D5" s="3295"/>
      <c r="E5" s="3295"/>
      <c r="F5" s="3295"/>
      <c r="G5" s="3295"/>
      <c r="H5" s="3295"/>
      <c r="I5" s="3295"/>
      <c r="J5" s="3295"/>
      <c r="K5" s="3295"/>
      <c r="L5" s="3295"/>
      <c r="M5" s="3295"/>
      <c r="N5" s="3592"/>
      <c r="O5" s="3088" t="s">
        <v>303</v>
      </c>
      <c r="P5" s="3089"/>
      <c r="Q5" s="3089"/>
      <c r="R5" s="3089"/>
      <c r="S5" s="3089"/>
      <c r="T5" s="3089"/>
      <c r="U5" s="3089"/>
      <c r="V5" s="3089"/>
      <c r="W5" s="3089"/>
      <c r="X5" s="3089"/>
      <c r="Y5" s="3089"/>
      <c r="Z5" s="3089"/>
      <c r="AA5" s="2405"/>
      <c r="AB5" s="2364"/>
      <c r="AC5" s="2364"/>
      <c r="AD5" s="2364"/>
      <c r="AE5" s="2364"/>
      <c r="AF5" s="2364"/>
      <c r="AG5" s="2364"/>
      <c r="AH5" s="65"/>
      <c r="AI5" s="65"/>
      <c r="AJ5" s="65"/>
      <c r="AK5" s="65"/>
      <c r="AL5" s="66"/>
    </row>
    <row r="6" spans="1:38" ht="32.25" customHeight="1" thickBot="1" x14ac:dyDescent="0.3">
      <c r="A6" s="3906"/>
      <c r="B6" s="3909" t="s">
        <v>5</v>
      </c>
      <c r="C6" s="3584" t="s">
        <v>6</v>
      </c>
      <c r="D6" s="3585"/>
      <c r="E6" s="3596"/>
      <c r="F6" s="3586" t="s">
        <v>7</v>
      </c>
      <c r="G6" s="3610"/>
      <c r="H6" s="3586" t="s">
        <v>8</v>
      </c>
      <c r="I6" s="3610"/>
      <c r="J6" s="3586" t="s">
        <v>9</v>
      </c>
      <c r="K6" s="3610"/>
      <c r="L6" s="3586" t="s">
        <v>236</v>
      </c>
      <c r="M6" s="3610"/>
      <c r="N6" s="50" t="s">
        <v>146</v>
      </c>
      <c r="O6" s="3584" t="s">
        <v>6</v>
      </c>
      <c r="P6" s="3585"/>
      <c r="Q6" s="3596"/>
      <c r="R6" s="3586" t="s">
        <v>7</v>
      </c>
      <c r="S6" s="3610"/>
      <c r="T6" s="3586" t="s">
        <v>8</v>
      </c>
      <c r="U6" s="3610"/>
      <c r="V6" s="3911" t="s">
        <v>9</v>
      </c>
      <c r="W6" s="3912"/>
      <c r="X6" s="3586" t="s">
        <v>236</v>
      </c>
      <c r="Y6" s="3610"/>
      <c r="Z6" s="2414" t="s">
        <v>147</v>
      </c>
      <c r="AA6" s="3899" t="s">
        <v>151</v>
      </c>
      <c r="AB6" s="3601" t="s">
        <v>152</v>
      </c>
      <c r="AC6" s="3601" t="s">
        <v>153</v>
      </c>
      <c r="AD6" s="3902" t="s">
        <v>312</v>
      </c>
      <c r="AE6" s="3076" t="s">
        <v>315</v>
      </c>
      <c r="AF6" s="3076" t="s">
        <v>10</v>
      </c>
      <c r="AG6" s="2378"/>
      <c r="AH6" s="3899" t="s">
        <v>11</v>
      </c>
      <c r="AI6" s="3894" t="s">
        <v>12</v>
      </c>
      <c r="AJ6" s="2365"/>
    </row>
    <row r="7" spans="1:38" ht="32.25" customHeight="1" x14ac:dyDescent="0.25">
      <c r="A7" s="3907"/>
      <c r="B7" s="3910"/>
      <c r="C7" s="2345" t="s">
        <v>13</v>
      </c>
      <c r="D7" s="2373" t="s">
        <v>14</v>
      </c>
      <c r="E7" s="2342" t="s">
        <v>15</v>
      </c>
      <c r="F7" s="816" t="s">
        <v>13</v>
      </c>
      <c r="G7" s="817" t="s">
        <v>14</v>
      </c>
      <c r="H7" s="816" t="s">
        <v>13</v>
      </c>
      <c r="I7" s="817" t="s">
        <v>14</v>
      </c>
      <c r="J7" s="816" t="s">
        <v>13</v>
      </c>
      <c r="K7" s="817" t="s">
        <v>14</v>
      </c>
      <c r="L7" s="2367" t="s">
        <v>13</v>
      </c>
      <c r="M7" s="817" t="s">
        <v>14</v>
      </c>
      <c r="N7" s="2392"/>
      <c r="O7" s="816" t="s">
        <v>13</v>
      </c>
      <c r="P7" s="2373" t="s">
        <v>14</v>
      </c>
      <c r="Q7" s="817" t="s">
        <v>15</v>
      </c>
      <c r="R7" s="816" t="s">
        <v>13</v>
      </c>
      <c r="S7" s="817" t="s">
        <v>14</v>
      </c>
      <c r="T7" s="816" t="s">
        <v>13</v>
      </c>
      <c r="U7" s="2342" t="s">
        <v>14</v>
      </c>
      <c r="V7" s="2366" t="s">
        <v>13</v>
      </c>
      <c r="W7" s="2391" t="s">
        <v>14</v>
      </c>
      <c r="X7" s="816" t="s">
        <v>13</v>
      </c>
      <c r="Y7" s="2342" t="s">
        <v>14</v>
      </c>
      <c r="Z7" s="82"/>
      <c r="AA7" s="3900"/>
      <c r="AB7" s="3304"/>
      <c r="AC7" s="3304"/>
      <c r="AD7" s="3903"/>
      <c r="AE7" s="3077"/>
      <c r="AF7" s="3077"/>
      <c r="AG7" s="2415"/>
      <c r="AH7" s="3900"/>
      <c r="AI7" s="3895"/>
      <c r="AJ7" s="2344"/>
      <c r="AK7" s="2372"/>
    </row>
    <row r="8" spans="1:38" ht="32.25" customHeight="1" x14ac:dyDescent="0.25">
      <c r="A8" s="3908"/>
      <c r="B8" s="2416" t="s">
        <v>19</v>
      </c>
      <c r="C8" s="2345" t="s">
        <v>22</v>
      </c>
      <c r="D8" s="816" t="s">
        <v>21</v>
      </c>
      <c r="E8" s="101" t="s">
        <v>23</v>
      </c>
      <c r="F8" s="101" t="s">
        <v>20</v>
      </c>
      <c r="G8" s="82" t="s">
        <v>20</v>
      </c>
      <c r="H8" s="101" t="s">
        <v>21</v>
      </c>
      <c r="I8" s="817" t="s">
        <v>21</v>
      </c>
      <c r="J8" s="2417" t="s">
        <v>20</v>
      </c>
      <c r="K8" s="2418" t="s">
        <v>23</v>
      </c>
      <c r="L8" s="2419" t="s">
        <v>41</v>
      </c>
      <c r="M8" s="2420" t="s">
        <v>41</v>
      </c>
      <c r="N8" s="2343"/>
      <c r="O8" s="816" t="s">
        <v>42</v>
      </c>
      <c r="P8" s="2373" t="s">
        <v>43</v>
      </c>
      <c r="Q8" s="817" t="s">
        <v>42</v>
      </c>
      <c r="R8" s="816" t="s">
        <v>42</v>
      </c>
      <c r="S8" s="817" t="s">
        <v>42</v>
      </c>
      <c r="T8" s="816" t="s">
        <v>42</v>
      </c>
      <c r="U8" s="2342" t="s">
        <v>42</v>
      </c>
      <c r="V8" s="816" t="s">
        <v>43</v>
      </c>
      <c r="W8" s="2342" t="s">
        <v>43</v>
      </c>
      <c r="X8" s="816" t="s">
        <v>43</v>
      </c>
      <c r="Y8" s="101" t="s">
        <v>43</v>
      </c>
      <c r="Z8" s="82" t="s">
        <v>237</v>
      </c>
      <c r="AA8" s="3901"/>
      <c r="AB8" s="3048"/>
      <c r="AC8" s="3048"/>
      <c r="AD8" s="3904"/>
      <c r="AE8" s="3905"/>
      <c r="AF8" s="3905"/>
      <c r="AG8" s="2379"/>
      <c r="AH8" s="3901"/>
      <c r="AI8" s="3896"/>
      <c r="AJ8" s="2344"/>
      <c r="AK8" s="2372"/>
    </row>
    <row r="9" spans="1:38" ht="32.25" customHeight="1" x14ac:dyDescent="0.25">
      <c r="A9" s="2342" t="s">
        <v>18</v>
      </c>
      <c r="B9" s="82" t="s">
        <v>26</v>
      </c>
      <c r="C9" s="2345">
        <v>2</v>
      </c>
      <c r="D9" s="2373">
        <v>2</v>
      </c>
      <c r="E9" s="2342">
        <v>2</v>
      </c>
      <c r="F9" s="816">
        <v>6</v>
      </c>
      <c r="G9" s="817">
        <v>6</v>
      </c>
      <c r="H9" s="816">
        <v>6</v>
      </c>
      <c r="I9" s="817">
        <v>6</v>
      </c>
      <c r="J9" s="816">
        <v>6</v>
      </c>
      <c r="K9" s="2421">
        <v>6</v>
      </c>
      <c r="L9" s="816">
        <v>6</v>
      </c>
      <c r="M9" s="817">
        <v>6</v>
      </c>
      <c r="N9" s="2343">
        <v>30</v>
      </c>
      <c r="O9" s="816">
        <v>2</v>
      </c>
      <c r="P9" s="2373">
        <v>2</v>
      </c>
      <c r="Q9" s="817">
        <v>2</v>
      </c>
      <c r="R9" s="816">
        <v>6</v>
      </c>
      <c r="S9" s="817">
        <v>6</v>
      </c>
      <c r="T9" s="816">
        <v>6</v>
      </c>
      <c r="U9" s="2342">
        <v>6</v>
      </c>
      <c r="V9" s="816">
        <v>6</v>
      </c>
      <c r="W9" s="2342">
        <v>6</v>
      </c>
      <c r="X9" s="2373">
        <v>6</v>
      </c>
      <c r="Y9" s="2343">
        <v>6</v>
      </c>
      <c r="Z9" s="2422">
        <v>30</v>
      </c>
      <c r="AA9" s="2345">
        <v>10</v>
      </c>
      <c r="AB9" s="2373">
        <v>10</v>
      </c>
      <c r="AC9" s="2373">
        <v>10</v>
      </c>
      <c r="AD9" s="2373">
        <v>10</v>
      </c>
      <c r="AE9" s="2373">
        <v>10</v>
      </c>
      <c r="AF9" s="2355">
        <v>10</v>
      </c>
      <c r="AG9" s="2355"/>
      <c r="AH9" s="2355"/>
      <c r="AI9" s="2355"/>
      <c r="AJ9" s="2354"/>
      <c r="AK9" s="330"/>
    </row>
    <row r="10" spans="1:38" ht="32.25" customHeight="1" x14ac:dyDescent="0.25">
      <c r="A10" s="2342">
        <v>1</v>
      </c>
      <c r="B10" s="2423">
        <v>5191421004</v>
      </c>
      <c r="C10" s="2424">
        <v>2</v>
      </c>
      <c r="D10" s="2362">
        <v>2</v>
      </c>
      <c r="E10" s="2316">
        <v>2</v>
      </c>
      <c r="F10" s="841">
        <v>6</v>
      </c>
      <c r="G10" s="840">
        <v>5</v>
      </c>
      <c r="H10" s="841"/>
      <c r="I10" s="2425"/>
      <c r="J10" s="841"/>
      <c r="K10" s="2426"/>
      <c r="L10" s="98">
        <v>5</v>
      </c>
      <c r="M10" s="2427">
        <v>6</v>
      </c>
      <c r="N10" s="2428">
        <v>28</v>
      </c>
      <c r="O10" s="2429">
        <v>2</v>
      </c>
      <c r="P10" s="2269">
        <v>2</v>
      </c>
      <c r="Q10" s="2430">
        <v>2</v>
      </c>
      <c r="R10" s="2429">
        <v>6</v>
      </c>
      <c r="S10" s="2427">
        <v>5</v>
      </c>
      <c r="T10" s="98"/>
      <c r="U10" s="2374"/>
      <c r="V10" s="98"/>
      <c r="W10" s="2374"/>
      <c r="X10" s="98">
        <v>5</v>
      </c>
      <c r="Y10" s="2431">
        <v>5</v>
      </c>
      <c r="Z10" s="2432">
        <v>27</v>
      </c>
      <c r="AA10" s="2433">
        <v>10</v>
      </c>
      <c r="AB10" s="2270">
        <v>10</v>
      </c>
      <c r="AC10" s="2270">
        <v>10</v>
      </c>
      <c r="AD10" s="2270">
        <v>10</v>
      </c>
      <c r="AE10" s="2373">
        <v>10</v>
      </c>
      <c r="AF10" s="2433">
        <v>10</v>
      </c>
      <c r="AG10" s="2258"/>
      <c r="AH10" s="2434" t="s">
        <v>27</v>
      </c>
      <c r="AI10" s="2363">
        <f>IF(AH10="O",100,IF(AH10="A+",90,IF(AH10="A",80,IF(AH10="B+",70,IF(AH10="B",60,IF(AH10="C",55,IF(AH10="P",50,IF(AH10="F",39))))))))</f>
        <v>80</v>
      </c>
    </row>
    <row r="11" spans="1:38" ht="32.25" customHeight="1" x14ac:dyDescent="0.25">
      <c r="A11" s="2435">
        <v>2</v>
      </c>
      <c r="B11" s="2436">
        <v>5191421006</v>
      </c>
      <c r="C11" s="787">
        <v>1</v>
      </c>
      <c r="D11" s="2437">
        <v>1</v>
      </c>
      <c r="E11" s="2438">
        <v>0</v>
      </c>
      <c r="F11" s="2439">
        <v>6</v>
      </c>
      <c r="G11" s="2440">
        <v>4</v>
      </c>
      <c r="H11" s="2439"/>
      <c r="I11" s="2441"/>
      <c r="J11" s="2439"/>
      <c r="K11" s="2440"/>
      <c r="L11" s="98">
        <v>5</v>
      </c>
      <c r="M11" s="2427">
        <v>4</v>
      </c>
      <c r="N11" s="2428">
        <v>21</v>
      </c>
      <c r="O11" s="2442">
        <v>1</v>
      </c>
      <c r="P11" s="2443"/>
      <c r="Q11" s="2444">
        <v>6</v>
      </c>
      <c r="R11" s="2442">
        <v>1</v>
      </c>
      <c r="S11" s="2427"/>
      <c r="T11" s="98">
        <v>2</v>
      </c>
      <c r="U11" s="2374">
        <v>5</v>
      </c>
      <c r="V11" s="98"/>
      <c r="W11" s="2374"/>
      <c r="X11" s="2439"/>
      <c r="Y11" s="2445"/>
      <c r="Z11" s="2432">
        <v>15</v>
      </c>
      <c r="AA11" s="2433">
        <v>10</v>
      </c>
      <c r="AB11" s="2270">
        <v>10</v>
      </c>
      <c r="AC11" s="2270">
        <v>10</v>
      </c>
      <c r="AD11" s="2270">
        <v>10</v>
      </c>
      <c r="AE11" s="2373">
        <v>10</v>
      </c>
      <c r="AF11" s="2433">
        <v>10</v>
      </c>
      <c r="AG11" s="2258"/>
      <c r="AH11" s="2434" t="s">
        <v>31</v>
      </c>
      <c r="AI11" s="2363">
        <f t="shared" ref="AI11:AI31" si="0">IF(AH11="O",100,IF(AH11="A+",90,IF(AH11="A",80,IF(AH11="B+",70,IF(AH11="B",60,IF(AH11="C",55,IF(AH11="P",50,IF(AH11="F",39))))))))</f>
        <v>55</v>
      </c>
    </row>
    <row r="12" spans="1:38" s="2277" customFormat="1" ht="32.25" customHeight="1" x14ac:dyDescent="0.25">
      <c r="A12" s="2342">
        <v>3</v>
      </c>
      <c r="B12" s="2423">
        <v>5191421007</v>
      </c>
      <c r="C12" s="434">
        <v>2</v>
      </c>
      <c r="D12" s="2269">
        <v>2</v>
      </c>
      <c r="E12" s="2446">
        <v>1.5</v>
      </c>
      <c r="F12" s="2429"/>
      <c r="G12" s="2427"/>
      <c r="H12" s="98">
        <v>3</v>
      </c>
      <c r="I12" s="2427">
        <v>4</v>
      </c>
      <c r="J12" s="98"/>
      <c r="K12" s="2427"/>
      <c r="L12" s="98">
        <v>2</v>
      </c>
      <c r="M12" s="2427">
        <v>3</v>
      </c>
      <c r="N12" s="2428">
        <v>17.5</v>
      </c>
      <c r="O12" s="2429">
        <v>2</v>
      </c>
      <c r="P12" s="2269">
        <v>1</v>
      </c>
      <c r="Q12" s="2430">
        <v>2</v>
      </c>
      <c r="R12" s="2429"/>
      <c r="S12" s="2427"/>
      <c r="T12" s="98">
        <v>5</v>
      </c>
      <c r="U12" s="2374">
        <v>3</v>
      </c>
      <c r="V12" s="98">
        <v>5</v>
      </c>
      <c r="W12" s="2374">
        <v>5</v>
      </c>
      <c r="X12" s="98"/>
      <c r="Y12" s="2447"/>
      <c r="Z12" s="2432">
        <v>23</v>
      </c>
      <c r="AA12" s="2433">
        <v>10</v>
      </c>
      <c r="AB12" s="2270">
        <v>10</v>
      </c>
      <c r="AC12" s="2270">
        <v>10</v>
      </c>
      <c r="AD12" s="2270">
        <v>10</v>
      </c>
      <c r="AE12" s="2373">
        <v>10</v>
      </c>
      <c r="AF12" s="2433">
        <v>10</v>
      </c>
      <c r="AG12" s="2258"/>
      <c r="AH12" s="2434" t="s">
        <v>32</v>
      </c>
      <c r="AI12" s="2363">
        <f t="shared" si="0"/>
        <v>70</v>
      </c>
    </row>
    <row r="13" spans="1:38" s="2277" customFormat="1" ht="32.25" customHeight="1" x14ac:dyDescent="0.25">
      <c r="A13" s="2342">
        <v>4</v>
      </c>
      <c r="B13" s="2423">
        <v>5191421010</v>
      </c>
      <c r="C13" s="2424">
        <v>2</v>
      </c>
      <c r="D13" s="2269">
        <v>1</v>
      </c>
      <c r="E13" s="2446">
        <v>2</v>
      </c>
      <c r="F13" s="2429">
        <v>6</v>
      </c>
      <c r="G13" s="2427">
        <v>4</v>
      </c>
      <c r="H13" s="98"/>
      <c r="I13" s="2427"/>
      <c r="J13" s="98"/>
      <c r="K13" s="2427"/>
      <c r="L13" s="98">
        <v>5</v>
      </c>
      <c r="M13" s="2427">
        <v>6</v>
      </c>
      <c r="N13" s="2428">
        <v>26</v>
      </c>
      <c r="O13" s="2429">
        <v>2</v>
      </c>
      <c r="P13" s="2269">
        <v>2</v>
      </c>
      <c r="Q13" s="2430">
        <v>1</v>
      </c>
      <c r="R13" s="2429"/>
      <c r="S13" s="2427"/>
      <c r="T13" s="98">
        <v>6</v>
      </c>
      <c r="U13" s="2374"/>
      <c r="V13" s="98">
        <v>5</v>
      </c>
      <c r="W13" s="2374"/>
      <c r="X13" s="98"/>
      <c r="Y13" s="2447"/>
      <c r="Z13" s="2432">
        <v>16</v>
      </c>
      <c r="AA13" s="2433">
        <v>10</v>
      </c>
      <c r="AB13" s="2270">
        <v>10</v>
      </c>
      <c r="AC13" s="2270">
        <v>10</v>
      </c>
      <c r="AD13" s="2270">
        <v>10</v>
      </c>
      <c r="AE13" s="2373">
        <v>10</v>
      </c>
      <c r="AF13" s="2433">
        <v>10</v>
      </c>
      <c r="AG13" s="2258"/>
      <c r="AH13" s="2434" t="s">
        <v>31</v>
      </c>
      <c r="AI13" s="2363">
        <f t="shared" si="0"/>
        <v>55</v>
      </c>
    </row>
    <row r="14" spans="1:38" ht="32.25" customHeight="1" x14ac:dyDescent="0.25">
      <c r="A14" s="2368">
        <v>5</v>
      </c>
      <c r="B14" s="2448">
        <v>5191421011</v>
      </c>
      <c r="C14" s="2449">
        <v>1</v>
      </c>
      <c r="D14" s="2450">
        <v>1</v>
      </c>
      <c r="E14" s="2451">
        <v>1</v>
      </c>
      <c r="F14" s="2452">
        <v>6</v>
      </c>
      <c r="G14" s="2453">
        <v>4</v>
      </c>
      <c r="H14" s="2454"/>
      <c r="I14" s="752"/>
      <c r="J14" s="2454"/>
      <c r="K14" s="2453"/>
      <c r="L14" s="98">
        <v>6</v>
      </c>
      <c r="M14" s="2427">
        <v>6</v>
      </c>
      <c r="N14" s="2428">
        <v>24</v>
      </c>
      <c r="O14" s="2452">
        <v>2</v>
      </c>
      <c r="P14" s="2450">
        <v>2</v>
      </c>
      <c r="Q14" s="2455">
        <v>2</v>
      </c>
      <c r="R14" s="2452">
        <v>5</v>
      </c>
      <c r="S14" s="2427">
        <v>5.5</v>
      </c>
      <c r="T14" s="98"/>
      <c r="U14" s="2374"/>
      <c r="V14" s="98"/>
      <c r="W14" s="2374"/>
      <c r="X14" s="2454">
        <v>4.5</v>
      </c>
      <c r="Y14" s="2393">
        <v>5</v>
      </c>
      <c r="Z14" s="2432">
        <v>26</v>
      </c>
      <c r="AA14" s="2433">
        <v>10</v>
      </c>
      <c r="AB14" s="2270">
        <v>10</v>
      </c>
      <c r="AC14" s="2270">
        <v>10</v>
      </c>
      <c r="AD14" s="2270">
        <v>10</v>
      </c>
      <c r="AE14" s="2373">
        <v>10</v>
      </c>
      <c r="AF14" s="2433">
        <v>10</v>
      </c>
      <c r="AG14" s="2258"/>
      <c r="AH14" s="2434" t="s">
        <v>32</v>
      </c>
      <c r="AI14" s="2363">
        <f t="shared" si="0"/>
        <v>70</v>
      </c>
    </row>
    <row r="15" spans="1:38" ht="32.25" customHeight="1" x14ac:dyDescent="0.25">
      <c r="A15" s="2342">
        <v>6</v>
      </c>
      <c r="B15" s="2423">
        <v>5191421013</v>
      </c>
      <c r="C15" s="434">
        <v>2</v>
      </c>
      <c r="D15" s="2269"/>
      <c r="E15" s="2446">
        <v>2</v>
      </c>
      <c r="F15" s="2429">
        <v>6</v>
      </c>
      <c r="G15" s="2427">
        <v>4</v>
      </c>
      <c r="H15" s="98"/>
      <c r="I15" s="584"/>
      <c r="J15" s="98">
        <v>6</v>
      </c>
      <c r="K15" s="2427">
        <v>5</v>
      </c>
      <c r="L15" s="98"/>
      <c r="M15" s="2427"/>
      <c r="N15" s="2428">
        <v>25</v>
      </c>
      <c r="O15" s="2429">
        <v>2</v>
      </c>
      <c r="P15" s="2269">
        <v>2</v>
      </c>
      <c r="Q15" s="2430">
        <v>2</v>
      </c>
      <c r="R15" s="2429">
        <v>6</v>
      </c>
      <c r="S15" s="2427">
        <v>6</v>
      </c>
      <c r="T15" s="98"/>
      <c r="U15" s="2374"/>
      <c r="V15" s="98">
        <v>6</v>
      </c>
      <c r="W15" s="2374"/>
      <c r="X15" s="98"/>
      <c r="Y15" s="2447"/>
      <c r="Z15" s="2432">
        <v>24</v>
      </c>
      <c r="AA15" s="2433">
        <v>10</v>
      </c>
      <c r="AB15" s="2270">
        <v>10</v>
      </c>
      <c r="AC15" s="2270">
        <v>10</v>
      </c>
      <c r="AD15" s="2270">
        <v>10</v>
      </c>
      <c r="AE15" s="2373">
        <v>10</v>
      </c>
      <c r="AF15" s="2433">
        <v>10</v>
      </c>
      <c r="AG15" s="2258"/>
      <c r="AH15" s="2434" t="s">
        <v>32</v>
      </c>
      <c r="AI15" s="2363">
        <f t="shared" si="0"/>
        <v>70</v>
      </c>
    </row>
    <row r="16" spans="1:38" ht="32.25" customHeight="1" x14ac:dyDescent="0.25">
      <c r="A16" s="2342">
        <v>7</v>
      </c>
      <c r="B16" s="2423">
        <v>5191421020</v>
      </c>
      <c r="C16" s="434">
        <v>2</v>
      </c>
      <c r="D16" s="2269"/>
      <c r="E16" s="2446">
        <v>2</v>
      </c>
      <c r="F16" s="2429">
        <v>6</v>
      </c>
      <c r="G16" s="2427">
        <v>4</v>
      </c>
      <c r="H16" s="98"/>
      <c r="I16" s="584"/>
      <c r="J16" s="98">
        <v>3</v>
      </c>
      <c r="K16" s="2427">
        <v>2</v>
      </c>
      <c r="L16" s="98"/>
      <c r="M16" s="2427"/>
      <c r="N16" s="2428">
        <v>19</v>
      </c>
      <c r="O16" s="2429">
        <v>2</v>
      </c>
      <c r="P16" s="2269">
        <v>2</v>
      </c>
      <c r="Q16" s="2430">
        <v>2</v>
      </c>
      <c r="R16" s="2429">
        <v>6</v>
      </c>
      <c r="S16" s="2427">
        <v>6</v>
      </c>
      <c r="T16" s="98"/>
      <c r="U16" s="2374"/>
      <c r="V16" s="98"/>
      <c r="W16" s="2374"/>
      <c r="X16" s="98">
        <v>5</v>
      </c>
      <c r="Y16" s="2447">
        <v>6</v>
      </c>
      <c r="Z16" s="2432">
        <v>29</v>
      </c>
      <c r="AA16" s="2433">
        <v>10</v>
      </c>
      <c r="AB16" s="2270">
        <v>10</v>
      </c>
      <c r="AC16" s="2270">
        <v>10</v>
      </c>
      <c r="AD16" s="2270">
        <v>10</v>
      </c>
      <c r="AE16" s="2373">
        <v>10</v>
      </c>
      <c r="AF16" s="2433">
        <v>10</v>
      </c>
      <c r="AG16" s="2258"/>
      <c r="AH16" s="2434" t="s">
        <v>32</v>
      </c>
      <c r="AI16" s="2363">
        <f t="shared" si="0"/>
        <v>70</v>
      </c>
    </row>
    <row r="17" spans="1:35" ht="32.25" customHeight="1" x14ac:dyDescent="0.25">
      <c r="A17" s="2342">
        <v>8</v>
      </c>
      <c r="B17" s="2423">
        <v>5191421021</v>
      </c>
      <c r="C17" s="434">
        <v>2</v>
      </c>
      <c r="D17" s="2269"/>
      <c r="E17" s="2446">
        <v>2</v>
      </c>
      <c r="F17" s="2429">
        <v>6</v>
      </c>
      <c r="G17" s="2427">
        <v>3</v>
      </c>
      <c r="H17" s="98"/>
      <c r="I17" s="584"/>
      <c r="J17" s="98">
        <v>3</v>
      </c>
      <c r="K17" s="2427">
        <v>5</v>
      </c>
      <c r="L17" s="98"/>
      <c r="M17" s="2427"/>
      <c r="N17" s="2428">
        <v>21</v>
      </c>
      <c r="O17" s="2429">
        <v>2</v>
      </c>
      <c r="P17" s="2269">
        <v>2</v>
      </c>
      <c r="Q17" s="2430">
        <v>2</v>
      </c>
      <c r="R17" s="2429">
        <v>6</v>
      </c>
      <c r="S17" s="2427">
        <v>5.5</v>
      </c>
      <c r="T17" s="98"/>
      <c r="U17" s="2374"/>
      <c r="V17" s="98"/>
      <c r="W17" s="2374"/>
      <c r="X17" s="98">
        <v>5</v>
      </c>
      <c r="Y17" s="2447">
        <v>5</v>
      </c>
      <c r="Z17" s="2432">
        <v>27.5</v>
      </c>
      <c r="AA17" s="2433">
        <v>10</v>
      </c>
      <c r="AB17" s="2270">
        <v>10</v>
      </c>
      <c r="AC17" s="2270">
        <v>10</v>
      </c>
      <c r="AD17" s="2270">
        <v>10</v>
      </c>
      <c r="AE17" s="2373">
        <v>10</v>
      </c>
      <c r="AF17" s="2433">
        <v>10</v>
      </c>
      <c r="AG17" s="2258"/>
      <c r="AH17" s="2434" t="s">
        <v>32</v>
      </c>
      <c r="AI17" s="2363">
        <f t="shared" si="0"/>
        <v>70</v>
      </c>
    </row>
    <row r="18" spans="1:35" ht="32.25" customHeight="1" x14ac:dyDescent="0.25">
      <c r="A18" s="2342">
        <v>9</v>
      </c>
      <c r="B18" s="2423">
        <v>5191421027</v>
      </c>
      <c r="C18" s="2375">
        <v>2</v>
      </c>
      <c r="D18" s="98">
        <v>2</v>
      </c>
      <c r="E18" s="2456">
        <v>1</v>
      </c>
      <c r="F18" s="98">
        <v>6</v>
      </c>
      <c r="G18" s="2427">
        <v>1</v>
      </c>
      <c r="H18" s="98"/>
      <c r="I18" s="584"/>
      <c r="J18" s="98"/>
      <c r="K18" s="2427"/>
      <c r="L18" s="98">
        <v>5</v>
      </c>
      <c r="M18" s="2427">
        <v>5</v>
      </c>
      <c r="N18" s="2428">
        <v>22</v>
      </c>
      <c r="O18" s="2429">
        <v>1</v>
      </c>
      <c r="P18" s="2269">
        <v>2</v>
      </c>
      <c r="Q18" s="2430"/>
      <c r="R18" s="2429">
        <v>6</v>
      </c>
      <c r="S18" s="2427">
        <v>6</v>
      </c>
      <c r="T18" s="98"/>
      <c r="U18" s="2374"/>
      <c r="V18" s="98"/>
      <c r="W18" s="2374"/>
      <c r="X18" s="98"/>
      <c r="Y18" s="2447">
        <v>5</v>
      </c>
      <c r="Z18" s="2432">
        <v>20</v>
      </c>
      <c r="AA18" s="2433">
        <v>9</v>
      </c>
      <c r="AB18" s="2270">
        <v>9</v>
      </c>
      <c r="AC18" s="2270">
        <v>9</v>
      </c>
      <c r="AD18" s="2270">
        <v>9</v>
      </c>
      <c r="AE18" s="2373">
        <v>9</v>
      </c>
      <c r="AF18" s="2433">
        <v>9</v>
      </c>
      <c r="AG18" s="2258"/>
      <c r="AH18" s="2434" t="s">
        <v>32</v>
      </c>
      <c r="AI18" s="2363">
        <f t="shared" si="0"/>
        <v>70</v>
      </c>
    </row>
    <row r="19" spans="1:35" ht="32.25" customHeight="1" x14ac:dyDescent="0.25">
      <c r="A19" s="2342">
        <v>10</v>
      </c>
      <c r="B19" s="2423">
        <v>5191421028</v>
      </c>
      <c r="C19" s="434">
        <v>2</v>
      </c>
      <c r="D19" s="2269">
        <v>1</v>
      </c>
      <c r="E19" s="2446">
        <v>2</v>
      </c>
      <c r="F19" s="2429">
        <v>6</v>
      </c>
      <c r="G19" s="2427">
        <v>4</v>
      </c>
      <c r="H19" s="98"/>
      <c r="I19" s="584"/>
      <c r="J19" s="98">
        <v>5</v>
      </c>
      <c r="K19" s="2427">
        <v>5</v>
      </c>
      <c r="L19" s="98"/>
      <c r="M19" s="2427"/>
      <c r="N19" s="2428">
        <v>25</v>
      </c>
      <c r="O19" s="2429">
        <v>2</v>
      </c>
      <c r="P19" s="2269">
        <v>2</v>
      </c>
      <c r="Q19" s="2430">
        <v>2</v>
      </c>
      <c r="R19" s="2429">
        <v>6</v>
      </c>
      <c r="S19" s="2427"/>
      <c r="T19" s="98"/>
      <c r="U19" s="2374"/>
      <c r="V19" s="98">
        <v>6</v>
      </c>
      <c r="W19" s="2374">
        <v>6</v>
      </c>
      <c r="X19" s="98"/>
      <c r="Y19" s="2447"/>
      <c r="Z19" s="2432">
        <v>24</v>
      </c>
      <c r="AA19" s="2433">
        <v>10</v>
      </c>
      <c r="AB19" s="2270">
        <v>10</v>
      </c>
      <c r="AC19" s="2270">
        <v>10</v>
      </c>
      <c r="AD19" s="2270">
        <v>10</v>
      </c>
      <c r="AE19" s="2373">
        <v>10</v>
      </c>
      <c r="AF19" s="2433">
        <v>10</v>
      </c>
      <c r="AG19" s="2258"/>
      <c r="AH19" s="2434" t="s">
        <v>32</v>
      </c>
      <c r="AI19" s="2363">
        <f t="shared" si="0"/>
        <v>70</v>
      </c>
    </row>
    <row r="20" spans="1:35" ht="32.25" customHeight="1" x14ac:dyDescent="0.25">
      <c r="A20" s="2342">
        <v>11</v>
      </c>
      <c r="B20" s="2423">
        <v>5191421032</v>
      </c>
      <c r="C20" s="434">
        <v>2</v>
      </c>
      <c r="D20" s="2269">
        <v>0</v>
      </c>
      <c r="E20" s="2446">
        <v>0</v>
      </c>
      <c r="F20" s="2429">
        <v>2</v>
      </c>
      <c r="G20" s="2427">
        <v>2</v>
      </c>
      <c r="H20" s="98"/>
      <c r="I20" s="584"/>
      <c r="J20" s="98">
        <v>0</v>
      </c>
      <c r="K20" s="2427">
        <v>3</v>
      </c>
      <c r="L20" s="98"/>
      <c r="M20" s="2427"/>
      <c r="N20" s="2428">
        <v>9</v>
      </c>
      <c r="O20" s="2429">
        <v>2</v>
      </c>
      <c r="P20" s="2269">
        <v>2</v>
      </c>
      <c r="Q20" s="2430">
        <v>2</v>
      </c>
      <c r="R20" s="2429"/>
      <c r="S20" s="2427"/>
      <c r="T20" s="98">
        <v>4</v>
      </c>
      <c r="U20" s="2374">
        <v>3</v>
      </c>
      <c r="V20" s="98"/>
      <c r="W20" s="2374"/>
      <c r="X20" s="98">
        <v>3</v>
      </c>
      <c r="Y20" s="2447">
        <v>3</v>
      </c>
      <c r="Z20" s="2432">
        <v>19</v>
      </c>
      <c r="AA20" s="2433">
        <v>10</v>
      </c>
      <c r="AB20" s="2270">
        <v>10</v>
      </c>
      <c r="AC20" s="2270">
        <v>10</v>
      </c>
      <c r="AD20" s="2270">
        <v>10</v>
      </c>
      <c r="AE20" s="2373">
        <v>10</v>
      </c>
      <c r="AF20" s="2433">
        <v>10</v>
      </c>
      <c r="AG20" s="2258"/>
      <c r="AH20" s="2434" t="s">
        <v>32</v>
      </c>
      <c r="AI20" s="2363">
        <f t="shared" si="0"/>
        <v>70</v>
      </c>
    </row>
    <row r="21" spans="1:35" ht="32.25" customHeight="1" x14ac:dyDescent="0.25">
      <c r="A21" s="2342">
        <v>12</v>
      </c>
      <c r="B21" s="2423">
        <v>5191421033</v>
      </c>
      <c r="C21" s="434">
        <v>2</v>
      </c>
      <c r="D21" s="2269">
        <v>1</v>
      </c>
      <c r="E21" s="2446">
        <v>2</v>
      </c>
      <c r="F21" s="2429">
        <v>6</v>
      </c>
      <c r="G21" s="2427">
        <v>4</v>
      </c>
      <c r="H21" s="98"/>
      <c r="I21" s="584"/>
      <c r="J21" s="98"/>
      <c r="K21" s="2427"/>
      <c r="L21" s="98">
        <v>5</v>
      </c>
      <c r="M21" s="2427">
        <v>4</v>
      </c>
      <c r="N21" s="2428">
        <v>24</v>
      </c>
      <c r="O21" s="2429">
        <v>2</v>
      </c>
      <c r="P21" s="2269">
        <v>2</v>
      </c>
      <c r="Q21" s="2430">
        <v>1</v>
      </c>
      <c r="R21" s="2429">
        <v>6</v>
      </c>
      <c r="S21" s="2427">
        <v>2</v>
      </c>
      <c r="T21" s="98"/>
      <c r="U21" s="2374"/>
      <c r="V21" s="98"/>
      <c r="W21" s="2374"/>
      <c r="X21" s="98">
        <v>5</v>
      </c>
      <c r="Y21" s="2447">
        <v>6</v>
      </c>
      <c r="Z21" s="2432">
        <v>24</v>
      </c>
      <c r="AA21" s="2433">
        <v>10</v>
      </c>
      <c r="AB21" s="2270">
        <v>10</v>
      </c>
      <c r="AC21" s="2270">
        <v>10</v>
      </c>
      <c r="AD21" s="2270">
        <v>10</v>
      </c>
      <c r="AE21" s="2373">
        <v>10</v>
      </c>
      <c r="AF21" s="2433">
        <v>10</v>
      </c>
      <c r="AG21" s="2258"/>
      <c r="AH21" s="2434" t="s">
        <v>32</v>
      </c>
      <c r="AI21" s="2363">
        <f t="shared" si="0"/>
        <v>70</v>
      </c>
    </row>
    <row r="22" spans="1:35" ht="32.25" customHeight="1" x14ac:dyDescent="0.25">
      <c r="A22" s="2342">
        <v>13</v>
      </c>
      <c r="B22" s="2423">
        <v>5191421034</v>
      </c>
      <c r="C22" s="434">
        <v>1</v>
      </c>
      <c r="D22" s="2269">
        <v>2</v>
      </c>
      <c r="E22" s="2446">
        <v>1</v>
      </c>
      <c r="F22" s="2429">
        <v>6</v>
      </c>
      <c r="G22" s="2427">
        <v>4</v>
      </c>
      <c r="H22" s="98"/>
      <c r="I22" s="584"/>
      <c r="J22" s="98"/>
      <c r="K22" s="2427"/>
      <c r="L22" s="98">
        <v>5</v>
      </c>
      <c r="M22" s="2427">
        <v>5</v>
      </c>
      <c r="N22" s="2428">
        <v>24</v>
      </c>
      <c r="O22" s="2429">
        <v>2</v>
      </c>
      <c r="P22" s="2269">
        <v>2</v>
      </c>
      <c r="Q22" s="2430"/>
      <c r="R22" s="2429">
        <v>6</v>
      </c>
      <c r="S22" s="2427">
        <v>6</v>
      </c>
      <c r="T22" s="98"/>
      <c r="U22" s="2374"/>
      <c r="V22" s="98"/>
      <c r="W22" s="2374"/>
      <c r="X22" s="98">
        <v>5</v>
      </c>
      <c r="Y22" s="2447">
        <v>6</v>
      </c>
      <c r="Z22" s="2432">
        <v>27</v>
      </c>
      <c r="AA22" s="2433">
        <v>10</v>
      </c>
      <c r="AB22" s="2270">
        <v>10</v>
      </c>
      <c r="AC22" s="2270">
        <v>10</v>
      </c>
      <c r="AD22" s="2270">
        <v>10</v>
      </c>
      <c r="AE22" s="2373">
        <v>10</v>
      </c>
      <c r="AF22" s="2433">
        <v>10</v>
      </c>
      <c r="AG22" s="2258"/>
      <c r="AH22" s="2434" t="s">
        <v>32</v>
      </c>
      <c r="AI22" s="2363">
        <f t="shared" si="0"/>
        <v>70</v>
      </c>
    </row>
    <row r="23" spans="1:35" ht="32.25" customHeight="1" x14ac:dyDescent="0.25">
      <c r="A23" s="2342">
        <v>14</v>
      </c>
      <c r="B23" s="2423">
        <v>5191421039</v>
      </c>
      <c r="C23" s="434">
        <v>2</v>
      </c>
      <c r="D23" s="2269">
        <v>2</v>
      </c>
      <c r="E23" s="2446">
        <v>2</v>
      </c>
      <c r="F23" s="2429">
        <v>5</v>
      </c>
      <c r="G23" s="2427">
        <v>4</v>
      </c>
      <c r="H23" s="98"/>
      <c r="I23" s="584"/>
      <c r="J23" s="98"/>
      <c r="K23" s="2427"/>
      <c r="L23" s="98">
        <v>4</v>
      </c>
      <c r="M23" s="2427">
        <v>4</v>
      </c>
      <c r="N23" s="2428">
        <v>23</v>
      </c>
      <c r="O23" s="2429">
        <v>2</v>
      </c>
      <c r="P23" s="2269">
        <v>2</v>
      </c>
      <c r="Q23" s="2430">
        <v>2</v>
      </c>
      <c r="R23" s="2429">
        <v>6</v>
      </c>
      <c r="S23" s="2427">
        <v>6</v>
      </c>
      <c r="T23" s="98"/>
      <c r="U23" s="2374"/>
      <c r="V23" s="98"/>
      <c r="W23" s="2374"/>
      <c r="X23" s="98">
        <v>5</v>
      </c>
      <c r="Y23" s="2447">
        <v>5</v>
      </c>
      <c r="Z23" s="2432">
        <v>28</v>
      </c>
      <c r="AA23" s="2433">
        <v>10</v>
      </c>
      <c r="AB23" s="2270">
        <v>10</v>
      </c>
      <c r="AC23" s="2270">
        <v>10</v>
      </c>
      <c r="AD23" s="2270">
        <v>10</v>
      </c>
      <c r="AE23" s="2373">
        <v>10</v>
      </c>
      <c r="AF23" s="2433">
        <v>10</v>
      </c>
      <c r="AG23" s="2258"/>
      <c r="AH23" s="2434" t="s">
        <v>32</v>
      </c>
      <c r="AI23" s="2363">
        <f t="shared" si="0"/>
        <v>70</v>
      </c>
    </row>
    <row r="24" spans="1:35" ht="32.25" customHeight="1" x14ac:dyDescent="0.25">
      <c r="A24" s="2342">
        <v>15</v>
      </c>
      <c r="B24" s="2423">
        <v>5191421041</v>
      </c>
      <c r="C24" s="434">
        <v>2</v>
      </c>
      <c r="D24" s="2269">
        <v>1</v>
      </c>
      <c r="E24" s="2446">
        <v>2</v>
      </c>
      <c r="F24" s="2429">
        <v>6</v>
      </c>
      <c r="G24" s="2427">
        <v>5</v>
      </c>
      <c r="H24" s="98"/>
      <c r="I24" s="584"/>
      <c r="J24" s="98"/>
      <c r="K24" s="2427"/>
      <c r="L24" s="98">
        <v>2</v>
      </c>
      <c r="M24" s="2427">
        <v>1</v>
      </c>
      <c r="N24" s="2428">
        <v>19</v>
      </c>
      <c r="O24" s="2429">
        <v>1</v>
      </c>
      <c r="P24" s="2269">
        <v>1</v>
      </c>
      <c r="Q24" s="2430">
        <v>1</v>
      </c>
      <c r="R24" s="2429"/>
      <c r="S24" s="2427"/>
      <c r="T24" s="98">
        <v>3</v>
      </c>
      <c r="U24" s="2374">
        <v>2</v>
      </c>
      <c r="V24" s="98"/>
      <c r="W24" s="2374"/>
      <c r="X24" s="98">
        <v>3</v>
      </c>
      <c r="Y24" s="2447">
        <v>3</v>
      </c>
      <c r="Z24" s="2432">
        <v>14</v>
      </c>
      <c r="AA24" s="2433">
        <v>10</v>
      </c>
      <c r="AB24" s="2270">
        <v>10</v>
      </c>
      <c r="AC24" s="2270">
        <v>10</v>
      </c>
      <c r="AD24" s="2270">
        <v>10</v>
      </c>
      <c r="AE24" s="2373">
        <v>10</v>
      </c>
      <c r="AF24" s="2433">
        <v>10</v>
      </c>
      <c r="AG24" s="2258"/>
      <c r="AH24" s="2434" t="s">
        <v>32</v>
      </c>
      <c r="AI24" s="2363">
        <f t="shared" si="0"/>
        <v>70</v>
      </c>
    </row>
    <row r="25" spans="1:35" ht="32.25" customHeight="1" x14ac:dyDescent="0.25">
      <c r="A25" s="2342">
        <v>16</v>
      </c>
      <c r="B25" s="2423">
        <v>5191421044</v>
      </c>
      <c r="C25" s="434">
        <v>2</v>
      </c>
      <c r="D25" s="2269">
        <v>1</v>
      </c>
      <c r="E25" s="2446">
        <v>2</v>
      </c>
      <c r="F25" s="2429">
        <v>5</v>
      </c>
      <c r="G25" s="2457">
        <v>4</v>
      </c>
      <c r="H25" s="83"/>
      <c r="I25" s="584"/>
      <c r="J25" s="98"/>
      <c r="K25" s="2427"/>
      <c r="L25" s="98">
        <v>6</v>
      </c>
      <c r="M25" s="2427">
        <v>5</v>
      </c>
      <c r="N25" s="2428">
        <v>25</v>
      </c>
      <c r="O25" s="2429">
        <v>2</v>
      </c>
      <c r="P25" s="2269">
        <v>2</v>
      </c>
      <c r="Q25" s="2430">
        <v>2</v>
      </c>
      <c r="R25" s="2429">
        <v>6</v>
      </c>
      <c r="S25" s="2427">
        <v>6</v>
      </c>
      <c r="T25" s="98"/>
      <c r="U25" s="2374"/>
      <c r="V25" s="98">
        <v>5</v>
      </c>
      <c r="W25" s="2374">
        <v>5.5</v>
      </c>
      <c r="X25" s="98"/>
      <c r="Y25" s="2447"/>
      <c r="Z25" s="2432">
        <v>28.5</v>
      </c>
      <c r="AA25" s="2433">
        <v>10</v>
      </c>
      <c r="AB25" s="2270">
        <v>10</v>
      </c>
      <c r="AC25" s="2270">
        <v>10</v>
      </c>
      <c r="AD25" s="2270">
        <v>10</v>
      </c>
      <c r="AE25" s="2373">
        <v>10</v>
      </c>
      <c r="AF25" s="2433">
        <v>10</v>
      </c>
      <c r="AG25" s="2258"/>
      <c r="AH25" s="2434" t="s">
        <v>32</v>
      </c>
      <c r="AI25" s="2363">
        <f t="shared" si="0"/>
        <v>70</v>
      </c>
    </row>
    <row r="26" spans="1:35" ht="32.25" customHeight="1" x14ac:dyDescent="0.25">
      <c r="A26" s="2342">
        <v>17</v>
      </c>
      <c r="B26" s="2423">
        <v>5191421050</v>
      </c>
      <c r="C26" s="434">
        <v>2</v>
      </c>
      <c r="D26" s="2269">
        <v>1</v>
      </c>
      <c r="E26" s="2446">
        <v>2</v>
      </c>
      <c r="F26" s="2429">
        <v>4</v>
      </c>
      <c r="G26" s="2427">
        <v>4</v>
      </c>
      <c r="H26" s="98"/>
      <c r="I26" s="584"/>
      <c r="J26" s="98"/>
      <c r="K26" s="2427"/>
      <c r="L26" s="98"/>
      <c r="M26" s="2427">
        <v>4</v>
      </c>
      <c r="N26" s="2428">
        <v>17</v>
      </c>
      <c r="O26" s="2429">
        <v>2</v>
      </c>
      <c r="P26" s="2269">
        <v>2</v>
      </c>
      <c r="Q26" s="2430">
        <v>2</v>
      </c>
      <c r="R26" s="2429"/>
      <c r="S26" s="2427">
        <v>4</v>
      </c>
      <c r="T26" s="98"/>
      <c r="U26" s="2374"/>
      <c r="V26" s="98">
        <v>4</v>
      </c>
      <c r="W26" s="2374"/>
      <c r="X26" s="98"/>
      <c r="Y26" s="2447"/>
      <c r="Z26" s="2432">
        <v>14</v>
      </c>
      <c r="AA26" s="2433">
        <v>10</v>
      </c>
      <c r="AB26" s="2270">
        <v>10</v>
      </c>
      <c r="AC26" s="2270">
        <v>10</v>
      </c>
      <c r="AD26" s="2270">
        <v>10</v>
      </c>
      <c r="AE26" s="2373">
        <v>10</v>
      </c>
      <c r="AF26" s="2433">
        <v>10</v>
      </c>
      <c r="AG26" s="2258"/>
      <c r="AH26" s="2434" t="s">
        <v>31</v>
      </c>
      <c r="AI26" s="2363">
        <f t="shared" si="0"/>
        <v>55</v>
      </c>
    </row>
    <row r="27" spans="1:35" ht="32.25" customHeight="1" x14ac:dyDescent="0.25">
      <c r="A27" s="2342">
        <v>18</v>
      </c>
      <c r="B27" s="2423">
        <v>5191421051</v>
      </c>
      <c r="C27" s="2424">
        <v>2</v>
      </c>
      <c r="D27" s="2269">
        <v>1</v>
      </c>
      <c r="E27" s="2446">
        <v>2</v>
      </c>
      <c r="F27" s="2429">
        <v>5</v>
      </c>
      <c r="G27" s="2427">
        <v>5</v>
      </c>
      <c r="H27" s="98"/>
      <c r="I27" s="584"/>
      <c r="J27" s="98"/>
      <c r="K27" s="2427">
        <v>4</v>
      </c>
      <c r="L27" s="98"/>
      <c r="M27" s="2427"/>
      <c r="N27" s="2428">
        <v>19</v>
      </c>
      <c r="O27" s="2429">
        <v>2</v>
      </c>
      <c r="P27" s="2269">
        <v>2</v>
      </c>
      <c r="Q27" s="2430">
        <v>2</v>
      </c>
      <c r="R27" s="2429">
        <v>6</v>
      </c>
      <c r="S27" s="2427">
        <v>4</v>
      </c>
      <c r="T27" s="98"/>
      <c r="U27" s="2374"/>
      <c r="V27" s="98">
        <v>6</v>
      </c>
      <c r="W27" s="2374">
        <v>5</v>
      </c>
      <c r="X27" s="98"/>
      <c r="Y27" s="2447"/>
      <c r="Z27" s="2432">
        <v>27</v>
      </c>
      <c r="AA27" s="2433">
        <v>10</v>
      </c>
      <c r="AB27" s="2270">
        <v>10</v>
      </c>
      <c r="AC27" s="2270">
        <v>10</v>
      </c>
      <c r="AD27" s="2270">
        <v>10</v>
      </c>
      <c r="AE27" s="2373">
        <v>10</v>
      </c>
      <c r="AF27" s="2433">
        <v>10</v>
      </c>
      <c r="AG27" s="2258"/>
      <c r="AH27" s="2434" t="s">
        <v>33</v>
      </c>
      <c r="AI27" s="2363">
        <f t="shared" si="0"/>
        <v>60</v>
      </c>
    </row>
    <row r="28" spans="1:35" ht="32.25" customHeight="1" x14ac:dyDescent="0.25">
      <c r="A28" s="2342">
        <v>19</v>
      </c>
      <c r="B28" s="2423">
        <v>5191421052</v>
      </c>
      <c r="C28" s="434">
        <v>2</v>
      </c>
      <c r="D28" s="2363">
        <v>2</v>
      </c>
      <c r="E28" s="2374">
        <v>2</v>
      </c>
      <c r="F28" s="98">
        <v>6</v>
      </c>
      <c r="G28" s="2427">
        <v>5</v>
      </c>
      <c r="H28" s="98"/>
      <c r="I28" s="584"/>
      <c r="J28" s="98">
        <v>3</v>
      </c>
      <c r="K28" s="2427">
        <v>5</v>
      </c>
      <c r="L28" s="98"/>
      <c r="M28" s="2427"/>
      <c r="N28" s="2428">
        <v>25</v>
      </c>
      <c r="O28" s="2429">
        <v>2</v>
      </c>
      <c r="P28" s="2363">
        <v>2</v>
      </c>
      <c r="Q28" s="2427">
        <v>2</v>
      </c>
      <c r="R28" s="98">
        <v>6</v>
      </c>
      <c r="S28" s="2427">
        <v>6</v>
      </c>
      <c r="T28" s="98"/>
      <c r="U28" s="2374"/>
      <c r="V28" s="98">
        <v>3</v>
      </c>
      <c r="W28" s="2374">
        <v>5</v>
      </c>
      <c r="X28" s="98"/>
      <c r="Y28" s="2447"/>
      <c r="Z28" s="2432">
        <v>26</v>
      </c>
      <c r="AA28" s="2433">
        <v>10</v>
      </c>
      <c r="AB28" s="2270">
        <v>10</v>
      </c>
      <c r="AC28" s="2270">
        <v>10</v>
      </c>
      <c r="AD28" s="2270">
        <v>10</v>
      </c>
      <c r="AE28" s="2373">
        <v>10</v>
      </c>
      <c r="AF28" s="2433">
        <v>10</v>
      </c>
      <c r="AG28" s="2258"/>
      <c r="AH28" s="2434" t="s">
        <v>32</v>
      </c>
      <c r="AI28" s="2363">
        <f t="shared" si="0"/>
        <v>70</v>
      </c>
    </row>
    <row r="29" spans="1:35" ht="32.25" customHeight="1" x14ac:dyDescent="0.25">
      <c r="A29" s="2342">
        <v>20</v>
      </c>
      <c r="B29" s="2423">
        <v>5191421053</v>
      </c>
      <c r="C29" s="2375">
        <v>2</v>
      </c>
      <c r="D29" s="2363">
        <v>2</v>
      </c>
      <c r="E29" s="2374">
        <v>2</v>
      </c>
      <c r="F29" s="98">
        <v>6</v>
      </c>
      <c r="G29" s="2427">
        <v>4</v>
      </c>
      <c r="H29" s="98"/>
      <c r="I29" s="584"/>
      <c r="J29" s="98"/>
      <c r="K29" s="2427"/>
      <c r="L29" s="98">
        <v>5</v>
      </c>
      <c r="M29" s="2427">
        <v>3</v>
      </c>
      <c r="N29" s="2428">
        <v>24</v>
      </c>
      <c r="O29" s="98">
        <v>2</v>
      </c>
      <c r="P29" s="2363">
        <v>2</v>
      </c>
      <c r="Q29" s="2427">
        <v>2</v>
      </c>
      <c r="R29" s="98">
        <v>2</v>
      </c>
      <c r="S29" s="2427">
        <v>4</v>
      </c>
      <c r="T29" s="98"/>
      <c r="U29" s="2374"/>
      <c r="V29" s="98"/>
      <c r="W29" s="2374"/>
      <c r="X29" s="98">
        <v>5</v>
      </c>
      <c r="Y29" s="2447">
        <v>5</v>
      </c>
      <c r="Z29" s="2432">
        <v>22</v>
      </c>
      <c r="AA29" s="2433">
        <v>10</v>
      </c>
      <c r="AB29" s="2270">
        <v>10</v>
      </c>
      <c r="AC29" s="2270">
        <v>10</v>
      </c>
      <c r="AD29" s="2270">
        <v>10</v>
      </c>
      <c r="AE29" s="2373">
        <v>10</v>
      </c>
      <c r="AF29" s="2433">
        <v>10</v>
      </c>
      <c r="AG29" s="2258"/>
      <c r="AH29" s="2434" t="s">
        <v>32</v>
      </c>
      <c r="AI29" s="2363">
        <f t="shared" si="0"/>
        <v>70</v>
      </c>
    </row>
    <row r="30" spans="1:35" ht="32.25" customHeight="1" x14ac:dyDescent="0.25">
      <c r="A30" s="2342">
        <v>21</v>
      </c>
      <c r="B30" s="2423">
        <v>5191421056</v>
      </c>
      <c r="C30" s="434">
        <v>2</v>
      </c>
      <c r="D30" s="2363"/>
      <c r="E30" s="2374">
        <v>2</v>
      </c>
      <c r="F30" s="98">
        <v>6</v>
      </c>
      <c r="G30" s="2427">
        <v>4</v>
      </c>
      <c r="H30" s="98"/>
      <c r="I30" s="584"/>
      <c r="J30" s="98"/>
      <c r="K30" s="2427"/>
      <c r="L30" s="98">
        <v>5</v>
      </c>
      <c r="M30" s="2427">
        <v>5</v>
      </c>
      <c r="N30" s="2428">
        <v>24</v>
      </c>
      <c r="O30" s="2429"/>
      <c r="P30" s="2363">
        <v>2</v>
      </c>
      <c r="Q30" s="2427">
        <v>2</v>
      </c>
      <c r="R30" s="98">
        <v>6</v>
      </c>
      <c r="S30" s="2427"/>
      <c r="T30" s="98"/>
      <c r="U30" s="2374">
        <v>5</v>
      </c>
      <c r="V30" s="98">
        <v>5</v>
      </c>
      <c r="W30" s="2374"/>
      <c r="X30" s="98"/>
      <c r="Y30" s="2447"/>
      <c r="Z30" s="2432">
        <v>20</v>
      </c>
      <c r="AA30" s="2433">
        <v>10</v>
      </c>
      <c r="AB30" s="2270">
        <v>10</v>
      </c>
      <c r="AC30" s="2270">
        <v>10</v>
      </c>
      <c r="AD30" s="2270">
        <v>10</v>
      </c>
      <c r="AE30" s="2373">
        <v>10</v>
      </c>
      <c r="AF30" s="2433">
        <v>10</v>
      </c>
      <c r="AG30" s="2258"/>
      <c r="AH30" s="2434" t="s">
        <v>33</v>
      </c>
      <c r="AI30" s="2363">
        <f t="shared" si="0"/>
        <v>60</v>
      </c>
    </row>
    <row r="31" spans="1:35" ht="32.25" customHeight="1" x14ac:dyDescent="0.25">
      <c r="A31" s="2342">
        <v>22</v>
      </c>
      <c r="B31" s="2423">
        <v>5191421057</v>
      </c>
      <c r="C31" s="842">
        <v>2</v>
      </c>
      <c r="D31" s="2362">
        <v>2</v>
      </c>
      <c r="E31" s="2316">
        <v>2</v>
      </c>
      <c r="F31" s="841">
        <v>6</v>
      </c>
      <c r="G31" s="840">
        <v>3</v>
      </c>
      <c r="H31" s="841"/>
      <c r="I31" s="840"/>
      <c r="J31" s="841"/>
      <c r="K31" s="840"/>
      <c r="L31" s="98">
        <v>5</v>
      </c>
      <c r="M31" s="2427">
        <v>6</v>
      </c>
      <c r="N31" s="2428">
        <v>26</v>
      </c>
      <c r="O31" s="2429"/>
      <c r="P31" s="2363">
        <v>2</v>
      </c>
      <c r="Q31" s="2427">
        <v>2</v>
      </c>
      <c r="R31" s="98">
        <v>6</v>
      </c>
      <c r="S31" s="2427">
        <v>6</v>
      </c>
      <c r="T31" s="98"/>
      <c r="U31" s="2374"/>
      <c r="V31" s="98"/>
      <c r="W31" s="2374"/>
      <c r="X31" s="98">
        <v>6</v>
      </c>
      <c r="Y31" s="2447">
        <v>5</v>
      </c>
      <c r="Z31" s="2432">
        <v>27</v>
      </c>
      <c r="AA31" s="2433">
        <v>10</v>
      </c>
      <c r="AB31" s="2270">
        <v>10</v>
      </c>
      <c r="AC31" s="2270">
        <v>10</v>
      </c>
      <c r="AD31" s="2270">
        <v>10</v>
      </c>
      <c r="AE31" s="2373">
        <v>10</v>
      </c>
      <c r="AF31" s="2433">
        <v>10</v>
      </c>
      <c r="AG31" s="2258"/>
      <c r="AH31" s="2434" t="s">
        <v>32</v>
      </c>
      <c r="AI31" s="2363">
        <f t="shared" si="0"/>
        <v>70</v>
      </c>
    </row>
    <row r="32" spans="1:35" ht="32.25" customHeight="1" x14ac:dyDescent="0.25">
      <c r="C32" s="2363">
        <f t="shared" ref="C32:M32" si="1">COUNT(C10:C31)</f>
        <v>22</v>
      </c>
      <c r="D32" s="2363">
        <f t="shared" si="1"/>
        <v>18</v>
      </c>
      <c r="E32" s="2363">
        <f t="shared" si="1"/>
        <v>22</v>
      </c>
      <c r="F32" s="2363">
        <f t="shared" si="1"/>
        <v>21</v>
      </c>
      <c r="G32" s="2363">
        <f t="shared" si="1"/>
        <v>21</v>
      </c>
      <c r="H32" s="2363">
        <f t="shared" si="1"/>
        <v>1</v>
      </c>
      <c r="I32" s="2363">
        <f t="shared" si="1"/>
        <v>1</v>
      </c>
      <c r="J32" s="2363">
        <f t="shared" si="1"/>
        <v>6</v>
      </c>
      <c r="K32" s="2363">
        <f t="shared" si="1"/>
        <v>7</v>
      </c>
      <c r="L32" s="2363">
        <f t="shared" si="1"/>
        <v>14</v>
      </c>
      <c r="M32" s="2363">
        <f t="shared" si="1"/>
        <v>15</v>
      </c>
      <c r="N32" s="2390"/>
      <c r="O32" s="2363">
        <f t="shared" ref="O32:Y32" si="2">COUNT(O10:O31)</f>
        <v>20</v>
      </c>
      <c r="P32" s="2363">
        <f t="shared" si="2"/>
        <v>21</v>
      </c>
      <c r="Q32" s="2363">
        <f t="shared" si="2"/>
        <v>20</v>
      </c>
      <c r="R32" s="2363">
        <f t="shared" si="2"/>
        <v>17</v>
      </c>
      <c r="S32" s="2363">
        <f t="shared" si="2"/>
        <v>15</v>
      </c>
      <c r="T32" s="2363">
        <f t="shared" si="2"/>
        <v>5</v>
      </c>
      <c r="U32" s="2363">
        <f t="shared" si="2"/>
        <v>5</v>
      </c>
      <c r="V32" s="2363">
        <f t="shared" si="2"/>
        <v>9</v>
      </c>
      <c r="W32" s="2363">
        <f t="shared" si="2"/>
        <v>5</v>
      </c>
      <c r="X32" s="2363">
        <f t="shared" si="2"/>
        <v>11</v>
      </c>
      <c r="Y32" s="2363">
        <f t="shared" si="2"/>
        <v>12</v>
      </c>
      <c r="Z32" s="2363"/>
      <c r="AA32" s="2363">
        <f>COUNT(AA10:AA31)</f>
        <v>22</v>
      </c>
      <c r="AB32" s="2363">
        <f>COUNT(AB10:AB31)</f>
        <v>22</v>
      </c>
      <c r="AC32" s="2363">
        <f>COUNT(AC10:AC31)</f>
        <v>22</v>
      </c>
      <c r="AD32" s="2363">
        <f>COUNT(AD10:AD31)</f>
        <v>22</v>
      </c>
      <c r="AE32" s="2275"/>
      <c r="AF32" s="2258"/>
    </row>
    <row r="33" spans="1:35" ht="32.25" customHeight="1" x14ac:dyDescent="0.25">
      <c r="A33" s="2406" t="s">
        <v>34</v>
      </c>
      <c r="B33" s="2354">
        <v>55</v>
      </c>
      <c r="C33" s="446">
        <f>C9*(B33/100)</f>
        <v>1.1000000000000001</v>
      </c>
      <c r="D33" s="446">
        <f>D9*(B33/100)</f>
        <v>1.1000000000000001</v>
      </c>
      <c r="E33" s="446">
        <f>E9*(B33/100)</f>
        <v>1.1000000000000001</v>
      </c>
      <c r="F33" s="446">
        <v>3</v>
      </c>
      <c r="G33" s="446">
        <v>3</v>
      </c>
      <c r="H33" s="446">
        <v>3</v>
      </c>
      <c r="I33" s="446">
        <v>3</v>
      </c>
      <c r="J33" s="446">
        <v>3</v>
      </c>
      <c r="K33" s="446">
        <v>3</v>
      </c>
      <c r="L33" s="446">
        <v>3</v>
      </c>
      <c r="M33" s="446">
        <v>3</v>
      </c>
      <c r="N33" s="2390"/>
      <c r="O33" s="446">
        <f>O9*(B33/100)</f>
        <v>1.1000000000000001</v>
      </c>
      <c r="P33" s="446">
        <v>1</v>
      </c>
      <c r="Q33" s="446">
        <v>1</v>
      </c>
      <c r="R33" s="446">
        <v>3</v>
      </c>
      <c r="S33" s="446">
        <v>3</v>
      </c>
      <c r="T33" s="446">
        <v>3</v>
      </c>
      <c r="U33" s="446">
        <v>3</v>
      </c>
      <c r="V33" s="446">
        <v>3</v>
      </c>
      <c r="W33" s="446">
        <v>3</v>
      </c>
      <c r="X33" s="446">
        <v>3</v>
      </c>
      <c r="Y33" s="446">
        <v>3</v>
      </c>
      <c r="Z33" s="446"/>
      <c r="AA33" s="446">
        <v>5</v>
      </c>
      <c r="AB33" s="446">
        <v>6</v>
      </c>
      <c r="AC33" s="446">
        <v>7</v>
      </c>
      <c r="AD33" s="446">
        <v>8</v>
      </c>
      <c r="AE33" s="2394"/>
      <c r="AF33" s="2258"/>
    </row>
    <row r="34" spans="1:35" ht="32.25" customHeight="1" x14ac:dyDescent="0.25">
      <c r="A34" s="3075" t="s">
        <v>35</v>
      </c>
      <c r="B34" s="3897"/>
      <c r="C34" s="2363">
        <f t="shared" ref="C34:M34" si="3">COUNTIF(C11:C31,"&gt;=" &amp;C33)</f>
        <v>18</v>
      </c>
      <c r="D34" s="2363">
        <f t="shared" si="3"/>
        <v>7</v>
      </c>
      <c r="E34" s="2363">
        <f t="shared" si="3"/>
        <v>16</v>
      </c>
      <c r="F34" s="2363">
        <f t="shared" si="3"/>
        <v>19</v>
      </c>
      <c r="G34" s="2363">
        <f t="shared" si="3"/>
        <v>18</v>
      </c>
      <c r="H34" s="2363">
        <f t="shared" si="3"/>
        <v>1</v>
      </c>
      <c r="I34" s="2363">
        <f t="shared" si="3"/>
        <v>1</v>
      </c>
      <c r="J34" s="2363">
        <f t="shared" si="3"/>
        <v>5</v>
      </c>
      <c r="K34" s="2363">
        <f t="shared" si="3"/>
        <v>6</v>
      </c>
      <c r="L34" s="2363">
        <f t="shared" si="3"/>
        <v>11</v>
      </c>
      <c r="M34" s="2363">
        <f t="shared" si="3"/>
        <v>13</v>
      </c>
      <c r="N34" s="2390"/>
      <c r="O34" s="2363">
        <f t="shared" ref="O34:Y34" si="4">COUNTIF(O10:O31,"&gt;=" &amp;O33)</f>
        <v>17</v>
      </c>
      <c r="P34" s="2363">
        <f t="shared" si="4"/>
        <v>21</v>
      </c>
      <c r="Q34" s="2363">
        <f t="shared" si="4"/>
        <v>20</v>
      </c>
      <c r="R34" s="2363">
        <f t="shared" si="4"/>
        <v>15</v>
      </c>
      <c r="S34" s="2363">
        <f t="shared" si="4"/>
        <v>14</v>
      </c>
      <c r="T34" s="2363">
        <f t="shared" si="4"/>
        <v>4</v>
      </c>
      <c r="U34" s="2363">
        <f t="shared" si="4"/>
        <v>4</v>
      </c>
      <c r="V34" s="2363">
        <f t="shared" si="4"/>
        <v>9</v>
      </c>
      <c r="W34" s="2363">
        <f t="shared" si="4"/>
        <v>5</v>
      </c>
      <c r="X34" s="2363">
        <f t="shared" si="4"/>
        <v>11</v>
      </c>
      <c r="Y34" s="2363">
        <f t="shared" si="4"/>
        <v>12</v>
      </c>
      <c r="Z34" s="2363"/>
      <c r="AA34" s="2363">
        <f>COUNTIF(AA10:AA31,"&gt;=" &amp;AA33)</f>
        <v>22</v>
      </c>
      <c r="AB34" s="2363">
        <f>COUNTIF(AB10:AB31,"&gt;=" &amp;AB33)</f>
        <v>22</v>
      </c>
      <c r="AC34" s="2363">
        <f>COUNTIF(AC10:AC31,"&gt;=" &amp;AC33)</f>
        <v>22</v>
      </c>
      <c r="AD34" s="2363">
        <f>COUNTIF(AD10:AD31,"&gt;=" &amp;AD33)</f>
        <v>22</v>
      </c>
      <c r="AE34" s="2275"/>
      <c r="AF34" s="2258"/>
      <c r="AI34" s="2390">
        <f>COUNTIF(AI10:AI31,"&gt;="&amp;B33)</f>
        <v>22</v>
      </c>
    </row>
    <row r="35" spans="1:35" ht="32.25" customHeight="1" x14ac:dyDescent="0.25">
      <c r="A35" s="3061" t="s">
        <v>36</v>
      </c>
      <c r="B35" s="3898"/>
      <c r="C35" s="2363">
        <f t="shared" ref="C35:Y35" si="5">C34/C32</f>
        <v>0.81818181818181823</v>
      </c>
      <c r="D35" s="2363">
        <f t="shared" si="5"/>
        <v>0.3888888888888889</v>
      </c>
      <c r="E35" s="2363">
        <f t="shared" si="5"/>
        <v>0.72727272727272729</v>
      </c>
      <c r="F35" s="2363">
        <f t="shared" si="5"/>
        <v>0.90476190476190477</v>
      </c>
      <c r="G35" s="2363">
        <f t="shared" si="5"/>
        <v>0.8571428571428571</v>
      </c>
      <c r="H35" s="2363">
        <f t="shared" si="5"/>
        <v>1</v>
      </c>
      <c r="I35" s="2363">
        <f t="shared" si="5"/>
        <v>1</v>
      </c>
      <c r="J35" s="2363">
        <f t="shared" si="5"/>
        <v>0.83333333333333337</v>
      </c>
      <c r="K35" s="2363">
        <f t="shared" si="5"/>
        <v>0.8571428571428571</v>
      </c>
      <c r="L35" s="2363">
        <f t="shared" si="5"/>
        <v>0.7857142857142857</v>
      </c>
      <c r="M35" s="2363">
        <f t="shared" si="5"/>
        <v>0.8666666666666667</v>
      </c>
      <c r="N35" s="2390"/>
      <c r="O35" s="2363">
        <f t="shared" si="5"/>
        <v>0.85</v>
      </c>
      <c r="P35" s="2363">
        <f t="shared" si="5"/>
        <v>1</v>
      </c>
      <c r="Q35" s="2363">
        <f t="shared" si="5"/>
        <v>1</v>
      </c>
      <c r="R35" s="2363">
        <f t="shared" si="5"/>
        <v>0.88235294117647056</v>
      </c>
      <c r="S35" s="2363">
        <f t="shared" si="5"/>
        <v>0.93333333333333335</v>
      </c>
      <c r="T35" s="2363">
        <f t="shared" si="5"/>
        <v>0.8</v>
      </c>
      <c r="U35" s="2363">
        <f t="shared" si="5"/>
        <v>0.8</v>
      </c>
      <c r="V35" s="2363">
        <f t="shared" si="5"/>
        <v>1</v>
      </c>
      <c r="W35" s="2363">
        <f t="shared" si="5"/>
        <v>1</v>
      </c>
      <c r="X35" s="2363">
        <f t="shared" si="5"/>
        <v>1</v>
      </c>
      <c r="Y35" s="2363">
        <f t="shared" si="5"/>
        <v>1</v>
      </c>
      <c r="Z35" s="2363"/>
      <c r="AA35" s="2363">
        <f t="shared" ref="AA35:AD35" si="6">AA34/AA32</f>
        <v>1</v>
      </c>
      <c r="AB35" s="2363">
        <f t="shared" si="6"/>
        <v>1</v>
      </c>
      <c r="AC35" s="2363">
        <f t="shared" si="6"/>
        <v>1</v>
      </c>
      <c r="AD35" s="2363">
        <f t="shared" si="6"/>
        <v>1</v>
      </c>
      <c r="AE35" s="2275"/>
      <c r="AF35" s="2258"/>
      <c r="AI35" s="2390">
        <f>(AI34/A31)*100</f>
        <v>100</v>
      </c>
    </row>
    <row r="36" spans="1:35" ht="32.25" customHeight="1" x14ac:dyDescent="0.25">
      <c r="C36" s="2373" t="s">
        <v>22</v>
      </c>
      <c r="D36" s="2373" t="s">
        <v>21</v>
      </c>
      <c r="E36" s="2373" t="s">
        <v>23</v>
      </c>
      <c r="F36" s="2373" t="s">
        <v>20</v>
      </c>
      <c r="G36" s="2373" t="s">
        <v>20</v>
      </c>
      <c r="H36" s="2373" t="s">
        <v>20</v>
      </c>
      <c r="I36" s="2373" t="s">
        <v>21</v>
      </c>
      <c r="J36" s="2346" t="s">
        <v>21</v>
      </c>
      <c r="K36" s="2346" t="s">
        <v>23</v>
      </c>
      <c r="L36" s="2373" t="s">
        <v>40</v>
      </c>
      <c r="M36" s="2373" t="s">
        <v>41</v>
      </c>
      <c r="N36" s="2390"/>
      <c r="O36" s="816" t="s">
        <v>41</v>
      </c>
      <c r="P36" s="2373" t="s">
        <v>42</v>
      </c>
      <c r="Q36" s="817" t="s">
        <v>43</v>
      </c>
      <c r="R36" s="816" t="s">
        <v>41</v>
      </c>
      <c r="S36" s="817" t="s">
        <v>42</v>
      </c>
      <c r="T36" s="816" t="s">
        <v>41</v>
      </c>
      <c r="U36" s="2342" t="s">
        <v>43</v>
      </c>
      <c r="V36" s="816" t="s">
        <v>42</v>
      </c>
      <c r="W36" s="2342" t="s">
        <v>43</v>
      </c>
      <c r="X36" s="816" t="s">
        <v>42</v>
      </c>
      <c r="Y36" s="82" t="s">
        <v>43</v>
      </c>
      <c r="Z36" s="2390"/>
      <c r="AA36" s="2373" t="s">
        <v>22</v>
      </c>
      <c r="AB36" s="2373" t="s">
        <v>40</v>
      </c>
      <c r="AC36" s="2373" t="s">
        <v>41</v>
      </c>
      <c r="AD36" s="2373" t="s">
        <v>306</v>
      </c>
      <c r="AE36" s="2355"/>
      <c r="AF36" s="2258"/>
    </row>
    <row r="38" spans="1:35" ht="21" customHeight="1" x14ac:dyDescent="0.25">
      <c r="C38" s="3107" t="s">
        <v>38</v>
      </c>
      <c r="D38" s="3107"/>
      <c r="E38" s="3107" t="s">
        <v>39</v>
      </c>
      <c r="F38" s="3107"/>
      <c r="G38" s="2346" t="s">
        <v>37</v>
      </c>
      <c r="H38" s="2458"/>
      <c r="I38" s="2458"/>
      <c r="J38" s="2354"/>
      <c r="K38" s="2354"/>
    </row>
    <row r="39" spans="1:35" ht="21" customHeight="1" x14ac:dyDescent="0.25">
      <c r="B39" s="2373" t="s">
        <v>22</v>
      </c>
      <c r="C39" s="2363">
        <f>AVERAGE(C35,F35,G35,H35,AA35)*100</f>
        <v>91.601731601731601</v>
      </c>
      <c r="D39" s="2363">
        <f t="shared" ref="D39:D43" si="7">IF(C39&gt;=70,3,IF(AND(C39&gt;=60,C39&lt;70),2,IF(AND(C39&gt;=50,C39&lt;60),1)))</f>
        <v>3</v>
      </c>
      <c r="E39" s="3108">
        <f>IF(AI35&gt;=70,3,IF(AND(AI35&gt;=60,AI35&lt;70),2,IF(AND(AI35&gt;=50,AI35&lt;60),1)))</f>
        <v>3</v>
      </c>
      <c r="F39" s="3109"/>
      <c r="G39" s="2363">
        <f>(70/100)*E39+(30/100)*D39</f>
        <v>2.9999999999999996</v>
      </c>
      <c r="H39" s="2390"/>
      <c r="I39" s="2390"/>
      <c r="J39" s="2390"/>
      <c r="K39" s="2390"/>
    </row>
    <row r="40" spans="1:35" ht="21" customHeight="1" x14ac:dyDescent="0.25">
      <c r="B40" s="2373" t="s">
        <v>40</v>
      </c>
      <c r="C40" s="2363">
        <f>AVERAGE(D35,I35,J35,L35,AB35)*100</f>
        <v>80.158730158730165</v>
      </c>
      <c r="D40" s="2363">
        <f t="shared" si="7"/>
        <v>3</v>
      </c>
      <c r="E40" s="3108">
        <f>IF(AI35&gt;=70,3,IF(AND(AI35&gt;=60,AI35&lt;70),2,IF(AND(AI35&gt;=50,AI35&lt;60),1)))</f>
        <v>3</v>
      </c>
      <c r="F40" s="3109"/>
      <c r="G40" s="2363">
        <f t="shared" ref="G40:G42" si="8">(70/100)*E40+(30/100)*D40</f>
        <v>2.9999999999999996</v>
      </c>
      <c r="H40" s="2390"/>
      <c r="I40" s="2390"/>
      <c r="J40" s="2390"/>
      <c r="K40" s="2390"/>
    </row>
    <row r="41" spans="1:35" ht="21" customHeight="1" x14ac:dyDescent="0.25">
      <c r="B41" s="2373" t="s">
        <v>41</v>
      </c>
      <c r="C41" s="2363">
        <f>AVERAGE(K35,M35,O35,R35,T35,AC35)*100</f>
        <v>87.60270774976658</v>
      </c>
      <c r="D41" s="2363">
        <f t="shared" si="7"/>
        <v>3</v>
      </c>
      <c r="E41" s="3108">
        <f>IF(AI35&gt;=70,3,IF(AND(AI35&gt;=60,AI35&lt;70),2,IF(AND(AI35&gt;=50,AI35&lt;60),1)))</f>
        <v>3</v>
      </c>
      <c r="F41" s="3109"/>
      <c r="G41" s="2363">
        <f t="shared" si="8"/>
        <v>2.9999999999999996</v>
      </c>
      <c r="H41" s="2390"/>
      <c r="I41" s="2390"/>
      <c r="J41" s="2390"/>
      <c r="K41" s="2390"/>
    </row>
    <row r="42" spans="1:35" ht="21" customHeight="1" x14ac:dyDescent="0.25">
      <c r="B42" s="2373" t="s">
        <v>42</v>
      </c>
      <c r="C42" s="2363">
        <f>AVERAGE(P35,S35,V35,X35,AD35)*100</f>
        <v>98.666666666666671</v>
      </c>
      <c r="D42" s="2363">
        <f t="shared" si="7"/>
        <v>3</v>
      </c>
      <c r="E42" s="3108">
        <f>IF(AI35&gt;=70,3,IF(AND(AI35&gt;=60,AI35&lt;70),2,IF(AND(AI35&gt;=50,AI35&lt;60),1)))</f>
        <v>3</v>
      </c>
      <c r="F42" s="3109"/>
      <c r="G42" s="2363">
        <f t="shared" si="8"/>
        <v>2.9999999999999996</v>
      </c>
      <c r="H42" s="2390"/>
      <c r="I42" s="2390"/>
      <c r="J42" s="2390"/>
      <c r="K42" s="2390"/>
    </row>
    <row r="43" spans="1:35" ht="21" customHeight="1" x14ac:dyDescent="0.25">
      <c r="B43" s="2373" t="s">
        <v>43</v>
      </c>
      <c r="C43" s="2363">
        <f>AVERAGE(Q35,U35,W35,Y35,AD35)*100</f>
        <v>96</v>
      </c>
      <c r="D43" s="2363">
        <f t="shared" si="7"/>
        <v>3</v>
      </c>
      <c r="E43" s="3108">
        <f>IF(AI35&gt;=70,3,IF(AND(AI35&gt;=60,AI35&lt;70),2,IF(AND(AI35&gt;=50,AI35&lt;60),1)))</f>
        <v>3</v>
      </c>
      <c r="F43" s="3109"/>
      <c r="G43" s="2363">
        <f>(70/100)*E43+(30/100)*D43</f>
        <v>2.9999999999999996</v>
      </c>
      <c r="H43" s="2390"/>
      <c r="I43" s="2390"/>
      <c r="J43" s="2390"/>
      <c r="K43" s="2390"/>
    </row>
    <row r="44" spans="1:35" ht="21" customHeight="1" x14ac:dyDescent="0.25">
      <c r="B44" s="3110" t="s">
        <v>44</v>
      </c>
      <c r="C44" s="3628"/>
      <c r="D44" s="3628"/>
      <c r="E44" s="3628"/>
      <c r="F44" s="3112"/>
      <c r="G44" s="2362">
        <f>AVERAGE(G39:G42)</f>
        <v>2.9999999999999996</v>
      </c>
    </row>
    <row r="45" spans="1:35" ht="21" customHeight="1" x14ac:dyDescent="0.25"/>
    <row r="46" spans="1:35" ht="21" customHeight="1" x14ac:dyDescent="0.25">
      <c r="A46" s="2872" t="s">
        <v>134</v>
      </c>
      <c r="B46" s="2872"/>
    </row>
    <row r="47" spans="1:35" ht="21" customHeight="1" x14ac:dyDescent="0.25"/>
    <row r="48" spans="1:35" ht="21" customHeight="1" x14ac:dyDescent="0.25">
      <c r="B48" s="2362" t="s">
        <v>45</v>
      </c>
      <c r="C48" s="2459" t="s">
        <v>68</v>
      </c>
      <c r="D48" s="2459" t="s">
        <v>69</v>
      </c>
      <c r="E48" s="2459" t="s">
        <v>70</v>
      </c>
      <c r="F48" s="2459" t="s">
        <v>71</v>
      </c>
      <c r="G48" s="2459" t="s">
        <v>72</v>
      </c>
      <c r="H48" s="2459" t="s">
        <v>73</v>
      </c>
      <c r="I48" s="2459" t="s">
        <v>74</v>
      </c>
      <c r="J48" s="2460" t="s">
        <v>75</v>
      </c>
      <c r="K48" s="2459" t="s">
        <v>76</v>
      </c>
      <c r="L48" s="2459" t="s">
        <v>77</v>
      </c>
      <c r="M48" s="2459" t="s">
        <v>78</v>
      </c>
      <c r="N48" s="2459" t="s">
        <v>79</v>
      </c>
      <c r="T48" s="806"/>
      <c r="Z48" s="2271"/>
    </row>
    <row r="49" spans="1:26" ht="21" customHeight="1" x14ac:dyDescent="0.25">
      <c r="B49" s="2316" t="s">
        <v>20</v>
      </c>
      <c r="C49" s="856">
        <v>1</v>
      </c>
      <c r="D49" s="856">
        <v>1</v>
      </c>
      <c r="E49" s="856">
        <v>2</v>
      </c>
      <c r="F49" s="856"/>
      <c r="G49" s="856">
        <v>3</v>
      </c>
      <c r="H49" s="856"/>
      <c r="I49" s="856"/>
      <c r="J49" s="856"/>
      <c r="K49" s="856"/>
      <c r="L49" s="856"/>
      <c r="M49" s="856"/>
      <c r="N49" s="856">
        <v>3</v>
      </c>
      <c r="T49" s="806"/>
      <c r="Z49" s="2271"/>
    </row>
    <row r="50" spans="1:26" ht="21" customHeight="1" x14ac:dyDescent="0.25">
      <c r="B50" s="2316" t="s">
        <v>21</v>
      </c>
      <c r="C50" s="856">
        <v>3</v>
      </c>
      <c r="D50" s="856">
        <v>3</v>
      </c>
      <c r="E50" s="856">
        <v>3</v>
      </c>
      <c r="F50" s="856">
        <v>3</v>
      </c>
      <c r="G50" s="856">
        <v>3</v>
      </c>
      <c r="H50" s="856">
        <v>3</v>
      </c>
      <c r="I50" s="856"/>
      <c r="J50" s="856"/>
      <c r="K50" s="856">
        <v>3</v>
      </c>
      <c r="L50" s="856"/>
      <c r="M50" s="856"/>
      <c r="N50" s="856">
        <v>3</v>
      </c>
      <c r="T50" s="806"/>
      <c r="Z50" s="2271"/>
    </row>
    <row r="51" spans="1:26" ht="21" customHeight="1" x14ac:dyDescent="0.25">
      <c r="B51" s="2316" t="s">
        <v>23</v>
      </c>
      <c r="C51" s="856">
        <v>1</v>
      </c>
      <c r="D51" s="856">
        <v>2</v>
      </c>
      <c r="E51" s="856">
        <v>2</v>
      </c>
      <c r="F51" s="856">
        <v>2</v>
      </c>
      <c r="G51" s="856">
        <v>3</v>
      </c>
      <c r="H51" s="856"/>
      <c r="I51" s="856"/>
      <c r="J51" s="856"/>
      <c r="K51" s="856"/>
      <c r="L51" s="856"/>
      <c r="M51" s="856"/>
      <c r="N51" s="856"/>
      <c r="T51" s="806"/>
      <c r="Z51" s="2271"/>
    </row>
    <row r="52" spans="1:26" ht="21" customHeight="1" x14ac:dyDescent="0.25">
      <c r="B52" s="2316" t="s">
        <v>25</v>
      </c>
      <c r="C52" s="856">
        <v>3</v>
      </c>
      <c r="D52" s="856">
        <v>2</v>
      </c>
      <c r="E52" s="856">
        <v>2</v>
      </c>
      <c r="F52" s="856">
        <v>2</v>
      </c>
      <c r="G52" s="856">
        <v>3</v>
      </c>
      <c r="H52" s="856"/>
      <c r="I52" s="856"/>
      <c r="J52" s="856"/>
      <c r="K52" s="856"/>
      <c r="L52" s="856"/>
      <c r="M52" s="856"/>
      <c r="N52" s="856"/>
      <c r="T52" s="806"/>
      <c r="Z52" s="2271"/>
    </row>
    <row r="53" spans="1:26" ht="21" customHeight="1" x14ac:dyDescent="0.25">
      <c r="B53" s="2316" t="s">
        <v>24</v>
      </c>
      <c r="C53" s="856">
        <v>3</v>
      </c>
      <c r="D53" s="856">
        <v>3</v>
      </c>
      <c r="E53" s="856">
        <v>3</v>
      </c>
      <c r="F53" s="856">
        <v>3</v>
      </c>
      <c r="G53" s="856">
        <v>3</v>
      </c>
      <c r="H53" s="856">
        <v>3</v>
      </c>
      <c r="I53" s="856"/>
      <c r="J53" s="856"/>
      <c r="K53" s="856">
        <v>3</v>
      </c>
      <c r="L53" s="856"/>
      <c r="M53" s="856">
        <v>2</v>
      </c>
      <c r="N53" s="856">
        <v>3</v>
      </c>
      <c r="T53" s="806"/>
      <c r="Z53" s="2271"/>
    </row>
    <row r="54" spans="1:26" ht="21" customHeight="1" x14ac:dyDescent="0.25">
      <c r="B54" s="2461" t="s">
        <v>10</v>
      </c>
      <c r="C54" s="2363">
        <f>AVERAGE(C49:C53)</f>
        <v>2.2000000000000002</v>
      </c>
      <c r="D54" s="2363">
        <f t="shared" ref="D54:N54" si="9">AVERAGE(D49:D53)</f>
        <v>2.2000000000000002</v>
      </c>
      <c r="E54" s="2363">
        <f t="shared" si="9"/>
        <v>2.4</v>
      </c>
      <c r="F54" s="2363">
        <f t="shared" si="9"/>
        <v>2.5</v>
      </c>
      <c r="G54" s="2363">
        <f t="shared" si="9"/>
        <v>3</v>
      </c>
      <c r="H54" s="2363">
        <f t="shared" si="9"/>
        <v>3</v>
      </c>
      <c r="I54" s="2363"/>
      <c r="J54" s="2363"/>
      <c r="K54" s="2363">
        <f t="shared" si="9"/>
        <v>3</v>
      </c>
      <c r="L54" s="2363"/>
      <c r="M54" s="2363">
        <f t="shared" si="9"/>
        <v>2</v>
      </c>
      <c r="N54" s="2363">
        <f t="shared" si="9"/>
        <v>3</v>
      </c>
      <c r="T54" s="806"/>
      <c r="Z54" s="2271"/>
    </row>
    <row r="55" spans="1:26" ht="21" customHeight="1" x14ac:dyDescent="0.25">
      <c r="B55" s="2361" t="s">
        <v>58</v>
      </c>
      <c r="C55" s="2629">
        <f>AVERAGE(C54:N54)</f>
        <v>2.588888888888889</v>
      </c>
      <c r="D55" s="2631"/>
      <c r="E55" s="2631"/>
      <c r="F55" s="2631"/>
      <c r="G55" s="2631"/>
      <c r="H55" s="2631"/>
      <c r="I55" s="2631"/>
      <c r="J55" s="2631"/>
      <c r="K55" s="2631"/>
      <c r="L55" s="2631"/>
      <c r="M55" s="2631"/>
      <c r="N55" s="2631"/>
      <c r="O55" s="2647"/>
      <c r="P55" s="75"/>
      <c r="Q55" s="75"/>
      <c r="R55" s="75"/>
    </row>
    <row r="56" spans="1:26" ht="21" customHeight="1" x14ac:dyDescent="0.25">
      <c r="C56" s="2462"/>
    </row>
    <row r="57" spans="1:26" ht="21" customHeight="1" x14ac:dyDescent="0.25">
      <c r="A57" s="2872" t="s">
        <v>148</v>
      </c>
      <c r="B57" s="2872"/>
    </row>
    <row r="58" spans="1:26" ht="21" customHeight="1" x14ac:dyDescent="0.25"/>
    <row r="59" spans="1:26" ht="21" customHeight="1" x14ac:dyDescent="0.25">
      <c r="B59" s="2362" t="s">
        <v>45</v>
      </c>
      <c r="C59" s="2459" t="s">
        <v>68</v>
      </c>
      <c r="D59" s="2459" t="s">
        <v>69</v>
      </c>
      <c r="E59" s="2459" t="s">
        <v>70</v>
      </c>
      <c r="F59" s="2459" t="s">
        <v>71</v>
      </c>
      <c r="G59" s="2459" t="s">
        <v>72</v>
      </c>
      <c r="H59" s="2459" t="s">
        <v>73</v>
      </c>
      <c r="I59" s="2459" t="s">
        <v>74</v>
      </c>
      <c r="J59" s="2460" t="s">
        <v>75</v>
      </c>
      <c r="K59" s="2459" t="s">
        <v>76</v>
      </c>
      <c r="L59" s="2459" t="s">
        <v>77</v>
      </c>
      <c r="M59" s="2459" t="s">
        <v>78</v>
      </c>
      <c r="N59" s="2459" t="s">
        <v>79</v>
      </c>
      <c r="T59" s="806"/>
      <c r="Z59" s="2271"/>
    </row>
    <row r="60" spans="1:26" ht="21" customHeight="1" x14ac:dyDescent="0.25">
      <c r="B60" s="2316" t="s">
        <v>20</v>
      </c>
      <c r="C60" s="2270">
        <f>G39*C49/3</f>
        <v>0.99999999999999989</v>
      </c>
      <c r="D60" s="2270">
        <f>G39*D49/3</f>
        <v>0.99999999999999989</v>
      </c>
      <c r="E60" s="2270">
        <f>G39*E49/3</f>
        <v>1.9999999999999998</v>
      </c>
      <c r="F60" s="2270"/>
      <c r="G60" s="2270">
        <f>G39*G49/3</f>
        <v>2.9999999999999996</v>
      </c>
      <c r="H60" s="2270"/>
      <c r="I60" s="2270"/>
      <c r="J60" s="2270"/>
      <c r="K60" s="2270"/>
      <c r="L60" s="2270"/>
      <c r="M60" s="2270"/>
      <c r="N60" s="2270">
        <f>G39*N49/3</f>
        <v>2.9999999999999996</v>
      </c>
      <c r="T60" s="806"/>
      <c r="Z60" s="2271"/>
    </row>
    <row r="61" spans="1:26" ht="21" customHeight="1" x14ac:dyDescent="0.25">
      <c r="B61" s="2316" t="s">
        <v>21</v>
      </c>
      <c r="C61" s="2270">
        <f>G40*C50/3</f>
        <v>2.9999999999999996</v>
      </c>
      <c r="D61" s="2270">
        <f>G40*D50/3</f>
        <v>2.9999999999999996</v>
      </c>
      <c r="E61" s="2270">
        <f>G40*E50/3</f>
        <v>2.9999999999999996</v>
      </c>
      <c r="F61" s="2270">
        <f>G40*F50/3</f>
        <v>2.9999999999999996</v>
      </c>
      <c r="G61" s="2270">
        <f>G40*G50/3</f>
        <v>2.9999999999999996</v>
      </c>
      <c r="H61" s="2270">
        <f>G40*H50/3</f>
        <v>2.9999999999999996</v>
      </c>
      <c r="I61" s="2270"/>
      <c r="J61" s="2270"/>
      <c r="K61" s="2270">
        <f>G40*K50/3</f>
        <v>2.9999999999999996</v>
      </c>
      <c r="L61" s="2270"/>
      <c r="M61" s="2270"/>
      <c r="N61" s="2270">
        <f>G40*N50/3</f>
        <v>2.9999999999999996</v>
      </c>
      <c r="T61" s="806"/>
      <c r="Z61" s="2271"/>
    </row>
    <row r="62" spans="1:26" ht="21" customHeight="1" x14ac:dyDescent="0.25">
      <c r="B62" s="2316" t="s">
        <v>23</v>
      </c>
      <c r="C62" s="2270">
        <f>G41*C51/3</f>
        <v>0.99999999999999989</v>
      </c>
      <c r="D62" s="2270">
        <f>G41*D51/3</f>
        <v>1.9999999999999998</v>
      </c>
      <c r="E62" s="2270">
        <f>G41*E51/3</f>
        <v>1.9999999999999998</v>
      </c>
      <c r="F62" s="2270">
        <f>G41*F51/3</f>
        <v>1.9999999999999998</v>
      </c>
      <c r="G62" s="2270">
        <f>G41*G51/3</f>
        <v>2.9999999999999996</v>
      </c>
      <c r="H62" s="2270"/>
      <c r="I62" s="2270"/>
      <c r="J62" s="2270"/>
      <c r="K62" s="2270"/>
      <c r="L62" s="2270"/>
      <c r="M62" s="2270"/>
      <c r="N62" s="2270"/>
      <c r="T62" s="806"/>
      <c r="Z62" s="2271"/>
    </row>
    <row r="63" spans="1:26" ht="21" customHeight="1" x14ac:dyDescent="0.25">
      <c r="B63" s="2316" t="s">
        <v>25</v>
      </c>
      <c r="C63" s="2270">
        <f>G42*C52/3</f>
        <v>2.9999999999999996</v>
      </c>
      <c r="D63" s="2270">
        <f>G42*D52/3</f>
        <v>1.9999999999999998</v>
      </c>
      <c r="E63" s="2270">
        <f>G42*E52/3</f>
        <v>1.9999999999999998</v>
      </c>
      <c r="F63" s="2270">
        <f>G42*F52/3</f>
        <v>1.9999999999999998</v>
      </c>
      <c r="G63" s="2270">
        <f>G42*G52/3</f>
        <v>2.9999999999999996</v>
      </c>
      <c r="H63" s="2270"/>
      <c r="I63" s="2270"/>
      <c r="J63" s="2270"/>
      <c r="K63" s="2270"/>
      <c r="L63" s="2270"/>
      <c r="M63" s="2270"/>
      <c r="N63" s="2270"/>
      <c r="T63" s="806"/>
      <c r="Z63" s="2271"/>
    </row>
    <row r="64" spans="1:26" ht="21" customHeight="1" x14ac:dyDescent="0.25">
      <c r="B64" s="2316" t="s">
        <v>24</v>
      </c>
      <c r="C64" s="2270">
        <f>G43*C53/3</f>
        <v>2.9999999999999996</v>
      </c>
      <c r="D64" s="2270">
        <f>G43*D53/3</f>
        <v>2.9999999999999996</v>
      </c>
      <c r="E64" s="2270">
        <f>G43*E53/3</f>
        <v>2.9999999999999996</v>
      </c>
      <c r="F64" s="2270">
        <f>G43*F53/3</f>
        <v>2.9999999999999996</v>
      </c>
      <c r="G64" s="2270">
        <f>G43*G53/3</f>
        <v>2.9999999999999996</v>
      </c>
      <c r="H64" s="2270">
        <f>G43*H53/3</f>
        <v>2.9999999999999996</v>
      </c>
      <c r="I64" s="2270"/>
      <c r="J64" s="2270"/>
      <c r="K64" s="2270">
        <f>G43*K53/3</f>
        <v>2.9999999999999996</v>
      </c>
      <c r="L64" s="2270"/>
      <c r="M64" s="2270">
        <f>G43*M53/3</f>
        <v>1.9999999999999998</v>
      </c>
      <c r="N64" s="2270">
        <f>G43*N53/3</f>
        <v>2.9999999999999996</v>
      </c>
      <c r="T64" s="806"/>
      <c r="Z64" s="2271"/>
    </row>
    <row r="65" spans="1:26" ht="21" customHeight="1" x14ac:dyDescent="0.25">
      <c r="B65" s="2461" t="s">
        <v>10</v>
      </c>
      <c r="C65" s="2362">
        <f>AVERAGE(C60:C64)</f>
        <v>2.1999999999999997</v>
      </c>
      <c r="D65" s="2362">
        <f t="shared" ref="D65:N65" si="10">AVERAGE(D60:D64)</f>
        <v>2.1999999999999997</v>
      </c>
      <c r="E65" s="2362">
        <f t="shared" si="10"/>
        <v>2.3999999999999995</v>
      </c>
      <c r="F65" s="2362">
        <f t="shared" si="10"/>
        <v>2.4999999999999996</v>
      </c>
      <c r="G65" s="2362">
        <f t="shared" si="10"/>
        <v>2.9999999999999996</v>
      </c>
      <c r="H65" s="2362">
        <f t="shared" si="10"/>
        <v>2.9999999999999996</v>
      </c>
      <c r="I65" s="2362"/>
      <c r="J65" s="2362"/>
      <c r="K65" s="2362">
        <f t="shared" si="10"/>
        <v>2.9999999999999996</v>
      </c>
      <c r="L65" s="2362"/>
      <c r="M65" s="2362">
        <f t="shared" si="10"/>
        <v>1.9999999999999998</v>
      </c>
      <c r="N65" s="2362">
        <f t="shared" si="10"/>
        <v>2.9999999999999996</v>
      </c>
      <c r="T65" s="806"/>
      <c r="Z65" s="2271"/>
    </row>
    <row r="66" spans="1:26" ht="21" customHeight="1" x14ac:dyDescent="0.25">
      <c r="B66" s="2361" t="s">
        <v>58</v>
      </c>
      <c r="C66" s="3110">
        <f>AVERAGE(C65:N65)</f>
        <v>2.5888888888888886</v>
      </c>
      <c r="D66" s="3628"/>
      <c r="E66" s="3628"/>
      <c r="F66" s="3628"/>
      <c r="G66" s="3628"/>
      <c r="H66" s="3628"/>
      <c r="I66" s="3628"/>
      <c r="J66" s="3628"/>
      <c r="K66" s="3628"/>
      <c r="L66" s="3628"/>
      <c r="M66" s="3628"/>
      <c r="N66" s="3628"/>
      <c r="O66" s="3112"/>
      <c r="P66" s="180"/>
      <c r="Q66" s="180"/>
      <c r="R66" s="180"/>
    </row>
    <row r="67" spans="1:26" ht="21" customHeight="1" x14ac:dyDescent="0.25"/>
    <row r="68" spans="1:26" ht="21" customHeight="1" x14ac:dyDescent="0.25">
      <c r="A68" s="2872" t="s">
        <v>137</v>
      </c>
      <c r="B68" s="2872"/>
      <c r="L68" s="2872" t="s">
        <v>149</v>
      </c>
      <c r="M68" s="2872"/>
      <c r="N68" s="2872"/>
      <c r="O68" s="342"/>
      <c r="P68" s="342"/>
    </row>
    <row r="69" spans="1:26" ht="21" customHeight="1" x14ac:dyDescent="0.25">
      <c r="A69" s="2359"/>
      <c r="B69" s="2359"/>
      <c r="M69" s="2358"/>
      <c r="N69" s="342"/>
      <c r="O69" s="342"/>
      <c r="Y69" s="806"/>
      <c r="Z69" s="2271"/>
    </row>
    <row r="70" spans="1:26" ht="21" customHeight="1" x14ac:dyDescent="0.25">
      <c r="B70" s="2362" t="s">
        <v>59</v>
      </c>
      <c r="C70" s="2459" t="s">
        <v>60</v>
      </c>
      <c r="D70" s="2459" t="s">
        <v>61</v>
      </c>
      <c r="E70" s="2459" t="s">
        <v>62</v>
      </c>
      <c r="M70" s="2360" t="s">
        <v>59</v>
      </c>
      <c r="N70" s="2459" t="s">
        <v>60</v>
      </c>
      <c r="O70" s="2459" t="s">
        <v>61</v>
      </c>
      <c r="P70" s="2459" t="s">
        <v>62</v>
      </c>
      <c r="Y70" s="806"/>
      <c r="Z70" s="2271"/>
    </row>
    <row r="71" spans="1:26" ht="21" customHeight="1" x14ac:dyDescent="0.25">
      <c r="B71" s="2262" t="s">
        <v>20</v>
      </c>
      <c r="C71" s="909">
        <v>1</v>
      </c>
      <c r="D71" s="909">
        <v>3</v>
      </c>
      <c r="E71" s="909"/>
      <c r="M71" s="2463" t="s">
        <v>20</v>
      </c>
      <c r="N71" s="2270">
        <f>G39*C71/3</f>
        <v>0.99999999999999989</v>
      </c>
      <c r="O71" s="2270">
        <f>G39*D71/3</f>
        <v>2.9999999999999996</v>
      </c>
      <c r="P71" s="2270"/>
      <c r="Y71" s="806"/>
      <c r="Z71" s="2271"/>
    </row>
    <row r="72" spans="1:26" ht="21" customHeight="1" x14ac:dyDescent="0.25">
      <c r="B72" s="2316" t="s">
        <v>21</v>
      </c>
      <c r="C72" s="909">
        <v>3</v>
      </c>
      <c r="D72" s="909">
        <v>3</v>
      </c>
      <c r="E72" s="909">
        <v>2</v>
      </c>
      <c r="M72" s="2464" t="s">
        <v>21</v>
      </c>
      <c r="N72" s="2270">
        <f>G40*C72/3</f>
        <v>2.9999999999999996</v>
      </c>
      <c r="O72" s="2270">
        <f>G40*D72/3</f>
        <v>2.9999999999999996</v>
      </c>
      <c r="P72" s="2270">
        <f>G40*E72/3</f>
        <v>1.9999999999999998</v>
      </c>
      <c r="Y72" s="806"/>
      <c r="Z72" s="2271"/>
    </row>
    <row r="73" spans="1:26" ht="21" customHeight="1" x14ac:dyDescent="0.25">
      <c r="B73" s="2316" t="s">
        <v>23</v>
      </c>
      <c r="C73" s="909">
        <v>1</v>
      </c>
      <c r="D73" s="909">
        <v>3</v>
      </c>
      <c r="E73" s="909">
        <v>2</v>
      </c>
      <c r="M73" s="2464" t="s">
        <v>23</v>
      </c>
      <c r="N73" s="2270">
        <f>G41*C73/3</f>
        <v>0.99999999999999989</v>
      </c>
      <c r="O73" s="2270">
        <f>G41*D73/3</f>
        <v>2.9999999999999996</v>
      </c>
      <c r="P73" s="2270">
        <f>G41*E73/3</f>
        <v>1.9999999999999998</v>
      </c>
      <c r="Y73" s="806"/>
      <c r="Z73" s="2271"/>
    </row>
    <row r="74" spans="1:26" ht="21" customHeight="1" x14ac:dyDescent="0.25">
      <c r="B74" s="2316" t="s">
        <v>25</v>
      </c>
      <c r="C74" s="909">
        <v>1</v>
      </c>
      <c r="D74" s="909">
        <v>3</v>
      </c>
      <c r="E74" s="909">
        <v>2</v>
      </c>
      <c r="M74" s="2464" t="s">
        <v>25</v>
      </c>
      <c r="N74" s="2270">
        <f>G42*C74/3</f>
        <v>0.99999999999999989</v>
      </c>
      <c r="O74" s="2270">
        <f>G42*D74/3</f>
        <v>2.9999999999999996</v>
      </c>
      <c r="P74" s="2270">
        <f>G42*E74/3</f>
        <v>1.9999999999999998</v>
      </c>
      <c r="Y74" s="806"/>
      <c r="Z74" s="2271"/>
    </row>
    <row r="75" spans="1:26" ht="21" customHeight="1" x14ac:dyDescent="0.25">
      <c r="B75" s="2262" t="s">
        <v>24</v>
      </c>
      <c r="C75" s="2465">
        <v>3</v>
      </c>
      <c r="D75" s="2465">
        <v>3</v>
      </c>
      <c r="E75" s="2465">
        <v>2</v>
      </c>
      <c r="M75" s="2463" t="s">
        <v>24</v>
      </c>
      <c r="N75" s="2270">
        <f>G43*C75/3</f>
        <v>2.9999999999999996</v>
      </c>
      <c r="O75" s="2270">
        <f>G43*D75/3</f>
        <v>2.9999999999999996</v>
      </c>
      <c r="P75" s="2270">
        <f>G43*E75/3</f>
        <v>1.9999999999999998</v>
      </c>
      <c r="Y75" s="806"/>
      <c r="Z75" s="2271"/>
    </row>
    <row r="76" spans="1:26" ht="21" customHeight="1" x14ac:dyDescent="0.25">
      <c r="B76" s="2376" t="s">
        <v>10</v>
      </c>
      <c r="C76" s="2466">
        <f>AVERAGE(C71:C75)</f>
        <v>1.8</v>
      </c>
      <c r="D76" s="2466">
        <f t="shared" ref="D76:E76" si="11">AVERAGE(D71:D75)</f>
        <v>3</v>
      </c>
      <c r="E76" s="2466">
        <f t="shared" si="11"/>
        <v>2</v>
      </c>
      <c r="M76" s="2467" t="s">
        <v>10</v>
      </c>
      <c r="N76" s="2270">
        <f>AVERAGE(N71:N75)</f>
        <v>1.7999999999999996</v>
      </c>
      <c r="O76" s="2270">
        <f t="shared" ref="O76:P76" si="12">AVERAGE(O71:O75)</f>
        <v>2.9999999999999996</v>
      </c>
      <c r="P76" s="2270">
        <f t="shared" si="12"/>
        <v>1.9999999999999998</v>
      </c>
      <c r="Y76" s="806"/>
      <c r="Z76" s="2271"/>
    </row>
    <row r="77" spans="1:26" ht="21" customHeight="1" x14ac:dyDescent="0.25">
      <c r="A77" s="2390"/>
      <c r="B77" s="2342" t="s">
        <v>58</v>
      </c>
      <c r="C77" s="3891">
        <f>AVERAGE(C76:E76)</f>
        <v>2.2666666666666666</v>
      </c>
      <c r="D77" s="3892"/>
      <c r="E77" s="3893"/>
      <c r="F77" s="2390"/>
      <c r="G77" s="2390"/>
      <c r="H77" s="2390"/>
      <c r="I77" s="2390"/>
      <c r="J77" s="2390"/>
      <c r="K77" s="2390"/>
      <c r="L77" s="2390"/>
      <c r="M77" s="2341" t="s">
        <v>58</v>
      </c>
      <c r="N77" s="3891">
        <f>AVERAGE(N76:P76)</f>
        <v>2.2666666666666662</v>
      </c>
      <c r="O77" s="3892"/>
      <c r="P77" s="3893"/>
      <c r="Q77" s="2390"/>
      <c r="Y77" s="806"/>
      <c r="Z77" s="2271"/>
    </row>
    <row r="80" spans="1:26" ht="32.25" customHeight="1" x14ac:dyDescent="0.25">
      <c r="A80" s="3054"/>
      <c r="B80" s="3054"/>
      <c r="C80" s="3054"/>
      <c r="D80" s="3054"/>
      <c r="E80" s="3054"/>
      <c r="F80" s="3054"/>
      <c r="G80" s="3054"/>
      <c r="H80" s="3054"/>
      <c r="I80" s="3054"/>
      <c r="J80" s="3054"/>
      <c r="K80" s="3054"/>
      <c r="L80" s="3054"/>
      <c r="M80" s="3054"/>
      <c r="N80" s="3054"/>
      <c r="O80" s="3054"/>
      <c r="P80" s="3054"/>
      <c r="Q80" s="3054"/>
      <c r="R80" s="3054"/>
    </row>
    <row r="81" spans="1:18" ht="32.25" customHeight="1" x14ac:dyDescent="0.25">
      <c r="A81" s="2369"/>
      <c r="B81" s="2369"/>
      <c r="C81" s="2369"/>
      <c r="D81" s="2369"/>
      <c r="E81" s="2369"/>
      <c r="F81" s="2369"/>
      <c r="G81" s="2369"/>
      <c r="H81" s="2369"/>
      <c r="I81" s="2369"/>
      <c r="J81" s="2369"/>
      <c r="K81" s="2369"/>
      <c r="L81" s="2369"/>
      <c r="M81" s="2369"/>
      <c r="N81" s="2369"/>
      <c r="O81" s="2369"/>
      <c r="P81" s="2369"/>
      <c r="Q81" s="2369"/>
      <c r="R81" s="2369"/>
    </row>
    <row r="82" spans="1:18" ht="32.25" customHeight="1" x14ac:dyDescent="0.25">
      <c r="A82" s="3053"/>
      <c r="B82" s="3053"/>
      <c r="C82" s="3053"/>
      <c r="D82" s="3053"/>
      <c r="E82" s="3053"/>
      <c r="F82" s="3053"/>
      <c r="G82" s="3053"/>
      <c r="H82" s="3053"/>
      <c r="I82" s="3053"/>
      <c r="J82" s="3053"/>
      <c r="K82" s="3053"/>
      <c r="L82" s="3053"/>
      <c r="M82" s="3053"/>
      <c r="N82" s="3053"/>
      <c r="O82" s="3053"/>
      <c r="P82" s="3053"/>
      <c r="Q82" s="3053"/>
      <c r="R82" s="3053"/>
    </row>
    <row r="83" spans="1:18" ht="32.25" customHeight="1" x14ac:dyDescent="0.25">
      <c r="A83" s="3053"/>
      <c r="B83" s="3053"/>
      <c r="C83" s="3053"/>
      <c r="D83" s="3053"/>
      <c r="E83" s="3053"/>
      <c r="F83" s="3053"/>
      <c r="G83" s="3053"/>
      <c r="H83" s="3053"/>
      <c r="I83" s="3053"/>
      <c r="J83" s="3053"/>
      <c r="K83" s="3053"/>
      <c r="L83" s="3053"/>
      <c r="M83" s="3053"/>
      <c r="N83" s="3053"/>
      <c r="O83" s="3053"/>
      <c r="P83" s="3053"/>
      <c r="Q83" s="3053"/>
      <c r="R83" s="3053"/>
    </row>
    <row r="84" spans="1:18" ht="32.25" customHeight="1" x14ac:dyDescent="0.25">
      <c r="A84" s="3053"/>
      <c r="B84" s="3053"/>
      <c r="C84" s="3053"/>
      <c r="D84" s="3053"/>
      <c r="E84" s="3053"/>
      <c r="F84" s="3053"/>
      <c r="G84" s="3053"/>
      <c r="H84" s="3053"/>
      <c r="I84" s="3053"/>
      <c r="J84" s="3053"/>
      <c r="K84" s="3053"/>
      <c r="L84" s="3053"/>
      <c r="M84" s="3053"/>
      <c r="N84" s="3053"/>
      <c r="O84" s="3053"/>
      <c r="P84" s="3053"/>
      <c r="Q84" s="3053"/>
      <c r="R84" s="3053"/>
    </row>
    <row r="85" spans="1:18" ht="32.25" customHeight="1" x14ac:dyDescent="0.25">
      <c r="A85" s="3053"/>
      <c r="B85" s="3053"/>
      <c r="C85" s="3053"/>
      <c r="D85" s="3053"/>
      <c r="E85" s="3053"/>
      <c r="F85" s="3053"/>
      <c r="G85" s="3053"/>
      <c r="H85" s="3053"/>
      <c r="I85" s="3053"/>
      <c r="J85" s="3053"/>
      <c r="K85" s="3053"/>
      <c r="L85" s="3053"/>
      <c r="M85" s="3053"/>
      <c r="N85" s="3053"/>
      <c r="O85" s="3053"/>
      <c r="P85" s="3053"/>
      <c r="Q85" s="3053"/>
      <c r="R85" s="3053"/>
    </row>
    <row r="86" spans="1:18" ht="32.25" customHeight="1" x14ac:dyDescent="0.25">
      <c r="A86" s="3053"/>
      <c r="B86" s="3053"/>
      <c r="C86" s="3053"/>
      <c r="D86" s="3053"/>
      <c r="E86" s="3053"/>
      <c r="F86" s="3053"/>
      <c r="G86" s="3053"/>
      <c r="H86" s="3053"/>
      <c r="I86" s="3053"/>
      <c r="J86" s="3053"/>
      <c r="K86" s="3053"/>
      <c r="L86" s="3053"/>
      <c r="M86" s="3053"/>
      <c r="N86" s="3053"/>
      <c r="O86" s="3053"/>
      <c r="P86" s="3053"/>
      <c r="Q86" s="3053"/>
      <c r="R86" s="3053"/>
    </row>
    <row r="87" spans="1:18" ht="32.25" customHeight="1" x14ac:dyDescent="0.25">
      <c r="A87" s="3053"/>
      <c r="B87" s="3053"/>
      <c r="C87" s="3053"/>
      <c r="D87" s="3053"/>
      <c r="E87" s="3053"/>
      <c r="F87" s="3053"/>
      <c r="G87" s="3053"/>
      <c r="H87" s="3053"/>
      <c r="I87" s="3053"/>
      <c r="J87" s="3053"/>
      <c r="K87" s="3053"/>
      <c r="L87" s="3053"/>
      <c r="M87" s="3053"/>
      <c r="N87" s="3053"/>
      <c r="O87" s="3053"/>
      <c r="P87" s="3053"/>
      <c r="Q87" s="3053"/>
      <c r="R87" s="3053"/>
    </row>
    <row r="88" spans="1:18" ht="32.25" customHeight="1" x14ac:dyDescent="0.25">
      <c r="A88" s="3054"/>
      <c r="B88" s="3054"/>
      <c r="C88" s="3054"/>
      <c r="D88" s="3054"/>
      <c r="E88" s="3054"/>
      <c r="F88" s="3054"/>
      <c r="G88" s="3054"/>
      <c r="H88" s="3054"/>
      <c r="I88" s="3054"/>
      <c r="J88" s="3054"/>
      <c r="K88" s="3054"/>
      <c r="L88" s="3054"/>
      <c r="M88" s="3054"/>
      <c r="N88" s="3054"/>
      <c r="O88" s="3054"/>
      <c r="P88" s="3054"/>
      <c r="Q88" s="3054"/>
      <c r="R88" s="3054"/>
    </row>
    <row r="89" spans="1:18" ht="32.25" customHeight="1" x14ac:dyDescent="0.25">
      <c r="A89" s="3055"/>
      <c r="B89" s="3055"/>
      <c r="C89" s="3055"/>
      <c r="D89" s="3055"/>
      <c r="E89" s="3055"/>
      <c r="F89" s="3055"/>
      <c r="G89" s="3055"/>
      <c r="H89" s="3055"/>
      <c r="I89" s="3055"/>
      <c r="J89" s="3055"/>
      <c r="K89" s="3055"/>
      <c r="L89" s="3055"/>
      <c r="M89" s="3055"/>
      <c r="N89" s="3055"/>
      <c r="O89" s="3055"/>
      <c r="P89" s="3055"/>
      <c r="Q89" s="3055"/>
      <c r="R89" s="3055"/>
    </row>
    <row r="90" spans="1:18" ht="32.25" customHeight="1" x14ac:dyDescent="0.25">
      <c r="A90" s="2983"/>
      <c r="B90" s="2983"/>
      <c r="C90" s="2983"/>
      <c r="D90" s="2983"/>
      <c r="E90" s="2983"/>
      <c r="F90" s="2983"/>
      <c r="G90" s="2983"/>
      <c r="H90" s="2983"/>
      <c r="I90" s="2983"/>
      <c r="J90" s="2983"/>
      <c r="K90" s="2983"/>
      <c r="L90" s="2983"/>
      <c r="M90" s="2983"/>
      <c r="N90" s="2983"/>
      <c r="O90" s="2983"/>
      <c r="P90" s="2983"/>
      <c r="Q90" s="2983"/>
      <c r="R90" s="2983"/>
    </row>
    <row r="91" spans="1:18" ht="32.25" customHeight="1" x14ac:dyDescent="0.25">
      <c r="A91" s="3045"/>
      <c r="B91" s="3045"/>
      <c r="C91" s="3045"/>
      <c r="D91" s="3045"/>
      <c r="E91" s="3045"/>
      <c r="F91" s="3045"/>
      <c r="G91" s="3045"/>
      <c r="H91" s="3045"/>
      <c r="I91" s="3045"/>
      <c r="J91" s="3045"/>
      <c r="K91" s="3045"/>
      <c r="L91" s="3045"/>
      <c r="M91" s="3045"/>
      <c r="N91" s="3045"/>
      <c r="O91" s="3045"/>
      <c r="P91" s="3045"/>
      <c r="Q91" s="3045"/>
      <c r="R91" s="3045"/>
    </row>
    <row r="92" spans="1:18" ht="32.25" customHeight="1" x14ac:dyDescent="0.25">
      <c r="A92" s="3046"/>
      <c r="B92" s="3046"/>
      <c r="C92" s="3046"/>
      <c r="D92" s="3046"/>
      <c r="E92" s="3046"/>
      <c r="F92" s="3046"/>
      <c r="G92" s="3046"/>
      <c r="H92" s="3046"/>
      <c r="I92" s="3046"/>
      <c r="J92" s="3046"/>
      <c r="K92" s="3046"/>
      <c r="L92" s="3046"/>
      <c r="M92" s="3046"/>
      <c r="N92" s="3046"/>
      <c r="O92" s="3046"/>
      <c r="P92" s="3046"/>
      <c r="Q92" s="3046"/>
      <c r="R92" s="3046"/>
    </row>
    <row r="93" spans="1:18" ht="32.25" customHeight="1" x14ac:dyDescent="0.25">
      <c r="A93" s="3046"/>
      <c r="B93" s="3046"/>
      <c r="C93" s="3046"/>
      <c r="D93" s="3046"/>
      <c r="E93" s="3046"/>
      <c r="F93" s="3046"/>
      <c r="G93" s="3046"/>
      <c r="H93" s="3046"/>
      <c r="I93" s="3046"/>
      <c r="J93" s="3046"/>
      <c r="K93" s="3046"/>
      <c r="L93" s="3046"/>
      <c r="M93" s="3046"/>
      <c r="N93" s="3046"/>
      <c r="O93" s="3046"/>
      <c r="P93" s="3046"/>
      <c r="Q93" s="3046"/>
      <c r="R93" s="3046"/>
    </row>
    <row r="94" spans="1:18" ht="32.25" customHeight="1" x14ac:dyDescent="0.25">
      <c r="A94" s="2983"/>
      <c r="B94" s="2983"/>
      <c r="C94" s="2983"/>
      <c r="D94" s="2983"/>
      <c r="E94" s="2983"/>
      <c r="F94" s="2983"/>
      <c r="G94" s="2983"/>
      <c r="H94" s="2983"/>
      <c r="I94" s="2983"/>
      <c r="J94" s="2983"/>
      <c r="K94" s="2983"/>
      <c r="L94" s="2983"/>
      <c r="M94" s="2983"/>
      <c r="N94" s="2983"/>
      <c r="O94" s="2983"/>
      <c r="P94" s="2983"/>
      <c r="Q94" s="2983"/>
      <c r="R94" s="2983"/>
    </row>
  </sheetData>
  <mergeCells count="63">
    <mergeCell ref="C4:N4"/>
    <mergeCell ref="P4:Z4"/>
    <mergeCell ref="A5:B5"/>
    <mergeCell ref="C5:N5"/>
    <mergeCell ref="O5:Z5"/>
    <mergeCell ref="A2:B2"/>
    <mergeCell ref="C2:N2"/>
    <mergeCell ref="P2:Z2"/>
    <mergeCell ref="A3:B3"/>
    <mergeCell ref="C3:N3"/>
    <mergeCell ref="P3:Z3"/>
    <mergeCell ref="B44:F44"/>
    <mergeCell ref="AF6:AF8"/>
    <mergeCell ref="AH6:AH8"/>
    <mergeCell ref="E39:F39"/>
    <mergeCell ref="E40:F40"/>
    <mergeCell ref="E41:F41"/>
    <mergeCell ref="E42:F42"/>
    <mergeCell ref="E43:F43"/>
    <mergeCell ref="B6:B7"/>
    <mergeCell ref="C6:E6"/>
    <mergeCell ref="R6:S6"/>
    <mergeCell ref="T6:U6"/>
    <mergeCell ref="V6:W6"/>
    <mergeCell ref="C38:D38"/>
    <mergeCell ref="AI6:AI8"/>
    <mergeCell ref="A34:B34"/>
    <mergeCell ref="A35:B35"/>
    <mergeCell ref="E38:F38"/>
    <mergeCell ref="X6:Y6"/>
    <mergeCell ref="AA6:AA8"/>
    <mergeCell ref="AB6:AB8"/>
    <mergeCell ref="AC6:AC8"/>
    <mergeCell ref="AD6:AD8"/>
    <mergeCell ref="AE6:AE8"/>
    <mergeCell ref="J6:K6"/>
    <mergeCell ref="L6:M6"/>
    <mergeCell ref="F6:G6"/>
    <mergeCell ref="H6:I6"/>
    <mergeCell ref="O6:Q6"/>
    <mergeCell ref="A6:A8"/>
    <mergeCell ref="A84:R84"/>
    <mergeCell ref="A46:B46"/>
    <mergeCell ref="C55:O55"/>
    <mergeCell ref="A57:B57"/>
    <mergeCell ref="C66:O66"/>
    <mergeCell ref="A68:B68"/>
    <mergeCell ref="L68:N68"/>
    <mergeCell ref="C77:E77"/>
    <mergeCell ref="N77:P77"/>
    <mergeCell ref="A80:R80"/>
    <mergeCell ref="A82:R82"/>
    <mergeCell ref="A83:R83"/>
    <mergeCell ref="A91:R91"/>
    <mergeCell ref="A92:R92"/>
    <mergeCell ref="A93:R93"/>
    <mergeCell ref="A94:R94"/>
    <mergeCell ref="A85:R85"/>
    <mergeCell ref="A86:R86"/>
    <mergeCell ref="A87:R87"/>
    <mergeCell ref="A88:R88"/>
    <mergeCell ref="A89:R89"/>
    <mergeCell ref="A90:R90"/>
  </mergeCells>
  <conditionalFormatting sqref="AH10:AH31">
    <cfRule type="containsText" dxfId="12" priority="1" operator="containsText" text="F">
      <formula>NOT(ISERROR(SEARCH("F",AH10)))</formula>
    </cfRule>
  </conditionalFormatting>
  <pageMargins left="0.7" right="0.7" top="0.75" bottom="0.75" header="0.3" footer="0.3"/>
  <pageSetup paperSize="8" scale="34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5"/>
  <sheetViews>
    <sheetView topLeftCell="A82" zoomScale="60" zoomScaleNormal="60" workbookViewId="0">
      <selection activeCell="T91" sqref="T91"/>
    </sheetView>
  </sheetViews>
  <sheetFormatPr defaultColWidth="9.140625" defaultRowHeight="32.25" customHeight="1" x14ac:dyDescent="0.3"/>
  <cols>
    <col min="1" max="1" width="15.140625" style="1038" bestFit="1" customWidth="1"/>
    <col min="2" max="2" width="18.28515625" style="1038" bestFit="1" customWidth="1"/>
    <col min="3" max="3" width="13.7109375" style="1038" bestFit="1" customWidth="1"/>
    <col min="4" max="6" width="9.140625" style="1038"/>
    <col min="7" max="7" width="11.140625" style="1038" bestFit="1" customWidth="1"/>
    <col min="8" max="8" width="11.140625" style="1038" customWidth="1"/>
    <col min="9" max="9" width="11.42578125" style="1038" customWidth="1"/>
    <col min="10" max="11" width="9.85546875" style="1038" customWidth="1"/>
    <col min="12" max="13" width="10.5703125" style="1038" customWidth="1"/>
    <col min="14" max="14" width="10.5703125" style="1626" customWidth="1"/>
    <col min="15" max="15" width="10.5703125" style="1038" customWidth="1"/>
    <col min="16" max="18" width="11.140625" style="1038" bestFit="1" customWidth="1"/>
    <col min="19" max="19" width="9.140625" style="1038"/>
    <col min="20" max="20" width="16.28515625" style="1039" customWidth="1"/>
    <col min="21" max="21" width="15.5703125" style="1038" customWidth="1"/>
    <col min="22" max="24" width="10.5703125" style="1038" customWidth="1"/>
    <col min="25" max="25" width="10.85546875" style="1626" customWidth="1"/>
    <col min="26" max="26" width="10.28515625" style="1038" customWidth="1"/>
    <col min="27" max="27" width="11.85546875" style="1038" customWidth="1"/>
    <col min="28" max="28" width="11" style="1038" customWidth="1"/>
    <col min="29" max="30" width="8" style="1038" customWidth="1"/>
    <col min="31" max="31" width="17.7109375" style="1038" bestFit="1" customWidth="1"/>
    <col min="32" max="32" width="17.140625" style="1038" bestFit="1" customWidth="1"/>
    <col min="33" max="16384" width="9.140625" style="1038"/>
  </cols>
  <sheetData>
    <row r="1" spans="1:31" ht="32.25" customHeight="1" x14ac:dyDescent="0.3">
      <c r="A1" s="1625"/>
    </row>
    <row r="2" spans="1:31" ht="32.25" customHeight="1" x14ac:dyDescent="0.3">
      <c r="A2" s="3708" t="s">
        <v>0</v>
      </c>
      <c r="B2" s="3709"/>
      <c r="C2" s="3710" t="s">
        <v>219</v>
      </c>
      <c r="D2" s="3729"/>
      <c r="E2" s="3729"/>
      <c r="F2" s="3729"/>
      <c r="G2" s="3729"/>
      <c r="H2" s="3729"/>
      <c r="I2" s="3729"/>
      <c r="J2" s="3729"/>
      <c r="K2" s="3729"/>
      <c r="L2" s="3729"/>
      <c r="M2" s="3729"/>
      <c r="N2" s="3712"/>
      <c r="O2" s="1627" t="s">
        <v>63</v>
      </c>
      <c r="P2" s="3706" t="s">
        <v>299</v>
      </c>
      <c r="Q2" s="3732"/>
      <c r="R2" s="3732"/>
      <c r="S2" s="3732"/>
      <c r="T2" s="3732"/>
      <c r="U2" s="3732"/>
      <c r="V2" s="3732"/>
      <c r="W2" s="3732"/>
      <c r="X2" s="3732"/>
      <c r="Y2" s="3732"/>
      <c r="Z2" s="1015"/>
      <c r="AA2" s="1015"/>
      <c r="AB2" s="1015"/>
      <c r="AC2" s="1015"/>
      <c r="AD2" s="1015"/>
      <c r="AE2" s="1015"/>
    </row>
    <row r="3" spans="1:31" ht="32.25" customHeight="1" x14ac:dyDescent="0.3">
      <c r="A3" s="3708" t="s">
        <v>1</v>
      </c>
      <c r="B3" s="3709"/>
      <c r="C3" s="3710" t="s">
        <v>316</v>
      </c>
      <c r="D3" s="3729"/>
      <c r="E3" s="3729"/>
      <c r="F3" s="3729"/>
      <c r="G3" s="3729"/>
      <c r="H3" s="3729"/>
      <c r="I3" s="3729"/>
      <c r="J3" s="3729"/>
      <c r="K3" s="3729"/>
      <c r="L3" s="3729"/>
      <c r="M3" s="3729"/>
      <c r="N3" s="3712"/>
      <c r="O3" s="1628" t="s">
        <v>64</v>
      </c>
      <c r="P3" s="3706" t="s">
        <v>232</v>
      </c>
      <c r="Q3" s="3732"/>
      <c r="R3" s="3732"/>
      <c r="S3" s="3732"/>
      <c r="T3" s="3732"/>
      <c r="U3" s="3732"/>
      <c r="V3" s="3732"/>
      <c r="W3" s="3732"/>
      <c r="X3" s="3732"/>
      <c r="Y3" s="3732"/>
      <c r="Z3" s="1015"/>
      <c r="AA3" s="1015"/>
      <c r="AB3" s="1015"/>
      <c r="AC3" s="1015"/>
      <c r="AD3" s="1015"/>
      <c r="AE3" s="1015"/>
    </row>
    <row r="4" spans="1:31" ht="32.25" customHeight="1" thickBot="1" x14ac:dyDescent="0.35">
      <c r="A4" s="1743"/>
      <c r="B4" s="1744" t="s">
        <v>2</v>
      </c>
      <c r="C4" s="3714" t="s">
        <v>301</v>
      </c>
      <c r="D4" s="3715"/>
      <c r="E4" s="3715"/>
      <c r="F4" s="3715"/>
      <c r="G4" s="3715"/>
      <c r="H4" s="3715"/>
      <c r="I4" s="3715"/>
      <c r="J4" s="3715"/>
      <c r="K4" s="3715"/>
      <c r="L4" s="3715"/>
      <c r="M4" s="3715"/>
      <c r="N4" s="3716"/>
      <c r="O4" s="1744" t="s">
        <v>65</v>
      </c>
      <c r="P4" s="3717" t="s">
        <v>66</v>
      </c>
      <c r="Q4" s="3718"/>
      <c r="R4" s="3718"/>
      <c r="S4" s="3718"/>
      <c r="T4" s="3718"/>
      <c r="U4" s="3718"/>
      <c r="V4" s="3718"/>
      <c r="W4" s="3718"/>
      <c r="X4" s="3718"/>
      <c r="Y4" s="3718"/>
      <c r="Z4" s="1015"/>
      <c r="AA4" s="1015"/>
      <c r="AB4" s="1015"/>
      <c r="AC4" s="1015"/>
      <c r="AD4" s="1015"/>
      <c r="AE4" s="1015"/>
    </row>
    <row r="5" spans="1:31" ht="32.25" customHeight="1" thickBot="1" x14ac:dyDescent="0.35">
      <c r="A5" s="3719"/>
      <c r="B5" s="3720"/>
      <c r="C5" s="3721" t="s">
        <v>3</v>
      </c>
      <c r="D5" s="3722"/>
      <c r="E5" s="3722"/>
      <c r="F5" s="3722"/>
      <c r="G5" s="3722"/>
      <c r="H5" s="3722"/>
      <c r="I5" s="3722"/>
      <c r="J5" s="3722"/>
      <c r="K5" s="3722"/>
      <c r="L5" s="3722"/>
      <c r="M5" s="3722"/>
      <c r="N5" s="3722"/>
      <c r="O5" s="3723"/>
      <c r="P5" s="3724" t="s">
        <v>4</v>
      </c>
      <c r="Q5" s="3725"/>
      <c r="R5" s="3725"/>
      <c r="S5" s="3725"/>
      <c r="T5" s="3725"/>
      <c r="U5" s="3725"/>
      <c r="V5" s="3725"/>
      <c r="W5" s="3725"/>
      <c r="X5" s="3725"/>
      <c r="Y5" s="3725"/>
      <c r="Z5" s="3725"/>
      <c r="AA5" s="1745"/>
      <c r="AB5" s="1746"/>
      <c r="AC5" s="1632"/>
      <c r="AD5" s="1632"/>
      <c r="AE5" s="1633"/>
    </row>
    <row r="6" spans="1:31" ht="32.25" customHeight="1" thickBot="1" x14ac:dyDescent="0.35">
      <c r="A6" s="3701"/>
      <c r="B6" s="3704" t="s">
        <v>5</v>
      </c>
      <c r="C6" s="3697" t="s">
        <v>6</v>
      </c>
      <c r="D6" s="3698"/>
      <c r="E6" s="3713"/>
      <c r="F6" s="3699" t="s">
        <v>7</v>
      </c>
      <c r="G6" s="3700"/>
      <c r="H6" s="3699" t="s">
        <v>8</v>
      </c>
      <c r="I6" s="3700"/>
      <c r="J6" s="3695" t="s">
        <v>9</v>
      </c>
      <c r="K6" s="3696"/>
      <c r="L6" s="3695" t="s">
        <v>236</v>
      </c>
      <c r="M6" s="3696"/>
      <c r="N6" s="1747" t="s">
        <v>146</v>
      </c>
      <c r="O6" s="3697" t="s">
        <v>6</v>
      </c>
      <c r="P6" s="3698"/>
      <c r="Q6" s="3698"/>
      <c r="R6" s="3699" t="s">
        <v>7</v>
      </c>
      <c r="S6" s="3700"/>
      <c r="T6" s="1748" t="s">
        <v>8</v>
      </c>
      <c r="U6" s="1749" t="s">
        <v>9</v>
      </c>
      <c r="V6" s="3699" t="s">
        <v>236</v>
      </c>
      <c r="W6" s="3700"/>
      <c r="X6" s="1750" t="s">
        <v>147</v>
      </c>
      <c r="Y6" s="3688" t="s">
        <v>151</v>
      </c>
      <c r="Z6" s="3688" t="s">
        <v>152</v>
      </c>
      <c r="AA6" s="3691" t="s">
        <v>11</v>
      </c>
      <c r="AB6" s="3691" t="s">
        <v>12</v>
      </c>
    </row>
    <row r="7" spans="1:31" ht="32.25" customHeight="1" x14ac:dyDescent="0.3">
      <c r="A7" s="3702"/>
      <c r="B7" s="3705"/>
      <c r="C7" s="1637" t="s">
        <v>13</v>
      </c>
      <c r="D7" s="1638" t="s">
        <v>14</v>
      </c>
      <c r="E7" s="1639" t="s">
        <v>15</v>
      </c>
      <c r="F7" s="1637" t="s">
        <v>13</v>
      </c>
      <c r="G7" s="1639" t="s">
        <v>14</v>
      </c>
      <c r="H7" s="1637" t="s">
        <v>13</v>
      </c>
      <c r="I7" s="1639" t="s">
        <v>14</v>
      </c>
      <c r="J7" s="1637" t="s">
        <v>13</v>
      </c>
      <c r="K7" s="1639" t="s">
        <v>14</v>
      </c>
      <c r="L7" s="1640" t="s">
        <v>13</v>
      </c>
      <c r="M7" s="1639" t="s">
        <v>14</v>
      </c>
      <c r="N7" s="1751"/>
      <c r="O7" s="1637" t="s">
        <v>13</v>
      </c>
      <c r="P7" s="1638" t="s">
        <v>14</v>
      </c>
      <c r="Q7" s="1752" t="s">
        <v>67</v>
      </c>
      <c r="R7" s="1637" t="s">
        <v>13</v>
      </c>
      <c r="S7" s="1639" t="s">
        <v>14</v>
      </c>
      <c r="T7" s="1822"/>
      <c r="U7" s="1646"/>
      <c r="V7" s="1637" t="s">
        <v>13</v>
      </c>
      <c r="W7" s="1639" t="s">
        <v>14</v>
      </c>
      <c r="X7" s="1754"/>
      <c r="Y7" s="3689"/>
      <c r="Z7" s="3689"/>
      <c r="AA7" s="3691"/>
      <c r="AB7" s="3691"/>
      <c r="AC7" s="1755"/>
    </row>
    <row r="8" spans="1:31" ht="32.25" customHeight="1" x14ac:dyDescent="0.3">
      <c r="A8" s="3703"/>
      <c r="B8" s="1756" t="s">
        <v>19</v>
      </c>
      <c r="C8" s="1637" t="s">
        <v>40</v>
      </c>
      <c r="D8" s="1637" t="s">
        <v>21</v>
      </c>
      <c r="E8" s="1646" t="s">
        <v>20</v>
      </c>
      <c r="F8" s="1647" t="s">
        <v>20</v>
      </c>
      <c r="G8" s="1646" t="s">
        <v>20</v>
      </c>
      <c r="H8" s="1647" t="s">
        <v>20</v>
      </c>
      <c r="I8" s="1639" t="s">
        <v>20</v>
      </c>
      <c r="J8" s="1757" t="s">
        <v>21</v>
      </c>
      <c r="K8" s="1758" t="s">
        <v>40</v>
      </c>
      <c r="L8" s="1759" t="s">
        <v>40</v>
      </c>
      <c r="M8" s="1760" t="s">
        <v>40</v>
      </c>
      <c r="N8" s="1642"/>
      <c r="O8" s="1637" t="s">
        <v>42</v>
      </c>
      <c r="P8" s="1638" t="s">
        <v>42</v>
      </c>
      <c r="Q8" s="1752" t="s">
        <v>43</v>
      </c>
      <c r="R8" s="1637" t="s">
        <v>42</v>
      </c>
      <c r="S8" s="1639" t="s">
        <v>42</v>
      </c>
      <c r="T8" s="1822" t="s">
        <v>43</v>
      </c>
      <c r="U8" s="1646" t="s">
        <v>42</v>
      </c>
      <c r="V8" s="1637" t="s">
        <v>43</v>
      </c>
      <c r="W8" s="1639" t="s">
        <v>43</v>
      </c>
      <c r="X8" s="1754" t="s">
        <v>237</v>
      </c>
      <c r="Y8" s="3690"/>
      <c r="Z8" s="3690"/>
      <c r="AA8" s="3691"/>
      <c r="AB8" s="3691"/>
      <c r="AC8" s="1755"/>
    </row>
    <row r="9" spans="1:31" ht="32.25" customHeight="1" thickBot="1" x14ac:dyDescent="0.35">
      <c r="A9" s="1638" t="s">
        <v>18</v>
      </c>
      <c r="B9" s="1752" t="s">
        <v>26</v>
      </c>
      <c r="C9" s="1637">
        <v>2</v>
      </c>
      <c r="D9" s="1638">
        <v>2</v>
      </c>
      <c r="E9" s="1639">
        <v>2</v>
      </c>
      <c r="F9" s="1637">
        <v>6</v>
      </c>
      <c r="G9" s="1639">
        <v>6</v>
      </c>
      <c r="H9" s="1637">
        <v>6</v>
      </c>
      <c r="I9" s="1639">
        <v>6</v>
      </c>
      <c r="J9" s="1637">
        <v>6</v>
      </c>
      <c r="K9" s="1649">
        <v>6</v>
      </c>
      <c r="L9" s="1637">
        <v>6</v>
      </c>
      <c r="M9" s="1639">
        <v>6</v>
      </c>
      <c r="N9" s="1642">
        <v>30</v>
      </c>
      <c r="O9" s="1637">
        <v>2</v>
      </c>
      <c r="P9" s="1638">
        <v>2</v>
      </c>
      <c r="Q9" s="1752">
        <v>2</v>
      </c>
      <c r="R9" s="1637">
        <v>6</v>
      </c>
      <c r="S9" s="1639">
        <v>6</v>
      </c>
      <c r="T9" s="1822">
        <v>12</v>
      </c>
      <c r="U9" s="1646">
        <v>12</v>
      </c>
      <c r="V9" s="1637">
        <v>6</v>
      </c>
      <c r="W9" s="1639">
        <v>6</v>
      </c>
      <c r="X9" s="1754">
        <v>30</v>
      </c>
      <c r="Y9" s="1638">
        <v>10</v>
      </c>
      <c r="Z9" s="1638">
        <v>10</v>
      </c>
      <c r="AA9" s="3691"/>
      <c r="AB9" s="3691"/>
      <c r="AC9" s="1650"/>
    </row>
    <row r="10" spans="1:31" ht="32.25" customHeight="1" thickBot="1" x14ac:dyDescent="0.35">
      <c r="A10" s="1638">
        <v>1</v>
      </c>
      <c r="B10" s="1808">
        <v>5191421001</v>
      </c>
      <c r="C10" s="1811">
        <v>2</v>
      </c>
      <c r="D10" s="1654">
        <v>2</v>
      </c>
      <c r="E10" s="1655">
        <v>1</v>
      </c>
      <c r="F10" s="1656"/>
      <c r="G10" s="1655"/>
      <c r="H10" s="1656">
        <v>5</v>
      </c>
      <c r="I10" s="1657">
        <v>6</v>
      </c>
      <c r="J10" s="1656"/>
      <c r="K10" s="1658">
        <v>5</v>
      </c>
      <c r="L10" s="1666"/>
      <c r="M10" s="1665"/>
      <c r="N10" s="1661">
        <f>SUM(C10:M10)</f>
        <v>21</v>
      </c>
      <c r="O10" s="1662">
        <v>2</v>
      </c>
      <c r="P10" s="1663">
        <v>2</v>
      </c>
      <c r="Q10" s="1762">
        <v>2</v>
      </c>
      <c r="R10" s="1662"/>
      <c r="S10" s="1665"/>
      <c r="T10" s="1774">
        <v>10</v>
      </c>
      <c r="U10" s="1698">
        <v>11</v>
      </c>
      <c r="V10" s="1666"/>
      <c r="W10" s="1661"/>
      <c r="X10" s="1809">
        <f>SUM(O10:W10)</f>
        <v>27</v>
      </c>
      <c r="Y10" s="1949">
        <v>10</v>
      </c>
      <c r="Z10" s="1810">
        <v>10</v>
      </c>
      <c r="AA10" s="1670" t="s">
        <v>27</v>
      </c>
      <c r="AB10" s="1671">
        <f>IF(AA10="O",100,IF(AA10="A+",90,IF(AA10="A",80,IF(AA10="B+",70,IF(AA10="B",60,IF(AA10="C",55,IF(AA10="P",50,IF(AA10="F",39))))))))</f>
        <v>80</v>
      </c>
    </row>
    <row r="11" spans="1:31" ht="32.25" customHeight="1" thickBot="1" x14ac:dyDescent="0.35">
      <c r="A11" s="1765">
        <v>2</v>
      </c>
      <c r="B11" s="1808">
        <v>5191421002</v>
      </c>
      <c r="C11" s="1776">
        <v>2</v>
      </c>
      <c r="D11" s="1768">
        <v>2</v>
      </c>
      <c r="E11" s="1769">
        <v>1</v>
      </c>
      <c r="F11" s="1767">
        <v>5</v>
      </c>
      <c r="G11" s="1769">
        <v>5</v>
      </c>
      <c r="H11" s="1767"/>
      <c r="I11" s="1770"/>
      <c r="J11" s="1767"/>
      <c r="K11" s="1769"/>
      <c r="L11" s="1666">
        <v>4</v>
      </c>
      <c r="M11" s="1665">
        <v>2</v>
      </c>
      <c r="N11" s="1661">
        <f t="shared" ref="N11:N45" si="0">SUM(C11:M11)</f>
        <v>21</v>
      </c>
      <c r="O11" s="1771">
        <v>1</v>
      </c>
      <c r="P11" s="1772">
        <v>1</v>
      </c>
      <c r="Q11" s="1773">
        <v>2</v>
      </c>
      <c r="R11" s="1771">
        <v>5</v>
      </c>
      <c r="S11" s="1665">
        <v>6</v>
      </c>
      <c r="T11" s="1774"/>
      <c r="U11" s="1775">
        <v>11</v>
      </c>
      <c r="V11" s="1767"/>
      <c r="W11" s="1770"/>
      <c r="X11" s="1809">
        <f t="shared" ref="X11:X45" si="1">SUM(O11:W11)</f>
        <v>26</v>
      </c>
      <c r="Y11" s="1950">
        <v>10</v>
      </c>
      <c r="Z11" s="1917">
        <v>10</v>
      </c>
      <c r="AA11" s="1918" t="s">
        <v>32</v>
      </c>
      <c r="AB11" s="1671">
        <f t="shared" ref="AB11:AB45" si="2">IF(AA11="O",100,IF(AA11="A+",90,IF(AA11="A",80,IF(AA11="B+",70,IF(AA11="B",60,IF(AA11="C",55,IF(AA11="P",50,IF(AA11="F",39))))))))</f>
        <v>70</v>
      </c>
    </row>
    <row r="12" spans="1:31" s="1683" customFormat="1" ht="32.25" customHeight="1" thickBot="1" x14ac:dyDescent="0.35">
      <c r="A12" s="1638">
        <v>3</v>
      </c>
      <c r="B12" s="1808">
        <v>5191421004</v>
      </c>
      <c r="C12" s="1809">
        <v>1</v>
      </c>
      <c r="D12" s="1663">
        <v>1</v>
      </c>
      <c r="E12" s="1682">
        <v>1</v>
      </c>
      <c r="F12" s="1662">
        <v>5</v>
      </c>
      <c r="G12" s="1665">
        <v>6</v>
      </c>
      <c r="H12" s="1666"/>
      <c r="I12" s="1665"/>
      <c r="J12" s="1666">
        <v>1</v>
      </c>
      <c r="K12" s="1665">
        <v>5</v>
      </c>
      <c r="L12" s="1666"/>
      <c r="M12" s="1665"/>
      <c r="N12" s="1661">
        <f t="shared" si="0"/>
        <v>20</v>
      </c>
      <c r="O12" s="1663">
        <v>2</v>
      </c>
      <c r="P12" s="1663">
        <v>2</v>
      </c>
      <c r="Q12" s="1762">
        <v>2</v>
      </c>
      <c r="R12" s="1662"/>
      <c r="S12" s="1665"/>
      <c r="T12" s="1774">
        <v>12</v>
      </c>
      <c r="U12" s="1698"/>
      <c r="V12" s="1666">
        <v>5</v>
      </c>
      <c r="W12" s="1667">
        <v>5</v>
      </c>
      <c r="X12" s="1809">
        <f t="shared" si="1"/>
        <v>28</v>
      </c>
      <c r="Y12" s="1950">
        <v>10</v>
      </c>
      <c r="Z12" s="1810">
        <v>10</v>
      </c>
      <c r="AA12" s="1670" t="s">
        <v>30</v>
      </c>
      <c r="AB12" s="1671">
        <f t="shared" si="2"/>
        <v>90</v>
      </c>
    </row>
    <row r="13" spans="1:31" s="1683" customFormat="1" ht="32.25" customHeight="1" thickBot="1" x14ac:dyDescent="0.35">
      <c r="A13" s="1765">
        <v>4</v>
      </c>
      <c r="B13" s="1808">
        <v>5191421005</v>
      </c>
      <c r="C13" s="1811">
        <v>1</v>
      </c>
      <c r="D13" s="1663">
        <v>1</v>
      </c>
      <c r="E13" s="1682">
        <v>1</v>
      </c>
      <c r="F13" s="1662">
        <v>5</v>
      </c>
      <c r="G13" s="1665">
        <v>5</v>
      </c>
      <c r="H13" s="1666"/>
      <c r="I13" s="1665"/>
      <c r="J13" s="1666">
        <v>5</v>
      </c>
      <c r="K13" s="1665">
        <v>5</v>
      </c>
      <c r="L13" s="1666"/>
      <c r="M13" s="1665"/>
      <c r="N13" s="1661">
        <f t="shared" si="0"/>
        <v>23</v>
      </c>
      <c r="O13" s="1663">
        <v>2</v>
      </c>
      <c r="P13" s="1663">
        <v>2</v>
      </c>
      <c r="Q13" s="1762">
        <v>2</v>
      </c>
      <c r="R13" s="1662"/>
      <c r="S13" s="1665"/>
      <c r="T13" s="1774">
        <v>12</v>
      </c>
      <c r="U13" s="1698">
        <v>12</v>
      </c>
      <c r="V13" s="1666"/>
      <c r="W13" s="1667"/>
      <c r="X13" s="1809">
        <f t="shared" si="1"/>
        <v>30</v>
      </c>
      <c r="Y13" s="1950">
        <v>10</v>
      </c>
      <c r="Z13" s="1810">
        <v>10</v>
      </c>
      <c r="AA13" s="1670" t="s">
        <v>30</v>
      </c>
      <c r="AB13" s="1671">
        <f t="shared" si="2"/>
        <v>90</v>
      </c>
    </row>
    <row r="14" spans="1:31" ht="32.25" customHeight="1" thickBot="1" x14ac:dyDescent="0.35">
      <c r="A14" s="1638">
        <v>5</v>
      </c>
      <c r="B14" s="1808">
        <v>5191421008</v>
      </c>
      <c r="C14" s="1812">
        <v>2</v>
      </c>
      <c r="D14" s="1688">
        <v>1</v>
      </c>
      <c r="E14" s="1689">
        <v>1</v>
      </c>
      <c r="F14" s="1687">
        <v>5</v>
      </c>
      <c r="G14" s="1690">
        <v>5</v>
      </c>
      <c r="H14" s="1691"/>
      <c r="I14" s="1692"/>
      <c r="J14" s="1691">
        <v>5</v>
      </c>
      <c r="K14" s="1690">
        <v>5</v>
      </c>
      <c r="L14" s="1666"/>
      <c r="M14" s="1665"/>
      <c r="N14" s="1661">
        <f t="shared" si="0"/>
        <v>24</v>
      </c>
      <c r="O14" s="1687">
        <v>2</v>
      </c>
      <c r="P14" s="1688">
        <v>2</v>
      </c>
      <c r="Q14" s="1693">
        <v>2</v>
      </c>
      <c r="R14" s="1687"/>
      <c r="S14" s="1665"/>
      <c r="T14" s="1774">
        <v>10</v>
      </c>
      <c r="U14" s="1777"/>
      <c r="V14" s="1691">
        <v>6</v>
      </c>
      <c r="W14" s="1692"/>
      <c r="X14" s="1809">
        <f t="shared" si="1"/>
        <v>22</v>
      </c>
      <c r="Y14" s="1950">
        <v>10</v>
      </c>
      <c r="Z14" s="1814">
        <v>10</v>
      </c>
      <c r="AA14" s="1918" t="s">
        <v>32</v>
      </c>
      <c r="AB14" s="1671">
        <f t="shared" si="2"/>
        <v>70</v>
      </c>
    </row>
    <row r="15" spans="1:31" ht="32.25" customHeight="1" thickBot="1" x14ac:dyDescent="0.35">
      <c r="A15" s="1765">
        <v>6</v>
      </c>
      <c r="B15" s="1808">
        <v>5191421009</v>
      </c>
      <c r="C15" s="1809">
        <v>1</v>
      </c>
      <c r="D15" s="1663">
        <v>1</v>
      </c>
      <c r="E15" s="1682">
        <v>1</v>
      </c>
      <c r="F15" s="1662"/>
      <c r="G15" s="1665"/>
      <c r="H15" s="1666">
        <v>5</v>
      </c>
      <c r="I15" s="1667">
        <v>5</v>
      </c>
      <c r="J15" s="1666">
        <v>5</v>
      </c>
      <c r="K15" s="1665">
        <v>6</v>
      </c>
      <c r="L15" s="1666"/>
      <c r="M15" s="1665"/>
      <c r="N15" s="1661">
        <f t="shared" si="0"/>
        <v>24</v>
      </c>
      <c r="O15" s="1662">
        <v>2</v>
      </c>
      <c r="P15" s="1663">
        <v>2</v>
      </c>
      <c r="Q15" s="1762">
        <v>2</v>
      </c>
      <c r="R15" s="1662">
        <v>5</v>
      </c>
      <c r="S15" s="1665">
        <v>5</v>
      </c>
      <c r="T15" s="1774"/>
      <c r="U15" s="1698"/>
      <c r="V15" s="1666">
        <v>5</v>
      </c>
      <c r="W15" s="1667">
        <v>6</v>
      </c>
      <c r="X15" s="1809">
        <f t="shared" si="1"/>
        <v>27</v>
      </c>
      <c r="Y15" s="1950">
        <v>10</v>
      </c>
      <c r="Z15" s="1810">
        <v>10</v>
      </c>
      <c r="AA15" s="1670" t="s">
        <v>30</v>
      </c>
      <c r="AB15" s="1671">
        <f t="shared" si="2"/>
        <v>90</v>
      </c>
    </row>
    <row r="16" spans="1:31" ht="32.25" customHeight="1" thickBot="1" x14ac:dyDescent="0.35">
      <c r="A16" s="1638">
        <v>7</v>
      </c>
      <c r="B16" s="1808">
        <v>5191421012</v>
      </c>
      <c r="C16" s="1809">
        <v>1</v>
      </c>
      <c r="D16" s="1663">
        <v>1</v>
      </c>
      <c r="E16" s="1682">
        <v>1</v>
      </c>
      <c r="F16" s="1662">
        <v>5</v>
      </c>
      <c r="G16" s="1665">
        <v>5</v>
      </c>
      <c r="H16" s="1666"/>
      <c r="I16" s="1667"/>
      <c r="J16" s="1666">
        <v>5</v>
      </c>
      <c r="K16" s="1665">
        <v>5</v>
      </c>
      <c r="L16" s="1666"/>
      <c r="M16" s="1665"/>
      <c r="N16" s="1661">
        <f t="shared" si="0"/>
        <v>23</v>
      </c>
      <c r="O16" s="1662">
        <v>1</v>
      </c>
      <c r="P16" s="1663">
        <v>1</v>
      </c>
      <c r="Q16" s="1762">
        <v>2</v>
      </c>
      <c r="R16" s="1662"/>
      <c r="S16" s="1665"/>
      <c r="T16" s="1774">
        <v>10</v>
      </c>
      <c r="U16" s="1698">
        <v>10</v>
      </c>
      <c r="V16" s="1666"/>
      <c r="W16" s="1667"/>
      <c r="X16" s="1809">
        <f t="shared" si="1"/>
        <v>24</v>
      </c>
      <c r="Y16" s="1950">
        <v>10</v>
      </c>
      <c r="Z16" s="1810">
        <v>10</v>
      </c>
      <c r="AA16" s="1670" t="s">
        <v>27</v>
      </c>
      <c r="AB16" s="1671">
        <f t="shared" si="2"/>
        <v>80</v>
      </c>
    </row>
    <row r="17" spans="1:28" ht="32.25" customHeight="1" thickBot="1" x14ac:dyDescent="0.35">
      <c r="A17" s="1765">
        <v>8</v>
      </c>
      <c r="B17" s="1808">
        <v>5191421014</v>
      </c>
      <c r="C17" s="1809">
        <v>2</v>
      </c>
      <c r="D17" s="1663">
        <v>2</v>
      </c>
      <c r="E17" s="1682">
        <v>2</v>
      </c>
      <c r="F17" s="1662"/>
      <c r="G17" s="1665"/>
      <c r="H17" s="1666">
        <v>5</v>
      </c>
      <c r="I17" s="1667">
        <v>5</v>
      </c>
      <c r="J17" s="1666">
        <v>5</v>
      </c>
      <c r="K17" s="1665">
        <v>5</v>
      </c>
      <c r="L17" s="1666"/>
      <c r="M17" s="1665"/>
      <c r="N17" s="1661">
        <f t="shared" si="0"/>
        <v>26</v>
      </c>
      <c r="O17" s="1662">
        <v>2</v>
      </c>
      <c r="P17" s="1663">
        <v>1</v>
      </c>
      <c r="Q17" s="1762">
        <v>2</v>
      </c>
      <c r="R17" s="1662">
        <v>4</v>
      </c>
      <c r="S17" s="1665">
        <v>6</v>
      </c>
      <c r="T17" s="1774"/>
      <c r="U17" s="1698">
        <v>10</v>
      </c>
      <c r="V17" s="1666"/>
      <c r="W17" s="1667"/>
      <c r="X17" s="1809">
        <f t="shared" si="1"/>
        <v>25</v>
      </c>
      <c r="Y17" s="1950">
        <v>10</v>
      </c>
      <c r="Z17" s="1810">
        <v>10</v>
      </c>
      <c r="AA17" s="1670" t="s">
        <v>30</v>
      </c>
      <c r="AB17" s="1671">
        <f t="shared" si="2"/>
        <v>90</v>
      </c>
    </row>
    <row r="18" spans="1:28" ht="32.25" customHeight="1" thickBot="1" x14ac:dyDescent="0.35">
      <c r="A18" s="1638">
        <v>9</v>
      </c>
      <c r="B18" s="1808">
        <v>5191421015</v>
      </c>
      <c r="C18" s="1764">
        <v>2</v>
      </c>
      <c r="D18" s="1666">
        <v>2</v>
      </c>
      <c r="E18" s="1698">
        <v>2</v>
      </c>
      <c r="F18" s="1666"/>
      <c r="G18" s="1665"/>
      <c r="H18" s="1666">
        <v>6</v>
      </c>
      <c r="I18" s="1667">
        <v>3</v>
      </c>
      <c r="J18" s="1666">
        <v>6</v>
      </c>
      <c r="K18" s="1665">
        <v>6</v>
      </c>
      <c r="L18" s="1666"/>
      <c r="M18" s="1665"/>
      <c r="N18" s="1661">
        <f t="shared" si="0"/>
        <v>27</v>
      </c>
      <c r="O18" s="1662">
        <v>2</v>
      </c>
      <c r="P18" s="1663">
        <v>1</v>
      </c>
      <c r="Q18" s="1762">
        <v>2</v>
      </c>
      <c r="R18" s="1662"/>
      <c r="S18" s="1665"/>
      <c r="T18" s="1774">
        <v>10</v>
      </c>
      <c r="U18" s="1698"/>
      <c r="V18" s="1666">
        <v>6</v>
      </c>
      <c r="W18" s="1667">
        <v>6</v>
      </c>
      <c r="X18" s="1809">
        <f t="shared" si="1"/>
        <v>27</v>
      </c>
      <c r="Y18" s="1950">
        <v>10</v>
      </c>
      <c r="Z18" s="1810">
        <v>10</v>
      </c>
      <c r="AA18" s="1670" t="s">
        <v>30</v>
      </c>
      <c r="AB18" s="1671">
        <f t="shared" si="2"/>
        <v>90</v>
      </c>
    </row>
    <row r="19" spans="1:28" ht="32.25" customHeight="1" thickBot="1" x14ac:dyDescent="0.35">
      <c r="A19" s="1765">
        <v>10</v>
      </c>
      <c r="B19" s="1808">
        <v>5191421016</v>
      </c>
      <c r="C19" s="1809">
        <v>1</v>
      </c>
      <c r="D19" s="1663">
        <v>1</v>
      </c>
      <c r="E19" s="1682"/>
      <c r="F19" s="1662">
        <v>5</v>
      </c>
      <c r="G19" s="1665">
        <v>5</v>
      </c>
      <c r="H19" s="1666"/>
      <c r="I19" s="1667"/>
      <c r="J19" s="1666"/>
      <c r="K19" s="1665"/>
      <c r="L19" s="1666">
        <v>5</v>
      </c>
      <c r="M19" s="1665"/>
      <c r="N19" s="1661">
        <f t="shared" si="0"/>
        <v>17</v>
      </c>
      <c r="O19" s="1662">
        <v>1</v>
      </c>
      <c r="P19" s="1663">
        <v>1</v>
      </c>
      <c r="Q19" s="1762">
        <v>1</v>
      </c>
      <c r="R19" s="1662"/>
      <c r="S19" s="1665"/>
      <c r="T19" s="1774">
        <v>10</v>
      </c>
      <c r="U19" s="1698"/>
      <c r="V19" s="1666">
        <v>5</v>
      </c>
      <c r="W19" s="1667"/>
      <c r="X19" s="1809">
        <f t="shared" si="1"/>
        <v>18</v>
      </c>
      <c r="Y19" s="1950">
        <v>8</v>
      </c>
      <c r="Z19" s="1810">
        <v>8</v>
      </c>
      <c r="AA19" s="1670" t="s">
        <v>32</v>
      </c>
      <c r="AB19" s="1671">
        <f t="shared" si="2"/>
        <v>70</v>
      </c>
    </row>
    <row r="20" spans="1:28" ht="32.25" customHeight="1" thickBot="1" x14ac:dyDescent="0.35">
      <c r="A20" s="1638">
        <v>11</v>
      </c>
      <c r="B20" s="1808">
        <v>5191421017</v>
      </c>
      <c r="C20" s="1809">
        <v>2</v>
      </c>
      <c r="D20" s="1663">
        <v>1</v>
      </c>
      <c r="E20" s="1682">
        <v>2</v>
      </c>
      <c r="F20" s="1662">
        <v>5</v>
      </c>
      <c r="G20" s="1665">
        <v>5</v>
      </c>
      <c r="H20" s="1666"/>
      <c r="I20" s="1667"/>
      <c r="J20" s="1666">
        <v>5</v>
      </c>
      <c r="K20" s="1665">
        <v>5</v>
      </c>
      <c r="L20" s="1666"/>
      <c r="M20" s="1665"/>
      <c r="N20" s="1661">
        <f t="shared" si="0"/>
        <v>25</v>
      </c>
      <c r="O20" s="1662">
        <v>2</v>
      </c>
      <c r="P20" s="1663">
        <v>2</v>
      </c>
      <c r="Q20" s="1762">
        <v>2</v>
      </c>
      <c r="R20" s="1662"/>
      <c r="S20" s="1665"/>
      <c r="T20" s="1774">
        <v>12</v>
      </c>
      <c r="U20" s="1698">
        <v>12</v>
      </c>
      <c r="V20" s="1666"/>
      <c r="W20" s="1667"/>
      <c r="X20" s="1809">
        <f t="shared" si="1"/>
        <v>30</v>
      </c>
      <c r="Y20" s="1950">
        <v>10</v>
      </c>
      <c r="Z20" s="1810">
        <v>10</v>
      </c>
      <c r="AA20" s="1670" t="s">
        <v>30</v>
      </c>
      <c r="AB20" s="1671">
        <f t="shared" si="2"/>
        <v>90</v>
      </c>
    </row>
    <row r="21" spans="1:28" ht="32.25" customHeight="1" thickBot="1" x14ac:dyDescent="0.35">
      <c r="A21" s="1765">
        <v>12</v>
      </c>
      <c r="B21" s="1808">
        <v>5191421018</v>
      </c>
      <c r="C21" s="1809"/>
      <c r="D21" s="1663"/>
      <c r="E21" s="1682">
        <v>1</v>
      </c>
      <c r="F21" s="1662">
        <v>4</v>
      </c>
      <c r="G21" s="1665">
        <v>4</v>
      </c>
      <c r="H21" s="1666"/>
      <c r="I21" s="1667"/>
      <c r="J21" s="1666">
        <v>3</v>
      </c>
      <c r="K21" s="1665">
        <v>3</v>
      </c>
      <c r="L21" s="1666"/>
      <c r="M21" s="1665"/>
      <c r="N21" s="1661">
        <f t="shared" si="0"/>
        <v>15</v>
      </c>
      <c r="O21" s="1662">
        <v>1</v>
      </c>
      <c r="P21" s="1663">
        <v>1</v>
      </c>
      <c r="Q21" s="1762"/>
      <c r="R21" s="1662">
        <v>5</v>
      </c>
      <c r="S21" s="1665">
        <v>3</v>
      </c>
      <c r="T21" s="1774"/>
      <c r="U21" s="1698"/>
      <c r="V21" s="1666">
        <v>3</v>
      </c>
      <c r="W21" s="1667">
        <v>3</v>
      </c>
      <c r="X21" s="1809">
        <f t="shared" si="1"/>
        <v>16</v>
      </c>
      <c r="Y21" s="1950">
        <v>8</v>
      </c>
      <c r="Z21" s="1810">
        <v>8</v>
      </c>
      <c r="AA21" s="1670" t="s">
        <v>31</v>
      </c>
      <c r="AB21" s="1671">
        <f t="shared" si="2"/>
        <v>55</v>
      </c>
    </row>
    <row r="22" spans="1:28" ht="32.25" customHeight="1" thickBot="1" x14ac:dyDescent="0.35">
      <c r="A22" s="1638">
        <v>13</v>
      </c>
      <c r="B22" s="1808">
        <v>5191421019</v>
      </c>
      <c r="C22" s="1809">
        <v>2</v>
      </c>
      <c r="D22" s="1663">
        <v>2</v>
      </c>
      <c r="E22" s="1682">
        <v>1</v>
      </c>
      <c r="F22" s="1662">
        <v>5</v>
      </c>
      <c r="G22" s="1665">
        <v>5</v>
      </c>
      <c r="H22" s="1666"/>
      <c r="I22" s="1667"/>
      <c r="J22" s="1666">
        <v>6</v>
      </c>
      <c r="K22" s="1665">
        <v>3</v>
      </c>
      <c r="L22" s="1666"/>
      <c r="M22" s="1665"/>
      <c r="N22" s="1661">
        <f t="shared" si="0"/>
        <v>24</v>
      </c>
      <c r="O22" s="1662">
        <v>2</v>
      </c>
      <c r="P22" s="1663">
        <v>2</v>
      </c>
      <c r="Q22" s="1762">
        <v>2</v>
      </c>
      <c r="R22" s="1662">
        <v>6</v>
      </c>
      <c r="S22" s="1665">
        <v>6</v>
      </c>
      <c r="T22" s="1774"/>
      <c r="U22" s="1698">
        <v>11</v>
      </c>
      <c r="V22" s="1666"/>
      <c r="W22" s="1667"/>
      <c r="X22" s="1809">
        <f t="shared" si="1"/>
        <v>29</v>
      </c>
      <c r="Y22" s="1950">
        <v>10</v>
      </c>
      <c r="Z22" s="1810">
        <v>10</v>
      </c>
      <c r="AA22" s="1670" t="s">
        <v>82</v>
      </c>
      <c r="AB22" s="1671">
        <f t="shared" si="2"/>
        <v>100</v>
      </c>
    </row>
    <row r="23" spans="1:28" ht="32.25" customHeight="1" thickBot="1" x14ac:dyDescent="0.35">
      <c r="A23" s="1765">
        <v>14</v>
      </c>
      <c r="B23" s="1808">
        <v>5191421022</v>
      </c>
      <c r="C23" s="1809">
        <v>2</v>
      </c>
      <c r="D23" s="1663">
        <v>2</v>
      </c>
      <c r="E23" s="1682">
        <v>1</v>
      </c>
      <c r="F23" s="1662">
        <v>5</v>
      </c>
      <c r="G23" s="1665">
        <v>5</v>
      </c>
      <c r="H23" s="1666"/>
      <c r="I23" s="1667"/>
      <c r="J23" s="1666">
        <v>5</v>
      </c>
      <c r="K23" s="1665">
        <v>3</v>
      </c>
      <c r="L23" s="1666"/>
      <c r="M23" s="1665"/>
      <c r="N23" s="1661">
        <f t="shared" si="0"/>
        <v>23</v>
      </c>
      <c r="O23" s="1662">
        <v>2</v>
      </c>
      <c r="P23" s="1663">
        <v>2</v>
      </c>
      <c r="Q23" s="1762">
        <v>2</v>
      </c>
      <c r="R23" s="1662">
        <v>5</v>
      </c>
      <c r="S23" s="1665">
        <v>5</v>
      </c>
      <c r="T23" s="1774"/>
      <c r="U23" s="1698">
        <v>9</v>
      </c>
      <c r="V23" s="1666"/>
      <c r="W23" s="1667"/>
      <c r="X23" s="1809">
        <f t="shared" si="1"/>
        <v>25</v>
      </c>
      <c r="Y23" s="1950">
        <v>10</v>
      </c>
      <c r="Z23" s="1810">
        <v>10</v>
      </c>
      <c r="AA23" s="1670" t="s">
        <v>27</v>
      </c>
      <c r="AB23" s="1671">
        <f t="shared" si="2"/>
        <v>80</v>
      </c>
    </row>
    <row r="24" spans="1:28" ht="32.25" customHeight="1" thickBot="1" x14ac:dyDescent="0.35">
      <c r="A24" s="1638">
        <v>15</v>
      </c>
      <c r="B24" s="1808">
        <v>5191421023</v>
      </c>
      <c r="C24" s="1809">
        <v>2</v>
      </c>
      <c r="D24" s="1663">
        <v>2</v>
      </c>
      <c r="E24" s="1682">
        <v>2</v>
      </c>
      <c r="F24" s="1662"/>
      <c r="G24" s="1665"/>
      <c r="H24" s="1666">
        <v>4</v>
      </c>
      <c r="I24" s="1667">
        <v>4</v>
      </c>
      <c r="J24" s="1666"/>
      <c r="K24" s="1665"/>
      <c r="L24" s="1666">
        <v>5</v>
      </c>
      <c r="M24" s="1665">
        <v>2</v>
      </c>
      <c r="N24" s="1661">
        <f t="shared" si="0"/>
        <v>21</v>
      </c>
      <c r="O24" s="1662">
        <v>2</v>
      </c>
      <c r="P24" s="1663">
        <v>2</v>
      </c>
      <c r="Q24" s="1762">
        <v>2</v>
      </c>
      <c r="R24" s="1662">
        <v>3</v>
      </c>
      <c r="S24" s="1665">
        <v>3</v>
      </c>
      <c r="T24" s="1774"/>
      <c r="U24" s="1698"/>
      <c r="V24" s="1666">
        <v>5</v>
      </c>
      <c r="W24" s="1667">
        <v>4</v>
      </c>
      <c r="X24" s="1809">
        <f t="shared" si="1"/>
        <v>21</v>
      </c>
      <c r="Y24" s="1950">
        <v>8</v>
      </c>
      <c r="Z24" s="1810">
        <v>8</v>
      </c>
      <c r="AA24" s="1670" t="s">
        <v>33</v>
      </c>
      <c r="AB24" s="1671">
        <f t="shared" si="2"/>
        <v>60</v>
      </c>
    </row>
    <row r="25" spans="1:28" ht="32.25" customHeight="1" thickBot="1" x14ac:dyDescent="0.35">
      <c r="A25" s="1765">
        <v>16</v>
      </c>
      <c r="B25" s="1808">
        <v>5191421024</v>
      </c>
      <c r="C25" s="1809"/>
      <c r="D25" s="1663"/>
      <c r="E25" s="1682"/>
      <c r="F25" s="1662"/>
      <c r="G25" s="1665"/>
      <c r="H25" s="1666"/>
      <c r="I25" s="1667"/>
      <c r="J25" s="1666"/>
      <c r="K25" s="1665"/>
      <c r="L25" s="1666"/>
      <c r="M25" s="1665"/>
      <c r="N25" s="1661"/>
      <c r="O25" s="1662">
        <v>1</v>
      </c>
      <c r="P25" s="1663">
        <v>1</v>
      </c>
      <c r="Q25" s="1762">
        <v>2</v>
      </c>
      <c r="R25" s="1662">
        <v>5</v>
      </c>
      <c r="S25" s="1665">
        <v>1</v>
      </c>
      <c r="T25" s="1774"/>
      <c r="U25" s="1698"/>
      <c r="V25" s="1666">
        <v>4</v>
      </c>
      <c r="W25" s="1667">
        <v>4</v>
      </c>
      <c r="X25" s="1809">
        <f t="shared" si="1"/>
        <v>18</v>
      </c>
      <c r="Y25" s="1950">
        <v>8</v>
      </c>
      <c r="Z25" s="1810">
        <v>8</v>
      </c>
      <c r="AA25" s="1670" t="s">
        <v>28</v>
      </c>
      <c r="AB25" s="1671">
        <f t="shared" si="2"/>
        <v>50</v>
      </c>
    </row>
    <row r="26" spans="1:28" ht="32.25" customHeight="1" thickBot="1" x14ac:dyDescent="0.35">
      <c r="A26" s="1638">
        <v>17</v>
      </c>
      <c r="B26" s="1808">
        <v>5191421025</v>
      </c>
      <c r="C26" s="1809">
        <v>2</v>
      </c>
      <c r="D26" s="1663">
        <v>2</v>
      </c>
      <c r="E26" s="1682">
        <v>2</v>
      </c>
      <c r="F26" s="1662">
        <v>6</v>
      </c>
      <c r="G26" s="1697">
        <v>6</v>
      </c>
      <c r="H26" s="1684"/>
      <c r="I26" s="1667"/>
      <c r="J26" s="1666">
        <v>6</v>
      </c>
      <c r="K26" s="1665">
        <v>6</v>
      </c>
      <c r="L26" s="1666"/>
      <c r="M26" s="1665"/>
      <c r="N26" s="1661">
        <f t="shared" si="0"/>
        <v>30</v>
      </c>
      <c r="O26" s="1662">
        <v>2</v>
      </c>
      <c r="P26" s="1663">
        <v>2</v>
      </c>
      <c r="Q26" s="1762">
        <v>2</v>
      </c>
      <c r="R26" s="1662"/>
      <c r="S26" s="1665"/>
      <c r="T26" s="1774">
        <v>12</v>
      </c>
      <c r="U26" s="1698">
        <v>12</v>
      </c>
      <c r="V26" s="1666"/>
      <c r="W26" s="1667"/>
      <c r="X26" s="1809">
        <f t="shared" si="1"/>
        <v>30</v>
      </c>
      <c r="Y26" s="1950">
        <v>10</v>
      </c>
      <c r="Z26" s="1810">
        <v>10</v>
      </c>
      <c r="AA26" s="1670" t="s">
        <v>82</v>
      </c>
      <c r="AB26" s="1671">
        <f t="shared" si="2"/>
        <v>100</v>
      </c>
    </row>
    <row r="27" spans="1:28" ht="32.25" customHeight="1" thickBot="1" x14ac:dyDescent="0.35">
      <c r="A27" s="1765">
        <v>18</v>
      </c>
      <c r="B27" s="1808">
        <v>5191421026</v>
      </c>
      <c r="C27" s="1809">
        <v>2</v>
      </c>
      <c r="D27" s="1663">
        <v>2</v>
      </c>
      <c r="E27" s="1682">
        <v>2</v>
      </c>
      <c r="F27" s="1662">
        <v>2</v>
      </c>
      <c r="G27" s="1665">
        <v>4</v>
      </c>
      <c r="H27" s="1666"/>
      <c r="I27" s="1667"/>
      <c r="J27" s="1666">
        <v>5</v>
      </c>
      <c r="K27" s="1665">
        <v>2</v>
      </c>
      <c r="L27" s="1666"/>
      <c r="M27" s="1665"/>
      <c r="N27" s="1661">
        <f t="shared" si="0"/>
        <v>19</v>
      </c>
      <c r="O27" s="1662">
        <v>2</v>
      </c>
      <c r="P27" s="1663">
        <v>2</v>
      </c>
      <c r="Q27" s="1762">
        <v>2</v>
      </c>
      <c r="R27" s="1662"/>
      <c r="S27" s="1665"/>
      <c r="T27" s="1774">
        <v>10</v>
      </c>
      <c r="U27" s="1698"/>
      <c r="V27" s="1666">
        <v>6</v>
      </c>
      <c r="W27" s="1667"/>
      <c r="X27" s="1809">
        <f t="shared" si="1"/>
        <v>22</v>
      </c>
      <c r="Y27" s="1950">
        <v>8</v>
      </c>
      <c r="Z27" s="1810">
        <v>8</v>
      </c>
      <c r="AA27" s="1670" t="s">
        <v>32</v>
      </c>
      <c r="AB27" s="1671">
        <f t="shared" si="2"/>
        <v>70</v>
      </c>
    </row>
    <row r="28" spans="1:28" ht="32.25" customHeight="1" thickBot="1" x14ac:dyDescent="0.35">
      <c r="A28" s="1638">
        <v>19</v>
      </c>
      <c r="B28" s="1808">
        <v>5191421029</v>
      </c>
      <c r="C28" s="1811">
        <v>2</v>
      </c>
      <c r="D28" s="1663">
        <v>2</v>
      </c>
      <c r="E28" s="1682">
        <v>2</v>
      </c>
      <c r="F28" s="1662">
        <v>5</v>
      </c>
      <c r="G28" s="1665">
        <v>5</v>
      </c>
      <c r="H28" s="1666"/>
      <c r="I28" s="1667"/>
      <c r="J28" s="1666"/>
      <c r="K28" s="1665">
        <v>5</v>
      </c>
      <c r="L28" s="1666"/>
      <c r="M28" s="1665"/>
      <c r="N28" s="1661">
        <f t="shared" si="0"/>
        <v>21</v>
      </c>
      <c r="O28" s="1662">
        <v>2</v>
      </c>
      <c r="P28" s="1663">
        <v>2</v>
      </c>
      <c r="Q28" s="1762">
        <v>2</v>
      </c>
      <c r="R28" s="1662"/>
      <c r="S28" s="1665"/>
      <c r="T28" s="1774">
        <v>10</v>
      </c>
      <c r="U28" s="1698">
        <v>12</v>
      </c>
      <c r="V28" s="1666"/>
      <c r="W28" s="1667"/>
      <c r="X28" s="1809">
        <f t="shared" si="1"/>
        <v>28</v>
      </c>
      <c r="Y28" s="1950">
        <v>10</v>
      </c>
      <c r="Z28" s="1810">
        <v>10</v>
      </c>
      <c r="AA28" s="1670" t="s">
        <v>27</v>
      </c>
      <c r="AB28" s="1671">
        <f t="shared" si="2"/>
        <v>80</v>
      </c>
    </row>
    <row r="29" spans="1:28" ht="32.25" customHeight="1" thickBot="1" x14ac:dyDescent="0.35">
      <c r="A29" s="1765">
        <v>20</v>
      </c>
      <c r="B29" s="1808">
        <v>5191421030</v>
      </c>
      <c r="C29" s="1809">
        <v>2</v>
      </c>
      <c r="D29" s="1671">
        <v>1</v>
      </c>
      <c r="E29" s="1665">
        <v>1</v>
      </c>
      <c r="F29" s="1666"/>
      <c r="G29" s="1665"/>
      <c r="H29" s="1666">
        <v>2</v>
      </c>
      <c r="I29" s="1667">
        <v>2</v>
      </c>
      <c r="J29" s="1666">
        <v>3</v>
      </c>
      <c r="K29" s="1665">
        <v>1</v>
      </c>
      <c r="L29" s="1666"/>
      <c r="M29" s="1665"/>
      <c r="N29" s="1661">
        <f t="shared" si="0"/>
        <v>12</v>
      </c>
      <c r="O29" s="1662">
        <v>2</v>
      </c>
      <c r="P29" s="1671">
        <v>1</v>
      </c>
      <c r="Q29" s="1779"/>
      <c r="R29" s="1666"/>
      <c r="S29" s="1665"/>
      <c r="T29" s="1774"/>
      <c r="U29" s="1698">
        <v>9</v>
      </c>
      <c r="V29" s="1666"/>
      <c r="W29" s="1667"/>
      <c r="X29" s="1809">
        <f t="shared" si="1"/>
        <v>12</v>
      </c>
      <c r="Y29" s="1950">
        <v>8</v>
      </c>
      <c r="Z29" s="1810">
        <v>8</v>
      </c>
      <c r="AA29" s="1670" t="s">
        <v>31</v>
      </c>
      <c r="AB29" s="1671">
        <f t="shared" si="2"/>
        <v>55</v>
      </c>
    </row>
    <row r="30" spans="1:28" ht="32.25" customHeight="1" thickBot="1" x14ac:dyDescent="0.35">
      <c r="A30" s="1638">
        <v>21</v>
      </c>
      <c r="B30" s="1808">
        <v>5191421031</v>
      </c>
      <c r="C30" s="1764">
        <v>2</v>
      </c>
      <c r="D30" s="1671">
        <v>2</v>
      </c>
      <c r="E30" s="1665">
        <v>1</v>
      </c>
      <c r="F30" s="1666">
        <v>6</v>
      </c>
      <c r="G30" s="1665">
        <v>6</v>
      </c>
      <c r="H30" s="1666"/>
      <c r="I30" s="1667"/>
      <c r="J30" s="1666"/>
      <c r="K30" s="1665"/>
      <c r="L30" s="1666">
        <v>4</v>
      </c>
      <c r="M30" s="1665"/>
      <c r="N30" s="1661">
        <f t="shared" si="0"/>
        <v>21</v>
      </c>
      <c r="O30" s="1666">
        <v>2</v>
      </c>
      <c r="P30" s="1671">
        <v>2</v>
      </c>
      <c r="Q30" s="1779">
        <v>1</v>
      </c>
      <c r="R30" s="1666">
        <v>6</v>
      </c>
      <c r="S30" s="1665">
        <v>6</v>
      </c>
      <c r="T30" s="1774"/>
      <c r="U30" s="1698"/>
      <c r="V30" s="1666">
        <v>6</v>
      </c>
      <c r="W30" s="1667">
        <v>6</v>
      </c>
      <c r="X30" s="1809">
        <f t="shared" si="1"/>
        <v>29</v>
      </c>
      <c r="Y30" s="1950">
        <v>10</v>
      </c>
      <c r="Z30" s="1810">
        <v>10</v>
      </c>
      <c r="AA30" s="1670" t="s">
        <v>32</v>
      </c>
      <c r="AB30" s="1671">
        <f t="shared" si="2"/>
        <v>70</v>
      </c>
    </row>
    <row r="31" spans="1:28" ht="32.25" customHeight="1" thickBot="1" x14ac:dyDescent="0.35">
      <c r="A31" s="1765">
        <v>22</v>
      </c>
      <c r="B31" s="1808">
        <v>5191421035</v>
      </c>
      <c r="C31" s="1809"/>
      <c r="D31" s="1671"/>
      <c r="E31" s="1665"/>
      <c r="F31" s="1666"/>
      <c r="G31" s="1665"/>
      <c r="H31" s="1666">
        <v>3</v>
      </c>
      <c r="I31" s="1667">
        <v>1</v>
      </c>
      <c r="J31" s="1666"/>
      <c r="K31" s="1665"/>
      <c r="L31" s="1666">
        <v>4</v>
      </c>
      <c r="M31" s="1665">
        <v>4</v>
      </c>
      <c r="N31" s="1661">
        <f t="shared" si="0"/>
        <v>12</v>
      </c>
      <c r="O31" s="1662">
        <v>1</v>
      </c>
      <c r="P31" s="1671">
        <v>1</v>
      </c>
      <c r="Q31" s="1779">
        <v>1</v>
      </c>
      <c r="R31" s="1666"/>
      <c r="S31" s="1665"/>
      <c r="T31" s="1774">
        <v>10</v>
      </c>
      <c r="U31" s="1698"/>
      <c r="V31" s="1666">
        <v>5</v>
      </c>
      <c r="W31" s="1667">
        <v>5</v>
      </c>
      <c r="X31" s="1809">
        <f t="shared" si="1"/>
        <v>23</v>
      </c>
      <c r="Y31" s="1950">
        <v>8</v>
      </c>
      <c r="Z31" s="1810">
        <v>8</v>
      </c>
      <c r="AA31" s="1780" t="s">
        <v>33</v>
      </c>
      <c r="AB31" s="1671">
        <f t="shared" si="2"/>
        <v>60</v>
      </c>
    </row>
    <row r="32" spans="1:28" ht="32.25" customHeight="1" thickBot="1" x14ac:dyDescent="0.35">
      <c r="A32" s="1638">
        <v>23</v>
      </c>
      <c r="B32" s="1808">
        <v>5191421036</v>
      </c>
      <c r="C32" s="1817">
        <v>2</v>
      </c>
      <c r="D32" s="1654">
        <v>1</v>
      </c>
      <c r="E32" s="1655">
        <v>1</v>
      </c>
      <c r="F32" s="1656">
        <v>5</v>
      </c>
      <c r="G32" s="1655">
        <v>5</v>
      </c>
      <c r="H32" s="1656"/>
      <c r="I32" s="1655"/>
      <c r="J32" s="1656">
        <v>4</v>
      </c>
      <c r="K32" s="1655">
        <v>2</v>
      </c>
      <c r="L32" s="1666"/>
      <c r="M32" s="1665"/>
      <c r="N32" s="1661">
        <f t="shared" si="0"/>
        <v>20</v>
      </c>
      <c r="O32" s="1662">
        <v>2</v>
      </c>
      <c r="P32" s="1671">
        <v>2</v>
      </c>
      <c r="Q32" s="1779">
        <v>2</v>
      </c>
      <c r="R32" s="1666"/>
      <c r="S32" s="1665"/>
      <c r="T32" s="1774">
        <v>12</v>
      </c>
      <c r="U32" s="1698"/>
      <c r="V32" s="1666">
        <v>6</v>
      </c>
      <c r="W32" s="1667">
        <v>6</v>
      </c>
      <c r="X32" s="1809">
        <f t="shared" si="1"/>
        <v>30</v>
      </c>
      <c r="Y32" s="1950">
        <v>10</v>
      </c>
      <c r="Z32" s="1810">
        <v>10</v>
      </c>
      <c r="AA32" s="1670" t="s">
        <v>30</v>
      </c>
      <c r="AB32" s="1671">
        <f t="shared" si="2"/>
        <v>90</v>
      </c>
    </row>
    <row r="33" spans="1:28" ht="32.25" customHeight="1" thickBot="1" x14ac:dyDescent="0.35">
      <c r="A33" s="1765">
        <v>24</v>
      </c>
      <c r="B33" s="1808">
        <v>5191421037</v>
      </c>
      <c r="C33" s="1809">
        <v>2</v>
      </c>
      <c r="D33" s="1671">
        <v>2</v>
      </c>
      <c r="E33" s="1665">
        <v>1</v>
      </c>
      <c r="F33" s="1666"/>
      <c r="G33" s="1665"/>
      <c r="H33" s="1666">
        <v>5</v>
      </c>
      <c r="I33" s="1667">
        <v>5</v>
      </c>
      <c r="J33" s="1666"/>
      <c r="K33" s="1665"/>
      <c r="L33" s="1666"/>
      <c r="M33" s="1665"/>
      <c r="N33" s="1661">
        <f t="shared" si="0"/>
        <v>15</v>
      </c>
      <c r="O33" s="1662">
        <v>1</v>
      </c>
      <c r="P33" s="1671">
        <v>1</v>
      </c>
      <c r="Q33" s="1779">
        <v>2</v>
      </c>
      <c r="R33" s="1666"/>
      <c r="S33" s="1665"/>
      <c r="T33" s="1774">
        <v>10</v>
      </c>
      <c r="U33" s="1698"/>
      <c r="V33" s="1666">
        <v>5</v>
      </c>
      <c r="W33" s="1667">
        <v>4</v>
      </c>
      <c r="X33" s="1809">
        <f t="shared" si="1"/>
        <v>23</v>
      </c>
      <c r="Y33" s="1950">
        <v>8</v>
      </c>
      <c r="Z33" s="1810">
        <v>8</v>
      </c>
      <c r="AA33" s="1695" t="s">
        <v>32</v>
      </c>
      <c r="AB33" s="1671">
        <f t="shared" si="2"/>
        <v>70</v>
      </c>
    </row>
    <row r="34" spans="1:28" ht="32.25" customHeight="1" thickBot="1" x14ac:dyDescent="0.35">
      <c r="A34" s="1638">
        <v>25</v>
      </c>
      <c r="B34" s="1808">
        <v>5191421038</v>
      </c>
      <c r="C34" s="1809">
        <v>1</v>
      </c>
      <c r="D34" s="1671">
        <v>1</v>
      </c>
      <c r="E34" s="1665"/>
      <c r="F34" s="1666">
        <v>4</v>
      </c>
      <c r="G34" s="1665">
        <v>4</v>
      </c>
      <c r="H34" s="1666"/>
      <c r="I34" s="1667"/>
      <c r="J34" s="1666"/>
      <c r="K34" s="1665"/>
      <c r="L34" s="1666">
        <v>4</v>
      </c>
      <c r="M34" s="1665"/>
      <c r="N34" s="1661">
        <f t="shared" si="0"/>
        <v>14</v>
      </c>
      <c r="O34" s="1662">
        <v>2</v>
      </c>
      <c r="P34" s="1671">
        <v>1</v>
      </c>
      <c r="Q34" s="1779"/>
      <c r="R34" s="1666">
        <v>4</v>
      </c>
      <c r="S34" s="1665">
        <v>4</v>
      </c>
      <c r="T34" s="1774"/>
      <c r="U34" s="1698"/>
      <c r="V34" s="1666">
        <v>5</v>
      </c>
      <c r="W34" s="1667">
        <v>6</v>
      </c>
      <c r="X34" s="1809">
        <f t="shared" si="1"/>
        <v>22</v>
      </c>
      <c r="Y34" s="1950">
        <v>8</v>
      </c>
      <c r="Z34" s="1810">
        <v>8</v>
      </c>
      <c r="AA34" s="1670" t="s">
        <v>27</v>
      </c>
      <c r="AB34" s="1671">
        <f t="shared" si="2"/>
        <v>80</v>
      </c>
    </row>
    <row r="35" spans="1:28" ht="32.25" customHeight="1" thickBot="1" x14ac:dyDescent="0.35">
      <c r="A35" s="1765">
        <v>26</v>
      </c>
      <c r="B35" s="1808">
        <v>5191421040</v>
      </c>
      <c r="C35" s="1809">
        <v>2</v>
      </c>
      <c r="D35" s="1671">
        <v>2</v>
      </c>
      <c r="E35" s="1665"/>
      <c r="F35" s="1666"/>
      <c r="G35" s="1665"/>
      <c r="H35" s="1666">
        <v>6</v>
      </c>
      <c r="I35" s="1667">
        <v>4</v>
      </c>
      <c r="J35" s="1666">
        <v>5</v>
      </c>
      <c r="K35" s="1665">
        <v>6</v>
      </c>
      <c r="L35" s="1666"/>
      <c r="M35" s="1665"/>
      <c r="N35" s="1661">
        <f t="shared" si="0"/>
        <v>25</v>
      </c>
      <c r="O35" s="1662">
        <v>2</v>
      </c>
      <c r="P35" s="1671">
        <v>2</v>
      </c>
      <c r="Q35" s="1779">
        <v>2</v>
      </c>
      <c r="R35" s="1666"/>
      <c r="S35" s="1665"/>
      <c r="T35" s="1774">
        <v>12</v>
      </c>
      <c r="U35" s="1698">
        <v>12</v>
      </c>
      <c r="V35" s="1666"/>
      <c r="W35" s="1667"/>
      <c r="X35" s="1809">
        <f t="shared" si="1"/>
        <v>30</v>
      </c>
      <c r="Y35" s="1950">
        <v>10</v>
      </c>
      <c r="Z35" s="1810">
        <v>10</v>
      </c>
      <c r="AA35" s="1670" t="s">
        <v>30</v>
      </c>
      <c r="AB35" s="1671">
        <f t="shared" si="2"/>
        <v>90</v>
      </c>
    </row>
    <row r="36" spans="1:28" ht="32.25" customHeight="1" thickBot="1" x14ac:dyDescent="0.35">
      <c r="A36" s="1638">
        <v>27</v>
      </c>
      <c r="B36" s="1808">
        <v>5191421042</v>
      </c>
      <c r="C36" s="1809">
        <v>2</v>
      </c>
      <c r="D36" s="1671">
        <v>1</v>
      </c>
      <c r="E36" s="1665"/>
      <c r="F36" s="1666">
        <v>3</v>
      </c>
      <c r="G36" s="1665">
        <v>1</v>
      </c>
      <c r="H36" s="1666"/>
      <c r="I36" s="1667"/>
      <c r="J36" s="1666"/>
      <c r="K36" s="1665"/>
      <c r="L36" s="1666"/>
      <c r="M36" s="1665">
        <v>5</v>
      </c>
      <c r="N36" s="1661">
        <f t="shared" si="0"/>
        <v>12</v>
      </c>
      <c r="O36" s="1662"/>
      <c r="P36" s="1671"/>
      <c r="Q36" s="1779"/>
      <c r="R36" s="1666"/>
      <c r="S36" s="1665"/>
      <c r="T36" s="1774">
        <v>12</v>
      </c>
      <c r="U36" s="1698"/>
      <c r="V36" s="1666">
        <v>6</v>
      </c>
      <c r="W36" s="1667">
        <v>6</v>
      </c>
      <c r="X36" s="1809">
        <f t="shared" si="1"/>
        <v>24</v>
      </c>
      <c r="Y36" s="1950">
        <v>8</v>
      </c>
      <c r="Z36" s="1810">
        <v>8</v>
      </c>
      <c r="AA36" s="1670" t="s">
        <v>32</v>
      </c>
      <c r="AB36" s="1671">
        <f t="shared" si="2"/>
        <v>70</v>
      </c>
    </row>
    <row r="37" spans="1:28" ht="32.25" customHeight="1" thickBot="1" x14ac:dyDescent="0.35">
      <c r="A37" s="1765">
        <v>28</v>
      </c>
      <c r="B37" s="1808">
        <v>5191421043</v>
      </c>
      <c r="C37" s="1809">
        <v>2</v>
      </c>
      <c r="D37" s="1671">
        <v>2</v>
      </c>
      <c r="E37" s="1665">
        <v>2</v>
      </c>
      <c r="F37" s="1666">
        <v>5</v>
      </c>
      <c r="G37" s="1665">
        <v>5</v>
      </c>
      <c r="H37" s="1666"/>
      <c r="I37" s="1667"/>
      <c r="J37" s="1666"/>
      <c r="K37" s="1665"/>
      <c r="L37" s="1666">
        <v>5</v>
      </c>
      <c r="M37" s="1665">
        <v>5</v>
      </c>
      <c r="N37" s="1661">
        <f t="shared" si="0"/>
        <v>26</v>
      </c>
      <c r="O37" s="1662">
        <v>2</v>
      </c>
      <c r="P37" s="1671">
        <v>2</v>
      </c>
      <c r="Q37" s="1779">
        <v>2</v>
      </c>
      <c r="R37" s="1666"/>
      <c r="S37" s="1665"/>
      <c r="T37" s="1774">
        <v>12</v>
      </c>
      <c r="U37" s="1698">
        <v>12</v>
      </c>
      <c r="V37" s="1666"/>
      <c r="W37" s="1667"/>
      <c r="X37" s="1809">
        <f t="shared" si="1"/>
        <v>30</v>
      </c>
      <c r="Y37" s="1950">
        <v>10</v>
      </c>
      <c r="Z37" s="1810">
        <v>10</v>
      </c>
      <c r="AA37" s="1670" t="s">
        <v>30</v>
      </c>
      <c r="AB37" s="1671">
        <f t="shared" si="2"/>
        <v>90</v>
      </c>
    </row>
    <row r="38" spans="1:28" ht="32.25" customHeight="1" thickBot="1" x14ac:dyDescent="0.35">
      <c r="A38" s="1638">
        <v>29</v>
      </c>
      <c r="B38" s="1808">
        <v>5191421045</v>
      </c>
      <c r="C38" s="1809">
        <v>2</v>
      </c>
      <c r="D38" s="1671">
        <v>2</v>
      </c>
      <c r="E38" s="1665">
        <v>2</v>
      </c>
      <c r="F38" s="1666"/>
      <c r="G38" s="1665"/>
      <c r="H38" s="1666">
        <v>6</v>
      </c>
      <c r="I38" s="1667">
        <v>6</v>
      </c>
      <c r="J38" s="1666"/>
      <c r="K38" s="1665">
        <v>6</v>
      </c>
      <c r="L38" s="1666"/>
      <c r="M38" s="1665"/>
      <c r="N38" s="1661">
        <f t="shared" si="0"/>
        <v>24</v>
      </c>
      <c r="O38" s="1662">
        <v>2</v>
      </c>
      <c r="P38" s="1671">
        <v>2</v>
      </c>
      <c r="Q38" s="1779">
        <v>2</v>
      </c>
      <c r="R38" s="1666"/>
      <c r="S38" s="1665"/>
      <c r="T38" s="1774">
        <v>10</v>
      </c>
      <c r="U38" s="1698"/>
      <c r="V38" s="1666">
        <v>5</v>
      </c>
      <c r="W38" s="1667">
        <v>5</v>
      </c>
      <c r="X38" s="1809">
        <f t="shared" si="1"/>
        <v>26</v>
      </c>
      <c r="Y38" s="1950">
        <v>10</v>
      </c>
      <c r="Z38" s="1810">
        <v>10</v>
      </c>
      <c r="AA38" s="1670" t="s">
        <v>27</v>
      </c>
      <c r="AB38" s="1671">
        <f t="shared" si="2"/>
        <v>80</v>
      </c>
    </row>
    <row r="39" spans="1:28" ht="32.25" customHeight="1" thickBot="1" x14ac:dyDescent="0.35">
      <c r="A39" s="1765">
        <v>30</v>
      </c>
      <c r="B39" s="1808">
        <v>5191421046</v>
      </c>
      <c r="C39" s="1809">
        <v>2</v>
      </c>
      <c r="D39" s="1671">
        <v>2</v>
      </c>
      <c r="E39" s="1665"/>
      <c r="F39" s="1666"/>
      <c r="G39" s="1665"/>
      <c r="H39" s="1666">
        <v>6</v>
      </c>
      <c r="I39" s="1667">
        <v>4</v>
      </c>
      <c r="J39" s="1666">
        <v>4</v>
      </c>
      <c r="K39" s="1665">
        <v>2</v>
      </c>
      <c r="L39" s="1666"/>
      <c r="M39" s="1665"/>
      <c r="N39" s="1661">
        <f t="shared" si="0"/>
        <v>20</v>
      </c>
      <c r="O39" s="1662">
        <v>2</v>
      </c>
      <c r="P39" s="1671">
        <v>2</v>
      </c>
      <c r="Q39" s="1779">
        <v>2</v>
      </c>
      <c r="R39" s="1666"/>
      <c r="S39" s="1665"/>
      <c r="T39" s="1774">
        <v>11</v>
      </c>
      <c r="U39" s="1698"/>
      <c r="V39" s="1666">
        <v>6</v>
      </c>
      <c r="W39" s="1667">
        <v>4</v>
      </c>
      <c r="X39" s="1809">
        <f t="shared" si="1"/>
        <v>27</v>
      </c>
      <c r="Y39" s="1950">
        <v>10</v>
      </c>
      <c r="Z39" s="1810">
        <v>10</v>
      </c>
      <c r="AA39" s="1670" t="s">
        <v>30</v>
      </c>
      <c r="AB39" s="1671">
        <f t="shared" si="2"/>
        <v>90</v>
      </c>
    </row>
    <row r="40" spans="1:28" ht="32.25" customHeight="1" thickBot="1" x14ac:dyDescent="0.35">
      <c r="A40" s="1638">
        <v>31</v>
      </c>
      <c r="B40" s="1808">
        <v>5191421047</v>
      </c>
      <c r="C40" s="1809"/>
      <c r="D40" s="1671"/>
      <c r="E40" s="1665"/>
      <c r="F40" s="1666"/>
      <c r="G40" s="1665"/>
      <c r="H40" s="1666"/>
      <c r="I40" s="1667"/>
      <c r="J40" s="1666"/>
      <c r="K40" s="1665"/>
      <c r="L40" s="1666"/>
      <c r="M40" s="1665"/>
      <c r="N40" s="1661"/>
      <c r="O40" s="1662">
        <v>1</v>
      </c>
      <c r="P40" s="1671">
        <v>1</v>
      </c>
      <c r="Q40" s="1779">
        <v>1</v>
      </c>
      <c r="R40" s="1666"/>
      <c r="S40" s="1665"/>
      <c r="T40" s="1774">
        <v>3</v>
      </c>
      <c r="U40" s="1698">
        <v>8</v>
      </c>
      <c r="V40" s="1666"/>
      <c r="W40" s="1667"/>
      <c r="X40" s="1809">
        <f t="shared" si="1"/>
        <v>14</v>
      </c>
      <c r="Y40" s="1950">
        <v>8</v>
      </c>
      <c r="Z40" s="1810">
        <v>8</v>
      </c>
      <c r="AA40" s="1670" t="s">
        <v>28</v>
      </c>
      <c r="AB40" s="1671">
        <f t="shared" si="2"/>
        <v>50</v>
      </c>
    </row>
    <row r="41" spans="1:28" ht="32.25" customHeight="1" thickBot="1" x14ac:dyDescent="0.35">
      <c r="A41" s="1765">
        <v>32</v>
      </c>
      <c r="B41" s="1808">
        <v>5191421048</v>
      </c>
      <c r="C41" s="1811">
        <v>2</v>
      </c>
      <c r="D41" s="1671">
        <v>1</v>
      </c>
      <c r="E41" s="1665">
        <v>1</v>
      </c>
      <c r="F41" s="1666"/>
      <c r="G41" s="1665"/>
      <c r="H41" s="1666"/>
      <c r="I41" s="1667"/>
      <c r="J41" s="1666">
        <v>5</v>
      </c>
      <c r="K41" s="1665">
        <v>5</v>
      </c>
      <c r="L41" s="1666">
        <v>5</v>
      </c>
      <c r="M41" s="1665"/>
      <c r="N41" s="1661">
        <f t="shared" si="0"/>
        <v>19</v>
      </c>
      <c r="O41" s="1662">
        <v>2</v>
      </c>
      <c r="P41" s="1671">
        <v>2</v>
      </c>
      <c r="Q41" s="1779">
        <v>2</v>
      </c>
      <c r="R41" s="1666">
        <v>6</v>
      </c>
      <c r="S41" s="1665">
        <v>4</v>
      </c>
      <c r="T41" s="1774"/>
      <c r="U41" s="1698"/>
      <c r="V41" s="1666">
        <v>5</v>
      </c>
      <c r="W41" s="1667">
        <v>5</v>
      </c>
      <c r="X41" s="1809">
        <f t="shared" si="1"/>
        <v>26</v>
      </c>
      <c r="Y41" s="1950">
        <v>10</v>
      </c>
      <c r="Z41" s="1810">
        <v>10</v>
      </c>
      <c r="AA41" s="1670" t="s">
        <v>27</v>
      </c>
      <c r="AB41" s="1671">
        <f t="shared" si="2"/>
        <v>80</v>
      </c>
    </row>
    <row r="42" spans="1:28" ht="32.25" customHeight="1" thickBot="1" x14ac:dyDescent="0.35">
      <c r="A42" s="1638">
        <v>33</v>
      </c>
      <c r="B42" s="1808">
        <v>5191421049</v>
      </c>
      <c r="C42" s="1811"/>
      <c r="D42" s="1671"/>
      <c r="E42" s="1665"/>
      <c r="F42" s="1666"/>
      <c r="G42" s="1665"/>
      <c r="H42" s="1666"/>
      <c r="I42" s="1667"/>
      <c r="J42" s="1666"/>
      <c r="K42" s="1665"/>
      <c r="L42" s="1666"/>
      <c r="M42" s="1665"/>
      <c r="N42" s="1661"/>
      <c r="O42" s="1662">
        <v>2</v>
      </c>
      <c r="P42" s="1671">
        <v>2</v>
      </c>
      <c r="Q42" s="1779">
        <v>2</v>
      </c>
      <c r="R42" s="1666"/>
      <c r="S42" s="1665"/>
      <c r="T42" s="1774">
        <v>10</v>
      </c>
      <c r="U42" s="1698"/>
      <c r="V42" s="1666">
        <v>6</v>
      </c>
      <c r="W42" s="1667">
        <v>6</v>
      </c>
      <c r="X42" s="1809">
        <f t="shared" si="1"/>
        <v>28</v>
      </c>
      <c r="Y42" s="1950">
        <v>10</v>
      </c>
      <c r="Z42" s="1810">
        <v>10</v>
      </c>
      <c r="AA42" s="1670" t="s">
        <v>27</v>
      </c>
      <c r="AB42" s="1671">
        <f t="shared" si="2"/>
        <v>80</v>
      </c>
    </row>
    <row r="43" spans="1:28" ht="32.25" customHeight="1" thickBot="1" x14ac:dyDescent="0.35">
      <c r="A43" s="1765">
        <v>34</v>
      </c>
      <c r="B43" s="1808">
        <v>5191421054</v>
      </c>
      <c r="C43" s="1764">
        <v>2</v>
      </c>
      <c r="D43" s="1671">
        <v>2</v>
      </c>
      <c r="E43" s="1665">
        <v>1</v>
      </c>
      <c r="F43" s="1666"/>
      <c r="G43" s="1665"/>
      <c r="H43" s="1666">
        <v>3</v>
      </c>
      <c r="I43" s="1667"/>
      <c r="J43" s="1666">
        <v>4</v>
      </c>
      <c r="K43" s="1665"/>
      <c r="L43" s="1666"/>
      <c r="M43" s="1665"/>
      <c r="N43" s="1661">
        <f t="shared" si="0"/>
        <v>12</v>
      </c>
      <c r="O43" s="1662">
        <v>2</v>
      </c>
      <c r="P43" s="1671">
        <v>2</v>
      </c>
      <c r="Q43" s="1779">
        <v>2</v>
      </c>
      <c r="R43" s="1666">
        <v>5</v>
      </c>
      <c r="S43" s="1665">
        <v>6</v>
      </c>
      <c r="T43" s="1774"/>
      <c r="U43" s="1698">
        <v>12</v>
      </c>
      <c r="V43" s="1666"/>
      <c r="W43" s="1667"/>
      <c r="X43" s="1809">
        <f t="shared" si="1"/>
        <v>29</v>
      </c>
      <c r="Y43" s="1950">
        <v>8</v>
      </c>
      <c r="Z43" s="1810">
        <v>8</v>
      </c>
      <c r="AA43" s="1670" t="s">
        <v>27</v>
      </c>
      <c r="AB43" s="1671">
        <f t="shared" si="2"/>
        <v>80</v>
      </c>
    </row>
    <row r="44" spans="1:28" ht="32.25" customHeight="1" thickBot="1" x14ac:dyDescent="0.35">
      <c r="A44" s="1638">
        <v>35</v>
      </c>
      <c r="B44" s="1808">
        <v>5191421055</v>
      </c>
      <c r="C44" s="1817">
        <v>2</v>
      </c>
      <c r="D44" s="1654">
        <v>2</v>
      </c>
      <c r="E44" s="1655"/>
      <c r="F44" s="1700">
        <v>5</v>
      </c>
      <c r="G44" s="1702">
        <v>5</v>
      </c>
      <c r="H44" s="1700"/>
      <c r="I44" s="1702"/>
      <c r="J44" s="1700">
        <v>3</v>
      </c>
      <c r="K44" s="1702"/>
      <c r="L44" s="1666"/>
      <c r="M44" s="1665"/>
      <c r="N44" s="1661">
        <f t="shared" si="0"/>
        <v>17</v>
      </c>
      <c r="O44" s="1666">
        <v>2</v>
      </c>
      <c r="P44" s="1671">
        <v>2</v>
      </c>
      <c r="Q44" s="1779">
        <v>2</v>
      </c>
      <c r="R44" s="1666">
        <v>5</v>
      </c>
      <c r="S44" s="1665">
        <v>5</v>
      </c>
      <c r="T44" s="1774"/>
      <c r="U44" s="1698">
        <v>5</v>
      </c>
      <c r="V44" s="1666"/>
      <c r="W44" s="1667"/>
      <c r="X44" s="1809">
        <f t="shared" si="1"/>
        <v>21</v>
      </c>
      <c r="Y44" s="1950">
        <v>10</v>
      </c>
      <c r="Z44" s="1810">
        <v>10</v>
      </c>
      <c r="AA44" s="1670" t="s">
        <v>30</v>
      </c>
      <c r="AB44" s="1671">
        <f t="shared" si="2"/>
        <v>90</v>
      </c>
    </row>
    <row r="45" spans="1:28" ht="32.25" customHeight="1" thickBot="1" x14ac:dyDescent="0.35">
      <c r="A45" s="1765">
        <v>36</v>
      </c>
      <c r="B45" s="1808">
        <v>5191421058</v>
      </c>
      <c r="C45" s="1809">
        <v>2</v>
      </c>
      <c r="D45" s="1671">
        <v>2</v>
      </c>
      <c r="E45" s="1665">
        <v>2</v>
      </c>
      <c r="F45" s="1666"/>
      <c r="G45" s="1665"/>
      <c r="H45" s="1666">
        <v>5</v>
      </c>
      <c r="I45" s="1667"/>
      <c r="J45" s="1666"/>
      <c r="K45" s="1665">
        <v>5</v>
      </c>
      <c r="L45" s="1666"/>
      <c r="M45" s="1665"/>
      <c r="N45" s="1661">
        <f t="shared" si="0"/>
        <v>16</v>
      </c>
      <c r="O45" s="1662">
        <v>2</v>
      </c>
      <c r="P45" s="1671">
        <v>2</v>
      </c>
      <c r="Q45" s="1779">
        <v>2</v>
      </c>
      <c r="R45" s="1666"/>
      <c r="S45" s="1665"/>
      <c r="T45" s="1774">
        <v>5</v>
      </c>
      <c r="U45" s="1698"/>
      <c r="V45" s="1666">
        <v>4</v>
      </c>
      <c r="W45" s="1667">
        <v>4</v>
      </c>
      <c r="X45" s="1809">
        <f t="shared" si="1"/>
        <v>19</v>
      </c>
      <c r="Y45" s="1950">
        <v>8</v>
      </c>
      <c r="Z45" s="1810">
        <v>8</v>
      </c>
      <c r="AA45" s="1715" t="s">
        <v>32</v>
      </c>
      <c r="AB45" s="1671">
        <f t="shared" si="2"/>
        <v>70</v>
      </c>
    </row>
    <row r="46" spans="1:28" ht="32.25" customHeight="1" x14ac:dyDescent="0.3">
      <c r="C46" s="1716">
        <f t="shared" ref="C46:M46" si="3">COUNT(C11:C45)</f>
        <v>30</v>
      </c>
      <c r="D46" s="1716">
        <f t="shared" si="3"/>
        <v>30</v>
      </c>
      <c r="E46" s="1716">
        <f t="shared" si="3"/>
        <v>25</v>
      </c>
      <c r="F46" s="1716">
        <f t="shared" si="3"/>
        <v>19</v>
      </c>
      <c r="G46" s="1716">
        <f t="shared" si="3"/>
        <v>19</v>
      </c>
      <c r="H46" s="1716">
        <f t="shared" si="3"/>
        <v>12</v>
      </c>
      <c r="I46" s="1716">
        <f t="shared" si="3"/>
        <v>10</v>
      </c>
      <c r="J46" s="1716">
        <f t="shared" si="3"/>
        <v>20</v>
      </c>
      <c r="K46" s="1716">
        <f t="shared" si="3"/>
        <v>21</v>
      </c>
      <c r="L46" s="1716">
        <f t="shared" si="3"/>
        <v>8</v>
      </c>
      <c r="M46" s="1716">
        <f t="shared" si="3"/>
        <v>5</v>
      </c>
      <c r="N46" s="1716"/>
      <c r="O46" s="1716">
        <f t="shared" ref="O46:W46" si="4">COUNT(O10:O45)</f>
        <v>35</v>
      </c>
      <c r="P46" s="1716">
        <f t="shared" si="4"/>
        <v>35</v>
      </c>
      <c r="Q46" s="1716">
        <f t="shared" si="4"/>
        <v>32</v>
      </c>
      <c r="R46" s="1716">
        <f t="shared" si="4"/>
        <v>13</v>
      </c>
      <c r="S46" s="1716">
        <f t="shared" si="4"/>
        <v>13</v>
      </c>
      <c r="T46" s="1716">
        <f t="shared" si="4"/>
        <v>22</v>
      </c>
      <c r="U46" s="1716">
        <f t="shared" si="4"/>
        <v>16</v>
      </c>
      <c r="V46" s="1716">
        <f t="shared" si="4"/>
        <v>20</v>
      </c>
      <c r="W46" s="1716">
        <f t="shared" si="4"/>
        <v>17</v>
      </c>
      <c r="Y46" s="1038"/>
    </row>
    <row r="47" spans="1:28" ht="32.25" customHeight="1" x14ac:dyDescent="0.3">
      <c r="A47" s="1717" t="s">
        <v>34</v>
      </c>
      <c r="B47" s="1650">
        <v>55</v>
      </c>
      <c r="C47" s="1718">
        <f>C9*(B47/100)</f>
        <v>1.1000000000000001</v>
      </c>
      <c r="D47" s="1718">
        <f>D9*(B47/100)</f>
        <v>1.1000000000000001</v>
      </c>
      <c r="E47" s="1718">
        <f>E9*(B47/100)</f>
        <v>1.1000000000000001</v>
      </c>
      <c r="F47" s="1718">
        <f>F9*(B47/100)</f>
        <v>3.3000000000000003</v>
      </c>
      <c r="G47" s="1718">
        <v>3</v>
      </c>
      <c r="H47" s="1718">
        <v>3</v>
      </c>
      <c r="I47" s="1718">
        <v>3</v>
      </c>
      <c r="J47" s="1718">
        <v>3</v>
      </c>
      <c r="K47" s="1718">
        <v>3</v>
      </c>
      <c r="L47" s="1718">
        <v>3</v>
      </c>
      <c r="M47" s="1718">
        <v>3</v>
      </c>
      <c r="N47" s="1716"/>
      <c r="O47" s="1718">
        <f>O9*(B47/100)</f>
        <v>1.1000000000000001</v>
      </c>
      <c r="P47" s="1718">
        <f>P9*(B47/100)</f>
        <v>1.1000000000000001</v>
      </c>
      <c r="Q47" s="1718">
        <f>Q9*(B47/100)</f>
        <v>1.1000000000000001</v>
      </c>
      <c r="R47" s="1718">
        <f>R9*(B47/100)</f>
        <v>3.3000000000000003</v>
      </c>
      <c r="S47" s="1718">
        <f>S9*(B47/100)</f>
        <v>3.3000000000000003</v>
      </c>
      <c r="T47" s="1718">
        <v>6</v>
      </c>
      <c r="U47" s="1718">
        <f>U9*(B47/100)</f>
        <v>6.6000000000000005</v>
      </c>
      <c r="V47" s="1718">
        <v>3</v>
      </c>
      <c r="W47" s="1718">
        <v>3</v>
      </c>
      <c r="Y47" s="1038"/>
    </row>
    <row r="48" spans="1:28" ht="32.25" customHeight="1" x14ac:dyDescent="0.3">
      <c r="A48" s="3692" t="s">
        <v>35</v>
      </c>
      <c r="B48" s="3692"/>
      <c r="C48" s="1716">
        <f t="shared" ref="C48:M48" si="5">COUNTIF(C11:C45,"&gt;=" &amp;C47)</f>
        <v>24</v>
      </c>
      <c r="D48" s="1716">
        <f t="shared" si="5"/>
        <v>18</v>
      </c>
      <c r="E48" s="1716">
        <f t="shared" si="5"/>
        <v>10</v>
      </c>
      <c r="F48" s="1716">
        <f t="shared" si="5"/>
        <v>17</v>
      </c>
      <c r="G48" s="1716">
        <f t="shared" si="5"/>
        <v>18</v>
      </c>
      <c r="H48" s="1716">
        <f t="shared" si="5"/>
        <v>11</v>
      </c>
      <c r="I48" s="1716">
        <f t="shared" si="5"/>
        <v>8</v>
      </c>
      <c r="J48" s="1716">
        <f t="shared" si="5"/>
        <v>19</v>
      </c>
      <c r="K48" s="1716">
        <f t="shared" si="5"/>
        <v>17</v>
      </c>
      <c r="L48" s="1716">
        <f t="shared" si="5"/>
        <v>8</v>
      </c>
      <c r="M48" s="1716">
        <f t="shared" si="5"/>
        <v>3</v>
      </c>
      <c r="N48" s="1716"/>
      <c r="O48" s="1716">
        <f t="shared" ref="O48:W48" si="6">COUNTIF(O10:O45,"&gt;=" &amp;O47)</f>
        <v>27</v>
      </c>
      <c r="P48" s="1716">
        <f t="shared" si="6"/>
        <v>23</v>
      </c>
      <c r="Q48" s="1716">
        <f t="shared" si="6"/>
        <v>28</v>
      </c>
      <c r="R48" s="1716">
        <f t="shared" si="6"/>
        <v>12</v>
      </c>
      <c r="S48" s="1716">
        <f t="shared" si="6"/>
        <v>10</v>
      </c>
      <c r="T48" s="1716">
        <f t="shared" si="6"/>
        <v>20</v>
      </c>
      <c r="U48" s="1716">
        <f t="shared" si="6"/>
        <v>15</v>
      </c>
      <c r="V48" s="1716">
        <f t="shared" si="6"/>
        <v>20</v>
      </c>
      <c r="W48" s="1716">
        <f t="shared" si="6"/>
        <v>17</v>
      </c>
      <c r="Y48" s="1038"/>
      <c r="AB48" s="1716">
        <f>COUNTIF(AB10:AB45,"&gt;="&amp;B47)</f>
        <v>34</v>
      </c>
    </row>
    <row r="49" spans="1:28" ht="32.25" customHeight="1" thickBot="1" x14ac:dyDescent="0.35">
      <c r="A49" s="3693" t="s">
        <v>36</v>
      </c>
      <c r="B49" s="3693"/>
      <c r="C49" s="1716">
        <f t="shared" ref="C49:W49" si="7">C48/C46</f>
        <v>0.8</v>
      </c>
      <c r="D49" s="1716">
        <f t="shared" si="7"/>
        <v>0.6</v>
      </c>
      <c r="E49" s="1716">
        <f t="shared" si="7"/>
        <v>0.4</v>
      </c>
      <c r="F49" s="1716">
        <f t="shared" si="7"/>
        <v>0.89473684210526316</v>
      </c>
      <c r="G49" s="1716">
        <f t="shared" si="7"/>
        <v>0.94736842105263153</v>
      </c>
      <c r="H49" s="1716">
        <f t="shared" si="7"/>
        <v>0.91666666666666663</v>
      </c>
      <c r="I49" s="1716">
        <f t="shared" si="7"/>
        <v>0.8</v>
      </c>
      <c r="J49" s="1716">
        <f t="shared" si="7"/>
        <v>0.95</v>
      </c>
      <c r="K49" s="1716">
        <f t="shared" si="7"/>
        <v>0.80952380952380953</v>
      </c>
      <c r="L49" s="1716">
        <f t="shared" si="7"/>
        <v>1</v>
      </c>
      <c r="M49" s="1716">
        <f t="shared" si="7"/>
        <v>0.6</v>
      </c>
      <c r="N49" s="1716"/>
      <c r="O49" s="1716">
        <f t="shared" si="7"/>
        <v>0.77142857142857146</v>
      </c>
      <c r="P49" s="1716">
        <f t="shared" si="7"/>
        <v>0.65714285714285714</v>
      </c>
      <c r="Q49" s="1716">
        <f t="shared" si="7"/>
        <v>0.875</v>
      </c>
      <c r="R49" s="1716">
        <f t="shared" si="7"/>
        <v>0.92307692307692313</v>
      </c>
      <c r="S49" s="1716">
        <f t="shared" si="7"/>
        <v>0.76923076923076927</v>
      </c>
      <c r="T49" s="1716">
        <f t="shared" si="7"/>
        <v>0.90909090909090906</v>
      </c>
      <c r="U49" s="1716">
        <f t="shared" si="7"/>
        <v>0.9375</v>
      </c>
      <c r="V49" s="1716">
        <f t="shared" si="7"/>
        <v>1</v>
      </c>
      <c r="W49" s="1716">
        <f t="shared" si="7"/>
        <v>1</v>
      </c>
      <c r="Y49" s="1038"/>
      <c r="AB49" s="1716">
        <f>(AB48/A45)*100</f>
        <v>94.444444444444443</v>
      </c>
    </row>
    <row r="50" spans="1:28" ht="32.25" customHeight="1" thickBot="1" x14ac:dyDescent="0.35">
      <c r="C50" s="1785" t="s">
        <v>22</v>
      </c>
      <c r="D50" s="1786" t="s">
        <v>21</v>
      </c>
      <c r="E50" s="1786" t="s">
        <v>23</v>
      </c>
      <c r="F50" s="1787" t="s">
        <v>20</v>
      </c>
      <c r="G50" s="1787" t="s">
        <v>20</v>
      </c>
      <c r="H50" s="1787" t="s">
        <v>20</v>
      </c>
      <c r="I50" s="1787" t="s">
        <v>21</v>
      </c>
      <c r="J50" s="1788" t="s">
        <v>21</v>
      </c>
      <c r="K50" s="1787" t="s">
        <v>40</v>
      </c>
      <c r="L50" s="1787" t="s">
        <v>40</v>
      </c>
      <c r="M50" s="1789" t="s">
        <v>41</v>
      </c>
      <c r="N50" s="1716"/>
      <c r="O50" s="1785" t="s">
        <v>41</v>
      </c>
      <c r="P50" s="1786" t="s">
        <v>42</v>
      </c>
      <c r="Q50" s="1790" t="s">
        <v>43</v>
      </c>
      <c r="R50" s="1785" t="s">
        <v>41</v>
      </c>
      <c r="S50" s="1786" t="s">
        <v>43</v>
      </c>
      <c r="T50" s="1790" t="s">
        <v>41</v>
      </c>
      <c r="U50" s="1785" t="s">
        <v>42</v>
      </c>
      <c r="V50" s="1791" t="s">
        <v>43</v>
      </c>
      <c r="W50" s="1792" t="s">
        <v>41</v>
      </c>
      <c r="X50" s="1716"/>
      <c r="Y50" s="1716"/>
    </row>
    <row r="52" spans="1:28" ht="32.25" customHeight="1" x14ac:dyDescent="0.3">
      <c r="D52" s="1650" t="s">
        <v>38</v>
      </c>
      <c r="E52" s="3694" t="s">
        <v>39</v>
      </c>
      <c r="F52" s="3694"/>
      <c r="G52" s="3694" t="s">
        <v>37</v>
      </c>
      <c r="H52" s="3694"/>
      <c r="I52" s="3694"/>
      <c r="J52" s="1719"/>
      <c r="K52" s="1650"/>
    </row>
    <row r="53" spans="1:28" ht="32.25" customHeight="1" x14ac:dyDescent="0.3">
      <c r="B53" s="1650" t="s">
        <v>22</v>
      </c>
      <c r="C53" s="1716">
        <f>AVERAGE(C49,F49,G49,H49)*100</f>
        <v>88.969298245614027</v>
      </c>
      <c r="D53" s="1716">
        <f t="shared" ref="D53:D57" si="8">IF(C53&gt;=70,3,IF(AND(C53&gt;=60,C53&lt;70),2,IF(AND(C53&gt;=50,C53&lt;60),1)))</f>
        <v>3</v>
      </c>
      <c r="E53" s="3740">
        <f>IF(AB49&gt;=70,3,IF(AND(AB49&gt;=60,AB49&lt;70),2,IF(AND(AB49&gt;=50,AB49&lt;60),1)))</f>
        <v>3</v>
      </c>
      <c r="F53" s="3740"/>
      <c r="G53" s="1720">
        <f>(70/100)*E53+(30/100)*D53</f>
        <v>2.9999999999999996</v>
      </c>
      <c r="H53" s="1720"/>
      <c r="I53" s="1720"/>
      <c r="J53" s="1720"/>
      <c r="K53" s="1720"/>
    </row>
    <row r="54" spans="1:28" ht="32.25" customHeight="1" x14ac:dyDescent="0.3">
      <c r="B54" s="1650" t="s">
        <v>40</v>
      </c>
      <c r="C54" s="1716">
        <f>AVERAGE(D49,I49,J49,K49,L49)*100</f>
        <v>83.190476190476176</v>
      </c>
      <c r="D54" s="1716">
        <f t="shared" si="8"/>
        <v>3</v>
      </c>
      <c r="E54" s="3740">
        <f>IF(AB49&gt;=70,3,IF(AND(AB49&gt;=60,AB49&lt;70),2,IF(AND(AB49&gt;=50,AB49&lt;60),1)))</f>
        <v>3</v>
      </c>
      <c r="F54" s="3740"/>
      <c r="G54" s="1720">
        <f t="shared" ref="G54:G56" si="9">(70/100)*E54+(30/100)*D54</f>
        <v>2.9999999999999996</v>
      </c>
      <c r="H54" s="1720"/>
      <c r="I54" s="1720"/>
      <c r="J54" s="1720"/>
      <c r="K54" s="1720"/>
    </row>
    <row r="55" spans="1:28" ht="32.25" customHeight="1" x14ac:dyDescent="0.3">
      <c r="B55" s="1650" t="s">
        <v>41</v>
      </c>
      <c r="C55" s="1716">
        <f>AVERAGE(E49,M49,O49,R49,T49,W49)*100</f>
        <v>76.726606726606732</v>
      </c>
      <c r="D55" s="1716">
        <f t="shared" si="8"/>
        <v>3</v>
      </c>
      <c r="E55" s="3740">
        <f>IF(AB49&gt;=70,3,IF(AND(AB49&gt;=60,AB49&lt;70),2,IF(AND(AB49&gt;=50,AB49&lt;60),1)))</f>
        <v>3</v>
      </c>
      <c r="F55" s="3740"/>
      <c r="G55" s="1720">
        <f t="shared" si="9"/>
        <v>2.9999999999999996</v>
      </c>
      <c r="H55" s="1720"/>
      <c r="I55" s="1720"/>
      <c r="J55" s="1720"/>
      <c r="K55" s="1720"/>
    </row>
    <row r="56" spans="1:28" ht="32.25" customHeight="1" x14ac:dyDescent="0.3">
      <c r="B56" s="1650" t="s">
        <v>42</v>
      </c>
      <c r="C56" s="1716">
        <f>AVERAGE(P49,U49)*100</f>
        <v>79.732142857142847</v>
      </c>
      <c r="D56" s="1716">
        <f t="shared" si="8"/>
        <v>3</v>
      </c>
      <c r="E56" s="3740">
        <f>IF(AB49&gt;=70,3,IF(AND(AB49&gt;=60,AB49&lt;70),2,IF(AND(AB49&gt;=50,AB49&lt;60),1)))</f>
        <v>3</v>
      </c>
      <c r="F56" s="3740"/>
      <c r="G56" s="1720">
        <f t="shared" si="9"/>
        <v>2.9999999999999996</v>
      </c>
      <c r="H56" s="1720"/>
      <c r="I56" s="1720"/>
      <c r="J56" s="1720"/>
      <c r="K56" s="1720"/>
    </row>
    <row r="57" spans="1:28" ht="32.25" customHeight="1" x14ac:dyDescent="0.3">
      <c r="B57" s="1650" t="s">
        <v>43</v>
      </c>
      <c r="C57" s="1716">
        <f>AVERAGE(S49,Q49,V49)*100</f>
        <v>88.141025641025635</v>
      </c>
      <c r="D57" s="1716">
        <f t="shared" si="8"/>
        <v>3</v>
      </c>
      <c r="E57" s="3740">
        <f>IF(AB49&gt;=70,3,IF(AND(AB49&gt;=60,AB49&lt;70),2,IF(AND(AB49&gt;=50,AB49&lt;60),1)))</f>
        <v>3</v>
      </c>
      <c r="F57" s="3740"/>
      <c r="G57" s="1720">
        <f>(70/100)*E57+(30/100)*D57</f>
        <v>2.9999999999999996</v>
      </c>
      <c r="H57" s="1720"/>
      <c r="I57" s="1720"/>
      <c r="J57" s="1720"/>
      <c r="K57" s="1720"/>
    </row>
    <row r="58" spans="1:28" ht="32.25" customHeight="1" x14ac:dyDescent="0.3">
      <c r="B58" s="2775" t="s">
        <v>44</v>
      </c>
      <c r="C58" s="2775"/>
      <c r="D58" s="2775"/>
      <c r="E58" s="2775"/>
      <c r="F58" s="2775"/>
      <c r="G58" s="1721">
        <f>AVERAGE(G53:G56)</f>
        <v>2.9999999999999996</v>
      </c>
      <c r="H58" s="1721"/>
      <c r="I58" s="1721"/>
      <c r="J58" s="1721"/>
      <c r="K58" s="1721"/>
      <c r="O58" s="1038" t="s">
        <v>84</v>
      </c>
    </row>
    <row r="60" spans="1:28" ht="32.25" customHeight="1" x14ac:dyDescent="0.3">
      <c r="A60" s="2775" t="s">
        <v>134</v>
      </c>
      <c r="B60" s="2775"/>
    </row>
    <row r="62" spans="1:28" ht="32.25" customHeight="1" x14ac:dyDescent="0.3">
      <c r="B62" s="1654" t="s">
        <v>45</v>
      </c>
      <c r="C62" s="1795" t="s">
        <v>68</v>
      </c>
      <c r="D62" s="1795" t="s">
        <v>69</v>
      </c>
      <c r="E62" s="1795" t="s">
        <v>70</v>
      </c>
      <c r="F62" s="1795" t="s">
        <v>71</v>
      </c>
      <c r="G62" s="1795" t="s">
        <v>72</v>
      </c>
      <c r="H62" s="1795" t="s">
        <v>73</v>
      </c>
      <c r="I62" s="1795" t="s">
        <v>74</v>
      </c>
      <c r="J62" s="1796" t="s">
        <v>75</v>
      </c>
      <c r="K62" s="1795" t="s">
        <v>76</v>
      </c>
      <c r="L62" s="1795" t="s">
        <v>77</v>
      </c>
      <c r="M62" s="1795" t="s">
        <v>78</v>
      </c>
      <c r="N62" s="1795" t="s">
        <v>79</v>
      </c>
      <c r="T62" s="1724"/>
      <c r="Y62" s="1038"/>
    </row>
    <row r="63" spans="1:28" ht="32.25" customHeight="1" x14ac:dyDescent="0.3">
      <c r="B63" s="1797" t="s">
        <v>20</v>
      </c>
      <c r="C63" s="1726">
        <v>3</v>
      </c>
      <c r="D63" s="1726">
        <v>3</v>
      </c>
      <c r="E63" s="1726">
        <v>1</v>
      </c>
      <c r="F63" s="1726">
        <v>3</v>
      </c>
      <c r="G63" s="1726">
        <v>3</v>
      </c>
      <c r="H63" s="1726">
        <v>3</v>
      </c>
      <c r="I63" s="1726">
        <v>3</v>
      </c>
      <c r="J63" s="1726">
        <v>2</v>
      </c>
      <c r="K63" s="1726"/>
      <c r="L63" s="1726">
        <v>3</v>
      </c>
      <c r="M63" s="1726">
        <v>2</v>
      </c>
      <c r="N63" s="1726">
        <v>3</v>
      </c>
      <c r="T63" s="1724"/>
      <c r="Y63" s="1038"/>
    </row>
    <row r="64" spans="1:28" ht="32.25" customHeight="1" x14ac:dyDescent="0.3">
      <c r="B64" s="1797" t="s">
        <v>21</v>
      </c>
      <c r="C64" s="1726">
        <v>3</v>
      </c>
      <c r="D64" s="1726">
        <v>3</v>
      </c>
      <c r="E64" s="1726">
        <v>3</v>
      </c>
      <c r="F64" s="1726">
        <v>2</v>
      </c>
      <c r="G64" s="1726">
        <v>1</v>
      </c>
      <c r="H64" s="1726">
        <v>3</v>
      </c>
      <c r="I64" s="1726">
        <v>3</v>
      </c>
      <c r="J64" s="1726">
        <v>2</v>
      </c>
      <c r="K64" s="1726">
        <v>3</v>
      </c>
      <c r="L64" s="1726">
        <v>3</v>
      </c>
      <c r="M64" s="1726">
        <v>2</v>
      </c>
      <c r="N64" s="1726">
        <v>2</v>
      </c>
      <c r="T64" s="1724"/>
      <c r="Y64" s="1038"/>
    </row>
    <row r="65" spans="1:25" ht="32.25" customHeight="1" x14ac:dyDescent="0.3">
      <c r="B65" s="1797" t="s">
        <v>23</v>
      </c>
      <c r="C65" s="1726">
        <v>3</v>
      </c>
      <c r="D65" s="1726">
        <v>3</v>
      </c>
      <c r="E65" s="1726">
        <v>1</v>
      </c>
      <c r="F65" s="1726">
        <v>3</v>
      </c>
      <c r="G65" s="1726"/>
      <c r="H65" s="1726">
        <v>3</v>
      </c>
      <c r="I65" s="1726">
        <v>2</v>
      </c>
      <c r="J65" s="1726">
        <v>2</v>
      </c>
      <c r="K65" s="1726"/>
      <c r="L65" s="1726">
        <v>2</v>
      </c>
      <c r="M65" s="1726">
        <v>2</v>
      </c>
      <c r="N65" s="1726">
        <v>2</v>
      </c>
      <c r="T65" s="1724"/>
      <c r="Y65" s="1038"/>
    </row>
    <row r="66" spans="1:25" ht="32.25" customHeight="1" x14ac:dyDescent="0.3">
      <c r="B66" s="1797" t="s">
        <v>25</v>
      </c>
      <c r="C66" s="1726">
        <v>3</v>
      </c>
      <c r="D66" s="1726">
        <v>3</v>
      </c>
      <c r="E66" s="1726">
        <v>2</v>
      </c>
      <c r="F66" s="1726">
        <v>2</v>
      </c>
      <c r="G66" s="1726">
        <v>3</v>
      </c>
      <c r="H66" s="1726">
        <v>3</v>
      </c>
      <c r="I66" s="1726">
        <v>3</v>
      </c>
      <c r="J66" s="1726">
        <v>2</v>
      </c>
      <c r="K66" s="1726"/>
      <c r="L66" s="1726">
        <v>3</v>
      </c>
      <c r="M66" s="1726">
        <v>2</v>
      </c>
      <c r="N66" s="1726">
        <v>2</v>
      </c>
      <c r="T66" s="1724"/>
      <c r="Y66" s="1038"/>
    </row>
    <row r="67" spans="1:25" ht="32.25" customHeight="1" x14ac:dyDescent="0.3">
      <c r="B67" s="1797" t="s">
        <v>24</v>
      </c>
      <c r="C67" s="1726">
        <v>3</v>
      </c>
      <c r="D67" s="1726">
        <v>3</v>
      </c>
      <c r="E67" s="1726">
        <v>1</v>
      </c>
      <c r="F67" s="1726">
        <v>3</v>
      </c>
      <c r="G67" s="1726">
        <v>3</v>
      </c>
      <c r="H67" s="1726">
        <v>3</v>
      </c>
      <c r="I67" s="1726">
        <v>3</v>
      </c>
      <c r="J67" s="1726">
        <v>2</v>
      </c>
      <c r="K67" s="1726">
        <v>3</v>
      </c>
      <c r="L67" s="1726">
        <v>3</v>
      </c>
      <c r="M67" s="1726">
        <v>2</v>
      </c>
      <c r="N67" s="1726">
        <v>3</v>
      </c>
      <c r="T67" s="1724"/>
      <c r="Y67" s="1038"/>
    </row>
    <row r="68" spans="1:25" ht="32.25" customHeight="1" x14ac:dyDescent="0.3">
      <c r="B68" s="1798" t="s">
        <v>10</v>
      </c>
      <c r="C68" s="1671">
        <f>AVERAGE(C63:C67)</f>
        <v>3</v>
      </c>
      <c r="D68" s="2395">
        <f t="shared" ref="D68:N68" si="10">AVERAGE(D63:D67)</f>
        <v>3</v>
      </c>
      <c r="E68" s="2395">
        <f t="shared" si="10"/>
        <v>1.6</v>
      </c>
      <c r="F68" s="2395">
        <f t="shared" si="10"/>
        <v>2.6</v>
      </c>
      <c r="G68" s="2395">
        <f t="shared" si="10"/>
        <v>2.5</v>
      </c>
      <c r="H68" s="2395">
        <f t="shared" si="10"/>
        <v>3</v>
      </c>
      <c r="I68" s="2395">
        <f t="shared" si="10"/>
        <v>2.8</v>
      </c>
      <c r="J68" s="2395">
        <f t="shared" si="10"/>
        <v>2</v>
      </c>
      <c r="K68" s="2395">
        <f t="shared" si="10"/>
        <v>3</v>
      </c>
      <c r="L68" s="2395">
        <f t="shared" si="10"/>
        <v>2.8</v>
      </c>
      <c r="M68" s="2395">
        <f t="shared" si="10"/>
        <v>2</v>
      </c>
      <c r="N68" s="2395">
        <f t="shared" si="10"/>
        <v>2.4</v>
      </c>
      <c r="T68" s="1724"/>
      <c r="Y68" s="1038"/>
    </row>
    <row r="69" spans="1:25" ht="32.25" customHeight="1" x14ac:dyDescent="0.3">
      <c r="B69" s="1729" t="s">
        <v>58</v>
      </c>
      <c r="C69" s="3684">
        <f>AVERAGE(C68:N68)</f>
        <v>2.5583333333333331</v>
      </c>
      <c r="D69" s="3684"/>
      <c r="E69" s="3684"/>
      <c r="F69" s="3684"/>
      <c r="G69" s="3684"/>
      <c r="H69" s="3684"/>
      <c r="I69" s="3684"/>
      <c r="J69" s="3684"/>
      <c r="K69" s="3684"/>
      <c r="L69" s="3684"/>
      <c r="M69" s="3684"/>
      <c r="N69" s="3684"/>
      <c r="O69" s="1730"/>
      <c r="P69" s="1730"/>
      <c r="Q69" s="1730"/>
      <c r="R69" s="1730"/>
    </row>
    <row r="70" spans="1:25" ht="32.25" customHeight="1" x14ac:dyDescent="0.3">
      <c r="C70" s="1731"/>
    </row>
    <row r="72" spans="1:25" ht="32.25" customHeight="1" x14ac:dyDescent="0.3">
      <c r="A72" s="2775" t="s">
        <v>148</v>
      </c>
      <c r="B72" s="2775"/>
    </row>
    <row r="74" spans="1:25" ht="32.25" customHeight="1" x14ac:dyDescent="0.3">
      <c r="B74" s="1654" t="s">
        <v>45</v>
      </c>
      <c r="C74" s="1795" t="s">
        <v>68</v>
      </c>
      <c r="D74" s="1795" t="s">
        <v>69</v>
      </c>
      <c r="E74" s="1795" t="s">
        <v>70</v>
      </c>
      <c r="F74" s="1795" t="s">
        <v>71</v>
      </c>
      <c r="G74" s="1795" t="s">
        <v>72</v>
      </c>
      <c r="H74" s="1795" t="s">
        <v>73</v>
      </c>
      <c r="I74" s="1795" t="s">
        <v>74</v>
      </c>
      <c r="J74" s="1796" t="s">
        <v>75</v>
      </c>
      <c r="K74" s="1795" t="s">
        <v>76</v>
      </c>
      <c r="L74" s="1795" t="s">
        <v>77</v>
      </c>
      <c r="M74" s="1795" t="s">
        <v>78</v>
      </c>
      <c r="N74" s="1795" t="s">
        <v>79</v>
      </c>
      <c r="S74" s="1039"/>
      <c r="T74" s="1626"/>
      <c r="Y74" s="1038"/>
    </row>
    <row r="75" spans="1:25" ht="32.25" customHeight="1" x14ac:dyDescent="0.3">
      <c r="B75" s="1797" t="s">
        <v>20</v>
      </c>
      <c r="C75" s="1732">
        <f>G53*C63/3</f>
        <v>2.9999999999999996</v>
      </c>
      <c r="D75" s="1732">
        <f>G53*D63/3</f>
        <v>2.9999999999999996</v>
      </c>
      <c r="E75" s="1732">
        <f>G53*E63/3</f>
        <v>0.99999999999999989</v>
      </c>
      <c r="F75" s="1732">
        <f>G53*F63/3</f>
        <v>2.9999999999999996</v>
      </c>
      <c r="G75" s="1732">
        <f>G53*G63/3</f>
        <v>2.9999999999999996</v>
      </c>
      <c r="H75" s="1732">
        <f>G53*H63/3</f>
        <v>2.9999999999999996</v>
      </c>
      <c r="I75" s="1732">
        <f>G53*I63/3</f>
        <v>2.9999999999999996</v>
      </c>
      <c r="J75" s="1732">
        <f>G53*J63/3</f>
        <v>1.9999999999999998</v>
      </c>
      <c r="K75" s="1732"/>
      <c r="L75" s="1732">
        <f>G53*L63/3</f>
        <v>2.9999999999999996</v>
      </c>
      <c r="M75" s="1732">
        <f>G53*M63/3</f>
        <v>1.9999999999999998</v>
      </c>
      <c r="N75" s="1732">
        <f>G53*N63/3</f>
        <v>2.9999999999999996</v>
      </c>
      <c r="S75" s="1039"/>
      <c r="T75" s="1626"/>
      <c r="Y75" s="1038"/>
    </row>
    <row r="76" spans="1:25" ht="32.25" customHeight="1" x14ac:dyDescent="0.3">
      <c r="B76" s="1797" t="s">
        <v>21</v>
      </c>
      <c r="C76" s="1732">
        <f>G54*C64/3</f>
        <v>2.9999999999999996</v>
      </c>
      <c r="D76" s="1732">
        <f>G54*D64/3</f>
        <v>2.9999999999999996</v>
      </c>
      <c r="E76" s="1732">
        <f>G54*E64/3</f>
        <v>2.9999999999999996</v>
      </c>
      <c r="F76" s="1732">
        <f>G54*F64/3</f>
        <v>1.9999999999999998</v>
      </c>
      <c r="G76" s="1732">
        <f>G54*G64/3</f>
        <v>0.99999999999999989</v>
      </c>
      <c r="H76" s="1732">
        <f t="shared" ref="H76:H79" si="11">G54*H64/3</f>
        <v>2.9999999999999996</v>
      </c>
      <c r="I76" s="1732">
        <f t="shared" ref="I76:I79" si="12">G54*I64/3</f>
        <v>2.9999999999999996</v>
      </c>
      <c r="J76" s="1732">
        <f t="shared" ref="J76:J79" si="13">G54*J64/3</f>
        <v>1.9999999999999998</v>
      </c>
      <c r="K76" s="1732">
        <f t="shared" ref="K76:K79" si="14">G54*K64/3</f>
        <v>2.9999999999999996</v>
      </c>
      <c r="L76" s="1732">
        <f t="shared" ref="L76:L79" si="15">G54*L64/3</f>
        <v>2.9999999999999996</v>
      </c>
      <c r="M76" s="1732">
        <f t="shared" ref="M76:M79" si="16">G54*M64/3</f>
        <v>1.9999999999999998</v>
      </c>
      <c r="N76" s="1732">
        <f>G54*N64/3</f>
        <v>1.9999999999999998</v>
      </c>
      <c r="S76" s="1039"/>
      <c r="T76" s="1626"/>
      <c r="Y76" s="1038"/>
    </row>
    <row r="77" spans="1:25" ht="32.25" customHeight="1" x14ac:dyDescent="0.3">
      <c r="B77" s="1797" t="s">
        <v>23</v>
      </c>
      <c r="C77" s="1732">
        <f>G55*C65/3</f>
        <v>2.9999999999999996</v>
      </c>
      <c r="D77" s="1732">
        <f>G55*D65/3</f>
        <v>2.9999999999999996</v>
      </c>
      <c r="E77" s="1732">
        <f>G55*E65/3</f>
        <v>0.99999999999999989</v>
      </c>
      <c r="F77" s="1732">
        <f>G55*F65/3</f>
        <v>2.9999999999999996</v>
      </c>
      <c r="G77" s="1732"/>
      <c r="H77" s="1732">
        <f t="shared" si="11"/>
        <v>2.9999999999999996</v>
      </c>
      <c r="I77" s="1732">
        <f t="shared" si="12"/>
        <v>1.9999999999999998</v>
      </c>
      <c r="J77" s="1732">
        <f t="shared" si="13"/>
        <v>1.9999999999999998</v>
      </c>
      <c r="K77" s="1732"/>
      <c r="L77" s="1732">
        <f t="shared" si="15"/>
        <v>1.9999999999999998</v>
      </c>
      <c r="M77" s="1732">
        <f t="shared" si="16"/>
        <v>1.9999999999999998</v>
      </c>
      <c r="N77" s="1732">
        <f>G55*N65/3</f>
        <v>1.9999999999999998</v>
      </c>
      <c r="S77" s="1039"/>
      <c r="T77" s="1626"/>
      <c r="Y77" s="1038"/>
    </row>
    <row r="78" spans="1:25" ht="32.25" customHeight="1" x14ac:dyDescent="0.3">
      <c r="B78" s="1797" t="s">
        <v>25</v>
      </c>
      <c r="C78" s="1732">
        <f>G56*C66/3</f>
        <v>2.9999999999999996</v>
      </c>
      <c r="D78" s="1732">
        <f>G56*D66/3</f>
        <v>2.9999999999999996</v>
      </c>
      <c r="E78" s="1732">
        <f>G56*E66/3</f>
        <v>1.9999999999999998</v>
      </c>
      <c r="F78" s="1732">
        <f>G56*F66/3</f>
        <v>1.9999999999999998</v>
      </c>
      <c r="G78" s="1732">
        <f>G56*G66/3</f>
        <v>2.9999999999999996</v>
      </c>
      <c r="H78" s="1732">
        <f t="shared" si="11"/>
        <v>2.9999999999999996</v>
      </c>
      <c r="I78" s="1732">
        <f t="shared" si="12"/>
        <v>2.9999999999999996</v>
      </c>
      <c r="J78" s="1732">
        <f t="shared" si="13"/>
        <v>1.9999999999999998</v>
      </c>
      <c r="K78" s="1732"/>
      <c r="L78" s="1732">
        <f t="shared" si="15"/>
        <v>2.9999999999999996</v>
      </c>
      <c r="M78" s="1732">
        <f t="shared" si="16"/>
        <v>1.9999999999999998</v>
      </c>
      <c r="N78" s="1732">
        <f>G56*N66/3</f>
        <v>1.9999999999999998</v>
      </c>
      <c r="S78" s="1039"/>
      <c r="T78" s="1626"/>
      <c r="Y78" s="1038"/>
    </row>
    <row r="79" spans="1:25" ht="32.25" customHeight="1" x14ac:dyDescent="0.3">
      <c r="B79" s="1797" t="s">
        <v>24</v>
      </c>
      <c r="C79" s="1732">
        <f>G57*C67/3</f>
        <v>2.9999999999999996</v>
      </c>
      <c r="D79" s="1732">
        <f>G57*D67/3</f>
        <v>2.9999999999999996</v>
      </c>
      <c r="E79" s="1732">
        <f>G57*E67/3</f>
        <v>0.99999999999999989</v>
      </c>
      <c r="F79" s="1732">
        <f>G57*F67/3</f>
        <v>2.9999999999999996</v>
      </c>
      <c r="G79" s="1732">
        <f>G57*G67/3</f>
        <v>2.9999999999999996</v>
      </c>
      <c r="H79" s="1732">
        <f t="shared" si="11"/>
        <v>2.9999999999999996</v>
      </c>
      <c r="I79" s="1732">
        <f t="shared" si="12"/>
        <v>2.9999999999999996</v>
      </c>
      <c r="J79" s="1732">
        <f t="shared" si="13"/>
        <v>1.9999999999999998</v>
      </c>
      <c r="K79" s="1732">
        <f t="shared" si="14"/>
        <v>2.9999999999999996</v>
      </c>
      <c r="L79" s="1732">
        <f t="shared" si="15"/>
        <v>2.9999999999999996</v>
      </c>
      <c r="M79" s="1732">
        <f t="shared" si="16"/>
        <v>1.9999999999999998</v>
      </c>
      <c r="N79" s="1732">
        <f>G57*N67/3</f>
        <v>2.9999999999999996</v>
      </c>
      <c r="S79" s="1039"/>
      <c r="T79" s="1626"/>
      <c r="Y79" s="1038"/>
    </row>
    <row r="80" spans="1:25" ht="32.25" customHeight="1" x14ac:dyDescent="0.3">
      <c r="B80" s="1798" t="s">
        <v>10</v>
      </c>
      <c r="C80" s="1799">
        <f>AVERAGE(C75:C79)</f>
        <v>2.9999999999999996</v>
      </c>
      <c r="D80" s="1799">
        <f t="shared" ref="D80:N80" si="17">AVERAGE(D75:D79)</f>
        <v>2.9999999999999996</v>
      </c>
      <c r="E80" s="1799">
        <f t="shared" si="17"/>
        <v>1.5999999999999999</v>
      </c>
      <c r="F80" s="1799">
        <f t="shared" si="17"/>
        <v>2.5999999999999996</v>
      </c>
      <c r="G80" s="1799">
        <f t="shared" si="17"/>
        <v>2.4999999999999996</v>
      </c>
      <c r="H80" s="1799">
        <f t="shared" si="17"/>
        <v>2.9999999999999996</v>
      </c>
      <c r="I80" s="1799">
        <f t="shared" si="17"/>
        <v>2.8</v>
      </c>
      <c r="J80" s="1799">
        <f t="shared" si="17"/>
        <v>1.9999999999999996</v>
      </c>
      <c r="K80" s="1799">
        <f t="shared" si="17"/>
        <v>2.9999999999999996</v>
      </c>
      <c r="L80" s="1799">
        <f t="shared" si="17"/>
        <v>2.8</v>
      </c>
      <c r="M80" s="1799">
        <f t="shared" si="17"/>
        <v>1.9999999999999996</v>
      </c>
      <c r="N80" s="1799">
        <f t="shared" si="17"/>
        <v>2.3999999999999995</v>
      </c>
      <c r="S80" s="1039"/>
      <c r="T80" s="1626"/>
      <c r="Y80" s="1038"/>
    </row>
    <row r="81" spans="1:18" ht="32.25" customHeight="1" x14ac:dyDescent="0.3">
      <c r="B81" s="1729" t="s">
        <v>58</v>
      </c>
      <c r="C81" s="3685">
        <f>AVERAGE(C80:N80)</f>
        <v>2.5583333333333331</v>
      </c>
      <c r="D81" s="3685"/>
      <c r="E81" s="3685"/>
      <c r="F81" s="3685"/>
      <c r="G81" s="3685"/>
      <c r="H81" s="3685"/>
      <c r="I81" s="3685"/>
      <c r="J81" s="3685"/>
      <c r="K81" s="3685"/>
      <c r="L81" s="3685"/>
      <c r="M81" s="3685"/>
      <c r="N81" s="3685"/>
      <c r="O81" s="1733"/>
      <c r="P81" s="1733"/>
      <c r="Q81" s="1733"/>
      <c r="R81" s="1733"/>
    </row>
    <row r="83" spans="1:18" ht="32.25" customHeight="1" x14ac:dyDescent="0.3">
      <c r="A83" s="2775" t="s">
        <v>137</v>
      </c>
      <c r="B83" s="2775"/>
      <c r="C83" s="1721"/>
      <c r="D83" s="1721"/>
      <c r="L83" s="2775" t="s">
        <v>149</v>
      </c>
      <c r="M83" s="2775"/>
      <c r="N83" s="2775"/>
      <c r="O83" s="1721"/>
      <c r="P83" s="1721"/>
    </row>
    <row r="84" spans="1:18" ht="32.25" customHeight="1" x14ac:dyDescent="0.3">
      <c r="A84" s="1039"/>
      <c r="B84" s="1039"/>
      <c r="C84" s="1721"/>
      <c r="D84" s="1721"/>
      <c r="L84" s="1039"/>
      <c r="M84" s="1039"/>
      <c r="N84" s="1724"/>
      <c r="O84" s="1721"/>
      <c r="P84" s="1721"/>
    </row>
    <row r="85" spans="1:18" ht="32.25" customHeight="1" x14ac:dyDescent="0.3">
      <c r="B85" s="1654" t="s">
        <v>59</v>
      </c>
      <c r="C85" s="1795" t="s">
        <v>60</v>
      </c>
      <c r="D85" s="1795" t="s">
        <v>61</v>
      </c>
      <c r="E85" s="1795" t="s">
        <v>62</v>
      </c>
      <c r="N85" s="1734" t="s">
        <v>59</v>
      </c>
      <c r="O85" s="1795" t="s">
        <v>60</v>
      </c>
      <c r="P85" s="1795" t="s">
        <v>61</v>
      </c>
      <c r="Q85" s="1795" t="s">
        <v>62</v>
      </c>
    </row>
    <row r="86" spans="1:18" ht="32.25" customHeight="1" x14ac:dyDescent="0.3">
      <c r="B86" s="1735" t="s">
        <v>20</v>
      </c>
      <c r="C86" s="1726">
        <v>1</v>
      </c>
      <c r="D86" s="1726">
        <v>3</v>
      </c>
      <c r="E86" s="1726"/>
      <c r="N86" s="1736" t="s">
        <v>20</v>
      </c>
      <c r="O86" s="1732">
        <f>G53*C86/3</f>
        <v>0.99999999999999989</v>
      </c>
      <c r="P86" s="1732">
        <f>G53*D86/3</f>
        <v>2.9999999999999996</v>
      </c>
      <c r="Q86" s="1732"/>
    </row>
    <row r="87" spans="1:18" ht="32.25" customHeight="1" x14ac:dyDescent="0.3">
      <c r="B87" s="1797" t="s">
        <v>21</v>
      </c>
      <c r="C87" s="1726">
        <v>3</v>
      </c>
      <c r="D87" s="1726">
        <v>3</v>
      </c>
      <c r="E87" s="1726">
        <v>2</v>
      </c>
      <c r="N87" s="1800" t="s">
        <v>21</v>
      </c>
      <c r="O87" s="1732">
        <f>G54*C87/3</f>
        <v>2.9999999999999996</v>
      </c>
      <c r="P87" s="1732">
        <f>G54*D87/3</f>
        <v>2.9999999999999996</v>
      </c>
      <c r="Q87" s="1732">
        <f>G54*E87/3</f>
        <v>1.9999999999999998</v>
      </c>
    </row>
    <row r="88" spans="1:18" ht="32.25" customHeight="1" x14ac:dyDescent="0.3">
      <c r="B88" s="1797" t="s">
        <v>23</v>
      </c>
      <c r="C88" s="1726">
        <v>3</v>
      </c>
      <c r="D88" s="1726">
        <v>1</v>
      </c>
      <c r="E88" s="1726">
        <v>2</v>
      </c>
      <c r="N88" s="1800" t="s">
        <v>23</v>
      </c>
      <c r="O88" s="1732">
        <f>G55*C88/3</f>
        <v>2.9999999999999996</v>
      </c>
      <c r="P88" s="1732">
        <f>G55*D88/3</f>
        <v>0.99999999999999989</v>
      </c>
      <c r="Q88" s="1732">
        <f>G55*E88/3</f>
        <v>1.9999999999999998</v>
      </c>
    </row>
    <row r="89" spans="1:18" ht="32.25" customHeight="1" x14ac:dyDescent="0.3">
      <c r="B89" s="1797" t="s">
        <v>25</v>
      </c>
      <c r="C89" s="1726">
        <v>3</v>
      </c>
      <c r="D89" s="1726">
        <v>1</v>
      </c>
      <c r="E89" s="1726">
        <v>2</v>
      </c>
      <c r="N89" s="1800" t="s">
        <v>25</v>
      </c>
      <c r="O89" s="1732">
        <f>G56*C89/3</f>
        <v>2.9999999999999996</v>
      </c>
      <c r="P89" s="1732">
        <f>G56*D89/3</f>
        <v>0.99999999999999989</v>
      </c>
      <c r="Q89" s="1732">
        <f>G56*E89/3</f>
        <v>1.9999999999999998</v>
      </c>
    </row>
    <row r="90" spans="1:18" ht="32.25" customHeight="1" x14ac:dyDescent="0.3">
      <c r="B90" s="1735" t="s">
        <v>24</v>
      </c>
      <c r="C90" s="1738">
        <v>3</v>
      </c>
      <c r="D90" s="1738">
        <v>3</v>
      </c>
      <c r="E90" s="1738">
        <v>3</v>
      </c>
      <c r="N90" s="1736" t="s">
        <v>24</v>
      </c>
      <c r="O90" s="1732">
        <f>G57*C90/3</f>
        <v>2.9999999999999996</v>
      </c>
      <c r="P90" s="1732">
        <f>G57*D90/3</f>
        <v>2.9999999999999996</v>
      </c>
      <c r="Q90" s="1732">
        <f>G57*E90/3</f>
        <v>2.9999999999999996</v>
      </c>
    </row>
    <row r="91" spans="1:18" ht="32.25" customHeight="1" x14ac:dyDescent="0.3">
      <c r="B91" s="1756" t="s">
        <v>10</v>
      </c>
      <c r="C91" s="1739">
        <f>AVERAGE(C86:C90)</f>
        <v>2.6</v>
      </c>
      <c r="D91" s="1739">
        <f t="shared" ref="D91:E91" si="18">AVERAGE(D86:D90)</f>
        <v>2.2000000000000002</v>
      </c>
      <c r="E91" s="1739">
        <f t="shared" si="18"/>
        <v>2.25</v>
      </c>
      <c r="N91" s="1801" t="s">
        <v>10</v>
      </c>
      <c r="O91" s="1732">
        <f>AVERAGE(O86:O90)</f>
        <v>2.5999999999999996</v>
      </c>
      <c r="P91" s="1732">
        <f t="shared" ref="P91:Q91" si="19">AVERAGE(P86:P90)</f>
        <v>2.1999999999999997</v>
      </c>
      <c r="Q91" s="1732">
        <f t="shared" si="19"/>
        <v>2.2499999999999996</v>
      </c>
    </row>
    <row r="92" spans="1:18" ht="32.25" customHeight="1" x14ac:dyDescent="0.3">
      <c r="A92" s="1716"/>
      <c r="B92" s="1752" t="s">
        <v>58</v>
      </c>
      <c r="C92" s="3681">
        <f>AVERAGE(C91:E91)</f>
        <v>2.35</v>
      </c>
      <c r="D92" s="3682"/>
      <c r="E92" s="3683"/>
      <c r="F92" s="1716"/>
      <c r="G92" s="1716"/>
      <c r="H92" s="1716"/>
      <c r="I92" s="1716"/>
      <c r="J92" s="1716"/>
      <c r="K92" s="1716"/>
      <c r="L92" s="1716"/>
      <c r="M92" s="1716"/>
      <c r="N92" s="1802" t="s">
        <v>58</v>
      </c>
      <c r="O92" s="3681">
        <f>AVERAGE(O91:Q91)</f>
        <v>2.3499999999999996</v>
      </c>
      <c r="P92" s="3682"/>
      <c r="Q92" s="3683"/>
      <c r="R92" s="1716"/>
    </row>
    <row r="95" spans="1:18" ht="32.25" customHeight="1" x14ac:dyDescent="0.3">
      <c r="A95" s="1742"/>
      <c r="B95" s="1742"/>
      <c r="C95" s="1742"/>
      <c r="D95" s="1742"/>
      <c r="E95" s="1742"/>
      <c r="F95" s="1742"/>
      <c r="G95" s="1742"/>
      <c r="H95" s="1742"/>
      <c r="I95" s="1742"/>
      <c r="J95" s="1742"/>
      <c r="K95" s="1742"/>
      <c r="L95" s="1742"/>
      <c r="M95" s="1742"/>
      <c r="N95" s="1742"/>
      <c r="O95" s="1742"/>
      <c r="P95" s="1742"/>
      <c r="Q95" s="1742"/>
      <c r="R95" s="1742"/>
    </row>
  </sheetData>
  <mergeCells count="43">
    <mergeCell ref="P2:Y2"/>
    <mergeCell ref="A3:B3"/>
    <mergeCell ref="C3:N3"/>
    <mergeCell ref="P3:Y3"/>
    <mergeCell ref="C6:E6"/>
    <mergeCell ref="F6:G6"/>
    <mergeCell ref="H6:I6"/>
    <mergeCell ref="A2:B2"/>
    <mergeCell ref="C2:N2"/>
    <mergeCell ref="C4:N4"/>
    <mergeCell ref="P4:Y4"/>
    <mergeCell ref="A5:B5"/>
    <mergeCell ref="C5:O5"/>
    <mergeCell ref="P5:Z5"/>
    <mergeCell ref="B58:F58"/>
    <mergeCell ref="Z6:Z8"/>
    <mergeCell ref="AA6:AA9"/>
    <mergeCell ref="AB6:AB9"/>
    <mergeCell ref="A48:B48"/>
    <mergeCell ref="A49:B49"/>
    <mergeCell ref="E52:F52"/>
    <mergeCell ref="G52:I52"/>
    <mergeCell ref="J6:K6"/>
    <mergeCell ref="L6:M6"/>
    <mergeCell ref="O6:Q6"/>
    <mergeCell ref="R6:S6"/>
    <mergeCell ref="V6:W6"/>
    <mergeCell ref="Y6:Y8"/>
    <mergeCell ref="A6:A8"/>
    <mergeCell ref="B6:B7"/>
    <mergeCell ref="E53:F53"/>
    <mergeCell ref="E54:F54"/>
    <mergeCell ref="E55:F55"/>
    <mergeCell ref="E56:F56"/>
    <mergeCell ref="E57:F57"/>
    <mergeCell ref="C92:E92"/>
    <mergeCell ref="O92:Q92"/>
    <mergeCell ref="A60:B60"/>
    <mergeCell ref="C69:N69"/>
    <mergeCell ref="A72:B72"/>
    <mergeCell ref="C81:N81"/>
    <mergeCell ref="A83:B83"/>
    <mergeCell ref="L83:N83"/>
  </mergeCells>
  <conditionalFormatting sqref="Z10:Z45 AA12:AA45">
    <cfRule type="containsText" dxfId="11" priority="2" operator="containsText" text="F">
      <formula>NOT(ISERROR(SEARCH("F",Z10)))</formula>
    </cfRule>
  </conditionalFormatting>
  <conditionalFormatting sqref="AA10:AA11">
    <cfRule type="containsText" dxfId="10" priority="1" operator="containsText" text="F">
      <formula>NOT(ISERROR(SEARCH("F",AA10)))</formula>
    </cfRule>
  </conditionalFormatting>
  <pageMargins left="0.7" right="0.7" top="0.75" bottom="0.75" header="0.3" footer="0.3"/>
  <pageSetup paperSize="8" scale="37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9"/>
  <sheetViews>
    <sheetView topLeftCell="A92" zoomScale="96" zoomScaleNormal="96" workbookViewId="0">
      <selection activeCell="L79" sqref="L79"/>
    </sheetView>
  </sheetViews>
  <sheetFormatPr defaultRowHeight="15.75" x14ac:dyDescent="0.25"/>
  <cols>
    <col min="1" max="1" width="14.5703125" style="792" customWidth="1"/>
    <col min="2" max="2" width="21.5703125" style="792" customWidth="1"/>
    <col min="3" max="3" width="18.7109375" style="792" customWidth="1"/>
    <col min="4" max="4" width="12.5703125" style="792" customWidth="1"/>
    <col min="5" max="5" width="10.7109375" style="792" customWidth="1"/>
    <col min="6" max="6" width="11.85546875" style="792" bestFit="1" customWidth="1"/>
    <col min="7" max="7" width="19.28515625" style="792" customWidth="1"/>
    <col min="8" max="8" width="14.140625" style="792" customWidth="1"/>
    <col min="9" max="14" width="11.85546875" style="792" bestFit="1" customWidth="1"/>
    <col min="15" max="16384" width="9.14062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335</v>
      </c>
      <c r="D2" s="802" t="s">
        <v>63</v>
      </c>
      <c r="E2" s="765" t="s">
        <v>337</v>
      </c>
      <c r="F2" s="735"/>
      <c r="G2" s="735"/>
      <c r="H2" s="735"/>
    </row>
    <row r="3" spans="1:8" x14ac:dyDescent="0.25">
      <c r="A3" s="3301" t="s">
        <v>1</v>
      </c>
      <c r="B3" s="3301"/>
      <c r="C3" s="894" t="s">
        <v>333</v>
      </c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336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764">
        <v>38</v>
      </c>
      <c r="D9" s="867" t="s">
        <v>30</v>
      </c>
      <c r="E9" s="866">
        <f>IF(D9="O",100,IF(D9="A+",90,IF(D9="A",80,IF(D9="B+",70,IF(D9="B",60,IF(D9="C",55,IF(D9="P",50,IF(D9="F",39))))))))</f>
        <v>90</v>
      </c>
    </row>
    <row r="10" spans="1:8" ht="18.75" x14ac:dyDescent="0.25">
      <c r="A10" s="839">
        <v>2</v>
      </c>
      <c r="B10" s="898">
        <v>5191421002</v>
      </c>
      <c r="C10" s="764">
        <v>47</v>
      </c>
      <c r="D10" s="867" t="s">
        <v>82</v>
      </c>
      <c r="E10" s="866">
        <f t="shared" ref="E10:E66" si="0">IF(D10="O",100,IF(D10="A+",90,IF(D10="A",80,IF(D10="B+",70,IF(D10="B",60,IF(D10="C",55,IF(D10="P",50,IF(D10="F",39))))))))</f>
        <v>100</v>
      </c>
    </row>
    <row r="11" spans="1:8" ht="18.75" x14ac:dyDescent="0.25">
      <c r="A11" s="839">
        <v>3</v>
      </c>
      <c r="B11" s="897">
        <v>5191421003</v>
      </c>
      <c r="C11" s="764">
        <v>47</v>
      </c>
      <c r="D11" s="867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764">
        <v>42</v>
      </c>
      <c r="D12" s="867" t="s">
        <v>30</v>
      </c>
      <c r="E12" s="866">
        <f t="shared" si="0"/>
        <v>90</v>
      </c>
    </row>
    <row r="13" spans="1:8" ht="18.75" x14ac:dyDescent="0.25">
      <c r="A13" s="839">
        <v>5</v>
      </c>
      <c r="B13" s="899">
        <v>5191421005</v>
      </c>
      <c r="C13" s="764">
        <v>37</v>
      </c>
      <c r="D13" s="846" t="s">
        <v>82</v>
      </c>
      <c r="E13" s="866">
        <f t="shared" si="0"/>
        <v>100</v>
      </c>
    </row>
    <row r="14" spans="1:8" ht="18.75" x14ac:dyDescent="0.25">
      <c r="A14" s="839">
        <v>6</v>
      </c>
      <c r="B14" s="897">
        <v>5191421006</v>
      </c>
      <c r="C14" s="764">
        <v>46</v>
      </c>
      <c r="D14" s="867" t="s">
        <v>30</v>
      </c>
      <c r="E14" s="866">
        <f t="shared" si="0"/>
        <v>90</v>
      </c>
    </row>
    <row r="15" spans="1:8" ht="18.75" x14ac:dyDescent="0.25">
      <c r="A15" s="839">
        <v>7</v>
      </c>
      <c r="B15" s="897">
        <v>5191421007</v>
      </c>
      <c r="C15" s="764">
        <v>44</v>
      </c>
      <c r="D15" s="846" t="s">
        <v>27</v>
      </c>
      <c r="E15" s="866">
        <f t="shared" si="0"/>
        <v>80</v>
      </c>
    </row>
    <row r="16" spans="1:8" ht="18.75" x14ac:dyDescent="0.25">
      <c r="A16" s="839">
        <v>8</v>
      </c>
      <c r="B16" s="897">
        <v>5191421008</v>
      </c>
      <c r="C16" s="764">
        <v>42</v>
      </c>
      <c r="D16" s="867" t="s">
        <v>30</v>
      </c>
      <c r="E16" s="866">
        <f t="shared" si="0"/>
        <v>90</v>
      </c>
    </row>
    <row r="17" spans="1:5" ht="18.75" x14ac:dyDescent="0.25">
      <c r="A17" s="839">
        <v>9</v>
      </c>
      <c r="B17" s="897">
        <v>5191421009</v>
      </c>
      <c r="C17" s="764">
        <v>46</v>
      </c>
      <c r="D17" s="867" t="s">
        <v>82</v>
      </c>
      <c r="E17" s="866">
        <f t="shared" si="0"/>
        <v>100</v>
      </c>
    </row>
    <row r="18" spans="1:5" ht="18.75" x14ac:dyDescent="0.25">
      <c r="A18" s="839">
        <v>10</v>
      </c>
      <c r="B18" s="897">
        <v>5191421010</v>
      </c>
      <c r="C18" s="764">
        <v>45</v>
      </c>
      <c r="D18" s="867" t="s">
        <v>82</v>
      </c>
      <c r="E18" s="866">
        <f t="shared" si="0"/>
        <v>100</v>
      </c>
    </row>
    <row r="19" spans="1:5" ht="18.75" x14ac:dyDescent="0.25">
      <c r="A19" s="839">
        <v>11</v>
      </c>
      <c r="B19" s="897">
        <v>5191421011</v>
      </c>
      <c r="C19" s="764">
        <v>48</v>
      </c>
      <c r="D19" s="867" t="s">
        <v>82</v>
      </c>
      <c r="E19" s="866">
        <f t="shared" si="0"/>
        <v>100</v>
      </c>
    </row>
    <row r="20" spans="1:5" ht="18.75" x14ac:dyDescent="0.25">
      <c r="A20" s="839">
        <v>12</v>
      </c>
      <c r="B20" s="897">
        <v>5191421012</v>
      </c>
      <c r="C20" s="764">
        <v>33</v>
      </c>
      <c r="D20" s="867" t="s">
        <v>82</v>
      </c>
      <c r="E20" s="866">
        <f t="shared" si="0"/>
        <v>100</v>
      </c>
    </row>
    <row r="21" spans="1:5" ht="18.75" x14ac:dyDescent="0.25">
      <c r="A21" s="839">
        <v>13</v>
      </c>
      <c r="B21" s="897">
        <v>5191421013</v>
      </c>
      <c r="C21" s="764">
        <v>48</v>
      </c>
      <c r="D21" s="867" t="s">
        <v>82</v>
      </c>
      <c r="E21" s="866">
        <f t="shared" si="0"/>
        <v>100</v>
      </c>
    </row>
    <row r="22" spans="1:5" ht="18.75" x14ac:dyDescent="0.25">
      <c r="A22" s="839">
        <v>14</v>
      </c>
      <c r="B22" s="897">
        <v>5191421014</v>
      </c>
      <c r="C22" s="764">
        <v>45</v>
      </c>
      <c r="D22" s="867" t="s">
        <v>30</v>
      </c>
      <c r="E22" s="866">
        <f t="shared" si="0"/>
        <v>90</v>
      </c>
    </row>
    <row r="23" spans="1:5" ht="18.75" x14ac:dyDescent="0.25">
      <c r="A23" s="839">
        <v>15</v>
      </c>
      <c r="B23" s="897">
        <v>5191421015</v>
      </c>
      <c r="C23" s="764">
        <v>41</v>
      </c>
      <c r="D23" s="867" t="s">
        <v>30</v>
      </c>
      <c r="E23" s="866">
        <f t="shared" si="0"/>
        <v>90</v>
      </c>
    </row>
    <row r="24" spans="1:5" ht="18.75" x14ac:dyDescent="0.25">
      <c r="A24" s="839">
        <v>16</v>
      </c>
      <c r="B24" s="897">
        <v>5191421016</v>
      </c>
      <c r="C24" s="764">
        <v>30</v>
      </c>
      <c r="D24" s="867" t="s">
        <v>27</v>
      </c>
      <c r="E24" s="866">
        <f t="shared" si="0"/>
        <v>80</v>
      </c>
    </row>
    <row r="25" spans="1:5" ht="18.75" x14ac:dyDescent="0.25">
      <c r="A25" s="839">
        <v>17</v>
      </c>
      <c r="B25" s="897">
        <v>5191421017</v>
      </c>
      <c r="C25" s="764">
        <v>43</v>
      </c>
      <c r="D25" s="867" t="s">
        <v>30</v>
      </c>
      <c r="E25" s="866">
        <f t="shared" si="0"/>
        <v>90</v>
      </c>
    </row>
    <row r="26" spans="1:5" ht="18.75" x14ac:dyDescent="0.25">
      <c r="A26" s="839">
        <v>18</v>
      </c>
      <c r="B26" s="897">
        <v>5191421018</v>
      </c>
      <c r="C26" s="764">
        <v>30</v>
      </c>
      <c r="D26" s="867" t="s">
        <v>32</v>
      </c>
      <c r="E26" s="866">
        <f t="shared" si="0"/>
        <v>70</v>
      </c>
    </row>
    <row r="27" spans="1:5" ht="18.75" x14ac:dyDescent="0.25">
      <c r="A27" s="839">
        <v>19</v>
      </c>
      <c r="B27" s="897">
        <v>5191421019</v>
      </c>
      <c r="C27" s="764">
        <v>47</v>
      </c>
      <c r="D27" s="867" t="s">
        <v>82</v>
      </c>
      <c r="E27" s="866">
        <f t="shared" si="0"/>
        <v>100</v>
      </c>
    </row>
    <row r="28" spans="1:5" ht="18.75" x14ac:dyDescent="0.25">
      <c r="A28" s="839">
        <v>20</v>
      </c>
      <c r="B28" s="897">
        <v>5191421020</v>
      </c>
      <c r="C28" s="764">
        <v>48</v>
      </c>
      <c r="D28" s="867" t="s">
        <v>82</v>
      </c>
      <c r="E28" s="866">
        <f t="shared" si="0"/>
        <v>100</v>
      </c>
    </row>
    <row r="29" spans="1:5" ht="18.75" x14ac:dyDescent="0.25">
      <c r="A29" s="839">
        <v>21</v>
      </c>
      <c r="B29" s="897">
        <v>5191421021</v>
      </c>
      <c r="C29" s="764">
        <v>43</v>
      </c>
      <c r="D29" s="867" t="s">
        <v>82</v>
      </c>
      <c r="E29" s="866">
        <f t="shared" si="0"/>
        <v>100</v>
      </c>
    </row>
    <row r="30" spans="1:5" ht="18.75" x14ac:dyDescent="0.25">
      <c r="A30" s="839">
        <v>22</v>
      </c>
      <c r="B30" s="897">
        <v>5191421022</v>
      </c>
      <c r="C30" s="764">
        <v>31</v>
      </c>
      <c r="D30" s="867" t="s">
        <v>27</v>
      </c>
      <c r="E30" s="866">
        <f t="shared" si="0"/>
        <v>80</v>
      </c>
    </row>
    <row r="31" spans="1:5" ht="18.75" x14ac:dyDescent="0.25">
      <c r="A31" s="839">
        <v>23</v>
      </c>
      <c r="B31" s="897">
        <v>5191421023</v>
      </c>
      <c r="C31" s="764">
        <v>39</v>
      </c>
      <c r="D31" s="867" t="s">
        <v>30</v>
      </c>
      <c r="E31" s="866">
        <f t="shared" si="0"/>
        <v>90</v>
      </c>
    </row>
    <row r="32" spans="1:5" ht="18.75" x14ac:dyDescent="0.25">
      <c r="A32" s="839">
        <v>24</v>
      </c>
      <c r="B32" s="897">
        <v>5191421024</v>
      </c>
      <c r="C32" s="764">
        <v>38</v>
      </c>
      <c r="D32" s="867" t="s">
        <v>27</v>
      </c>
      <c r="E32" s="866">
        <f t="shared" si="0"/>
        <v>80</v>
      </c>
    </row>
    <row r="33" spans="1:5" ht="18.75" x14ac:dyDescent="0.25">
      <c r="A33" s="839">
        <v>25</v>
      </c>
      <c r="B33" s="897">
        <v>5191421025</v>
      </c>
      <c r="C33" s="764">
        <v>48</v>
      </c>
      <c r="D33" s="867" t="s">
        <v>82</v>
      </c>
      <c r="E33" s="866">
        <f t="shared" si="0"/>
        <v>100</v>
      </c>
    </row>
    <row r="34" spans="1:5" ht="18.75" x14ac:dyDescent="0.25">
      <c r="A34" s="839">
        <v>26</v>
      </c>
      <c r="B34" s="897">
        <v>5191421026</v>
      </c>
      <c r="C34" s="764">
        <v>42</v>
      </c>
      <c r="D34" s="867" t="s">
        <v>82</v>
      </c>
      <c r="E34" s="866">
        <f t="shared" si="0"/>
        <v>100</v>
      </c>
    </row>
    <row r="35" spans="1:5" ht="18.75" x14ac:dyDescent="0.25">
      <c r="A35" s="839">
        <v>27</v>
      </c>
      <c r="B35" s="897">
        <v>5191421027</v>
      </c>
      <c r="C35" s="764">
        <v>41</v>
      </c>
      <c r="D35" s="867" t="s">
        <v>82</v>
      </c>
      <c r="E35" s="866">
        <f t="shared" si="0"/>
        <v>100</v>
      </c>
    </row>
    <row r="36" spans="1:5" ht="18.75" x14ac:dyDescent="0.25">
      <c r="A36" s="839">
        <v>28</v>
      </c>
      <c r="B36" s="897">
        <v>5191421028</v>
      </c>
      <c r="C36" s="764">
        <v>47</v>
      </c>
      <c r="D36" s="870" t="s">
        <v>30</v>
      </c>
      <c r="E36" s="866">
        <f t="shared" si="0"/>
        <v>90</v>
      </c>
    </row>
    <row r="37" spans="1:5" ht="18.75" x14ac:dyDescent="0.25">
      <c r="A37" s="839">
        <v>29</v>
      </c>
      <c r="B37" s="897">
        <v>5191421029</v>
      </c>
      <c r="C37" s="764">
        <v>44</v>
      </c>
      <c r="D37" s="867" t="s">
        <v>30</v>
      </c>
      <c r="E37" s="866">
        <f t="shared" si="0"/>
        <v>90</v>
      </c>
    </row>
    <row r="38" spans="1:5" ht="18.75" x14ac:dyDescent="0.25">
      <c r="A38" s="839">
        <v>30</v>
      </c>
      <c r="B38" s="897">
        <v>5191421030</v>
      </c>
      <c r="C38" s="764">
        <v>30</v>
      </c>
      <c r="D38" s="867" t="s">
        <v>32</v>
      </c>
      <c r="E38" s="866">
        <f t="shared" si="0"/>
        <v>70</v>
      </c>
    </row>
    <row r="39" spans="1:5" ht="18.75" x14ac:dyDescent="0.25">
      <c r="A39" s="839">
        <v>31</v>
      </c>
      <c r="B39" s="897">
        <v>5191421031</v>
      </c>
      <c r="C39" s="764">
        <v>46</v>
      </c>
      <c r="D39" s="867" t="s">
        <v>30</v>
      </c>
      <c r="E39" s="866">
        <f t="shared" si="0"/>
        <v>90</v>
      </c>
    </row>
    <row r="40" spans="1:5" ht="18.75" x14ac:dyDescent="0.25">
      <c r="A40" s="839">
        <v>32</v>
      </c>
      <c r="B40" s="897">
        <v>5191421032</v>
      </c>
      <c r="C40" s="764">
        <v>30</v>
      </c>
      <c r="D40" s="867" t="s">
        <v>32</v>
      </c>
      <c r="E40" s="866">
        <f t="shared" si="0"/>
        <v>70</v>
      </c>
    </row>
    <row r="41" spans="1:5" ht="18.75" x14ac:dyDescent="0.25">
      <c r="A41" s="839">
        <v>33</v>
      </c>
      <c r="B41" s="897">
        <v>5191421033</v>
      </c>
      <c r="C41" s="764">
        <v>47</v>
      </c>
      <c r="D41" s="846" t="s">
        <v>82</v>
      </c>
      <c r="E41" s="866">
        <f t="shared" si="0"/>
        <v>100</v>
      </c>
    </row>
    <row r="42" spans="1:5" ht="18.75" x14ac:dyDescent="0.25">
      <c r="A42" s="839">
        <v>34</v>
      </c>
      <c r="B42" s="897">
        <v>5191421034</v>
      </c>
      <c r="C42" s="764">
        <v>47</v>
      </c>
      <c r="D42" s="867" t="s">
        <v>82</v>
      </c>
      <c r="E42" s="866">
        <f t="shared" si="0"/>
        <v>100</v>
      </c>
    </row>
    <row r="43" spans="1:5" ht="18.75" x14ac:dyDescent="0.25">
      <c r="A43" s="839">
        <v>35</v>
      </c>
      <c r="B43" s="897">
        <v>5191421035</v>
      </c>
      <c r="C43" s="764">
        <v>38</v>
      </c>
      <c r="D43" s="867" t="s">
        <v>32</v>
      </c>
      <c r="E43" s="866">
        <f t="shared" si="0"/>
        <v>70</v>
      </c>
    </row>
    <row r="44" spans="1:5" ht="18.75" x14ac:dyDescent="0.25">
      <c r="A44" s="839">
        <v>36</v>
      </c>
      <c r="B44" s="897">
        <v>5191421036</v>
      </c>
      <c r="C44" s="764">
        <v>47</v>
      </c>
      <c r="D44" s="867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764">
        <v>30</v>
      </c>
      <c r="D45" s="846" t="s">
        <v>32</v>
      </c>
      <c r="E45" s="866">
        <f t="shared" si="0"/>
        <v>70</v>
      </c>
    </row>
    <row r="46" spans="1:5" ht="18.75" x14ac:dyDescent="0.25">
      <c r="A46" s="839">
        <v>38</v>
      </c>
      <c r="B46" s="897">
        <v>5191421038</v>
      </c>
      <c r="C46" s="764">
        <v>35</v>
      </c>
      <c r="D46" s="867" t="s">
        <v>30</v>
      </c>
      <c r="E46" s="866">
        <f t="shared" si="0"/>
        <v>90</v>
      </c>
    </row>
    <row r="47" spans="1:5" ht="18.75" x14ac:dyDescent="0.25">
      <c r="A47" s="839">
        <v>39</v>
      </c>
      <c r="B47" s="897">
        <v>5191421039</v>
      </c>
      <c r="C47" s="764">
        <v>48</v>
      </c>
      <c r="D47" s="867" t="s">
        <v>82</v>
      </c>
      <c r="E47" s="866">
        <f t="shared" si="0"/>
        <v>100</v>
      </c>
    </row>
    <row r="48" spans="1:5" ht="18.75" x14ac:dyDescent="0.25">
      <c r="A48" s="839">
        <v>40</v>
      </c>
      <c r="B48" s="897">
        <v>5191421040</v>
      </c>
      <c r="C48" s="764">
        <v>35</v>
      </c>
      <c r="D48" s="867" t="s">
        <v>30</v>
      </c>
      <c r="E48" s="866">
        <f t="shared" si="0"/>
        <v>90</v>
      </c>
    </row>
    <row r="49" spans="1:5" ht="18.75" x14ac:dyDescent="0.25">
      <c r="A49" s="839">
        <v>41</v>
      </c>
      <c r="B49" s="897">
        <v>5191421041</v>
      </c>
      <c r="C49" s="764">
        <v>32</v>
      </c>
      <c r="D49" s="867" t="s">
        <v>27</v>
      </c>
      <c r="E49" s="866">
        <f t="shared" si="0"/>
        <v>80</v>
      </c>
    </row>
    <row r="50" spans="1:5" ht="18.75" x14ac:dyDescent="0.25">
      <c r="A50" s="839">
        <v>42</v>
      </c>
      <c r="B50" s="897">
        <v>5191421042</v>
      </c>
      <c r="C50" s="764">
        <v>30</v>
      </c>
      <c r="D50" s="846" t="s">
        <v>32</v>
      </c>
      <c r="E50" s="866">
        <f t="shared" si="0"/>
        <v>70</v>
      </c>
    </row>
    <row r="51" spans="1:5" ht="18.75" x14ac:dyDescent="0.25">
      <c r="A51" s="839">
        <v>43</v>
      </c>
      <c r="B51" s="897">
        <v>5191421043</v>
      </c>
      <c r="C51" s="764">
        <v>48</v>
      </c>
      <c r="D51" s="867" t="s">
        <v>82</v>
      </c>
      <c r="E51" s="866">
        <f t="shared" si="0"/>
        <v>100</v>
      </c>
    </row>
    <row r="52" spans="1:5" ht="18.75" x14ac:dyDescent="0.25">
      <c r="A52" s="839">
        <v>44</v>
      </c>
      <c r="B52" s="897">
        <v>5191421044</v>
      </c>
      <c r="C52" s="764">
        <v>48</v>
      </c>
      <c r="D52" s="867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764">
        <v>30</v>
      </c>
      <c r="D53" s="867" t="s">
        <v>30</v>
      </c>
      <c r="E53" s="866">
        <f t="shared" si="0"/>
        <v>90</v>
      </c>
    </row>
    <row r="54" spans="1:5" ht="18.75" x14ac:dyDescent="0.25">
      <c r="A54" s="839">
        <v>46</v>
      </c>
      <c r="B54" s="897">
        <v>5191421046</v>
      </c>
      <c r="C54" s="764">
        <v>41</v>
      </c>
      <c r="D54" s="867" t="s">
        <v>30</v>
      </c>
      <c r="E54" s="866">
        <f t="shared" si="0"/>
        <v>90</v>
      </c>
    </row>
    <row r="55" spans="1:5" ht="18.75" x14ac:dyDescent="0.25">
      <c r="A55" s="839">
        <v>47</v>
      </c>
      <c r="B55" s="897">
        <v>5191421047</v>
      </c>
      <c r="C55" s="764">
        <v>30</v>
      </c>
      <c r="D55" s="867" t="s">
        <v>154</v>
      </c>
      <c r="E55" s="866" t="b">
        <f t="shared" si="0"/>
        <v>0</v>
      </c>
    </row>
    <row r="56" spans="1:5" ht="18.75" x14ac:dyDescent="0.25">
      <c r="A56" s="839">
        <v>48</v>
      </c>
      <c r="B56" s="897">
        <v>5191421048</v>
      </c>
      <c r="C56" s="764">
        <v>39</v>
      </c>
      <c r="D56" s="867" t="s">
        <v>30</v>
      </c>
      <c r="E56" s="866">
        <f t="shared" si="0"/>
        <v>90</v>
      </c>
    </row>
    <row r="57" spans="1:5" ht="18.75" x14ac:dyDescent="0.25">
      <c r="A57" s="839">
        <v>49</v>
      </c>
      <c r="B57" s="897">
        <v>5191421049</v>
      </c>
      <c r="C57" s="764">
        <v>32</v>
      </c>
      <c r="D57" s="867" t="s">
        <v>27</v>
      </c>
      <c r="E57" s="866">
        <f t="shared" si="0"/>
        <v>80</v>
      </c>
    </row>
    <row r="58" spans="1:5" ht="18.75" x14ac:dyDescent="0.25">
      <c r="A58" s="839">
        <v>50</v>
      </c>
      <c r="B58" s="897">
        <v>5191421050</v>
      </c>
      <c r="C58" s="764">
        <v>30</v>
      </c>
      <c r="D58" s="867" t="s">
        <v>30</v>
      </c>
      <c r="E58" s="866">
        <f t="shared" si="0"/>
        <v>90</v>
      </c>
    </row>
    <row r="59" spans="1:5" ht="18.75" x14ac:dyDescent="0.25">
      <c r="A59" s="839">
        <v>51</v>
      </c>
      <c r="B59" s="897">
        <v>5191421051</v>
      </c>
      <c r="C59" s="764">
        <v>45</v>
      </c>
      <c r="D59" s="867" t="s">
        <v>82</v>
      </c>
      <c r="E59" s="866">
        <f t="shared" si="0"/>
        <v>100</v>
      </c>
    </row>
    <row r="60" spans="1:5" ht="18.75" x14ac:dyDescent="0.25">
      <c r="A60" s="839">
        <v>52</v>
      </c>
      <c r="B60" s="897">
        <v>5191421052</v>
      </c>
      <c r="C60" s="764">
        <v>48</v>
      </c>
      <c r="D60" s="867" t="s">
        <v>82</v>
      </c>
      <c r="E60" s="866">
        <f t="shared" si="0"/>
        <v>100</v>
      </c>
    </row>
    <row r="61" spans="1:5" ht="18.75" x14ac:dyDescent="0.25">
      <c r="A61" s="839">
        <v>53</v>
      </c>
      <c r="B61" s="897">
        <v>5191421053</v>
      </c>
      <c r="C61" s="764">
        <v>48</v>
      </c>
      <c r="D61" s="867" t="s">
        <v>30</v>
      </c>
      <c r="E61" s="866">
        <f t="shared" si="0"/>
        <v>90</v>
      </c>
    </row>
    <row r="62" spans="1:5" ht="18.75" x14ac:dyDescent="0.25">
      <c r="A62" s="839">
        <v>54</v>
      </c>
      <c r="B62" s="897">
        <v>5191421054</v>
      </c>
      <c r="C62" s="764">
        <v>41</v>
      </c>
      <c r="D62" s="867" t="s">
        <v>27</v>
      </c>
      <c r="E62" s="866">
        <f t="shared" si="0"/>
        <v>80</v>
      </c>
    </row>
    <row r="63" spans="1:5" ht="18.75" x14ac:dyDescent="0.25">
      <c r="A63" s="839">
        <v>55</v>
      </c>
      <c r="B63" s="897">
        <v>5191421055</v>
      </c>
      <c r="C63" s="764">
        <v>40</v>
      </c>
      <c r="D63" s="867" t="s">
        <v>30</v>
      </c>
      <c r="E63" s="866">
        <f t="shared" si="0"/>
        <v>90</v>
      </c>
    </row>
    <row r="64" spans="1:5" ht="18.75" x14ac:dyDescent="0.25">
      <c r="A64" s="839">
        <v>56</v>
      </c>
      <c r="B64" s="897">
        <v>5191421056</v>
      </c>
      <c r="C64" s="764">
        <v>41</v>
      </c>
      <c r="D64" s="867" t="s">
        <v>30</v>
      </c>
      <c r="E64" s="866">
        <f t="shared" si="0"/>
        <v>90</v>
      </c>
    </row>
    <row r="65" spans="1:14" ht="18.75" x14ac:dyDescent="0.25">
      <c r="A65" s="839">
        <v>57</v>
      </c>
      <c r="B65" s="897">
        <v>5191421057</v>
      </c>
      <c r="C65" s="764">
        <v>44</v>
      </c>
      <c r="D65" s="868" t="s">
        <v>82</v>
      </c>
      <c r="E65" s="866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764">
        <v>36</v>
      </c>
      <c r="D66" s="869" t="s">
        <v>32</v>
      </c>
      <c r="E66" s="866">
        <f t="shared" si="0"/>
        <v>70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46</v>
      </c>
      <c r="D69" s="793"/>
      <c r="E69" s="793">
        <f>COUNTIF(E9:E66,"&gt;="&amp;B68)</f>
        <v>57</v>
      </c>
    </row>
    <row r="70" spans="1:14" x14ac:dyDescent="0.25">
      <c r="A70" s="3306" t="s">
        <v>36</v>
      </c>
      <c r="B70" s="3306"/>
      <c r="C70" s="36">
        <f>C69/C67</f>
        <v>0.7931034482758621</v>
      </c>
      <c r="D70" s="793"/>
      <c r="E70" s="36">
        <f>(E69/A66)*100</f>
        <v>98.275862068965509</v>
      </c>
    </row>
    <row r="72" spans="1:14" ht="31.5" x14ac:dyDescent="0.25">
      <c r="D72" s="805" t="s">
        <v>38</v>
      </c>
      <c r="E72" s="805" t="s">
        <v>39</v>
      </c>
      <c r="F72" s="855" t="s">
        <v>37</v>
      </c>
      <c r="H72" s="13"/>
    </row>
    <row r="73" spans="1:14" x14ac:dyDescent="0.25">
      <c r="B73" s="805" t="s">
        <v>22</v>
      </c>
      <c r="C73" s="36">
        <f>AVERAGE(C70)*100</f>
        <v>79.310344827586206</v>
      </c>
      <c r="D73" s="793">
        <f>IF(C73&gt;=70,3,IF(AND(C73&gt;=60,C73&lt;70),2,IF(AND(C73&gt;=50,C73&lt;60),1)))</f>
        <v>3</v>
      </c>
      <c r="E73" s="793">
        <f>IF(E70&gt;=70,3,IF(AND(E70&gt;=60,E70&lt;70),2,IF(AND(E70&gt;=50,E70&lt;60),1)))</f>
        <v>3</v>
      </c>
      <c r="F73" s="793">
        <f>(50/100)*E73+(50/100)*D73</f>
        <v>3</v>
      </c>
      <c r="H73" s="329"/>
    </row>
    <row r="74" spans="1:14" x14ac:dyDescent="0.25">
      <c r="B74" s="805" t="s">
        <v>40</v>
      </c>
      <c r="C74" s="36">
        <f>AVERAGE(C70)*100</f>
        <v>79.310344827586206</v>
      </c>
      <c r="D74" s="793">
        <f t="shared" ref="D74:D76" si="1">IF(C74&gt;=70,3,IF(AND(C74&gt;=60,C74&lt;70),2,IF(AND(C74&gt;=50,C74&lt;60),1)))</f>
        <v>3</v>
      </c>
      <c r="E74" s="793">
        <f>IF(E70&gt;=70,3,IF(AND(E70&gt;=60,E70&lt;70),2,IF(AND(E70&gt;=50,E70&lt;60),1)))</f>
        <v>3</v>
      </c>
      <c r="F74" s="793">
        <f>(50/100)*E74+(50/100)*D74</f>
        <v>3</v>
      </c>
      <c r="H74" s="329"/>
    </row>
    <row r="75" spans="1:14" x14ac:dyDescent="0.25">
      <c r="B75" s="805" t="s">
        <v>41</v>
      </c>
      <c r="C75" s="36">
        <f>AVERAGE(C70)*100</f>
        <v>79.310344827586206</v>
      </c>
      <c r="D75" s="793">
        <f t="shared" si="1"/>
        <v>3</v>
      </c>
      <c r="E75" s="793">
        <f>IF(E70&gt;=70,3,IF(AND(E70&gt;=60,E70&lt;70),2,IF(AND(E70&gt;=50,E70&lt;60),1)))</f>
        <v>3</v>
      </c>
      <c r="F75" s="793">
        <f>(50/100)*E75+(50/100)*D75</f>
        <v>3</v>
      </c>
      <c r="H75" s="329"/>
    </row>
    <row r="76" spans="1:14" x14ac:dyDescent="0.25">
      <c r="B76" s="805" t="s">
        <v>42</v>
      </c>
      <c r="C76" s="36">
        <f>AVERAGE(C70)*100</f>
        <v>79.310344827586206</v>
      </c>
      <c r="D76" s="793">
        <f t="shared" si="1"/>
        <v>3</v>
      </c>
      <c r="E76" s="793">
        <f>IF(E70&gt;=70,3,IF(AND(E70&gt;=60,E70&lt;70),2,IF(AND(E70&gt;=50,E70&lt;60),1)))</f>
        <v>3</v>
      </c>
      <c r="F76" s="793">
        <f>(50/100)*E76+(50/100)*D76</f>
        <v>3</v>
      </c>
      <c r="H76" s="329"/>
    </row>
    <row r="77" spans="1:14" x14ac:dyDescent="0.25">
      <c r="B77" s="755" t="s">
        <v>44</v>
      </c>
      <c r="C77" s="755"/>
      <c r="D77" s="755"/>
      <c r="E77" s="755"/>
      <c r="F77" s="793">
        <f>AVERAGE(F73:F73)</f>
        <v>3</v>
      </c>
      <c r="H77" s="342"/>
    </row>
    <row r="79" spans="1:14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4" x14ac:dyDescent="0.25">
      <c r="A80" s="2872" t="s">
        <v>134</v>
      </c>
      <c r="B80" s="2872"/>
      <c r="C80" s="472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859" t="s">
        <v>45</v>
      </c>
      <c r="C82" s="20" t="s">
        <v>46</v>
      </c>
      <c r="D82" s="20" t="s">
        <v>135</v>
      </c>
      <c r="E82" s="20" t="s">
        <v>48</v>
      </c>
      <c r="F82" s="20" t="s">
        <v>49</v>
      </c>
      <c r="G82" s="20" t="s">
        <v>50</v>
      </c>
      <c r="H82" s="20" t="s">
        <v>136</v>
      </c>
      <c r="I82" s="20" t="s">
        <v>52</v>
      </c>
      <c r="J82" s="20" t="s">
        <v>53</v>
      </c>
      <c r="K82" s="20" t="s">
        <v>54</v>
      </c>
      <c r="L82" s="20" t="s">
        <v>55</v>
      </c>
      <c r="M82" s="20" t="s">
        <v>56</v>
      </c>
      <c r="N82" s="20" t="s">
        <v>57</v>
      </c>
    </row>
    <row r="83" spans="1:14" x14ac:dyDescent="0.25">
      <c r="B83" s="20" t="s">
        <v>22</v>
      </c>
      <c r="C83" s="745">
        <v>3</v>
      </c>
      <c r="D83" s="745">
        <v>2</v>
      </c>
      <c r="E83" s="745"/>
      <c r="F83" s="745"/>
      <c r="G83" s="745">
        <v>1</v>
      </c>
      <c r="H83" s="745"/>
      <c r="I83" s="745"/>
      <c r="J83" s="745"/>
      <c r="K83" s="745">
        <v>3</v>
      </c>
      <c r="L83" s="745">
        <v>3</v>
      </c>
      <c r="M83" s="745">
        <v>2</v>
      </c>
      <c r="N83" s="745">
        <v>3</v>
      </c>
    </row>
    <row r="84" spans="1:14" x14ac:dyDescent="0.25">
      <c r="B84" s="20" t="s">
        <v>40</v>
      </c>
      <c r="C84" s="745">
        <v>3</v>
      </c>
      <c r="D84" s="745">
        <v>2</v>
      </c>
      <c r="E84" s="745">
        <v>1</v>
      </c>
      <c r="F84" s="745">
        <v>2</v>
      </c>
      <c r="G84" s="745">
        <v>1</v>
      </c>
      <c r="H84" s="745"/>
      <c r="I84" s="745"/>
      <c r="J84" s="745"/>
      <c r="K84" s="745">
        <v>3</v>
      </c>
      <c r="L84" s="745">
        <v>3</v>
      </c>
      <c r="M84" s="745">
        <v>2</v>
      </c>
      <c r="N84" s="745">
        <v>3</v>
      </c>
    </row>
    <row r="85" spans="1:14" x14ac:dyDescent="0.25">
      <c r="B85" s="20" t="s">
        <v>41</v>
      </c>
      <c r="C85" s="745">
        <v>3</v>
      </c>
      <c r="D85" s="745">
        <v>2</v>
      </c>
      <c r="E85" s="745">
        <v>1</v>
      </c>
      <c r="F85" s="745">
        <v>2</v>
      </c>
      <c r="G85" s="745">
        <v>3</v>
      </c>
      <c r="H85" s="745"/>
      <c r="I85" s="745"/>
      <c r="J85" s="745">
        <v>2</v>
      </c>
      <c r="K85" s="745">
        <v>3</v>
      </c>
      <c r="L85" s="745">
        <v>3</v>
      </c>
      <c r="M85" s="745">
        <v>2</v>
      </c>
      <c r="N85" s="745">
        <v>3</v>
      </c>
    </row>
    <row r="86" spans="1:14" x14ac:dyDescent="0.25">
      <c r="B86" s="20" t="s">
        <v>42</v>
      </c>
      <c r="C86" s="745">
        <v>3</v>
      </c>
      <c r="D86" s="745">
        <v>2</v>
      </c>
      <c r="E86" s="745">
        <v>1</v>
      </c>
      <c r="F86" s="745">
        <v>2</v>
      </c>
      <c r="G86" s="745">
        <v>3</v>
      </c>
      <c r="H86" s="745"/>
      <c r="I86" s="745"/>
      <c r="J86" s="745"/>
      <c r="K86" s="745">
        <v>3</v>
      </c>
      <c r="L86" s="745">
        <v>3</v>
      </c>
      <c r="M86" s="745">
        <v>2</v>
      </c>
      <c r="N86" s="745">
        <v>3</v>
      </c>
    </row>
    <row r="87" spans="1:14" x14ac:dyDescent="0.25">
      <c r="B87" s="859" t="s">
        <v>10</v>
      </c>
      <c r="C87" s="745">
        <f>AVERAGE(C83:C86)</f>
        <v>3</v>
      </c>
      <c r="D87" s="745">
        <f t="shared" ref="D87:N87" si="2">AVERAGE(D83:D86)</f>
        <v>2</v>
      </c>
      <c r="E87" s="745">
        <f t="shared" si="2"/>
        <v>1</v>
      </c>
      <c r="F87" s="745">
        <f t="shared" si="2"/>
        <v>2</v>
      </c>
      <c r="G87" s="745">
        <f>AVERAGE(G83:G86)</f>
        <v>2</v>
      </c>
      <c r="H87" s="745"/>
      <c r="I87" s="745"/>
      <c r="J87" s="745">
        <f t="shared" si="2"/>
        <v>2</v>
      </c>
      <c r="K87" s="745">
        <f t="shared" si="2"/>
        <v>3</v>
      </c>
      <c r="L87" s="745">
        <f t="shared" si="2"/>
        <v>3</v>
      </c>
      <c r="M87" s="745">
        <f t="shared" si="2"/>
        <v>2</v>
      </c>
      <c r="N87" s="745">
        <f t="shared" si="2"/>
        <v>3</v>
      </c>
    </row>
    <row r="88" spans="1:14" x14ac:dyDescent="0.25">
      <c r="B88" s="859" t="s">
        <v>58</v>
      </c>
      <c r="C88" s="3311">
        <f>AVERAGE(C87:N87)</f>
        <v>2.2999999999999998</v>
      </c>
      <c r="D88" s="3312"/>
      <c r="E88" s="3312"/>
      <c r="F88" s="3312"/>
      <c r="G88" s="3312"/>
      <c r="H88" s="3312"/>
      <c r="I88" s="3312"/>
      <c r="J88" s="3312"/>
      <c r="K88" s="3312"/>
      <c r="L88" s="3312"/>
      <c r="M88" s="3312"/>
      <c r="N88" s="3313"/>
    </row>
    <row r="90" spans="1:14" x14ac:dyDescent="0.25">
      <c r="A90" s="2872" t="s">
        <v>323</v>
      </c>
      <c r="B90" s="2872"/>
      <c r="C90" s="472"/>
    </row>
    <row r="92" spans="1:14" x14ac:dyDescent="0.25">
      <c r="B92" s="859" t="s">
        <v>45</v>
      </c>
      <c r="C92" s="906" t="s">
        <v>68</v>
      </c>
      <c r="D92" s="906" t="s">
        <v>69</v>
      </c>
      <c r="E92" s="906" t="s">
        <v>70</v>
      </c>
      <c r="F92" s="906" t="s">
        <v>71</v>
      </c>
      <c r="G92" s="906" t="s">
        <v>72</v>
      </c>
      <c r="H92" s="906" t="s">
        <v>73</v>
      </c>
      <c r="I92" s="906" t="s">
        <v>74</v>
      </c>
      <c r="J92" s="906" t="s">
        <v>75</v>
      </c>
      <c r="K92" s="906" t="s">
        <v>76</v>
      </c>
      <c r="L92" s="906" t="s">
        <v>77</v>
      </c>
      <c r="M92" s="906" t="s">
        <v>78</v>
      </c>
      <c r="N92" s="906" t="s">
        <v>79</v>
      </c>
    </row>
    <row r="93" spans="1:14" x14ac:dyDescent="0.25">
      <c r="B93" s="763" t="s">
        <v>20</v>
      </c>
      <c r="C93" s="907">
        <f>F73*C83/3</f>
        <v>3</v>
      </c>
      <c r="D93" s="907">
        <f>F73*D83/3</f>
        <v>2</v>
      </c>
      <c r="E93" s="907"/>
      <c r="F93" s="907"/>
      <c r="G93" s="907">
        <f>F73*G83/3</f>
        <v>1</v>
      </c>
      <c r="H93" s="907"/>
      <c r="I93" s="907"/>
      <c r="J93" s="907"/>
      <c r="K93" s="907">
        <f>F73*K83/3</f>
        <v>3</v>
      </c>
      <c r="L93" s="907">
        <f>F73*L83/3</f>
        <v>3</v>
      </c>
      <c r="M93" s="907">
        <f>F73*M83/3</f>
        <v>2</v>
      </c>
      <c r="N93" s="907">
        <f>F73*N83/3</f>
        <v>3</v>
      </c>
    </row>
    <row r="94" spans="1:14" x14ac:dyDescent="0.25">
      <c r="B94" s="763" t="s">
        <v>21</v>
      </c>
      <c r="C94" s="907">
        <f>F74*C84/3</f>
        <v>3</v>
      </c>
      <c r="D94" s="907">
        <f>F74*D84/3</f>
        <v>2</v>
      </c>
      <c r="E94" s="907">
        <f>F74*E84/3</f>
        <v>1</v>
      </c>
      <c r="F94" s="907">
        <f>F74*F84/3</f>
        <v>2</v>
      </c>
      <c r="G94" s="907">
        <f>F74*G84/3</f>
        <v>1</v>
      </c>
      <c r="H94" s="907"/>
      <c r="I94" s="907"/>
      <c r="J94" s="907"/>
      <c r="K94" s="907">
        <f>F74*K84/3</f>
        <v>3</v>
      </c>
      <c r="L94" s="907">
        <f>F74*L84/3</f>
        <v>3</v>
      </c>
      <c r="M94" s="907">
        <f>F74*M84/3</f>
        <v>2</v>
      </c>
      <c r="N94" s="907">
        <f>F74*N84/3</f>
        <v>3</v>
      </c>
    </row>
    <row r="95" spans="1:14" x14ac:dyDescent="0.25">
      <c r="B95" s="763" t="s">
        <v>23</v>
      </c>
      <c r="C95" s="907">
        <f>F75*C85/3</f>
        <v>3</v>
      </c>
      <c r="D95" s="907">
        <f>F75*D85/3</f>
        <v>2</v>
      </c>
      <c r="E95" s="907">
        <f>F75*E85/3</f>
        <v>1</v>
      </c>
      <c r="F95" s="907">
        <f>F75*F85/3</f>
        <v>2</v>
      </c>
      <c r="G95" s="907">
        <f>F75*G85/3</f>
        <v>3</v>
      </c>
      <c r="H95" s="907"/>
      <c r="I95" s="907"/>
      <c r="J95" s="907">
        <f>F74*J85/3</f>
        <v>2</v>
      </c>
      <c r="K95" s="907">
        <f>F75*K85/3</f>
        <v>3</v>
      </c>
      <c r="L95" s="907">
        <f>F75*L85/3</f>
        <v>3</v>
      </c>
      <c r="M95" s="907">
        <f>F75*M85/3</f>
        <v>2</v>
      </c>
      <c r="N95" s="907">
        <f>F75*N85/3</f>
        <v>3</v>
      </c>
    </row>
    <row r="96" spans="1:14" x14ac:dyDescent="0.25">
      <c r="B96" s="763" t="s">
        <v>25</v>
      </c>
      <c r="C96" s="907">
        <f>F76*C86/3</f>
        <v>3</v>
      </c>
      <c r="D96" s="907">
        <f>F76*D86/3</f>
        <v>2</v>
      </c>
      <c r="E96" s="907">
        <f>F76*E86/3</f>
        <v>1</v>
      </c>
      <c r="F96" s="907">
        <f>F76*F86/3</f>
        <v>2</v>
      </c>
      <c r="G96" s="907">
        <f>F76*G86/3</f>
        <v>3</v>
      </c>
      <c r="H96" s="907"/>
      <c r="I96" s="907"/>
      <c r="J96" s="907"/>
      <c r="K96" s="907">
        <f>F76*K86/3</f>
        <v>3</v>
      </c>
      <c r="L96" s="907">
        <f>F76*L86/3</f>
        <v>3</v>
      </c>
      <c r="M96" s="907">
        <f>F76*M86/3</f>
        <v>2</v>
      </c>
      <c r="N96" s="907">
        <f>F76*N86/3</f>
        <v>3</v>
      </c>
    </row>
    <row r="97" spans="1:14" x14ac:dyDescent="0.25">
      <c r="B97" s="859" t="s">
        <v>10</v>
      </c>
      <c r="C97" s="908">
        <f>AVERAGE(C93:C96)</f>
        <v>3</v>
      </c>
      <c r="D97" s="908">
        <f t="shared" ref="D97:N97" si="3">AVERAGE(D93:D96)</f>
        <v>2</v>
      </c>
      <c r="E97" s="908">
        <f t="shared" si="3"/>
        <v>1</v>
      </c>
      <c r="F97" s="908">
        <f t="shared" si="3"/>
        <v>2</v>
      </c>
      <c r="G97" s="908">
        <f t="shared" si="3"/>
        <v>2</v>
      </c>
      <c r="H97" s="908"/>
      <c r="I97" s="908"/>
      <c r="J97" s="908">
        <f t="shared" si="3"/>
        <v>2</v>
      </c>
      <c r="K97" s="908">
        <f t="shared" si="3"/>
        <v>3</v>
      </c>
      <c r="L97" s="908">
        <f t="shared" si="3"/>
        <v>3</v>
      </c>
      <c r="M97" s="908">
        <f t="shared" si="3"/>
        <v>2</v>
      </c>
      <c r="N97" s="908">
        <f t="shared" si="3"/>
        <v>3</v>
      </c>
    </row>
    <row r="98" spans="1:14" x14ac:dyDescent="0.25">
      <c r="B98" s="859" t="s">
        <v>58</v>
      </c>
      <c r="C98" s="3024">
        <f>AVERAGE(C97:N97)</f>
        <v>2.2999999999999998</v>
      </c>
      <c r="D98" s="3310"/>
      <c r="E98" s="3310"/>
      <c r="F98" s="3310"/>
      <c r="G98" s="3310"/>
      <c r="H98" s="3310"/>
      <c r="I98" s="3310"/>
      <c r="J98" s="3310"/>
      <c r="K98" s="3310"/>
      <c r="L98" s="3310"/>
      <c r="M98" s="3310"/>
      <c r="N98" s="3026"/>
    </row>
    <row r="100" spans="1:14" x14ac:dyDescent="0.25">
      <c r="B100" s="342"/>
      <c r="C100" s="342"/>
      <c r="D100" s="342"/>
      <c r="E100" s="342"/>
      <c r="F100" s="735"/>
      <c r="G100" s="735"/>
      <c r="H100" s="735"/>
      <c r="I100" s="735"/>
      <c r="J100" s="735"/>
      <c r="K100" s="735"/>
      <c r="L100" s="735"/>
      <c r="M100" s="735"/>
      <c r="N100" s="735"/>
    </row>
    <row r="101" spans="1:14" x14ac:dyDescent="0.25">
      <c r="A101" s="2872" t="s">
        <v>137</v>
      </c>
      <c r="B101" s="2872"/>
      <c r="C101" s="19"/>
      <c r="D101" s="19"/>
      <c r="E101" s="19"/>
      <c r="F101" s="22"/>
      <c r="G101" s="2872" t="s">
        <v>324</v>
      </c>
      <c r="H101" s="2872"/>
      <c r="I101" s="22"/>
      <c r="J101" s="22"/>
      <c r="K101" s="22"/>
      <c r="L101" s="22"/>
      <c r="M101" s="22"/>
      <c r="N101" s="22"/>
    </row>
    <row r="102" spans="1:14" x14ac:dyDescent="0.25">
      <c r="B102" s="472"/>
      <c r="C102" s="472"/>
      <c r="D102" s="19"/>
      <c r="E102" s="19"/>
      <c r="F102" s="22"/>
      <c r="G102" s="2872"/>
      <c r="H102" s="2872"/>
      <c r="I102" s="22"/>
      <c r="J102" s="22"/>
      <c r="K102" s="22"/>
      <c r="L102" s="22"/>
      <c r="M102" s="22"/>
      <c r="N102" s="22"/>
    </row>
    <row r="103" spans="1:14" x14ac:dyDescent="0.25">
      <c r="B103" s="859" t="s">
        <v>59</v>
      </c>
      <c r="C103" s="748" t="s">
        <v>87</v>
      </c>
      <c r="D103" s="748" t="s">
        <v>88</v>
      </c>
      <c r="E103" s="748" t="s">
        <v>85</v>
      </c>
      <c r="F103" s="756"/>
      <c r="G103" s="859" t="s">
        <v>59</v>
      </c>
      <c r="H103" s="906" t="s">
        <v>60</v>
      </c>
      <c r="I103" s="906" t="s">
        <v>61</v>
      </c>
      <c r="J103" s="906" t="s">
        <v>62</v>
      </c>
      <c r="L103" s="756"/>
      <c r="M103" s="756"/>
      <c r="N103" s="756"/>
    </row>
    <row r="104" spans="1:14" x14ac:dyDescent="0.25">
      <c r="B104" s="572" t="s">
        <v>22</v>
      </c>
      <c r="C104" s="856">
        <v>3</v>
      </c>
      <c r="D104" s="856"/>
      <c r="E104" s="856">
        <v>2</v>
      </c>
      <c r="F104" s="756"/>
      <c r="G104" s="860" t="s">
        <v>20</v>
      </c>
      <c r="H104" s="907">
        <f>F73*C104/3</f>
        <v>3</v>
      </c>
      <c r="I104" s="907"/>
      <c r="J104" s="907">
        <f t="shared" ref="J104:J105" si="4">F73*E104/3</f>
        <v>2</v>
      </c>
      <c r="L104" s="756"/>
      <c r="M104" s="756"/>
      <c r="N104" s="756"/>
    </row>
    <row r="105" spans="1:14" x14ac:dyDescent="0.25">
      <c r="B105" s="572" t="s">
        <v>40</v>
      </c>
      <c r="C105" s="856">
        <v>3</v>
      </c>
      <c r="D105" s="856">
        <v>1</v>
      </c>
      <c r="E105" s="856">
        <v>2</v>
      </c>
      <c r="F105" s="24"/>
      <c r="G105" s="860" t="s">
        <v>21</v>
      </c>
      <c r="H105" s="907">
        <f>F74*C105/3</f>
        <v>3</v>
      </c>
      <c r="I105" s="907">
        <f>F74*D105/3</f>
        <v>1</v>
      </c>
      <c r="J105" s="907">
        <f t="shared" si="4"/>
        <v>2</v>
      </c>
      <c r="L105" s="24"/>
      <c r="M105" s="24"/>
      <c r="N105" s="24"/>
    </row>
    <row r="106" spans="1:14" x14ac:dyDescent="0.25">
      <c r="B106" s="572" t="s">
        <v>41</v>
      </c>
      <c r="C106" s="856">
        <v>3</v>
      </c>
      <c r="D106" s="856">
        <v>3</v>
      </c>
      <c r="E106" s="856">
        <v>2</v>
      </c>
      <c r="F106" s="24"/>
      <c r="G106" s="860" t="s">
        <v>23</v>
      </c>
      <c r="H106" s="907">
        <f>F75*C106/3</f>
        <v>3</v>
      </c>
      <c r="I106" s="907">
        <f>F75*D106/3</f>
        <v>3</v>
      </c>
      <c r="J106" s="907">
        <f>F75*E106/3</f>
        <v>2</v>
      </c>
      <c r="L106" s="24"/>
      <c r="M106" s="24"/>
      <c r="N106" s="24"/>
    </row>
    <row r="107" spans="1:14" x14ac:dyDescent="0.25">
      <c r="B107" s="572" t="s">
        <v>42</v>
      </c>
      <c r="C107" s="749">
        <v>3</v>
      </c>
      <c r="D107" s="856">
        <v>3</v>
      </c>
      <c r="E107" s="856">
        <v>2</v>
      </c>
      <c r="F107" s="24"/>
      <c r="G107" s="860" t="s">
        <v>25</v>
      </c>
      <c r="H107" s="907">
        <f>F76*C107/3</f>
        <v>3</v>
      </c>
      <c r="I107" s="907">
        <f>F76*D107/3</f>
        <v>3</v>
      </c>
      <c r="J107" s="907">
        <f>F76*E107/3</f>
        <v>2</v>
      </c>
      <c r="L107" s="24"/>
      <c r="M107" s="24"/>
      <c r="N107" s="24"/>
    </row>
    <row r="108" spans="1:14" x14ac:dyDescent="0.25">
      <c r="B108" s="859" t="s">
        <v>10</v>
      </c>
      <c r="C108" s="909">
        <f>AVERAGE(C104:C107)</f>
        <v>3</v>
      </c>
      <c r="D108" s="909">
        <f t="shared" ref="D108:E108" si="5">AVERAGE(D104:D107)</f>
        <v>2.3333333333333335</v>
      </c>
      <c r="E108" s="909">
        <f t="shared" si="5"/>
        <v>2</v>
      </c>
      <c r="F108" s="910"/>
      <c r="G108" s="859" t="s">
        <v>10</v>
      </c>
      <c r="H108" s="911">
        <f>AVERAGE(H104:H107)</f>
        <v>3</v>
      </c>
      <c r="I108" s="911">
        <f t="shared" ref="I108:J108" si="6">AVERAGE(I104:I107)</f>
        <v>2.3333333333333335</v>
      </c>
      <c r="J108" s="911">
        <f t="shared" si="6"/>
        <v>2</v>
      </c>
      <c r="L108" s="910"/>
      <c r="M108" s="910"/>
      <c r="N108" s="910"/>
    </row>
    <row r="109" spans="1:14" x14ac:dyDescent="0.25">
      <c r="B109" s="859" t="s">
        <v>58</v>
      </c>
      <c r="C109" s="3307">
        <f>AVERAGE(C108:E108)</f>
        <v>2.4444444444444446</v>
      </c>
      <c r="D109" s="3308"/>
      <c r="E109" s="3309"/>
      <c r="F109" s="912"/>
      <c r="G109" s="859" t="s">
        <v>58</v>
      </c>
      <c r="H109" s="3024">
        <f>AVERAGE(H108:J108)</f>
        <v>2.4444444444444446</v>
      </c>
      <c r="I109" s="3310"/>
      <c r="J109" s="3026"/>
      <c r="L109" s="912"/>
      <c r="M109" s="912"/>
      <c r="N109" s="912"/>
    </row>
  </sheetData>
  <mergeCells count="19">
    <mergeCell ref="C109:E109"/>
    <mergeCell ref="H109:J109"/>
    <mergeCell ref="D5:D7"/>
    <mergeCell ref="E5:E7"/>
    <mergeCell ref="A69:B69"/>
    <mergeCell ref="A70:B70"/>
    <mergeCell ref="A80:B80"/>
    <mergeCell ref="C88:N88"/>
    <mergeCell ref="C5:C7"/>
    <mergeCell ref="A90:B90"/>
    <mergeCell ref="C98:N98"/>
    <mergeCell ref="A101:B101"/>
    <mergeCell ref="G101:H101"/>
    <mergeCell ref="G102:H102"/>
    <mergeCell ref="A2:B2"/>
    <mergeCell ref="A3:B3"/>
    <mergeCell ref="A4:B4"/>
    <mergeCell ref="A5:A7"/>
    <mergeCell ref="B5:B7"/>
  </mergeCells>
  <conditionalFormatting sqref="C9:C66">
    <cfRule type="cellIs" dxfId="9" priority="4" operator="lessThan">
      <formula>25</formula>
    </cfRule>
  </conditionalFormatting>
  <conditionalFormatting sqref="D11">
    <cfRule type="containsText" dxfId="8" priority="1" operator="containsText" text="F">
      <formula>NOT(ISERROR(SEARCH("F",D11)))</formula>
    </cfRule>
  </conditionalFormatting>
  <conditionalFormatting sqref="D9:D10 D12:D66">
    <cfRule type="containsText" dxfId="7" priority="2" operator="containsText" text="F">
      <formula>NOT(ISERROR(SEARCH("F",D9)))</formula>
    </cfRule>
  </conditionalFormatting>
  <pageMargins left="0.7" right="0.7" top="0.75" bottom="0.75" header="0.3" footer="0.3"/>
  <pageSetup paperSize="8" scale="57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100" zoomScale="96" zoomScaleNormal="96" workbookViewId="0">
      <selection activeCell="C13" sqref="C13"/>
    </sheetView>
  </sheetViews>
  <sheetFormatPr defaultRowHeight="15.75" x14ac:dyDescent="0.25"/>
  <cols>
    <col min="1" max="1" width="14.5703125" style="792" customWidth="1"/>
    <col min="2" max="2" width="21.5703125" style="792" customWidth="1"/>
    <col min="3" max="3" width="22" style="792" customWidth="1"/>
    <col min="4" max="4" width="12.5703125" style="792" customWidth="1"/>
    <col min="5" max="5" width="10.7109375" style="792" customWidth="1"/>
    <col min="6" max="6" width="12.85546875" style="792" customWidth="1"/>
    <col min="7" max="7" width="19.28515625" style="792" customWidth="1"/>
    <col min="8" max="8" width="14.140625" style="792" customWidth="1"/>
    <col min="9" max="16384" width="9.140625" style="792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338</v>
      </c>
      <c r="D2" s="802" t="s">
        <v>63</v>
      </c>
      <c r="E2" s="765" t="s">
        <v>337</v>
      </c>
      <c r="F2" s="735"/>
      <c r="G2" s="735"/>
      <c r="H2" s="735"/>
    </row>
    <row r="3" spans="1:8" ht="45" x14ac:dyDescent="0.25">
      <c r="A3" s="3301" t="s">
        <v>1</v>
      </c>
      <c r="B3" s="3301"/>
      <c r="C3" s="894" t="s">
        <v>339</v>
      </c>
      <c r="D3" s="803" t="s">
        <v>64</v>
      </c>
      <c r="E3" s="765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336</v>
      </c>
      <c r="D4" s="802" t="s">
        <v>65</v>
      </c>
      <c r="E4" s="765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826" t="s">
        <v>18</v>
      </c>
      <c r="B8" s="826" t="s">
        <v>26</v>
      </c>
      <c r="C8" s="895">
        <v>50</v>
      </c>
      <c r="D8" s="896"/>
      <c r="E8" s="824">
        <v>100</v>
      </c>
    </row>
    <row r="9" spans="1:8" ht="18.75" x14ac:dyDescent="0.25">
      <c r="A9" s="839">
        <v>1</v>
      </c>
      <c r="B9" s="897">
        <v>5191421001</v>
      </c>
      <c r="C9" s="814">
        <v>41</v>
      </c>
      <c r="D9" s="846" t="s">
        <v>30</v>
      </c>
      <c r="E9" s="866">
        <f>IF(D9="O",100,IF(D9="A+",90,IF(D9="A",80,IF(D9="B+",70,IF(D9="B",60,IF(D9="C",55,IF(D9="P",50,IF(D9="F",39))))))))</f>
        <v>90</v>
      </c>
    </row>
    <row r="10" spans="1:8" ht="18.75" x14ac:dyDescent="0.25">
      <c r="A10" s="839">
        <v>2</v>
      </c>
      <c r="B10" s="898">
        <v>5191421002</v>
      </c>
      <c r="C10" s="814">
        <v>45</v>
      </c>
      <c r="D10" s="846" t="s">
        <v>30</v>
      </c>
      <c r="E10" s="866">
        <f t="shared" ref="E10:E66" si="0">IF(D10="O",100,IF(D10="A+",90,IF(D10="A",80,IF(D10="B+",70,IF(D10="B",60,IF(D10="C",55,IF(D10="P",50,IF(D10="F",39))))))))</f>
        <v>90</v>
      </c>
    </row>
    <row r="11" spans="1:8" ht="18.75" x14ac:dyDescent="0.25">
      <c r="A11" s="839">
        <v>3</v>
      </c>
      <c r="B11" s="897">
        <v>5191421003</v>
      </c>
      <c r="C11" s="814">
        <v>47</v>
      </c>
      <c r="D11" s="846" t="s">
        <v>82</v>
      </c>
      <c r="E11" s="866">
        <f t="shared" si="0"/>
        <v>100</v>
      </c>
    </row>
    <row r="12" spans="1:8" ht="18.75" x14ac:dyDescent="0.25">
      <c r="A12" s="839">
        <v>4</v>
      </c>
      <c r="B12" s="897">
        <v>5191421004</v>
      </c>
      <c r="C12" s="814">
        <v>44</v>
      </c>
      <c r="D12" s="846" t="s">
        <v>82</v>
      </c>
      <c r="E12" s="866">
        <f t="shared" si="0"/>
        <v>100</v>
      </c>
    </row>
    <row r="13" spans="1:8" ht="18.75" x14ac:dyDescent="0.25">
      <c r="A13" s="839">
        <v>5</v>
      </c>
      <c r="B13" s="899">
        <v>5191421005</v>
      </c>
      <c r="C13" s="814">
        <v>44</v>
      </c>
      <c r="D13" s="846" t="s">
        <v>30</v>
      </c>
      <c r="E13" s="866">
        <f t="shared" si="0"/>
        <v>90</v>
      </c>
    </row>
    <row r="14" spans="1:8" ht="18.75" x14ac:dyDescent="0.25">
      <c r="A14" s="839">
        <v>6</v>
      </c>
      <c r="B14" s="897">
        <v>5191421006</v>
      </c>
      <c r="C14" s="814">
        <v>47</v>
      </c>
      <c r="D14" s="846" t="s">
        <v>82</v>
      </c>
      <c r="E14" s="866">
        <f t="shared" si="0"/>
        <v>100</v>
      </c>
    </row>
    <row r="15" spans="1:8" ht="18.75" x14ac:dyDescent="0.25">
      <c r="A15" s="839">
        <v>7</v>
      </c>
      <c r="B15" s="897">
        <v>5191421007</v>
      </c>
      <c r="C15" s="814">
        <v>46</v>
      </c>
      <c r="D15" s="846" t="s">
        <v>82</v>
      </c>
      <c r="E15" s="866">
        <f t="shared" si="0"/>
        <v>100</v>
      </c>
    </row>
    <row r="16" spans="1:8" ht="18.75" x14ac:dyDescent="0.25">
      <c r="A16" s="839">
        <v>8</v>
      </c>
      <c r="B16" s="897">
        <v>5191421008</v>
      </c>
      <c r="C16" s="814">
        <v>44</v>
      </c>
      <c r="D16" s="900" t="s">
        <v>30</v>
      </c>
      <c r="E16" s="866">
        <f t="shared" si="0"/>
        <v>90</v>
      </c>
    </row>
    <row r="17" spans="1:5" ht="18.75" x14ac:dyDescent="0.25">
      <c r="A17" s="839">
        <v>9</v>
      </c>
      <c r="B17" s="897">
        <v>5191421009</v>
      </c>
      <c r="C17" s="814">
        <v>45</v>
      </c>
      <c r="D17" s="846" t="s">
        <v>82</v>
      </c>
      <c r="E17" s="866">
        <f t="shared" si="0"/>
        <v>100</v>
      </c>
    </row>
    <row r="18" spans="1:5" ht="18.75" x14ac:dyDescent="0.25">
      <c r="A18" s="839">
        <v>10</v>
      </c>
      <c r="B18" s="897">
        <v>5191421010</v>
      </c>
      <c r="C18" s="814">
        <v>46</v>
      </c>
      <c r="D18" s="846" t="s">
        <v>82</v>
      </c>
      <c r="E18" s="866">
        <f t="shared" si="0"/>
        <v>100</v>
      </c>
    </row>
    <row r="19" spans="1:5" ht="18.75" x14ac:dyDescent="0.25">
      <c r="A19" s="839">
        <v>11</v>
      </c>
      <c r="B19" s="897">
        <v>5191421011</v>
      </c>
      <c r="C19" s="814">
        <v>45</v>
      </c>
      <c r="D19" s="846" t="s">
        <v>82</v>
      </c>
      <c r="E19" s="866">
        <f t="shared" si="0"/>
        <v>100</v>
      </c>
    </row>
    <row r="20" spans="1:5" ht="18.75" x14ac:dyDescent="0.25">
      <c r="A20" s="839">
        <v>12</v>
      </c>
      <c r="B20" s="897">
        <v>5191421012</v>
      </c>
      <c r="C20" s="814">
        <v>39</v>
      </c>
      <c r="D20" s="846" t="s">
        <v>30</v>
      </c>
      <c r="E20" s="866">
        <f t="shared" si="0"/>
        <v>90</v>
      </c>
    </row>
    <row r="21" spans="1:5" ht="18.75" x14ac:dyDescent="0.25">
      <c r="A21" s="839">
        <v>13</v>
      </c>
      <c r="B21" s="897">
        <v>5191421013</v>
      </c>
      <c r="C21" s="814">
        <v>46</v>
      </c>
      <c r="D21" s="846" t="s">
        <v>82</v>
      </c>
      <c r="E21" s="866">
        <f t="shared" si="0"/>
        <v>100</v>
      </c>
    </row>
    <row r="22" spans="1:5" ht="18.75" x14ac:dyDescent="0.25">
      <c r="A22" s="839">
        <v>14</v>
      </c>
      <c r="B22" s="897">
        <v>5191421014</v>
      </c>
      <c r="C22" s="814">
        <v>41</v>
      </c>
      <c r="D22" s="846" t="s">
        <v>30</v>
      </c>
      <c r="E22" s="866">
        <f t="shared" si="0"/>
        <v>90</v>
      </c>
    </row>
    <row r="23" spans="1:5" ht="18.75" x14ac:dyDescent="0.25">
      <c r="A23" s="839">
        <v>15</v>
      </c>
      <c r="B23" s="897">
        <v>5191421015</v>
      </c>
      <c r="C23" s="814">
        <v>45</v>
      </c>
      <c r="D23" s="846" t="s">
        <v>82</v>
      </c>
      <c r="E23" s="866">
        <f t="shared" si="0"/>
        <v>100</v>
      </c>
    </row>
    <row r="24" spans="1:5" ht="18.75" x14ac:dyDescent="0.25">
      <c r="A24" s="839">
        <v>16</v>
      </c>
      <c r="B24" s="897">
        <v>5191421016</v>
      </c>
      <c r="C24" s="814">
        <v>41</v>
      </c>
      <c r="D24" s="846" t="s">
        <v>27</v>
      </c>
      <c r="E24" s="866">
        <f t="shared" si="0"/>
        <v>80</v>
      </c>
    </row>
    <row r="25" spans="1:5" ht="18.75" x14ac:dyDescent="0.25">
      <c r="A25" s="839">
        <v>17</v>
      </c>
      <c r="B25" s="897">
        <v>5191421017</v>
      </c>
      <c r="C25" s="814">
        <v>46</v>
      </c>
      <c r="D25" s="846" t="s">
        <v>30</v>
      </c>
      <c r="E25" s="866">
        <f t="shared" si="0"/>
        <v>90</v>
      </c>
    </row>
    <row r="26" spans="1:5" ht="18.75" x14ac:dyDescent="0.25">
      <c r="A26" s="839">
        <v>18</v>
      </c>
      <c r="B26" s="897">
        <v>5191421018</v>
      </c>
      <c r="C26" s="814">
        <v>40</v>
      </c>
      <c r="D26" s="846" t="s">
        <v>27</v>
      </c>
      <c r="E26" s="866">
        <f t="shared" si="0"/>
        <v>80</v>
      </c>
    </row>
    <row r="27" spans="1:5" ht="18.75" x14ac:dyDescent="0.25">
      <c r="A27" s="839">
        <v>19</v>
      </c>
      <c r="B27" s="897">
        <v>5191421019</v>
      </c>
      <c r="C27" s="814">
        <v>47</v>
      </c>
      <c r="D27" s="846" t="s">
        <v>82</v>
      </c>
      <c r="E27" s="866">
        <f t="shared" si="0"/>
        <v>100</v>
      </c>
    </row>
    <row r="28" spans="1:5" ht="18.75" x14ac:dyDescent="0.25">
      <c r="A28" s="839">
        <v>20</v>
      </c>
      <c r="B28" s="897">
        <v>5191421020</v>
      </c>
      <c r="C28" s="814">
        <v>46</v>
      </c>
      <c r="D28" s="846" t="s">
        <v>82</v>
      </c>
      <c r="E28" s="866">
        <f t="shared" si="0"/>
        <v>100</v>
      </c>
    </row>
    <row r="29" spans="1:5" ht="18.75" x14ac:dyDescent="0.25">
      <c r="A29" s="839">
        <v>21</v>
      </c>
      <c r="B29" s="897">
        <v>5191421021</v>
      </c>
      <c r="C29" s="814">
        <v>42</v>
      </c>
      <c r="D29" s="846" t="s">
        <v>30</v>
      </c>
      <c r="E29" s="866">
        <f t="shared" si="0"/>
        <v>90</v>
      </c>
    </row>
    <row r="30" spans="1:5" ht="18.75" x14ac:dyDescent="0.25">
      <c r="A30" s="839">
        <v>22</v>
      </c>
      <c r="B30" s="897">
        <v>5191421022</v>
      </c>
      <c r="C30" s="814">
        <v>44</v>
      </c>
      <c r="D30" s="846" t="s">
        <v>30</v>
      </c>
      <c r="E30" s="866">
        <f t="shared" si="0"/>
        <v>90</v>
      </c>
    </row>
    <row r="31" spans="1:5" ht="18.75" x14ac:dyDescent="0.25">
      <c r="A31" s="839">
        <v>23</v>
      </c>
      <c r="B31" s="897">
        <v>5191421023</v>
      </c>
      <c r="C31" s="814">
        <v>40</v>
      </c>
      <c r="D31" s="846" t="s">
        <v>30</v>
      </c>
      <c r="E31" s="866">
        <f t="shared" si="0"/>
        <v>90</v>
      </c>
    </row>
    <row r="32" spans="1:5" ht="18.75" x14ac:dyDescent="0.25">
      <c r="A32" s="839">
        <v>24</v>
      </c>
      <c r="B32" s="897">
        <v>5191421024</v>
      </c>
      <c r="C32" s="814">
        <v>37</v>
      </c>
      <c r="D32" s="846" t="s">
        <v>27</v>
      </c>
      <c r="E32" s="866">
        <f t="shared" si="0"/>
        <v>80</v>
      </c>
    </row>
    <row r="33" spans="1:5" ht="18.75" x14ac:dyDescent="0.25">
      <c r="A33" s="839">
        <v>25</v>
      </c>
      <c r="B33" s="897">
        <v>5191421025</v>
      </c>
      <c r="C33" s="814">
        <v>47</v>
      </c>
      <c r="D33" s="846" t="s">
        <v>82</v>
      </c>
      <c r="E33" s="866">
        <f t="shared" si="0"/>
        <v>100</v>
      </c>
    </row>
    <row r="34" spans="1:5" ht="18.75" x14ac:dyDescent="0.25">
      <c r="A34" s="839">
        <v>26</v>
      </c>
      <c r="B34" s="897">
        <v>5191421026</v>
      </c>
      <c r="C34" s="814">
        <v>41</v>
      </c>
      <c r="D34" s="846" t="s">
        <v>30</v>
      </c>
      <c r="E34" s="866">
        <f t="shared" si="0"/>
        <v>90</v>
      </c>
    </row>
    <row r="35" spans="1:5" ht="18.75" x14ac:dyDescent="0.25">
      <c r="A35" s="839">
        <v>27</v>
      </c>
      <c r="B35" s="897">
        <v>5191421027</v>
      </c>
      <c r="C35" s="814">
        <v>42</v>
      </c>
      <c r="D35" s="846" t="s">
        <v>30</v>
      </c>
      <c r="E35" s="866">
        <f t="shared" si="0"/>
        <v>90</v>
      </c>
    </row>
    <row r="36" spans="1:5" ht="18.75" x14ac:dyDescent="0.25">
      <c r="A36" s="839">
        <v>28</v>
      </c>
      <c r="B36" s="897">
        <v>5191421028</v>
      </c>
      <c r="C36" s="814">
        <v>46</v>
      </c>
      <c r="D36" s="901" t="s">
        <v>82</v>
      </c>
      <c r="E36" s="866">
        <f t="shared" si="0"/>
        <v>100</v>
      </c>
    </row>
    <row r="37" spans="1:5" ht="18.75" x14ac:dyDescent="0.25">
      <c r="A37" s="839">
        <v>29</v>
      </c>
      <c r="B37" s="897">
        <v>5191421029</v>
      </c>
      <c r="C37" s="814">
        <v>45</v>
      </c>
      <c r="D37" s="846" t="s">
        <v>82</v>
      </c>
      <c r="E37" s="866">
        <f t="shared" si="0"/>
        <v>100</v>
      </c>
    </row>
    <row r="38" spans="1:5" ht="18.75" x14ac:dyDescent="0.25">
      <c r="A38" s="839">
        <v>30</v>
      </c>
      <c r="B38" s="897">
        <v>5191421030</v>
      </c>
      <c r="C38" s="814">
        <v>35</v>
      </c>
      <c r="D38" s="846" t="s">
        <v>27</v>
      </c>
      <c r="E38" s="866">
        <f t="shared" si="0"/>
        <v>80</v>
      </c>
    </row>
    <row r="39" spans="1:5" ht="18.75" x14ac:dyDescent="0.25">
      <c r="A39" s="839">
        <v>31</v>
      </c>
      <c r="B39" s="897">
        <v>5191421031</v>
      </c>
      <c r="C39" s="814">
        <v>44</v>
      </c>
      <c r="D39" s="846" t="s">
        <v>82</v>
      </c>
      <c r="E39" s="866">
        <f t="shared" si="0"/>
        <v>100</v>
      </c>
    </row>
    <row r="40" spans="1:5" ht="18.75" x14ac:dyDescent="0.25">
      <c r="A40" s="839">
        <v>32</v>
      </c>
      <c r="B40" s="897">
        <v>5191421032</v>
      </c>
      <c r="C40" s="814">
        <v>40</v>
      </c>
      <c r="D40" s="846" t="s">
        <v>27</v>
      </c>
      <c r="E40" s="866">
        <f t="shared" si="0"/>
        <v>80</v>
      </c>
    </row>
    <row r="41" spans="1:5" ht="18.75" x14ac:dyDescent="0.25">
      <c r="A41" s="839">
        <v>33</v>
      </c>
      <c r="B41" s="897">
        <v>5191421033</v>
      </c>
      <c r="C41" s="814">
        <v>46</v>
      </c>
      <c r="D41" s="846" t="s">
        <v>82</v>
      </c>
      <c r="E41" s="866">
        <f t="shared" si="0"/>
        <v>100</v>
      </c>
    </row>
    <row r="42" spans="1:5" ht="18.75" x14ac:dyDescent="0.25">
      <c r="A42" s="839">
        <v>34</v>
      </c>
      <c r="B42" s="897">
        <v>5191421034</v>
      </c>
      <c r="C42" s="814">
        <v>45</v>
      </c>
      <c r="D42" s="846" t="s">
        <v>82</v>
      </c>
      <c r="E42" s="866">
        <f t="shared" si="0"/>
        <v>100</v>
      </c>
    </row>
    <row r="43" spans="1:5" ht="18.75" x14ac:dyDescent="0.25">
      <c r="A43" s="839">
        <v>35</v>
      </c>
      <c r="B43" s="897">
        <v>5191421035</v>
      </c>
      <c r="C43" s="814">
        <v>35</v>
      </c>
      <c r="D43" s="846" t="s">
        <v>32</v>
      </c>
      <c r="E43" s="866">
        <f t="shared" si="0"/>
        <v>70</v>
      </c>
    </row>
    <row r="44" spans="1:5" ht="18.75" x14ac:dyDescent="0.25">
      <c r="A44" s="839">
        <v>36</v>
      </c>
      <c r="B44" s="897">
        <v>5191421036</v>
      </c>
      <c r="C44" s="814">
        <v>48</v>
      </c>
      <c r="D44" s="846" t="s">
        <v>82</v>
      </c>
      <c r="E44" s="866">
        <f t="shared" si="0"/>
        <v>100</v>
      </c>
    </row>
    <row r="45" spans="1:5" ht="18.75" x14ac:dyDescent="0.25">
      <c r="A45" s="839">
        <v>37</v>
      </c>
      <c r="B45" s="897">
        <v>5191421037</v>
      </c>
      <c r="C45" s="814">
        <v>35</v>
      </c>
      <c r="D45" s="846" t="s">
        <v>32</v>
      </c>
      <c r="E45" s="866">
        <f t="shared" si="0"/>
        <v>70</v>
      </c>
    </row>
    <row r="46" spans="1:5" ht="18.75" x14ac:dyDescent="0.25">
      <c r="A46" s="839">
        <v>38</v>
      </c>
      <c r="B46" s="897">
        <v>5191421038</v>
      </c>
      <c r="C46" s="814">
        <v>41</v>
      </c>
      <c r="D46" s="846" t="s">
        <v>30</v>
      </c>
      <c r="E46" s="866">
        <f t="shared" si="0"/>
        <v>90</v>
      </c>
    </row>
    <row r="47" spans="1:5" ht="18.75" x14ac:dyDescent="0.25">
      <c r="A47" s="839">
        <v>39</v>
      </c>
      <c r="B47" s="897">
        <v>5191421039</v>
      </c>
      <c r="C47" s="814">
        <v>46</v>
      </c>
      <c r="D47" s="846" t="s">
        <v>82</v>
      </c>
      <c r="E47" s="866">
        <f t="shared" si="0"/>
        <v>100</v>
      </c>
    </row>
    <row r="48" spans="1:5" ht="18.75" x14ac:dyDescent="0.25">
      <c r="A48" s="839">
        <v>40</v>
      </c>
      <c r="B48" s="897">
        <v>5191421040</v>
      </c>
      <c r="C48" s="814">
        <v>41</v>
      </c>
      <c r="D48" s="846" t="s">
        <v>30</v>
      </c>
      <c r="E48" s="866">
        <f t="shared" si="0"/>
        <v>90</v>
      </c>
    </row>
    <row r="49" spans="1:5" ht="18.75" x14ac:dyDescent="0.25">
      <c r="A49" s="839">
        <v>41</v>
      </c>
      <c r="B49" s="897">
        <v>5191421041</v>
      </c>
      <c r="C49" s="814">
        <v>39</v>
      </c>
      <c r="D49" s="846" t="s">
        <v>30</v>
      </c>
      <c r="E49" s="866">
        <f t="shared" si="0"/>
        <v>90</v>
      </c>
    </row>
    <row r="50" spans="1:5" ht="18.75" x14ac:dyDescent="0.25">
      <c r="A50" s="839">
        <v>42</v>
      </c>
      <c r="B50" s="897">
        <v>5191421042</v>
      </c>
      <c r="C50" s="814">
        <v>37</v>
      </c>
      <c r="D50" s="846" t="s">
        <v>27</v>
      </c>
      <c r="E50" s="866">
        <f t="shared" si="0"/>
        <v>80</v>
      </c>
    </row>
    <row r="51" spans="1:5" ht="18.75" x14ac:dyDescent="0.25">
      <c r="A51" s="839">
        <v>43</v>
      </c>
      <c r="B51" s="897">
        <v>5191421043</v>
      </c>
      <c r="C51" s="814">
        <v>44</v>
      </c>
      <c r="D51" s="846" t="s">
        <v>30</v>
      </c>
      <c r="E51" s="866">
        <f t="shared" si="0"/>
        <v>90</v>
      </c>
    </row>
    <row r="52" spans="1:5" ht="18.75" x14ac:dyDescent="0.25">
      <c r="A52" s="839">
        <v>44</v>
      </c>
      <c r="B52" s="897">
        <v>5191421044</v>
      </c>
      <c r="C52" s="814">
        <v>48</v>
      </c>
      <c r="D52" s="846" t="s">
        <v>82</v>
      </c>
      <c r="E52" s="866">
        <f t="shared" si="0"/>
        <v>100</v>
      </c>
    </row>
    <row r="53" spans="1:5" ht="18.75" x14ac:dyDescent="0.25">
      <c r="A53" s="839">
        <v>45</v>
      </c>
      <c r="B53" s="897">
        <v>5191421045</v>
      </c>
      <c r="C53" s="814">
        <v>44</v>
      </c>
      <c r="D53" s="846" t="s">
        <v>30</v>
      </c>
      <c r="E53" s="866">
        <f t="shared" si="0"/>
        <v>90</v>
      </c>
    </row>
    <row r="54" spans="1:5" ht="18.75" x14ac:dyDescent="0.25">
      <c r="A54" s="839">
        <v>46</v>
      </c>
      <c r="B54" s="897">
        <v>5191421046</v>
      </c>
      <c r="C54" s="814">
        <v>45</v>
      </c>
      <c r="D54" s="846" t="s">
        <v>82</v>
      </c>
      <c r="E54" s="866">
        <f t="shared" si="0"/>
        <v>100</v>
      </c>
    </row>
    <row r="55" spans="1:5" ht="18.75" x14ac:dyDescent="0.25">
      <c r="A55" s="839">
        <v>47</v>
      </c>
      <c r="B55" s="897">
        <v>5191421047</v>
      </c>
      <c r="C55" s="814">
        <v>40</v>
      </c>
      <c r="D55" s="846" t="s">
        <v>154</v>
      </c>
      <c r="E55" s="866" t="b">
        <f t="shared" si="0"/>
        <v>0</v>
      </c>
    </row>
    <row r="56" spans="1:5" ht="18.75" x14ac:dyDescent="0.25">
      <c r="A56" s="839">
        <v>48</v>
      </c>
      <c r="B56" s="897">
        <v>5191421048</v>
      </c>
      <c r="C56" s="814">
        <v>44</v>
      </c>
      <c r="D56" s="846" t="s">
        <v>30</v>
      </c>
      <c r="E56" s="866">
        <f t="shared" si="0"/>
        <v>90</v>
      </c>
    </row>
    <row r="57" spans="1:5" ht="18.75" x14ac:dyDescent="0.25">
      <c r="A57" s="839">
        <v>49</v>
      </c>
      <c r="B57" s="897">
        <v>5191421049</v>
      </c>
      <c r="C57" s="814">
        <v>40</v>
      </c>
      <c r="D57" s="846" t="s">
        <v>27</v>
      </c>
      <c r="E57" s="866">
        <f t="shared" si="0"/>
        <v>80</v>
      </c>
    </row>
    <row r="58" spans="1:5" ht="18.75" x14ac:dyDescent="0.25">
      <c r="A58" s="839">
        <v>50</v>
      </c>
      <c r="B58" s="897">
        <v>5191421050</v>
      </c>
      <c r="C58" s="814">
        <v>38</v>
      </c>
      <c r="D58" s="846" t="s">
        <v>27</v>
      </c>
      <c r="E58" s="866">
        <f t="shared" si="0"/>
        <v>80</v>
      </c>
    </row>
    <row r="59" spans="1:5" ht="18.75" x14ac:dyDescent="0.25">
      <c r="A59" s="839">
        <v>51</v>
      </c>
      <c r="B59" s="897">
        <v>5191421051</v>
      </c>
      <c r="C59" s="814">
        <v>43</v>
      </c>
      <c r="D59" s="846" t="s">
        <v>30</v>
      </c>
      <c r="E59" s="866">
        <f t="shared" si="0"/>
        <v>90</v>
      </c>
    </row>
    <row r="60" spans="1:5" ht="18.75" x14ac:dyDescent="0.25">
      <c r="A60" s="839">
        <v>52</v>
      </c>
      <c r="B60" s="897">
        <v>5191421052</v>
      </c>
      <c r="C60" s="814">
        <v>46</v>
      </c>
      <c r="D60" s="846" t="s">
        <v>82</v>
      </c>
      <c r="E60" s="866">
        <f t="shared" si="0"/>
        <v>100</v>
      </c>
    </row>
    <row r="61" spans="1:5" ht="18.75" x14ac:dyDescent="0.25">
      <c r="A61" s="839">
        <v>53</v>
      </c>
      <c r="B61" s="897">
        <v>5191421053</v>
      </c>
      <c r="C61" s="814">
        <v>46</v>
      </c>
      <c r="D61" s="846" t="s">
        <v>82</v>
      </c>
      <c r="E61" s="866">
        <f t="shared" si="0"/>
        <v>100</v>
      </c>
    </row>
    <row r="62" spans="1:5" ht="18.75" x14ac:dyDescent="0.25">
      <c r="A62" s="839">
        <v>54</v>
      </c>
      <c r="B62" s="897">
        <v>5191421054</v>
      </c>
      <c r="C62" s="814">
        <v>44</v>
      </c>
      <c r="D62" s="846" t="s">
        <v>30</v>
      </c>
      <c r="E62" s="866">
        <f t="shared" si="0"/>
        <v>90</v>
      </c>
    </row>
    <row r="63" spans="1:5" ht="18.75" x14ac:dyDescent="0.25">
      <c r="A63" s="839">
        <v>55</v>
      </c>
      <c r="B63" s="897">
        <v>5191421055</v>
      </c>
      <c r="C63" s="814">
        <v>40</v>
      </c>
      <c r="D63" s="846" t="s">
        <v>30</v>
      </c>
      <c r="E63" s="866">
        <f t="shared" si="0"/>
        <v>90</v>
      </c>
    </row>
    <row r="64" spans="1:5" ht="18.75" x14ac:dyDescent="0.25">
      <c r="A64" s="839">
        <v>56</v>
      </c>
      <c r="B64" s="897">
        <v>5191421056</v>
      </c>
      <c r="C64" s="814">
        <v>44</v>
      </c>
      <c r="D64" s="846" t="s">
        <v>30</v>
      </c>
      <c r="E64" s="866">
        <f t="shared" si="0"/>
        <v>90</v>
      </c>
    </row>
    <row r="65" spans="1:14" ht="18.75" x14ac:dyDescent="0.25">
      <c r="A65" s="839">
        <v>57</v>
      </c>
      <c r="B65" s="897">
        <v>5191421057</v>
      </c>
      <c r="C65" s="814">
        <v>46</v>
      </c>
      <c r="D65" s="902" t="s">
        <v>82</v>
      </c>
      <c r="E65" s="866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814">
        <v>38</v>
      </c>
      <c r="D66" s="904" t="s">
        <v>27</v>
      </c>
      <c r="E66" s="866">
        <f t="shared" si="0"/>
        <v>80</v>
      </c>
    </row>
    <row r="67" spans="1:14" x14ac:dyDescent="0.25">
      <c r="C67" s="793">
        <f>COUNT(C9:C66)</f>
        <v>58</v>
      </c>
      <c r="D67" s="793"/>
    </row>
    <row r="68" spans="1:14" ht="31.5" x14ac:dyDescent="0.25">
      <c r="A68" s="855" t="s">
        <v>34</v>
      </c>
      <c r="B68" s="805">
        <v>65</v>
      </c>
      <c r="C68" s="769">
        <f>C8*(B68/100)</f>
        <v>32.5</v>
      </c>
      <c r="D68" s="793"/>
    </row>
    <row r="69" spans="1:14" x14ac:dyDescent="0.25">
      <c r="A69" s="3305" t="s">
        <v>35</v>
      </c>
      <c r="B69" s="3305"/>
      <c r="C69" s="793">
        <f>COUNTIF(C9:C66,"&gt;=" &amp;C68)</f>
        <v>58</v>
      </c>
      <c r="D69" s="793"/>
      <c r="E69" s="793">
        <f>COUNTIF(E9:E66,"&gt;="&amp;B68)</f>
        <v>57</v>
      </c>
    </row>
    <row r="70" spans="1:14" x14ac:dyDescent="0.25">
      <c r="A70" s="3306" t="s">
        <v>36</v>
      </c>
      <c r="B70" s="3306"/>
      <c r="C70" s="36">
        <f>C69/C67</f>
        <v>1</v>
      </c>
      <c r="D70" s="793"/>
      <c r="E70" s="36">
        <f>(E69/A66)*100</f>
        <v>98.275862068965509</v>
      </c>
    </row>
    <row r="73" spans="1:14" ht="31.5" x14ac:dyDescent="0.25">
      <c r="B73" s="939"/>
      <c r="C73" s="939"/>
      <c r="D73" s="976" t="s">
        <v>38</v>
      </c>
      <c r="E73" s="976" t="s">
        <v>39</v>
      </c>
      <c r="F73" s="978" t="s">
        <v>37</v>
      </c>
      <c r="H73" s="13"/>
    </row>
    <row r="74" spans="1:14" x14ac:dyDescent="0.25">
      <c r="B74" s="976" t="s">
        <v>22</v>
      </c>
      <c r="C74" s="36">
        <f>AVERAGE(C70)*100</f>
        <v>100</v>
      </c>
      <c r="D74" s="979">
        <f>IF(C74&gt;=70,3,IF(AND(C74&gt;=60,C74&lt;70),2,IF(AND(C74&gt;=50,C74&lt;60),1)))</f>
        <v>3</v>
      </c>
      <c r="E74" s="979">
        <f>IF(E70&gt;=70,3,IF(AND(E70&gt;=60,E70&lt;70),2,IF(AND(E70&gt;=50,E70&lt;60),1)))</f>
        <v>3</v>
      </c>
      <c r="F74" s="793">
        <f>(50/100)*E74+(50/100)*D74</f>
        <v>3</v>
      </c>
      <c r="H74" s="329"/>
    </row>
    <row r="75" spans="1:14" x14ac:dyDescent="0.25">
      <c r="B75" s="976" t="s">
        <v>40</v>
      </c>
      <c r="C75" s="36">
        <f>AVERAGE(C70)*100</f>
        <v>100</v>
      </c>
      <c r="D75" s="979">
        <f t="shared" ref="D75:D77" si="1">IF(C75&gt;=70,3,IF(AND(C75&gt;=60,C75&lt;70),2,IF(AND(C75&gt;=50,C75&lt;60),1)))</f>
        <v>3</v>
      </c>
      <c r="E75" s="979">
        <f>IF(E70&gt;=70,3,IF(AND(E70&gt;=60,E70&lt;70),2,IF(AND(E70&gt;=50,E70&lt;60),1)))</f>
        <v>3</v>
      </c>
      <c r="F75" s="793">
        <f>(50/100)*E75+(50/100)*D75</f>
        <v>3</v>
      </c>
      <c r="H75" s="329"/>
    </row>
    <row r="76" spans="1:14" x14ac:dyDescent="0.25">
      <c r="B76" s="976" t="s">
        <v>41</v>
      </c>
      <c r="C76" s="36">
        <f>AVERAGE(C70)*100</f>
        <v>100</v>
      </c>
      <c r="D76" s="979">
        <f t="shared" si="1"/>
        <v>3</v>
      </c>
      <c r="E76" s="979">
        <f>IF(E70&gt;=70,3,IF(AND(E70&gt;=60,E70&lt;70),2,IF(AND(E70&gt;=50,E70&lt;60),1)))</f>
        <v>3</v>
      </c>
      <c r="F76" s="793">
        <f>(50/100)*E76+(50/100)*D76</f>
        <v>3</v>
      </c>
      <c r="H76" s="329"/>
    </row>
    <row r="77" spans="1:14" x14ac:dyDescent="0.25">
      <c r="B77" s="976" t="s">
        <v>42</v>
      </c>
      <c r="C77" s="36">
        <f>AVERAGE(C70)*100</f>
        <v>100</v>
      </c>
      <c r="D77" s="979">
        <f t="shared" si="1"/>
        <v>3</v>
      </c>
      <c r="E77" s="979">
        <f>IF(E70&gt;=70,3,IF(AND(E70&gt;=60,E70&lt;70),2,IF(AND(E70&gt;=50,E70&lt;60),1)))</f>
        <v>3</v>
      </c>
      <c r="F77" s="793">
        <f>(50/100)*E77+(50/100)*D77</f>
        <v>3</v>
      </c>
      <c r="H77" s="329"/>
    </row>
    <row r="78" spans="1:14" x14ac:dyDescent="0.25">
      <c r="B78" s="975" t="s">
        <v>44</v>
      </c>
      <c r="C78" s="975"/>
      <c r="D78" s="975"/>
      <c r="E78" s="975"/>
      <c r="F78" s="793">
        <f>AVERAGE(F74:F74)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859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x14ac:dyDescent="0.25">
      <c r="B84" s="20" t="s">
        <v>22</v>
      </c>
      <c r="C84" s="745">
        <v>3</v>
      </c>
      <c r="D84" s="745">
        <v>3</v>
      </c>
      <c r="E84" s="745">
        <v>1</v>
      </c>
      <c r="F84" s="745"/>
      <c r="G84" s="745">
        <v>3</v>
      </c>
      <c r="H84" s="745"/>
      <c r="I84" s="745">
        <v>2</v>
      </c>
      <c r="J84" s="745"/>
      <c r="K84" s="745"/>
      <c r="L84" s="745"/>
      <c r="M84" s="745"/>
      <c r="N84" s="745"/>
    </row>
    <row r="85" spans="1:14" x14ac:dyDescent="0.25">
      <c r="B85" s="20" t="s">
        <v>40</v>
      </c>
      <c r="C85" s="745">
        <v>3</v>
      </c>
      <c r="D85" s="745">
        <v>2</v>
      </c>
      <c r="E85" s="745">
        <v>3</v>
      </c>
      <c r="F85" s="745">
        <v>3</v>
      </c>
      <c r="G85" s="745">
        <v>3</v>
      </c>
      <c r="H85" s="745"/>
      <c r="I85" s="745">
        <v>3</v>
      </c>
      <c r="J85" s="745"/>
      <c r="K85" s="745">
        <v>3</v>
      </c>
      <c r="L85" s="745">
        <v>2</v>
      </c>
      <c r="M85" s="745">
        <v>1</v>
      </c>
      <c r="N85" s="745">
        <v>2</v>
      </c>
    </row>
    <row r="86" spans="1:14" x14ac:dyDescent="0.25">
      <c r="B86" s="20" t="s">
        <v>41</v>
      </c>
      <c r="C86" s="745">
        <v>3</v>
      </c>
      <c r="D86" s="745">
        <v>2</v>
      </c>
      <c r="E86" s="745">
        <v>3</v>
      </c>
      <c r="F86" s="745">
        <v>3</v>
      </c>
      <c r="G86" s="745">
        <v>3</v>
      </c>
      <c r="H86" s="745"/>
      <c r="I86" s="745">
        <v>3</v>
      </c>
      <c r="J86" s="745"/>
      <c r="K86" s="745">
        <v>3</v>
      </c>
      <c r="L86" s="745"/>
      <c r="M86" s="745">
        <v>1</v>
      </c>
      <c r="N86" s="745">
        <v>2</v>
      </c>
    </row>
    <row r="87" spans="1:14" x14ac:dyDescent="0.25">
      <c r="B87" s="20" t="s">
        <v>42</v>
      </c>
      <c r="C87" s="745">
        <v>3</v>
      </c>
      <c r="D87" s="745">
        <v>3</v>
      </c>
      <c r="E87" s="745">
        <v>2</v>
      </c>
      <c r="F87" s="745">
        <v>2</v>
      </c>
      <c r="G87" s="745">
        <v>3</v>
      </c>
      <c r="H87" s="745"/>
      <c r="I87" s="745">
        <v>2</v>
      </c>
      <c r="J87" s="745"/>
      <c r="K87" s="745"/>
      <c r="L87" s="745"/>
      <c r="M87" s="745"/>
      <c r="N87" s="745">
        <v>2</v>
      </c>
    </row>
    <row r="88" spans="1:14" x14ac:dyDescent="0.25">
      <c r="B88" s="859" t="s">
        <v>10</v>
      </c>
      <c r="C88" s="745">
        <f>AVERAGE(C84:C87)</f>
        <v>3</v>
      </c>
      <c r="D88" s="745">
        <f t="shared" ref="D88:N88" si="2">AVERAGE(D84:D87)</f>
        <v>2.5</v>
      </c>
      <c r="E88" s="745">
        <f t="shared" si="2"/>
        <v>2.25</v>
      </c>
      <c r="F88" s="745">
        <f t="shared" si="2"/>
        <v>2.6666666666666665</v>
      </c>
      <c r="G88" s="745">
        <f>AVERAGE(G84:G87)</f>
        <v>3</v>
      </c>
      <c r="H88" s="745"/>
      <c r="I88" s="745">
        <f t="shared" si="2"/>
        <v>2.5</v>
      </c>
      <c r="J88" s="745"/>
      <c r="K88" s="745">
        <f t="shared" si="2"/>
        <v>3</v>
      </c>
      <c r="L88" s="745">
        <f t="shared" si="2"/>
        <v>2</v>
      </c>
      <c r="M88" s="745">
        <f t="shared" si="2"/>
        <v>1</v>
      </c>
      <c r="N88" s="745">
        <f t="shared" si="2"/>
        <v>2</v>
      </c>
    </row>
    <row r="89" spans="1:14" x14ac:dyDescent="0.25">
      <c r="B89" s="859" t="s">
        <v>58</v>
      </c>
      <c r="C89" s="3311">
        <f>AVERAGE(C88:N88)</f>
        <v>2.3916666666666666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859" t="s">
        <v>45</v>
      </c>
      <c r="C93" s="906" t="s">
        <v>68</v>
      </c>
      <c r="D93" s="906" t="s">
        <v>69</v>
      </c>
      <c r="E93" s="906" t="s">
        <v>70</v>
      </c>
      <c r="F93" s="906" t="s">
        <v>71</v>
      </c>
      <c r="G93" s="906" t="s">
        <v>72</v>
      </c>
      <c r="H93" s="906" t="s">
        <v>73</v>
      </c>
      <c r="I93" s="906" t="s">
        <v>74</v>
      </c>
      <c r="J93" s="906" t="s">
        <v>75</v>
      </c>
      <c r="K93" s="906" t="s">
        <v>76</v>
      </c>
      <c r="L93" s="906" t="s">
        <v>77</v>
      </c>
      <c r="M93" s="906" t="s">
        <v>78</v>
      </c>
      <c r="N93" s="906" t="s">
        <v>79</v>
      </c>
    </row>
    <row r="94" spans="1:14" x14ac:dyDescent="0.25">
      <c r="B94" s="763" t="s">
        <v>20</v>
      </c>
      <c r="C94" s="733">
        <f>F74*C84/3</f>
        <v>3</v>
      </c>
      <c r="D94" s="733">
        <f>F74*D84/3</f>
        <v>3</v>
      </c>
      <c r="E94" s="733">
        <f>F74*E84/3</f>
        <v>1</v>
      </c>
      <c r="F94" s="733"/>
      <c r="G94" s="733">
        <f>F74*G84/3</f>
        <v>3</v>
      </c>
      <c r="H94" s="733"/>
      <c r="I94" s="733">
        <f>F74*I84/3</f>
        <v>2</v>
      </c>
      <c r="J94" s="733"/>
      <c r="K94" s="733"/>
      <c r="L94" s="733"/>
      <c r="M94" s="733"/>
      <c r="N94" s="733"/>
    </row>
    <row r="95" spans="1:14" x14ac:dyDescent="0.25">
      <c r="B95" s="763" t="s">
        <v>21</v>
      </c>
      <c r="C95" s="733">
        <f>F75*C85/3</f>
        <v>3</v>
      </c>
      <c r="D95" s="733">
        <f>F75*D85/3</f>
        <v>2</v>
      </c>
      <c r="E95" s="733">
        <f>F75*E85/3</f>
        <v>3</v>
      </c>
      <c r="F95" s="733">
        <f>F75*F85/3</f>
        <v>3</v>
      </c>
      <c r="G95" s="733">
        <f>F75*G85/3</f>
        <v>3</v>
      </c>
      <c r="H95" s="733"/>
      <c r="I95" s="733">
        <f>F75*I85/3</f>
        <v>3</v>
      </c>
      <c r="J95" s="733"/>
      <c r="K95" s="733">
        <f>F75*K85/3</f>
        <v>3</v>
      </c>
      <c r="L95" s="733">
        <f>F75*L85/3</f>
        <v>2</v>
      </c>
      <c r="M95" s="733">
        <f>F75*M85/3</f>
        <v>1</v>
      </c>
      <c r="N95" s="733">
        <f>F75*N85/3</f>
        <v>2</v>
      </c>
    </row>
    <row r="96" spans="1:14" x14ac:dyDescent="0.25">
      <c r="B96" s="763" t="s">
        <v>23</v>
      </c>
      <c r="C96" s="733">
        <f>F76*C86/3</f>
        <v>3</v>
      </c>
      <c r="D96" s="733">
        <f>F76*D86/3</f>
        <v>2</v>
      </c>
      <c r="E96" s="733">
        <f>F76*E86/3</f>
        <v>3</v>
      </c>
      <c r="F96" s="733">
        <f>F76*F86/3</f>
        <v>3</v>
      </c>
      <c r="G96" s="733">
        <f>F76*G86/3</f>
        <v>3</v>
      </c>
      <c r="H96" s="733"/>
      <c r="I96" s="733">
        <f>F76*I86/3</f>
        <v>3</v>
      </c>
      <c r="J96" s="733"/>
      <c r="K96" s="733">
        <f>F76*K86/3</f>
        <v>3</v>
      </c>
      <c r="L96" s="733"/>
      <c r="M96" s="733">
        <f>F76*M86/3</f>
        <v>1</v>
      </c>
      <c r="N96" s="733">
        <f>F76*N86/3</f>
        <v>2</v>
      </c>
    </row>
    <row r="97" spans="1:14" x14ac:dyDescent="0.25">
      <c r="B97" s="763" t="s">
        <v>25</v>
      </c>
      <c r="C97" s="733">
        <f>F77*C87/3</f>
        <v>3</v>
      </c>
      <c r="D97" s="733">
        <f>F77*D87/3</f>
        <v>3</v>
      </c>
      <c r="E97" s="733">
        <f>F77*E87/3</f>
        <v>2</v>
      </c>
      <c r="F97" s="733">
        <f>F77*F87/3</f>
        <v>2</v>
      </c>
      <c r="G97" s="733">
        <f>F77*G87/3</f>
        <v>3</v>
      </c>
      <c r="H97" s="733"/>
      <c r="I97" s="733">
        <f>F77*I87/3</f>
        <v>2</v>
      </c>
      <c r="J97" s="733"/>
      <c r="K97" s="733"/>
      <c r="L97" s="733"/>
      <c r="M97" s="733"/>
      <c r="N97" s="733">
        <f>F77*N87/3</f>
        <v>2</v>
      </c>
    </row>
    <row r="98" spans="1:14" x14ac:dyDescent="0.25">
      <c r="B98" s="859" t="s">
        <v>10</v>
      </c>
      <c r="C98" s="931">
        <f>AVERAGE(C94:C97)</f>
        <v>3</v>
      </c>
      <c r="D98" s="931">
        <f t="shared" ref="D98:N98" si="3">AVERAGE(D94:D97)</f>
        <v>2.5</v>
      </c>
      <c r="E98" s="931">
        <f t="shared" si="3"/>
        <v>2.25</v>
      </c>
      <c r="F98" s="931">
        <f t="shared" si="3"/>
        <v>2.6666666666666665</v>
      </c>
      <c r="G98" s="931">
        <f t="shared" si="3"/>
        <v>3</v>
      </c>
      <c r="H98" s="931"/>
      <c r="I98" s="931">
        <f t="shared" si="3"/>
        <v>2.5</v>
      </c>
      <c r="J98" s="931"/>
      <c r="K98" s="931">
        <f t="shared" si="3"/>
        <v>3</v>
      </c>
      <c r="L98" s="931">
        <f t="shared" si="3"/>
        <v>2</v>
      </c>
      <c r="M98" s="931">
        <f t="shared" si="3"/>
        <v>1</v>
      </c>
      <c r="N98" s="931">
        <f t="shared" si="3"/>
        <v>2</v>
      </c>
    </row>
    <row r="99" spans="1:14" x14ac:dyDescent="0.25">
      <c r="B99" s="859" t="s">
        <v>58</v>
      </c>
      <c r="C99" s="3024">
        <f>AVERAGE(C98:N98)</f>
        <v>2.3916666666666666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859" t="s">
        <v>59</v>
      </c>
      <c r="C104" s="748" t="s">
        <v>87</v>
      </c>
      <c r="D104" s="748" t="s">
        <v>88</v>
      </c>
      <c r="E104" s="748" t="s">
        <v>85</v>
      </c>
      <c r="F104" s="756"/>
      <c r="G104" s="859" t="s">
        <v>59</v>
      </c>
      <c r="H104" s="906" t="s">
        <v>60</v>
      </c>
      <c r="I104" s="906" t="s">
        <v>61</v>
      </c>
      <c r="J104" s="906" t="s">
        <v>62</v>
      </c>
      <c r="L104" s="756"/>
      <c r="M104" s="756"/>
      <c r="N104" s="756"/>
    </row>
    <row r="105" spans="1:14" x14ac:dyDescent="0.25">
      <c r="B105" s="572" t="s">
        <v>22</v>
      </c>
      <c r="C105" s="856">
        <v>3</v>
      </c>
      <c r="D105" s="856">
        <v>3</v>
      </c>
      <c r="E105" s="856">
        <v>2</v>
      </c>
      <c r="F105" s="756"/>
      <c r="G105" s="860" t="s">
        <v>20</v>
      </c>
      <c r="H105" s="733">
        <f>F74*C105/3</f>
        <v>3</v>
      </c>
      <c r="I105" s="733">
        <f>F74*D105/3</f>
        <v>3</v>
      </c>
      <c r="J105" s="733">
        <f>F74*E105/3</f>
        <v>2</v>
      </c>
      <c r="L105" s="756"/>
      <c r="M105" s="756"/>
      <c r="N105" s="756"/>
    </row>
    <row r="106" spans="1:14" x14ac:dyDescent="0.25">
      <c r="B106" s="572" t="s">
        <v>40</v>
      </c>
      <c r="C106" s="856">
        <v>3</v>
      </c>
      <c r="D106" s="856">
        <v>2</v>
      </c>
      <c r="E106" s="856">
        <v>2</v>
      </c>
      <c r="F106" s="24"/>
      <c r="G106" s="860" t="s">
        <v>21</v>
      </c>
      <c r="H106" s="733">
        <f>F75*C106/3</f>
        <v>3</v>
      </c>
      <c r="I106" s="733">
        <f>F75*D106/3</f>
        <v>2</v>
      </c>
      <c r="J106" s="733">
        <f>F75*E106/3</f>
        <v>2</v>
      </c>
      <c r="L106" s="24"/>
      <c r="M106" s="24"/>
      <c r="N106" s="24"/>
    </row>
    <row r="107" spans="1:14" x14ac:dyDescent="0.25">
      <c r="B107" s="572" t="s">
        <v>41</v>
      </c>
      <c r="C107" s="856">
        <v>3</v>
      </c>
      <c r="D107" s="856">
        <v>2</v>
      </c>
      <c r="E107" s="856">
        <v>2</v>
      </c>
      <c r="F107" s="24"/>
      <c r="G107" s="860" t="s">
        <v>23</v>
      </c>
      <c r="H107" s="733">
        <f>F76*C107/3</f>
        <v>3</v>
      </c>
      <c r="I107" s="733">
        <f>F76*D107/3</f>
        <v>2</v>
      </c>
      <c r="J107" s="733">
        <f>F76*E107/3</f>
        <v>2</v>
      </c>
      <c r="L107" s="24"/>
      <c r="M107" s="24"/>
      <c r="N107" s="24"/>
    </row>
    <row r="108" spans="1:14" x14ac:dyDescent="0.25">
      <c r="B108" s="572" t="s">
        <v>42</v>
      </c>
      <c r="C108" s="749">
        <v>3</v>
      </c>
      <c r="D108" s="856">
        <v>3</v>
      </c>
      <c r="E108" s="856">
        <v>2</v>
      </c>
      <c r="F108" s="24"/>
      <c r="G108" s="860" t="s">
        <v>25</v>
      </c>
      <c r="H108" s="733">
        <f>F77*C108/3</f>
        <v>3</v>
      </c>
      <c r="I108" s="733">
        <f>F77*D108/3</f>
        <v>3</v>
      </c>
      <c r="J108" s="733">
        <f>F77*E108/3</f>
        <v>2</v>
      </c>
      <c r="L108" s="24"/>
      <c r="M108" s="24"/>
      <c r="N108" s="24"/>
    </row>
    <row r="109" spans="1:14" x14ac:dyDescent="0.25">
      <c r="B109" s="859" t="s">
        <v>10</v>
      </c>
      <c r="C109" s="909">
        <f>AVERAGE(C105:C108)</f>
        <v>3</v>
      </c>
      <c r="D109" s="909">
        <f t="shared" ref="D109:E109" si="4">AVERAGE(D105:D108)</f>
        <v>2.5</v>
      </c>
      <c r="E109" s="909">
        <f t="shared" si="4"/>
        <v>2</v>
      </c>
      <c r="F109" s="910"/>
      <c r="G109" s="859" t="s">
        <v>10</v>
      </c>
      <c r="H109" s="866">
        <f>AVERAGE(H105:H108)</f>
        <v>3</v>
      </c>
      <c r="I109" s="866">
        <f t="shared" ref="I109:J109" si="5">AVERAGE(I105:I108)</f>
        <v>2.5</v>
      </c>
      <c r="J109" s="866">
        <f t="shared" si="5"/>
        <v>2</v>
      </c>
      <c r="L109" s="910"/>
      <c r="M109" s="910"/>
      <c r="N109" s="910"/>
    </row>
    <row r="110" spans="1:14" x14ac:dyDescent="0.25">
      <c r="B110" s="859" t="s">
        <v>58</v>
      </c>
      <c r="C110" s="3913">
        <f>AVERAGE(C109:E109)</f>
        <v>2.5</v>
      </c>
      <c r="D110" s="3914"/>
      <c r="E110" s="3915"/>
      <c r="F110" s="912"/>
      <c r="G110" s="859" t="s">
        <v>58</v>
      </c>
      <c r="H110" s="3110">
        <f>AVERAGE(H109:J109)</f>
        <v>2.5</v>
      </c>
      <c r="I110" s="3628"/>
      <c r="J110" s="3112"/>
      <c r="L110" s="912"/>
      <c r="M110" s="912"/>
      <c r="N110" s="912"/>
    </row>
  </sheetData>
  <mergeCells count="19">
    <mergeCell ref="C110:E110"/>
    <mergeCell ref="H110:J110"/>
    <mergeCell ref="C89:N89"/>
    <mergeCell ref="A91:B91"/>
    <mergeCell ref="C99:N99"/>
    <mergeCell ref="A102:B102"/>
    <mergeCell ref="G102:H102"/>
    <mergeCell ref="G103:H103"/>
    <mergeCell ref="D5:D7"/>
    <mergeCell ref="E5:E7"/>
    <mergeCell ref="A69:B69"/>
    <mergeCell ref="A70:B70"/>
    <mergeCell ref="C5:C7"/>
    <mergeCell ref="A81:B81"/>
    <mergeCell ref="A2:B2"/>
    <mergeCell ref="A3:B3"/>
    <mergeCell ref="A4:B4"/>
    <mergeCell ref="A5:A7"/>
    <mergeCell ref="B5:B7"/>
  </mergeCells>
  <conditionalFormatting sqref="D9:D66">
    <cfRule type="containsText" dxfId="6" priority="1" operator="containsText" text="F">
      <formula>NOT(ISERROR(SEARCH("F",D9)))</formula>
    </cfRule>
  </conditionalFormatting>
  <pageMargins left="0.7" right="0.7" top="0.75" bottom="0.75" header="0.3" footer="0.3"/>
  <pageSetup paperSize="8" scale="56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topLeftCell="A64" zoomScale="96" zoomScaleNormal="96" workbookViewId="0">
      <selection activeCell="H109" sqref="H109"/>
    </sheetView>
  </sheetViews>
  <sheetFormatPr defaultRowHeight="15.75" x14ac:dyDescent="0.25"/>
  <cols>
    <col min="1" max="1" width="14.5703125" style="2164" customWidth="1"/>
    <col min="2" max="2" width="21.5703125" style="2164" customWidth="1"/>
    <col min="3" max="3" width="22" style="2164" customWidth="1"/>
    <col min="4" max="4" width="12.5703125" style="2164" customWidth="1"/>
    <col min="5" max="5" width="10.7109375" style="2164" customWidth="1"/>
    <col min="6" max="6" width="12.85546875" style="2164" customWidth="1"/>
    <col min="7" max="7" width="19.28515625" style="2164" customWidth="1"/>
    <col min="8" max="8" width="14.140625" style="2164" customWidth="1"/>
    <col min="9" max="16384" width="9.140625" style="2164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338</v>
      </c>
      <c r="D2" s="2050" t="s">
        <v>63</v>
      </c>
      <c r="E2" s="2053" t="s">
        <v>337</v>
      </c>
      <c r="F2" s="735"/>
      <c r="G2" s="735"/>
      <c r="H2" s="735"/>
    </row>
    <row r="3" spans="1:8" ht="45" x14ac:dyDescent="0.25">
      <c r="A3" s="3301" t="s">
        <v>1</v>
      </c>
      <c r="B3" s="3301"/>
      <c r="C3" s="2170" t="s">
        <v>339</v>
      </c>
      <c r="D3" s="803" t="s">
        <v>64</v>
      </c>
      <c r="E3" s="2053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336</v>
      </c>
      <c r="D4" s="2050" t="s">
        <v>65</v>
      </c>
      <c r="E4" s="2053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2048" t="s">
        <v>18</v>
      </c>
      <c r="B8" s="2048" t="s">
        <v>26</v>
      </c>
      <c r="C8" s="895">
        <v>50</v>
      </c>
      <c r="D8" s="896"/>
      <c r="E8" s="2160">
        <v>100</v>
      </c>
    </row>
    <row r="9" spans="1:8" ht="18.75" x14ac:dyDescent="0.25">
      <c r="A9" s="839">
        <v>1</v>
      </c>
      <c r="B9" s="897">
        <v>5191421001</v>
      </c>
      <c r="C9" s="814">
        <v>41</v>
      </c>
      <c r="D9" s="2171" t="s">
        <v>82</v>
      </c>
      <c r="E9" s="2161">
        <f>IF(D9="O",100,IF(D9="A+",90,IF(D9="A",80,IF(D9="B+",70,IF(D9="B",60,IF(D9="C",55,IF(D9="P",50,IF(D9="F",39))))))))</f>
        <v>100</v>
      </c>
    </row>
    <row r="10" spans="1:8" ht="18.75" x14ac:dyDescent="0.25">
      <c r="A10" s="839">
        <v>2</v>
      </c>
      <c r="B10" s="898">
        <v>5191421002</v>
      </c>
      <c r="C10" s="814">
        <v>45</v>
      </c>
      <c r="D10" s="2171" t="s">
        <v>82</v>
      </c>
      <c r="E10" s="2161">
        <f t="shared" ref="E10:E66" si="0">IF(D10="O",100,IF(D10="A+",90,IF(D10="A",80,IF(D10="B+",70,IF(D10="B",60,IF(D10="C",55,IF(D10="P",50,IF(D10="F",39))))))))</f>
        <v>100</v>
      </c>
    </row>
    <row r="11" spans="1:8" ht="18.75" x14ac:dyDescent="0.25">
      <c r="A11" s="839">
        <v>3</v>
      </c>
      <c r="B11" s="897">
        <v>5191421003</v>
      </c>
      <c r="C11" s="814">
        <v>47</v>
      </c>
      <c r="D11" s="2171" t="s">
        <v>82</v>
      </c>
      <c r="E11" s="2161">
        <f t="shared" si="0"/>
        <v>100</v>
      </c>
    </row>
    <row r="12" spans="1:8" ht="18.75" x14ac:dyDescent="0.25">
      <c r="A12" s="839">
        <v>4</v>
      </c>
      <c r="B12" s="897">
        <v>5191421004</v>
      </c>
      <c r="C12" s="814">
        <v>44</v>
      </c>
      <c r="D12" s="2171" t="s">
        <v>82</v>
      </c>
      <c r="E12" s="2161">
        <f t="shared" si="0"/>
        <v>100</v>
      </c>
    </row>
    <row r="13" spans="1:8" ht="18.75" x14ac:dyDescent="0.25">
      <c r="A13" s="839">
        <v>5</v>
      </c>
      <c r="B13" s="899">
        <v>5191421005</v>
      </c>
      <c r="C13" s="814">
        <v>44</v>
      </c>
      <c r="D13" s="2171" t="s">
        <v>82</v>
      </c>
      <c r="E13" s="2161">
        <f t="shared" si="0"/>
        <v>100</v>
      </c>
    </row>
    <row r="14" spans="1:8" ht="18.75" x14ac:dyDescent="0.25">
      <c r="A14" s="839">
        <v>6</v>
      </c>
      <c r="B14" s="897">
        <v>5191421006</v>
      </c>
      <c r="C14" s="814">
        <v>47</v>
      </c>
      <c r="D14" s="2171" t="s">
        <v>82</v>
      </c>
      <c r="E14" s="2161">
        <f t="shared" si="0"/>
        <v>100</v>
      </c>
    </row>
    <row r="15" spans="1:8" ht="18.75" x14ac:dyDescent="0.25">
      <c r="A15" s="839">
        <v>7</v>
      </c>
      <c r="B15" s="897">
        <v>5191421007</v>
      </c>
      <c r="C15" s="814">
        <v>46</v>
      </c>
      <c r="D15" s="2171" t="s">
        <v>82</v>
      </c>
      <c r="E15" s="2161">
        <f t="shared" si="0"/>
        <v>100</v>
      </c>
    </row>
    <row r="16" spans="1:8" ht="18.75" x14ac:dyDescent="0.25">
      <c r="A16" s="839">
        <v>8</v>
      </c>
      <c r="B16" s="897">
        <v>5191421008</v>
      </c>
      <c r="C16" s="814">
        <v>44</v>
      </c>
      <c r="D16" s="2171" t="s">
        <v>82</v>
      </c>
      <c r="E16" s="2161">
        <f t="shared" si="0"/>
        <v>100</v>
      </c>
    </row>
    <row r="17" spans="1:5" ht="18.75" x14ac:dyDescent="0.25">
      <c r="A17" s="839">
        <v>9</v>
      </c>
      <c r="B17" s="897">
        <v>5191421009</v>
      </c>
      <c r="C17" s="814">
        <v>45</v>
      </c>
      <c r="D17" s="2171" t="s">
        <v>82</v>
      </c>
      <c r="E17" s="2161">
        <f t="shared" si="0"/>
        <v>100</v>
      </c>
    </row>
    <row r="18" spans="1:5" ht="18.75" x14ac:dyDescent="0.25">
      <c r="A18" s="839">
        <v>10</v>
      </c>
      <c r="B18" s="897">
        <v>5191421010</v>
      </c>
      <c r="C18" s="814">
        <v>46</v>
      </c>
      <c r="D18" s="2171" t="s">
        <v>82</v>
      </c>
      <c r="E18" s="2161">
        <f t="shared" si="0"/>
        <v>100</v>
      </c>
    </row>
    <row r="19" spans="1:5" ht="18.75" x14ac:dyDescent="0.25">
      <c r="A19" s="839">
        <v>11</v>
      </c>
      <c r="B19" s="897">
        <v>5191421011</v>
      </c>
      <c r="C19" s="814">
        <v>45</v>
      </c>
      <c r="D19" s="2171" t="s">
        <v>82</v>
      </c>
      <c r="E19" s="2161">
        <f t="shared" si="0"/>
        <v>100</v>
      </c>
    </row>
    <row r="20" spans="1:5" ht="18.75" x14ac:dyDescent="0.25">
      <c r="A20" s="839">
        <v>12</v>
      </c>
      <c r="B20" s="897">
        <v>5191421012</v>
      </c>
      <c r="C20" s="814">
        <v>39</v>
      </c>
      <c r="D20" s="2171" t="s">
        <v>82</v>
      </c>
      <c r="E20" s="2161">
        <f t="shared" si="0"/>
        <v>100</v>
      </c>
    </row>
    <row r="21" spans="1:5" ht="18.75" x14ac:dyDescent="0.25">
      <c r="A21" s="839">
        <v>13</v>
      </c>
      <c r="B21" s="897">
        <v>5191421013</v>
      </c>
      <c r="C21" s="814">
        <v>46</v>
      </c>
      <c r="D21" s="2171" t="s">
        <v>82</v>
      </c>
      <c r="E21" s="2161">
        <f t="shared" si="0"/>
        <v>100</v>
      </c>
    </row>
    <row r="22" spans="1:5" ht="18.75" x14ac:dyDescent="0.25">
      <c r="A22" s="839">
        <v>14</v>
      </c>
      <c r="B22" s="897">
        <v>5191421014</v>
      </c>
      <c r="C22" s="814">
        <v>41</v>
      </c>
      <c r="D22" s="2171" t="s">
        <v>30</v>
      </c>
      <c r="E22" s="2161">
        <f t="shared" si="0"/>
        <v>90</v>
      </c>
    </row>
    <row r="23" spans="1:5" ht="18.75" x14ac:dyDescent="0.25">
      <c r="A23" s="839">
        <v>15</v>
      </c>
      <c r="B23" s="897">
        <v>5191421015</v>
      </c>
      <c r="C23" s="814">
        <v>45</v>
      </c>
      <c r="D23" s="2171" t="s">
        <v>82</v>
      </c>
      <c r="E23" s="2161">
        <f t="shared" si="0"/>
        <v>100</v>
      </c>
    </row>
    <row r="24" spans="1:5" ht="18.75" x14ac:dyDescent="0.25">
      <c r="A24" s="839">
        <v>16</v>
      </c>
      <c r="B24" s="897">
        <v>5191421016</v>
      </c>
      <c r="C24" s="814">
        <v>41</v>
      </c>
      <c r="D24" s="2171" t="s">
        <v>30</v>
      </c>
      <c r="E24" s="2161">
        <f t="shared" si="0"/>
        <v>90</v>
      </c>
    </row>
    <row r="25" spans="1:5" ht="18.75" x14ac:dyDescent="0.25">
      <c r="A25" s="839">
        <v>17</v>
      </c>
      <c r="B25" s="897">
        <v>5191421017</v>
      </c>
      <c r="C25" s="814">
        <v>46</v>
      </c>
      <c r="D25" s="2171" t="s">
        <v>82</v>
      </c>
      <c r="E25" s="2161">
        <f t="shared" si="0"/>
        <v>100</v>
      </c>
    </row>
    <row r="26" spans="1:5" ht="18.75" x14ac:dyDescent="0.25">
      <c r="A26" s="839">
        <v>18</v>
      </c>
      <c r="B26" s="897">
        <v>5191421018</v>
      </c>
      <c r="C26" s="814">
        <v>40</v>
      </c>
      <c r="D26" s="2171" t="s">
        <v>30</v>
      </c>
      <c r="E26" s="2161">
        <f t="shared" si="0"/>
        <v>90</v>
      </c>
    </row>
    <row r="27" spans="1:5" ht="18.75" x14ac:dyDescent="0.25">
      <c r="A27" s="839">
        <v>19</v>
      </c>
      <c r="B27" s="897">
        <v>5191421019</v>
      </c>
      <c r="C27" s="814">
        <v>47</v>
      </c>
      <c r="D27" s="2171" t="s">
        <v>82</v>
      </c>
      <c r="E27" s="2161">
        <f t="shared" si="0"/>
        <v>100</v>
      </c>
    </row>
    <row r="28" spans="1:5" ht="18.75" x14ac:dyDescent="0.25">
      <c r="A28" s="839">
        <v>20</v>
      </c>
      <c r="B28" s="897">
        <v>5191421020</v>
      </c>
      <c r="C28" s="814">
        <v>46</v>
      </c>
      <c r="D28" s="2171" t="s">
        <v>82</v>
      </c>
      <c r="E28" s="2161">
        <f t="shared" si="0"/>
        <v>100</v>
      </c>
    </row>
    <row r="29" spans="1:5" ht="18.75" x14ac:dyDescent="0.25">
      <c r="A29" s="839">
        <v>21</v>
      </c>
      <c r="B29" s="897">
        <v>5191421021</v>
      </c>
      <c r="C29" s="814">
        <v>42</v>
      </c>
      <c r="D29" s="2171" t="s">
        <v>82</v>
      </c>
      <c r="E29" s="2161">
        <f t="shared" si="0"/>
        <v>100</v>
      </c>
    </row>
    <row r="30" spans="1:5" ht="18.75" x14ac:dyDescent="0.25">
      <c r="A30" s="839">
        <v>22</v>
      </c>
      <c r="B30" s="897">
        <v>5191421022</v>
      </c>
      <c r="C30" s="814">
        <v>44</v>
      </c>
      <c r="D30" s="2171" t="s">
        <v>30</v>
      </c>
      <c r="E30" s="2161">
        <f t="shared" si="0"/>
        <v>90</v>
      </c>
    </row>
    <row r="31" spans="1:5" ht="18.75" x14ac:dyDescent="0.25">
      <c r="A31" s="839">
        <v>23</v>
      </c>
      <c r="B31" s="897">
        <v>5191421023</v>
      </c>
      <c r="C31" s="814">
        <v>40</v>
      </c>
      <c r="D31" s="2171" t="s">
        <v>30</v>
      </c>
      <c r="E31" s="2161">
        <f t="shared" si="0"/>
        <v>90</v>
      </c>
    </row>
    <row r="32" spans="1:5" ht="18.75" x14ac:dyDescent="0.25">
      <c r="A32" s="839">
        <v>24</v>
      </c>
      <c r="B32" s="897">
        <v>5191421024</v>
      </c>
      <c r="C32" s="814">
        <v>37</v>
      </c>
      <c r="D32" s="2171" t="s">
        <v>27</v>
      </c>
      <c r="E32" s="2161">
        <f t="shared" si="0"/>
        <v>80</v>
      </c>
    </row>
    <row r="33" spans="1:5" ht="18.75" x14ac:dyDescent="0.25">
      <c r="A33" s="839">
        <v>25</v>
      </c>
      <c r="B33" s="897">
        <v>5191421025</v>
      </c>
      <c r="C33" s="814">
        <v>47</v>
      </c>
      <c r="D33" s="2171" t="s">
        <v>82</v>
      </c>
      <c r="E33" s="2161">
        <f t="shared" si="0"/>
        <v>100</v>
      </c>
    </row>
    <row r="34" spans="1:5" ht="18.75" x14ac:dyDescent="0.25">
      <c r="A34" s="839">
        <v>26</v>
      </c>
      <c r="B34" s="897">
        <v>5191421026</v>
      </c>
      <c r="C34" s="814">
        <v>41</v>
      </c>
      <c r="D34" s="2171" t="s">
        <v>82</v>
      </c>
      <c r="E34" s="2161">
        <f t="shared" si="0"/>
        <v>100</v>
      </c>
    </row>
    <row r="35" spans="1:5" ht="18.75" x14ac:dyDescent="0.25">
      <c r="A35" s="839">
        <v>27</v>
      </c>
      <c r="B35" s="897">
        <v>5191421027</v>
      </c>
      <c r="C35" s="814">
        <v>42</v>
      </c>
      <c r="D35" s="2171" t="s">
        <v>82</v>
      </c>
      <c r="E35" s="2161">
        <f t="shared" si="0"/>
        <v>100</v>
      </c>
    </row>
    <row r="36" spans="1:5" ht="18.75" x14ac:dyDescent="0.25">
      <c r="A36" s="839">
        <v>28</v>
      </c>
      <c r="B36" s="897">
        <v>5191421028</v>
      </c>
      <c r="C36" s="814">
        <v>46</v>
      </c>
      <c r="D36" s="2174" t="s">
        <v>82</v>
      </c>
      <c r="E36" s="2161">
        <f t="shared" si="0"/>
        <v>100</v>
      </c>
    </row>
    <row r="37" spans="1:5" ht="18.75" x14ac:dyDescent="0.25">
      <c r="A37" s="839">
        <v>29</v>
      </c>
      <c r="B37" s="897">
        <v>5191421029</v>
      </c>
      <c r="C37" s="814">
        <v>45</v>
      </c>
      <c r="D37" s="2171" t="s">
        <v>82</v>
      </c>
      <c r="E37" s="2161">
        <f t="shared" si="0"/>
        <v>100</v>
      </c>
    </row>
    <row r="38" spans="1:5" ht="18.75" x14ac:dyDescent="0.25">
      <c r="A38" s="839">
        <v>30</v>
      </c>
      <c r="B38" s="897">
        <v>5191421030</v>
      </c>
      <c r="C38" s="814">
        <v>35</v>
      </c>
      <c r="D38" s="2171" t="s">
        <v>30</v>
      </c>
      <c r="E38" s="2161">
        <f t="shared" si="0"/>
        <v>90</v>
      </c>
    </row>
    <row r="39" spans="1:5" ht="18.75" x14ac:dyDescent="0.25">
      <c r="A39" s="839">
        <v>31</v>
      </c>
      <c r="B39" s="897">
        <v>5191421031</v>
      </c>
      <c r="C39" s="814">
        <v>44</v>
      </c>
      <c r="D39" s="2171" t="s">
        <v>82</v>
      </c>
      <c r="E39" s="2161">
        <f t="shared" si="0"/>
        <v>100</v>
      </c>
    </row>
    <row r="40" spans="1:5" ht="18.75" x14ac:dyDescent="0.25">
      <c r="A40" s="839">
        <v>32</v>
      </c>
      <c r="B40" s="897">
        <v>5191421032</v>
      </c>
      <c r="C40" s="814">
        <v>40</v>
      </c>
      <c r="D40" s="2171" t="s">
        <v>30</v>
      </c>
      <c r="E40" s="2161">
        <f t="shared" si="0"/>
        <v>90</v>
      </c>
    </row>
    <row r="41" spans="1:5" ht="18.75" x14ac:dyDescent="0.25">
      <c r="A41" s="839">
        <v>33</v>
      </c>
      <c r="B41" s="897">
        <v>5191421033</v>
      </c>
      <c r="C41" s="814">
        <v>46</v>
      </c>
      <c r="D41" s="2171" t="s">
        <v>82</v>
      </c>
      <c r="E41" s="2161">
        <f t="shared" si="0"/>
        <v>100</v>
      </c>
    </row>
    <row r="42" spans="1:5" ht="18.75" x14ac:dyDescent="0.25">
      <c r="A42" s="839">
        <v>34</v>
      </c>
      <c r="B42" s="897">
        <v>5191421034</v>
      </c>
      <c r="C42" s="814">
        <v>45</v>
      </c>
      <c r="D42" s="2171" t="s">
        <v>82</v>
      </c>
      <c r="E42" s="2161">
        <f t="shared" si="0"/>
        <v>100</v>
      </c>
    </row>
    <row r="43" spans="1:5" ht="18.75" x14ac:dyDescent="0.25">
      <c r="A43" s="839">
        <v>35</v>
      </c>
      <c r="B43" s="897">
        <v>5191421035</v>
      </c>
      <c r="C43" s="814">
        <v>35</v>
      </c>
      <c r="D43" s="2171" t="s">
        <v>30</v>
      </c>
      <c r="E43" s="2161">
        <f t="shared" si="0"/>
        <v>90</v>
      </c>
    </row>
    <row r="44" spans="1:5" ht="18.75" x14ac:dyDescent="0.25">
      <c r="A44" s="839">
        <v>36</v>
      </c>
      <c r="B44" s="897">
        <v>5191421036</v>
      </c>
      <c r="C44" s="814">
        <v>48</v>
      </c>
      <c r="D44" s="2171" t="s">
        <v>82</v>
      </c>
      <c r="E44" s="2161">
        <f t="shared" si="0"/>
        <v>100</v>
      </c>
    </row>
    <row r="45" spans="1:5" ht="18.75" x14ac:dyDescent="0.25">
      <c r="A45" s="839">
        <v>37</v>
      </c>
      <c r="B45" s="897">
        <v>5191421037</v>
      </c>
      <c r="C45" s="814">
        <v>35</v>
      </c>
      <c r="D45" s="846" t="s">
        <v>30</v>
      </c>
      <c r="E45" s="2161">
        <f t="shared" si="0"/>
        <v>90</v>
      </c>
    </row>
    <row r="46" spans="1:5" ht="18.75" x14ac:dyDescent="0.25">
      <c r="A46" s="839">
        <v>38</v>
      </c>
      <c r="B46" s="897">
        <v>5191421038</v>
      </c>
      <c r="C46" s="814">
        <v>41</v>
      </c>
      <c r="D46" s="2171" t="s">
        <v>82</v>
      </c>
      <c r="E46" s="2161">
        <f t="shared" si="0"/>
        <v>100</v>
      </c>
    </row>
    <row r="47" spans="1:5" ht="18.75" x14ac:dyDescent="0.25">
      <c r="A47" s="839">
        <v>39</v>
      </c>
      <c r="B47" s="897">
        <v>5191421039</v>
      </c>
      <c r="C47" s="814">
        <v>46</v>
      </c>
      <c r="D47" s="2171" t="s">
        <v>82</v>
      </c>
      <c r="E47" s="2161">
        <f t="shared" si="0"/>
        <v>100</v>
      </c>
    </row>
    <row r="48" spans="1:5" ht="18.75" x14ac:dyDescent="0.25">
      <c r="A48" s="839">
        <v>40</v>
      </c>
      <c r="B48" s="897">
        <v>5191421040</v>
      </c>
      <c r="C48" s="814">
        <v>41</v>
      </c>
      <c r="D48" s="2171" t="s">
        <v>82</v>
      </c>
      <c r="E48" s="2161">
        <f t="shared" si="0"/>
        <v>100</v>
      </c>
    </row>
    <row r="49" spans="1:5" ht="18.75" x14ac:dyDescent="0.25">
      <c r="A49" s="839">
        <v>41</v>
      </c>
      <c r="B49" s="897">
        <v>5191421041</v>
      </c>
      <c r="C49" s="814">
        <v>39</v>
      </c>
      <c r="D49" s="2171" t="s">
        <v>30</v>
      </c>
      <c r="E49" s="2161">
        <f t="shared" si="0"/>
        <v>90</v>
      </c>
    </row>
    <row r="50" spans="1:5" ht="18.75" x14ac:dyDescent="0.25">
      <c r="A50" s="839">
        <v>42</v>
      </c>
      <c r="B50" s="897">
        <v>5191421042</v>
      </c>
      <c r="C50" s="814">
        <v>37</v>
      </c>
      <c r="D50" s="2171" t="s">
        <v>30</v>
      </c>
      <c r="E50" s="2161">
        <f t="shared" si="0"/>
        <v>90</v>
      </c>
    </row>
    <row r="51" spans="1:5" ht="18.75" x14ac:dyDescent="0.25">
      <c r="A51" s="839">
        <v>43</v>
      </c>
      <c r="B51" s="897">
        <v>5191421043</v>
      </c>
      <c r="C51" s="814">
        <v>44</v>
      </c>
      <c r="D51" s="2171" t="s">
        <v>82</v>
      </c>
      <c r="E51" s="2161">
        <f t="shared" si="0"/>
        <v>100</v>
      </c>
    </row>
    <row r="52" spans="1:5" ht="18.75" x14ac:dyDescent="0.25">
      <c r="A52" s="839">
        <v>44</v>
      </c>
      <c r="B52" s="897">
        <v>5191421044</v>
      </c>
      <c r="C52" s="814">
        <v>48</v>
      </c>
      <c r="D52" s="2171" t="s">
        <v>82</v>
      </c>
      <c r="E52" s="2161">
        <f t="shared" si="0"/>
        <v>100</v>
      </c>
    </row>
    <row r="53" spans="1:5" ht="18.75" x14ac:dyDescent="0.25">
      <c r="A53" s="839">
        <v>45</v>
      </c>
      <c r="B53" s="897">
        <v>5191421045</v>
      </c>
      <c r="C53" s="814">
        <v>44</v>
      </c>
      <c r="D53" s="2171" t="s">
        <v>30</v>
      </c>
      <c r="E53" s="2161">
        <f t="shared" si="0"/>
        <v>90</v>
      </c>
    </row>
    <row r="54" spans="1:5" ht="18.75" x14ac:dyDescent="0.25">
      <c r="A54" s="839">
        <v>46</v>
      </c>
      <c r="B54" s="897">
        <v>5191421046</v>
      </c>
      <c r="C54" s="814">
        <v>45</v>
      </c>
      <c r="D54" s="2171" t="s">
        <v>82</v>
      </c>
      <c r="E54" s="2161">
        <f t="shared" si="0"/>
        <v>100</v>
      </c>
    </row>
    <row r="55" spans="1:5" ht="18.75" x14ac:dyDescent="0.25">
      <c r="A55" s="839">
        <v>47</v>
      </c>
      <c r="B55" s="897">
        <v>5191421047</v>
      </c>
      <c r="C55" s="814">
        <v>40</v>
      </c>
      <c r="D55" s="2171" t="s">
        <v>27</v>
      </c>
      <c r="E55" s="2161">
        <f t="shared" si="0"/>
        <v>80</v>
      </c>
    </row>
    <row r="56" spans="1:5" ht="18.75" x14ac:dyDescent="0.25">
      <c r="A56" s="839">
        <v>48</v>
      </c>
      <c r="B56" s="897">
        <v>5191421048</v>
      </c>
      <c r="C56" s="814">
        <v>44</v>
      </c>
      <c r="D56" s="2171" t="s">
        <v>82</v>
      </c>
      <c r="E56" s="2161">
        <f t="shared" si="0"/>
        <v>100</v>
      </c>
    </row>
    <row r="57" spans="1:5" ht="18.75" x14ac:dyDescent="0.25">
      <c r="A57" s="839">
        <v>49</v>
      </c>
      <c r="B57" s="897">
        <v>5191421049</v>
      </c>
      <c r="C57" s="814">
        <v>40</v>
      </c>
      <c r="D57" s="2171" t="s">
        <v>30</v>
      </c>
      <c r="E57" s="2161">
        <f t="shared" si="0"/>
        <v>90</v>
      </c>
    </row>
    <row r="58" spans="1:5" ht="18.75" x14ac:dyDescent="0.25">
      <c r="A58" s="839">
        <v>50</v>
      </c>
      <c r="B58" s="897">
        <v>5191421050</v>
      </c>
      <c r="C58" s="814">
        <v>38</v>
      </c>
      <c r="D58" s="2171" t="s">
        <v>82</v>
      </c>
      <c r="E58" s="2161">
        <f t="shared" si="0"/>
        <v>100</v>
      </c>
    </row>
    <row r="59" spans="1:5" ht="18.75" x14ac:dyDescent="0.25">
      <c r="A59" s="839">
        <v>51</v>
      </c>
      <c r="B59" s="897">
        <v>5191421051</v>
      </c>
      <c r="C59" s="814">
        <v>43</v>
      </c>
      <c r="D59" s="2171" t="s">
        <v>82</v>
      </c>
      <c r="E59" s="2161">
        <f t="shared" si="0"/>
        <v>100</v>
      </c>
    </row>
    <row r="60" spans="1:5" ht="18.75" x14ac:dyDescent="0.25">
      <c r="A60" s="839">
        <v>52</v>
      </c>
      <c r="B60" s="897">
        <v>5191421052</v>
      </c>
      <c r="C60" s="814">
        <v>46</v>
      </c>
      <c r="D60" s="2171" t="s">
        <v>82</v>
      </c>
      <c r="E60" s="2161">
        <f t="shared" si="0"/>
        <v>100</v>
      </c>
    </row>
    <row r="61" spans="1:5" ht="18.75" x14ac:dyDescent="0.25">
      <c r="A61" s="839">
        <v>53</v>
      </c>
      <c r="B61" s="897">
        <v>5191421053</v>
      </c>
      <c r="C61" s="814">
        <v>46</v>
      </c>
      <c r="D61" s="2171" t="s">
        <v>30</v>
      </c>
      <c r="E61" s="2161">
        <f t="shared" si="0"/>
        <v>90</v>
      </c>
    </row>
    <row r="62" spans="1:5" ht="18.75" x14ac:dyDescent="0.25">
      <c r="A62" s="839">
        <v>54</v>
      </c>
      <c r="B62" s="897">
        <v>5191421054</v>
      </c>
      <c r="C62" s="814">
        <v>44</v>
      </c>
      <c r="D62" s="2171" t="s">
        <v>30</v>
      </c>
      <c r="E62" s="2161">
        <f t="shared" si="0"/>
        <v>90</v>
      </c>
    </row>
    <row r="63" spans="1:5" ht="18.75" x14ac:dyDescent="0.25">
      <c r="A63" s="839">
        <v>55</v>
      </c>
      <c r="B63" s="897">
        <v>5191421055</v>
      </c>
      <c r="C63" s="814">
        <v>40</v>
      </c>
      <c r="D63" s="2171" t="s">
        <v>82</v>
      </c>
      <c r="E63" s="2161">
        <f t="shared" si="0"/>
        <v>100</v>
      </c>
    </row>
    <row r="64" spans="1:5" ht="18.75" x14ac:dyDescent="0.25">
      <c r="A64" s="839">
        <v>56</v>
      </c>
      <c r="B64" s="897">
        <v>5191421056</v>
      </c>
      <c r="C64" s="814">
        <v>44</v>
      </c>
      <c r="D64" s="2171" t="s">
        <v>82</v>
      </c>
      <c r="E64" s="2161">
        <f t="shared" si="0"/>
        <v>100</v>
      </c>
    </row>
    <row r="65" spans="1:14" ht="18.75" x14ac:dyDescent="0.25">
      <c r="A65" s="839">
        <v>57</v>
      </c>
      <c r="B65" s="897">
        <v>5191421057</v>
      </c>
      <c r="C65" s="814">
        <v>46</v>
      </c>
      <c r="D65" s="2172" t="s">
        <v>82</v>
      </c>
      <c r="E65" s="2161">
        <f t="shared" si="0"/>
        <v>100</v>
      </c>
    </row>
    <row r="66" spans="1:14" ht="19.5" thickBot="1" x14ac:dyDescent="0.3">
      <c r="A66" s="839">
        <v>58</v>
      </c>
      <c r="B66" s="903">
        <v>5191421058</v>
      </c>
      <c r="C66" s="814">
        <v>38</v>
      </c>
      <c r="D66" s="2173" t="s">
        <v>30</v>
      </c>
      <c r="E66" s="2161">
        <f t="shared" si="0"/>
        <v>90</v>
      </c>
    </row>
    <row r="67" spans="1:14" x14ac:dyDescent="0.25">
      <c r="C67" s="2165">
        <f>COUNT(C9:C66)</f>
        <v>58</v>
      </c>
      <c r="D67" s="2165"/>
    </row>
    <row r="68" spans="1:14" ht="31.5" x14ac:dyDescent="0.25">
      <c r="A68" s="2049" t="s">
        <v>34</v>
      </c>
      <c r="B68" s="2043">
        <v>65</v>
      </c>
      <c r="C68" s="2061">
        <f>C8*(B68/100)</f>
        <v>32.5</v>
      </c>
      <c r="D68" s="2165"/>
    </row>
    <row r="69" spans="1:14" x14ac:dyDescent="0.25">
      <c r="A69" s="3305" t="s">
        <v>35</v>
      </c>
      <c r="B69" s="3305"/>
      <c r="C69" s="2165">
        <f>COUNTIF(C9:C66,"&gt;=" &amp;C68)</f>
        <v>58</v>
      </c>
      <c r="D69" s="2165"/>
      <c r="E69" s="2165">
        <f>COUNTIF(E9:E66,"&gt;="&amp;B68)</f>
        <v>58</v>
      </c>
    </row>
    <row r="70" spans="1:14" x14ac:dyDescent="0.25">
      <c r="A70" s="3306" t="s">
        <v>36</v>
      </c>
      <c r="B70" s="3306"/>
      <c r="C70" s="36">
        <f>C69/C67</f>
        <v>1</v>
      </c>
      <c r="D70" s="2165"/>
      <c r="E70" s="36">
        <f>(E69/A66)*100</f>
        <v>100</v>
      </c>
    </row>
    <row r="73" spans="1:14" ht="31.5" x14ac:dyDescent="0.25">
      <c r="D73" s="2043" t="s">
        <v>38</v>
      </c>
      <c r="E73" s="2043" t="s">
        <v>39</v>
      </c>
      <c r="F73" s="2049" t="s">
        <v>37</v>
      </c>
      <c r="H73" s="13"/>
    </row>
    <row r="74" spans="1:14" x14ac:dyDescent="0.25">
      <c r="B74" s="2043" t="s">
        <v>22</v>
      </c>
      <c r="C74" s="36">
        <f>AVERAGE(C70)*100</f>
        <v>100</v>
      </c>
      <c r="D74" s="2165">
        <f>IF(C74&gt;=70,3,IF(AND(C74&gt;=60,C74&lt;70),2,IF(AND(C74&gt;=50,C74&lt;60),1)))</f>
        <v>3</v>
      </c>
      <c r="E74" s="2165">
        <f>IF(E70&gt;=70,3,IF(AND(E70&gt;=60,E70&lt;70),2,IF(AND(E70&gt;=50,E70&lt;60),1)))</f>
        <v>3</v>
      </c>
      <c r="F74" s="2165">
        <f>(50/100)*E74+(50/100)*D74</f>
        <v>3</v>
      </c>
      <c r="H74" s="2176"/>
    </row>
    <row r="75" spans="1:14" x14ac:dyDescent="0.25">
      <c r="B75" s="2043" t="s">
        <v>40</v>
      </c>
      <c r="C75" s="36">
        <f>AVERAGE(C70)*100</f>
        <v>100</v>
      </c>
      <c r="D75" s="2165">
        <f t="shared" ref="D75:D77" si="1">IF(C75&gt;=70,3,IF(AND(C75&gt;=60,C75&lt;70),2,IF(AND(C75&gt;=50,C75&lt;60),1)))</f>
        <v>3</v>
      </c>
      <c r="E75" s="2165">
        <f>IF(E70&gt;=70,3,IF(AND(E70&gt;=60,E70&lt;70),2,IF(AND(E70&gt;=50,E70&lt;60),1)))</f>
        <v>3</v>
      </c>
      <c r="F75" s="2165">
        <f>(50/100)*E75+(50/100)*D75</f>
        <v>3</v>
      </c>
      <c r="H75" s="2176"/>
    </row>
    <row r="76" spans="1:14" x14ac:dyDescent="0.25">
      <c r="B76" s="2043" t="s">
        <v>41</v>
      </c>
      <c r="C76" s="36">
        <f>AVERAGE(C70)*100</f>
        <v>100</v>
      </c>
      <c r="D76" s="2165">
        <f t="shared" si="1"/>
        <v>3</v>
      </c>
      <c r="E76" s="2165">
        <f>IF(E70&gt;=70,3,IF(AND(E70&gt;=60,E70&lt;70),2,IF(AND(E70&gt;=50,E70&lt;60),1)))</f>
        <v>3</v>
      </c>
      <c r="F76" s="2165">
        <f>(50/100)*E76+(50/100)*D76</f>
        <v>3</v>
      </c>
      <c r="H76" s="2176"/>
    </row>
    <row r="77" spans="1:14" x14ac:dyDescent="0.25">
      <c r="B77" s="2043" t="s">
        <v>42</v>
      </c>
      <c r="C77" s="36">
        <f>AVERAGE(C70)*100</f>
        <v>100</v>
      </c>
      <c r="D77" s="2165">
        <f t="shared" si="1"/>
        <v>3</v>
      </c>
      <c r="E77" s="2165">
        <f>IF(E70&gt;=70,3,IF(AND(E70&gt;=60,E70&lt;70),2,IF(AND(E70&gt;=50,E70&lt;60),1)))</f>
        <v>3</v>
      </c>
      <c r="F77" s="2165">
        <f>(50/100)*E77+(50/100)*D77</f>
        <v>3</v>
      </c>
      <c r="H77" s="2176"/>
    </row>
    <row r="78" spans="1:14" x14ac:dyDescent="0.25">
      <c r="B78" s="2177" t="s">
        <v>44</v>
      </c>
      <c r="C78" s="2177"/>
      <c r="D78" s="2177"/>
      <c r="E78" s="2177"/>
      <c r="F78" s="2165">
        <f>AVERAGE(F74:F74)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2126" t="s">
        <v>45</v>
      </c>
      <c r="C83" s="570" t="s">
        <v>46</v>
      </c>
      <c r="D83" s="570" t="s">
        <v>135</v>
      </c>
      <c r="E83" s="570" t="s">
        <v>48</v>
      </c>
      <c r="F83" s="570" t="s">
        <v>49</v>
      </c>
      <c r="G83" s="570" t="s">
        <v>50</v>
      </c>
      <c r="H83" s="570" t="s">
        <v>136</v>
      </c>
      <c r="I83" s="570" t="s">
        <v>52</v>
      </c>
      <c r="J83" s="570" t="s">
        <v>53</v>
      </c>
      <c r="K83" s="570" t="s">
        <v>54</v>
      </c>
      <c r="L83" s="570" t="s">
        <v>55</v>
      </c>
      <c r="M83" s="570" t="s">
        <v>56</v>
      </c>
      <c r="N83" s="570" t="s">
        <v>57</v>
      </c>
    </row>
    <row r="84" spans="1:14" x14ac:dyDescent="0.25">
      <c r="B84" s="571" t="s">
        <v>22</v>
      </c>
      <c r="C84" s="2270">
        <v>2</v>
      </c>
      <c r="D84" s="2270">
        <v>3</v>
      </c>
      <c r="E84" s="2270">
        <v>1</v>
      </c>
      <c r="F84" s="2270">
        <v>2</v>
      </c>
      <c r="G84" s="2270">
        <v>2</v>
      </c>
      <c r="H84" s="2270">
        <v>2</v>
      </c>
      <c r="I84" s="2270">
        <v>1</v>
      </c>
      <c r="J84" s="2270">
        <v>1</v>
      </c>
      <c r="K84" s="2270">
        <v>2</v>
      </c>
      <c r="L84" s="2270">
        <v>2</v>
      </c>
      <c r="M84" s="2270">
        <v>1</v>
      </c>
      <c r="N84" s="2270">
        <v>2</v>
      </c>
    </row>
    <row r="85" spans="1:14" x14ac:dyDescent="0.25">
      <c r="B85" s="571" t="s">
        <v>40</v>
      </c>
      <c r="C85" s="2270">
        <v>3</v>
      </c>
      <c r="D85" s="2270">
        <v>3</v>
      </c>
      <c r="E85" s="2270">
        <v>2</v>
      </c>
      <c r="F85" s="2270">
        <v>3</v>
      </c>
      <c r="G85" s="2270">
        <v>3</v>
      </c>
      <c r="H85" s="2270">
        <v>2</v>
      </c>
      <c r="I85" s="2270">
        <v>1</v>
      </c>
      <c r="J85" s="2270">
        <v>1</v>
      </c>
      <c r="K85" s="2270">
        <v>2</v>
      </c>
      <c r="L85" s="2270">
        <v>2</v>
      </c>
      <c r="M85" s="2270">
        <v>2</v>
      </c>
      <c r="N85" s="2270">
        <v>2</v>
      </c>
    </row>
    <row r="86" spans="1:14" x14ac:dyDescent="0.25">
      <c r="B86" s="571" t="s">
        <v>41</v>
      </c>
      <c r="C86" s="2270">
        <v>2</v>
      </c>
      <c r="D86" s="2270">
        <v>2</v>
      </c>
      <c r="E86" s="2270">
        <v>2</v>
      </c>
      <c r="F86" s="2270">
        <v>2</v>
      </c>
      <c r="G86" s="2270">
        <v>3</v>
      </c>
      <c r="H86" s="2270">
        <v>1</v>
      </c>
      <c r="I86" s="2270">
        <v>1</v>
      </c>
      <c r="J86" s="2270">
        <v>1</v>
      </c>
      <c r="K86" s="2270">
        <v>2</v>
      </c>
      <c r="L86" s="2270">
        <v>2</v>
      </c>
      <c r="M86" s="2270">
        <v>1</v>
      </c>
      <c r="N86" s="2270">
        <v>2</v>
      </c>
    </row>
    <row r="87" spans="1:14" x14ac:dyDescent="0.25">
      <c r="B87" s="571" t="s">
        <v>42</v>
      </c>
      <c r="C87" s="2270">
        <v>1</v>
      </c>
      <c r="D87" s="2270">
        <v>1</v>
      </c>
      <c r="E87" s="2270">
        <v>1</v>
      </c>
      <c r="F87" s="2270">
        <v>1</v>
      </c>
      <c r="G87" s="2270">
        <v>1</v>
      </c>
      <c r="H87" s="2270">
        <v>2</v>
      </c>
      <c r="I87" s="2270">
        <v>1</v>
      </c>
      <c r="J87" s="2270">
        <v>3</v>
      </c>
      <c r="K87" s="2270">
        <v>3</v>
      </c>
      <c r="L87" s="2270">
        <v>3</v>
      </c>
      <c r="M87" s="2270">
        <v>2</v>
      </c>
      <c r="N87" s="2270">
        <v>3</v>
      </c>
    </row>
    <row r="88" spans="1:14" x14ac:dyDescent="0.25">
      <c r="B88" s="2126" t="s">
        <v>10</v>
      </c>
      <c r="C88" s="2403">
        <f>AVERAGE(C84:C87)</f>
        <v>2</v>
      </c>
      <c r="D88" s="2403">
        <f t="shared" ref="D88:N88" si="2">AVERAGE(D84:D87)</f>
        <v>2.25</v>
      </c>
      <c r="E88" s="2403">
        <f t="shared" si="2"/>
        <v>1.5</v>
      </c>
      <c r="F88" s="2403">
        <f t="shared" si="2"/>
        <v>2</v>
      </c>
      <c r="G88" s="2403">
        <f>AVERAGE(G84:G87)</f>
        <v>2.25</v>
      </c>
      <c r="H88" s="2403">
        <f t="shared" ref="H88:J88" si="3">AVERAGE(H84:H87)</f>
        <v>1.75</v>
      </c>
      <c r="I88" s="2403">
        <f t="shared" si="3"/>
        <v>1</v>
      </c>
      <c r="J88" s="2403">
        <f t="shared" si="3"/>
        <v>1.5</v>
      </c>
      <c r="K88" s="2403">
        <f t="shared" si="2"/>
        <v>2.25</v>
      </c>
      <c r="L88" s="2403">
        <f t="shared" si="2"/>
        <v>2.25</v>
      </c>
      <c r="M88" s="2403">
        <f t="shared" si="2"/>
        <v>1.5</v>
      </c>
      <c r="N88" s="2403">
        <f t="shared" si="2"/>
        <v>2.25</v>
      </c>
    </row>
    <row r="89" spans="1:14" x14ac:dyDescent="0.25">
      <c r="B89" s="2126" t="s">
        <v>58</v>
      </c>
      <c r="C89" s="3311">
        <f>AVERAGE(C88:N88)</f>
        <v>1.875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2126" t="s">
        <v>45</v>
      </c>
      <c r="C93" s="2051" t="s">
        <v>68</v>
      </c>
      <c r="D93" s="2051" t="s">
        <v>69</v>
      </c>
      <c r="E93" s="2051" t="s">
        <v>70</v>
      </c>
      <c r="F93" s="2051" t="s">
        <v>71</v>
      </c>
      <c r="G93" s="2051" t="s">
        <v>72</v>
      </c>
      <c r="H93" s="2051" t="s">
        <v>73</v>
      </c>
      <c r="I93" s="2051" t="s">
        <v>74</v>
      </c>
      <c r="J93" s="2051" t="s">
        <v>75</v>
      </c>
      <c r="K93" s="2051" t="s">
        <v>76</v>
      </c>
      <c r="L93" s="2051" t="s">
        <v>77</v>
      </c>
      <c r="M93" s="2051" t="s">
        <v>78</v>
      </c>
      <c r="N93" s="2051" t="s">
        <v>79</v>
      </c>
    </row>
    <row r="94" spans="1:14" x14ac:dyDescent="0.25">
      <c r="B94" s="2047" t="s">
        <v>20</v>
      </c>
      <c r="C94" s="2163">
        <f>$F$74*C84/3</f>
        <v>2</v>
      </c>
      <c r="D94" s="2270">
        <f t="shared" ref="D94:N94" si="4">$F$74*D84/3</f>
        <v>3</v>
      </c>
      <c r="E94" s="2270">
        <f t="shared" si="4"/>
        <v>1</v>
      </c>
      <c r="F94" s="2270">
        <f t="shared" si="4"/>
        <v>2</v>
      </c>
      <c r="G94" s="2270">
        <f t="shared" si="4"/>
        <v>2</v>
      </c>
      <c r="H94" s="2270">
        <f t="shared" si="4"/>
        <v>2</v>
      </c>
      <c r="I94" s="2270">
        <f t="shared" si="4"/>
        <v>1</v>
      </c>
      <c r="J94" s="2270">
        <f t="shared" si="4"/>
        <v>1</v>
      </c>
      <c r="K94" s="2270">
        <f t="shared" si="4"/>
        <v>2</v>
      </c>
      <c r="L94" s="2270">
        <f t="shared" si="4"/>
        <v>2</v>
      </c>
      <c r="M94" s="2270">
        <f t="shared" si="4"/>
        <v>1</v>
      </c>
      <c r="N94" s="2270">
        <f t="shared" si="4"/>
        <v>2</v>
      </c>
    </row>
    <row r="95" spans="1:14" x14ac:dyDescent="0.25">
      <c r="B95" s="2047" t="s">
        <v>21</v>
      </c>
      <c r="C95" s="2163">
        <f>$F$75*C85/3</f>
        <v>3</v>
      </c>
      <c r="D95" s="2270">
        <f t="shared" ref="D95:N95" si="5">$F$75*D85/3</f>
        <v>3</v>
      </c>
      <c r="E95" s="2270">
        <f t="shared" si="5"/>
        <v>2</v>
      </c>
      <c r="F95" s="2270">
        <f t="shared" si="5"/>
        <v>3</v>
      </c>
      <c r="G95" s="2270">
        <f t="shared" si="5"/>
        <v>3</v>
      </c>
      <c r="H95" s="2270">
        <f t="shared" si="5"/>
        <v>2</v>
      </c>
      <c r="I95" s="2270">
        <f t="shared" si="5"/>
        <v>1</v>
      </c>
      <c r="J95" s="2270">
        <f t="shared" si="5"/>
        <v>1</v>
      </c>
      <c r="K95" s="2270">
        <f t="shared" si="5"/>
        <v>2</v>
      </c>
      <c r="L95" s="2270">
        <f t="shared" si="5"/>
        <v>2</v>
      </c>
      <c r="M95" s="2270">
        <f t="shared" si="5"/>
        <v>2</v>
      </c>
      <c r="N95" s="2270">
        <f t="shared" si="5"/>
        <v>2</v>
      </c>
    </row>
    <row r="96" spans="1:14" x14ac:dyDescent="0.25">
      <c r="B96" s="2047" t="s">
        <v>23</v>
      </c>
      <c r="C96" s="2163">
        <f>$F$76*C86/3</f>
        <v>2</v>
      </c>
      <c r="D96" s="2270">
        <f t="shared" ref="D96:N96" si="6">$F$76*D86/3</f>
        <v>2</v>
      </c>
      <c r="E96" s="2270">
        <f t="shared" si="6"/>
        <v>2</v>
      </c>
      <c r="F96" s="2270">
        <f t="shared" si="6"/>
        <v>2</v>
      </c>
      <c r="G96" s="2270">
        <f t="shared" si="6"/>
        <v>3</v>
      </c>
      <c r="H96" s="2270">
        <f t="shared" si="6"/>
        <v>1</v>
      </c>
      <c r="I96" s="2270">
        <f t="shared" si="6"/>
        <v>1</v>
      </c>
      <c r="J96" s="2270">
        <f t="shared" si="6"/>
        <v>1</v>
      </c>
      <c r="K96" s="2270">
        <f t="shared" si="6"/>
        <v>2</v>
      </c>
      <c r="L96" s="2270">
        <f t="shared" si="6"/>
        <v>2</v>
      </c>
      <c r="M96" s="2270">
        <f t="shared" si="6"/>
        <v>1</v>
      </c>
      <c r="N96" s="2270">
        <f t="shared" si="6"/>
        <v>2</v>
      </c>
    </row>
    <row r="97" spans="1:14" x14ac:dyDescent="0.25">
      <c r="B97" s="2047" t="s">
        <v>25</v>
      </c>
      <c r="C97" s="2163">
        <f>$F$77*C87/3</f>
        <v>1</v>
      </c>
      <c r="D97" s="2270">
        <f t="shared" ref="D97:N97" si="7">$F$77*D87/3</f>
        <v>1</v>
      </c>
      <c r="E97" s="2270">
        <f t="shared" si="7"/>
        <v>1</v>
      </c>
      <c r="F97" s="2270">
        <f t="shared" si="7"/>
        <v>1</v>
      </c>
      <c r="G97" s="2270">
        <f t="shared" si="7"/>
        <v>1</v>
      </c>
      <c r="H97" s="2270">
        <f t="shared" si="7"/>
        <v>2</v>
      </c>
      <c r="I97" s="2270">
        <f t="shared" si="7"/>
        <v>1</v>
      </c>
      <c r="J97" s="2270">
        <f t="shared" si="7"/>
        <v>3</v>
      </c>
      <c r="K97" s="2270">
        <f t="shared" si="7"/>
        <v>3</v>
      </c>
      <c r="L97" s="2270">
        <f t="shared" si="7"/>
        <v>3</v>
      </c>
      <c r="M97" s="2270">
        <f t="shared" si="7"/>
        <v>2</v>
      </c>
      <c r="N97" s="2270">
        <f t="shared" si="7"/>
        <v>3</v>
      </c>
    </row>
    <row r="98" spans="1:14" x14ac:dyDescent="0.25">
      <c r="B98" s="2126" t="s">
        <v>10</v>
      </c>
      <c r="C98" s="931">
        <f>AVERAGE(C94:C97)</f>
        <v>2</v>
      </c>
      <c r="D98" s="931">
        <f t="shared" ref="D98:N98" si="8">AVERAGE(D94:D97)</f>
        <v>2.25</v>
      </c>
      <c r="E98" s="931">
        <f t="shared" si="8"/>
        <v>1.5</v>
      </c>
      <c r="F98" s="931">
        <f t="shared" si="8"/>
        <v>2</v>
      </c>
      <c r="G98" s="931">
        <f t="shared" si="8"/>
        <v>2.25</v>
      </c>
      <c r="H98" s="931">
        <f t="shared" si="8"/>
        <v>1.75</v>
      </c>
      <c r="I98" s="931">
        <f t="shared" si="8"/>
        <v>1</v>
      </c>
      <c r="J98" s="931">
        <f t="shared" si="8"/>
        <v>1.5</v>
      </c>
      <c r="K98" s="931">
        <f t="shared" si="8"/>
        <v>2.25</v>
      </c>
      <c r="L98" s="931">
        <f t="shared" si="8"/>
        <v>2.25</v>
      </c>
      <c r="M98" s="931">
        <f t="shared" si="8"/>
        <v>1.5</v>
      </c>
      <c r="N98" s="931">
        <f t="shared" si="8"/>
        <v>2.25</v>
      </c>
    </row>
    <row r="99" spans="1:14" x14ac:dyDescent="0.25">
      <c r="B99" s="2126" t="s">
        <v>58</v>
      </c>
      <c r="C99" s="3024">
        <f>AVERAGE(C98:N98)</f>
        <v>1.875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2126" t="s">
        <v>59</v>
      </c>
      <c r="C104" s="748" t="s">
        <v>87</v>
      </c>
      <c r="D104" s="748" t="s">
        <v>88</v>
      </c>
      <c r="E104" s="748" t="s">
        <v>85</v>
      </c>
      <c r="F104" s="2127"/>
      <c r="G104" s="2126" t="s">
        <v>59</v>
      </c>
      <c r="H104" s="2051" t="s">
        <v>60</v>
      </c>
      <c r="I104" s="2051" t="s">
        <v>61</v>
      </c>
      <c r="J104" s="2051" t="s">
        <v>62</v>
      </c>
      <c r="L104" s="2127"/>
      <c r="M104" s="2127"/>
      <c r="N104" s="2127"/>
    </row>
    <row r="105" spans="1:14" x14ac:dyDescent="0.25">
      <c r="B105" s="572" t="s">
        <v>22</v>
      </c>
      <c r="C105" s="2270">
        <v>2</v>
      </c>
      <c r="D105" s="2270">
        <v>1</v>
      </c>
      <c r="E105" s="2270">
        <v>2</v>
      </c>
      <c r="F105" s="2127"/>
      <c r="G105" s="967" t="s">
        <v>20</v>
      </c>
      <c r="H105" s="2163">
        <f>F74*C105/3</f>
        <v>2</v>
      </c>
      <c r="I105" s="2163">
        <f>F74*D105/3</f>
        <v>1</v>
      </c>
      <c r="J105" s="2163">
        <f>F74*E105/3</f>
        <v>2</v>
      </c>
      <c r="L105" s="2127"/>
      <c r="M105" s="2127"/>
      <c r="N105" s="2127"/>
    </row>
    <row r="106" spans="1:14" x14ac:dyDescent="0.25">
      <c r="B106" s="572" t="s">
        <v>40</v>
      </c>
      <c r="C106" s="2270">
        <v>3</v>
      </c>
      <c r="D106" s="2270">
        <v>2</v>
      </c>
      <c r="E106" s="2270">
        <v>2</v>
      </c>
      <c r="F106" s="24"/>
      <c r="G106" s="967" t="s">
        <v>21</v>
      </c>
      <c r="H106" s="2163">
        <f>F75*C106/3</f>
        <v>3</v>
      </c>
      <c r="I106" s="2163">
        <f>F75*D106/3</f>
        <v>2</v>
      </c>
      <c r="J106" s="2163">
        <f>F75*E106/3</f>
        <v>2</v>
      </c>
      <c r="L106" s="24"/>
      <c r="M106" s="24"/>
      <c r="N106" s="24"/>
    </row>
    <row r="107" spans="1:14" x14ac:dyDescent="0.25">
      <c r="B107" s="572" t="s">
        <v>41</v>
      </c>
      <c r="C107" s="2270">
        <v>2</v>
      </c>
      <c r="D107" s="2270">
        <v>3</v>
      </c>
      <c r="E107" s="2270">
        <v>2</v>
      </c>
      <c r="F107" s="24"/>
      <c r="G107" s="967" t="s">
        <v>23</v>
      </c>
      <c r="H107" s="2163">
        <f>F76*C107/3</f>
        <v>2</v>
      </c>
      <c r="I107" s="2163">
        <f>F76*D107/3</f>
        <v>3</v>
      </c>
      <c r="J107" s="2163">
        <f>F76*E107/3</f>
        <v>2</v>
      </c>
      <c r="L107" s="24"/>
      <c r="M107" s="24"/>
      <c r="N107" s="24"/>
    </row>
    <row r="108" spans="1:14" x14ac:dyDescent="0.25">
      <c r="B108" s="572" t="s">
        <v>42</v>
      </c>
      <c r="C108" s="2270">
        <v>1</v>
      </c>
      <c r="D108" s="2270">
        <v>2</v>
      </c>
      <c r="E108" s="2270">
        <v>3</v>
      </c>
      <c r="F108" s="24"/>
      <c r="G108" s="967" t="s">
        <v>25</v>
      </c>
      <c r="H108" s="2163">
        <f>F77*C108/3</f>
        <v>1</v>
      </c>
      <c r="I108" s="2163">
        <f>F77*D108/3</f>
        <v>2</v>
      </c>
      <c r="J108" s="2163">
        <f>F77*E108/3</f>
        <v>3</v>
      </c>
      <c r="L108" s="24"/>
      <c r="M108" s="24"/>
      <c r="N108" s="24"/>
    </row>
    <row r="109" spans="1:14" x14ac:dyDescent="0.25">
      <c r="B109" s="2126" t="s">
        <v>10</v>
      </c>
      <c r="C109" s="909">
        <f>AVERAGE(C105:C108)</f>
        <v>2</v>
      </c>
      <c r="D109" s="909">
        <f t="shared" ref="D109:E109" si="9">AVERAGE(D105:D108)</f>
        <v>2</v>
      </c>
      <c r="E109" s="909">
        <f t="shared" si="9"/>
        <v>2.25</v>
      </c>
      <c r="F109" s="910"/>
      <c r="G109" s="2126" t="s">
        <v>10</v>
      </c>
      <c r="H109" s="2161">
        <f>AVERAGE(H105:H108)</f>
        <v>2</v>
      </c>
      <c r="I109" s="2161">
        <f t="shared" ref="I109:J109" si="10">AVERAGE(I105:I108)</f>
        <v>2</v>
      </c>
      <c r="J109" s="2161">
        <f t="shared" si="10"/>
        <v>2.25</v>
      </c>
      <c r="L109" s="910"/>
      <c r="M109" s="910"/>
      <c r="N109" s="910"/>
    </row>
    <row r="110" spans="1:14" x14ac:dyDescent="0.25">
      <c r="B110" s="2126" t="s">
        <v>58</v>
      </c>
      <c r="C110" s="3913">
        <f>AVERAGE(C109:E109)</f>
        <v>2.0833333333333335</v>
      </c>
      <c r="D110" s="3914"/>
      <c r="E110" s="3915"/>
      <c r="F110" s="912"/>
      <c r="G110" s="2126" t="s">
        <v>58</v>
      </c>
      <c r="H110" s="3110">
        <f>AVERAGE(H109:J109)</f>
        <v>2.0833333333333335</v>
      </c>
      <c r="I110" s="3628"/>
      <c r="J110" s="3112"/>
      <c r="L110" s="912"/>
      <c r="M110" s="912"/>
      <c r="N110" s="912"/>
    </row>
    <row r="114" spans="3:3" x14ac:dyDescent="0.25">
      <c r="C114" s="2401" t="s">
        <v>393</v>
      </c>
    </row>
    <row r="115" spans="3:3" x14ac:dyDescent="0.25">
      <c r="C115" s="2402"/>
    </row>
    <row r="116" spans="3:3" x14ac:dyDescent="0.25">
      <c r="C116" s="2402" t="s">
        <v>394</v>
      </c>
    </row>
    <row r="117" spans="3:3" x14ac:dyDescent="0.25">
      <c r="C117"/>
    </row>
    <row r="118" spans="3:3" x14ac:dyDescent="0.25">
      <c r="C118" s="2401" t="s">
        <v>395</v>
      </c>
    </row>
    <row r="119" spans="3:3" x14ac:dyDescent="0.25">
      <c r="C119" s="2402"/>
    </row>
    <row r="120" spans="3:3" x14ac:dyDescent="0.25">
      <c r="C120" s="2402" t="s">
        <v>396</v>
      </c>
    </row>
    <row r="121" spans="3:3" x14ac:dyDescent="0.25">
      <c r="C121"/>
    </row>
    <row r="122" spans="3:3" x14ac:dyDescent="0.25">
      <c r="C122" s="2401" t="s">
        <v>397</v>
      </c>
    </row>
    <row r="123" spans="3:3" x14ac:dyDescent="0.25">
      <c r="C123" s="2402"/>
    </row>
    <row r="124" spans="3:3" x14ac:dyDescent="0.25">
      <c r="C124" s="2402" t="s">
        <v>398</v>
      </c>
    </row>
    <row r="125" spans="3:3" x14ac:dyDescent="0.25">
      <c r="C125"/>
    </row>
    <row r="126" spans="3:3" x14ac:dyDescent="0.25">
      <c r="C126" s="2401" t="s">
        <v>399</v>
      </c>
    </row>
    <row r="127" spans="3:3" x14ac:dyDescent="0.25">
      <c r="C127" s="2402"/>
    </row>
    <row r="128" spans="3:3" x14ac:dyDescent="0.25">
      <c r="C128" s="2402" t="s">
        <v>400</v>
      </c>
    </row>
  </sheetData>
  <mergeCells count="19">
    <mergeCell ref="C110:E110"/>
    <mergeCell ref="H110:J110"/>
    <mergeCell ref="D5:D7"/>
    <mergeCell ref="E5:E7"/>
    <mergeCell ref="A69:B69"/>
    <mergeCell ref="A70:B70"/>
    <mergeCell ref="A81:B81"/>
    <mergeCell ref="C89:N89"/>
    <mergeCell ref="C5:C7"/>
    <mergeCell ref="A91:B91"/>
    <mergeCell ref="C99:N99"/>
    <mergeCell ref="A102:B102"/>
    <mergeCell ref="G102:H102"/>
    <mergeCell ref="G103:H103"/>
    <mergeCell ref="A2:B2"/>
    <mergeCell ref="A3:B3"/>
    <mergeCell ref="A4:B4"/>
    <mergeCell ref="A5:A7"/>
    <mergeCell ref="B5:B7"/>
  </mergeCells>
  <conditionalFormatting sqref="D37:D66 D9:D35">
    <cfRule type="containsText" dxfId="5" priority="2" operator="containsText" text="F">
      <formula>NOT(ISERROR(SEARCH("F",D9)))</formula>
    </cfRule>
  </conditionalFormatting>
  <conditionalFormatting sqref="D36">
    <cfRule type="containsText" dxfId="4" priority="1" operator="containsText" text="F">
      <formula>NOT(ISERROR(SEARCH("F",D36)))</formula>
    </cfRule>
  </conditionalFormatting>
  <pageMargins left="0.7" right="0.7" top="0.75" bottom="0.75" header="0.3" footer="0.3"/>
  <pageSetup paperSize="8" scale="56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0"/>
  <sheetViews>
    <sheetView topLeftCell="A100" zoomScale="96" zoomScaleNormal="96" workbookViewId="0">
      <selection activeCell="C98" sqref="C98"/>
    </sheetView>
  </sheetViews>
  <sheetFormatPr defaultRowHeight="15.75" x14ac:dyDescent="0.25"/>
  <cols>
    <col min="1" max="1" width="14.5703125" style="2271" customWidth="1"/>
    <col min="2" max="2" width="21.5703125" style="2271" customWidth="1"/>
    <col min="3" max="3" width="22" style="2271" customWidth="1"/>
    <col min="4" max="4" width="12.5703125" style="2271" customWidth="1"/>
    <col min="5" max="5" width="10.7109375" style="2271" customWidth="1"/>
    <col min="6" max="6" width="12.85546875" style="2271" customWidth="1"/>
    <col min="7" max="7" width="19.28515625" style="2271" customWidth="1"/>
    <col min="8" max="8" width="14.140625" style="2271" customWidth="1"/>
    <col min="9" max="16384" width="9.140625" style="2271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338</v>
      </c>
      <c r="D2" s="2089" t="s">
        <v>63</v>
      </c>
      <c r="E2" s="2092" t="s">
        <v>337</v>
      </c>
      <c r="F2" s="735"/>
      <c r="G2" s="735"/>
      <c r="H2" s="735"/>
    </row>
    <row r="3" spans="1:8" ht="45" x14ac:dyDescent="0.25">
      <c r="A3" s="3301" t="s">
        <v>1</v>
      </c>
      <c r="B3" s="3301"/>
      <c r="C3" s="2279" t="s">
        <v>339</v>
      </c>
      <c r="D3" s="803" t="s">
        <v>64</v>
      </c>
      <c r="E3" s="2092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336</v>
      </c>
      <c r="D4" s="2089" t="s">
        <v>65</v>
      </c>
      <c r="E4" s="2092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048" t="s">
        <v>11</v>
      </c>
      <c r="D5" s="3048" t="s">
        <v>12</v>
      </c>
    </row>
    <row r="6" spans="1:8" x14ac:dyDescent="0.25">
      <c r="A6" s="3067"/>
      <c r="B6" s="3304"/>
      <c r="C6" s="2679"/>
      <c r="D6" s="2679"/>
    </row>
    <row r="7" spans="1:8" x14ac:dyDescent="0.25">
      <c r="A7" s="3068"/>
      <c r="B7" s="3048"/>
      <c r="C7" s="2679"/>
      <c r="D7" s="2679"/>
    </row>
    <row r="8" spans="1:8" x14ac:dyDescent="0.25">
      <c r="A8" s="2087" t="s">
        <v>18</v>
      </c>
      <c r="B8" s="2087" t="s">
        <v>26</v>
      </c>
      <c r="C8" s="896"/>
      <c r="D8" s="2267">
        <v>100</v>
      </c>
    </row>
    <row r="9" spans="1:8" ht="18.75" x14ac:dyDescent="0.25">
      <c r="A9" s="839">
        <v>1</v>
      </c>
      <c r="B9" s="897">
        <v>5191421001</v>
      </c>
      <c r="C9" s="713" t="s">
        <v>30</v>
      </c>
      <c r="D9" s="2268">
        <f>IF(C9="O",100,IF(C9="A+",90,IF(C9="A",80,IF(C9="B+",70,IF(C9="B",60,IF(C9="C",55,IF(C9="P",50,IF(C9="F",39))))))))</f>
        <v>90</v>
      </c>
    </row>
    <row r="10" spans="1:8" ht="18.75" x14ac:dyDescent="0.25">
      <c r="A10" s="839">
        <v>2</v>
      </c>
      <c r="B10" s="898">
        <v>5191421002</v>
      </c>
      <c r="C10" s="2281" t="s">
        <v>27</v>
      </c>
      <c r="D10" s="2268">
        <f t="shared" ref="D10:D66" si="0">IF(C10="O",100,IF(C10="A+",90,IF(C10="A",80,IF(C10="B+",70,IF(C10="B",60,IF(C10="C",55,IF(C10="P",50,IF(C10="F",39))))))))</f>
        <v>80</v>
      </c>
    </row>
    <row r="11" spans="1:8" ht="18.75" x14ac:dyDescent="0.25">
      <c r="A11" s="839">
        <v>3</v>
      </c>
      <c r="B11" s="897">
        <v>5191421003</v>
      </c>
      <c r="C11" s="2281" t="s">
        <v>82</v>
      </c>
      <c r="D11" s="2268">
        <f t="shared" si="0"/>
        <v>100</v>
      </c>
    </row>
    <row r="12" spans="1:8" ht="18.75" x14ac:dyDescent="0.25">
      <c r="A12" s="839">
        <v>4</v>
      </c>
      <c r="B12" s="897">
        <v>5191421004</v>
      </c>
      <c r="C12" s="2281" t="s">
        <v>27</v>
      </c>
      <c r="D12" s="2268">
        <f t="shared" si="0"/>
        <v>80</v>
      </c>
    </row>
    <row r="13" spans="1:8" ht="18.75" x14ac:dyDescent="0.25">
      <c r="A13" s="839">
        <v>5</v>
      </c>
      <c r="B13" s="899">
        <v>5191421005</v>
      </c>
      <c r="C13" s="2287" t="s">
        <v>82</v>
      </c>
      <c r="D13" s="2268">
        <f t="shared" si="0"/>
        <v>100</v>
      </c>
    </row>
    <row r="14" spans="1:8" ht="18.75" x14ac:dyDescent="0.25">
      <c r="A14" s="839">
        <v>6</v>
      </c>
      <c r="B14" s="897">
        <v>5191421006</v>
      </c>
      <c r="C14" s="2281" t="s">
        <v>82</v>
      </c>
      <c r="D14" s="2268">
        <f t="shared" si="0"/>
        <v>100</v>
      </c>
    </row>
    <row r="15" spans="1:8" ht="18.75" x14ac:dyDescent="0.25">
      <c r="A15" s="839">
        <v>7</v>
      </c>
      <c r="B15" s="897">
        <v>5191421007</v>
      </c>
      <c r="C15" s="2287" t="s">
        <v>27</v>
      </c>
      <c r="D15" s="2268">
        <f t="shared" si="0"/>
        <v>80</v>
      </c>
    </row>
    <row r="16" spans="1:8" ht="18.75" x14ac:dyDescent="0.25">
      <c r="A16" s="839">
        <v>8</v>
      </c>
      <c r="B16" s="897">
        <v>5191421008</v>
      </c>
      <c r="C16" s="2281" t="s">
        <v>27</v>
      </c>
      <c r="D16" s="2268">
        <f t="shared" si="0"/>
        <v>80</v>
      </c>
    </row>
    <row r="17" spans="1:4" ht="18.75" x14ac:dyDescent="0.25">
      <c r="A17" s="839">
        <v>9</v>
      </c>
      <c r="B17" s="897">
        <v>5191421009</v>
      </c>
      <c r="C17" s="2281" t="s">
        <v>30</v>
      </c>
      <c r="D17" s="2268">
        <f t="shared" si="0"/>
        <v>90</v>
      </c>
    </row>
    <row r="18" spans="1:4" ht="18.75" x14ac:dyDescent="0.25">
      <c r="A18" s="839">
        <v>10</v>
      </c>
      <c r="B18" s="897">
        <v>5191421010</v>
      </c>
      <c r="C18" s="2281" t="s">
        <v>30</v>
      </c>
      <c r="D18" s="2268">
        <f t="shared" si="0"/>
        <v>90</v>
      </c>
    </row>
    <row r="19" spans="1:4" ht="18.75" x14ac:dyDescent="0.25">
      <c r="A19" s="839">
        <v>11</v>
      </c>
      <c r="B19" s="897">
        <v>5191421011</v>
      </c>
      <c r="C19" s="2281" t="s">
        <v>82</v>
      </c>
      <c r="D19" s="2268">
        <f t="shared" si="0"/>
        <v>100</v>
      </c>
    </row>
    <row r="20" spans="1:4" ht="18.75" x14ac:dyDescent="0.25">
      <c r="A20" s="839">
        <v>12</v>
      </c>
      <c r="B20" s="897">
        <v>5191421012</v>
      </c>
      <c r="C20" s="2281" t="s">
        <v>30</v>
      </c>
      <c r="D20" s="2268">
        <f t="shared" si="0"/>
        <v>90</v>
      </c>
    </row>
    <row r="21" spans="1:4" ht="18.75" x14ac:dyDescent="0.25">
      <c r="A21" s="839">
        <v>13</v>
      </c>
      <c r="B21" s="897">
        <v>5191421013</v>
      </c>
      <c r="C21" s="2281" t="s">
        <v>30</v>
      </c>
      <c r="D21" s="2268">
        <f t="shared" si="0"/>
        <v>90</v>
      </c>
    </row>
    <row r="22" spans="1:4" ht="18.75" x14ac:dyDescent="0.25">
      <c r="A22" s="839">
        <v>14</v>
      </c>
      <c r="B22" s="897">
        <v>5191421014</v>
      </c>
      <c r="C22" s="2281" t="s">
        <v>82</v>
      </c>
      <c r="D22" s="2268">
        <f t="shared" si="0"/>
        <v>100</v>
      </c>
    </row>
    <row r="23" spans="1:4" ht="18.75" x14ac:dyDescent="0.25">
      <c r="A23" s="839">
        <v>15</v>
      </c>
      <c r="B23" s="897">
        <v>5191421015</v>
      </c>
      <c r="C23" s="2281" t="s">
        <v>82</v>
      </c>
      <c r="D23" s="2268">
        <f t="shared" si="0"/>
        <v>100</v>
      </c>
    </row>
    <row r="24" spans="1:4" ht="18.75" x14ac:dyDescent="0.25">
      <c r="A24" s="839">
        <v>16</v>
      </c>
      <c r="B24" s="897">
        <v>5191421016</v>
      </c>
      <c r="C24" s="2281" t="s">
        <v>29</v>
      </c>
      <c r="D24" s="2268">
        <f t="shared" si="0"/>
        <v>39</v>
      </c>
    </row>
    <row r="25" spans="1:4" ht="18.75" x14ac:dyDescent="0.25">
      <c r="A25" s="839">
        <v>17</v>
      </c>
      <c r="B25" s="897">
        <v>5191421017</v>
      </c>
      <c r="C25" s="2281" t="s">
        <v>27</v>
      </c>
      <c r="D25" s="2268">
        <f t="shared" si="0"/>
        <v>80</v>
      </c>
    </row>
    <row r="26" spans="1:4" ht="18.75" x14ac:dyDescent="0.25">
      <c r="A26" s="839">
        <v>18</v>
      </c>
      <c r="B26" s="897">
        <v>5191421018</v>
      </c>
      <c r="C26" s="2281" t="s">
        <v>27</v>
      </c>
      <c r="D26" s="2268">
        <f t="shared" si="0"/>
        <v>80</v>
      </c>
    </row>
    <row r="27" spans="1:4" ht="18.75" x14ac:dyDescent="0.25">
      <c r="A27" s="839">
        <v>19</v>
      </c>
      <c r="B27" s="897">
        <v>5191421019</v>
      </c>
      <c r="C27" s="2281" t="s">
        <v>82</v>
      </c>
      <c r="D27" s="2268">
        <f t="shared" si="0"/>
        <v>100</v>
      </c>
    </row>
    <row r="28" spans="1:4" ht="18.75" x14ac:dyDescent="0.25">
      <c r="A28" s="839">
        <v>20</v>
      </c>
      <c r="B28" s="897">
        <v>5191421020</v>
      </c>
      <c r="C28" s="2281" t="s">
        <v>82</v>
      </c>
      <c r="D28" s="2268">
        <f t="shared" si="0"/>
        <v>100</v>
      </c>
    </row>
    <row r="29" spans="1:4" ht="18.75" x14ac:dyDescent="0.25">
      <c r="A29" s="839">
        <v>21</v>
      </c>
      <c r="B29" s="897">
        <v>5191421021</v>
      </c>
      <c r="C29" s="2281" t="s">
        <v>82</v>
      </c>
      <c r="D29" s="2268">
        <f t="shared" si="0"/>
        <v>100</v>
      </c>
    </row>
    <row r="30" spans="1:4" ht="18.75" x14ac:dyDescent="0.25">
      <c r="A30" s="839">
        <v>22</v>
      </c>
      <c r="B30" s="897">
        <v>5191421022</v>
      </c>
      <c r="C30" s="2281" t="s">
        <v>30</v>
      </c>
      <c r="D30" s="2268">
        <f t="shared" si="0"/>
        <v>90</v>
      </c>
    </row>
    <row r="31" spans="1:4" ht="18.75" x14ac:dyDescent="0.25">
      <c r="A31" s="839">
        <v>23</v>
      </c>
      <c r="B31" s="897">
        <v>5191421023</v>
      </c>
      <c r="C31" s="2281" t="s">
        <v>30</v>
      </c>
      <c r="D31" s="2268">
        <f t="shared" si="0"/>
        <v>90</v>
      </c>
    </row>
    <row r="32" spans="1:4" ht="18.75" x14ac:dyDescent="0.25">
      <c r="A32" s="839">
        <v>24</v>
      </c>
      <c r="B32" s="897">
        <v>5191421024</v>
      </c>
      <c r="C32" s="2281" t="s">
        <v>30</v>
      </c>
      <c r="D32" s="2268">
        <f t="shared" si="0"/>
        <v>90</v>
      </c>
    </row>
    <row r="33" spans="1:4" ht="18.75" x14ac:dyDescent="0.25">
      <c r="A33" s="839">
        <v>25</v>
      </c>
      <c r="B33" s="897">
        <v>5191421025</v>
      </c>
      <c r="C33" s="2281" t="s">
        <v>82</v>
      </c>
      <c r="D33" s="2268">
        <f t="shared" si="0"/>
        <v>100</v>
      </c>
    </row>
    <row r="34" spans="1:4" ht="18.75" x14ac:dyDescent="0.25">
      <c r="A34" s="839">
        <v>26</v>
      </c>
      <c r="B34" s="897">
        <v>5191421026</v>
      </c>
      <c r="C34" s="2281" t="s">
        <v>30</v>
      </c>
      <c r="D34" s="2268">
        <f t="shared" si="0"/>
        <v>90</v>
      </c>
    </row>
    <row r="35" spans="1:4" ht="18.75" x14ac:dyDescent="0.25">
      <c r="A35" s="839">
        <v>27</v>
      </c>
      <c r="B35" s="897">
        <v>5191421027</v>
      </c>
      <c r="C35" s="2281" t="s">
        <v>82</v>
      </c>
      <c r="D35" s="2268">
        <f t="shared" si="0"/>
        <v>100</v>
      </c>
    </row>
    <row r="36" spans="1:4" ht="18.75" x14ac:dyDescent="0.25">
      <c r="A36" s="839">
        <v>28</v>
      </c>
      <c r="B36" s="897">
        <v>5191421028</v>
      </c>
      <c r="C36" s="2284" t="s">
        <v>30</v>
      </c>
      <c r="D36" s="2268">
        <f t="shared" si="0"/>
        <v>90</v>
      </c>
    </row>
    <row r="37" spans="1:4" ht="18.75" x14ac:dyDescent="0.25">
      <c r="A37" s="839">
        <v>29</v>
      </c>
      <c r="B37" s="897">
        <v>5191421029</v>
      </c>
      <c r="C37" s="2281" t="s">
        <v>82</v>
      </c>
      <c r="D37" s="2268">
        <f t="shared" si="0"/>
        <v>100</v>
      </c>
    </row>
    <row r="38" spans="1:4" ht="18.75" x14ac:dyDescent="0.25">
      <c r="A38" s="839">
        <v>30</v>
      </c>
      <c r="B38" s="897">
        <v>5191421030</v>
      </c>
      <c r="C38" s="2281" t="s">
        <v>27</v>
      </c>
      <c r="D38" s="2268">
        <f t="shared" si="0"/>
        <v>80</v>
      </c>
    </row>
    <row r="39" spans="1:4" ht="18.75" x14ac:dyDescent="0.25">
      <c r="A39" s="839">
        <v>31</v>
      </c>
      <c r="B39" s="897">
        <v>5191421031</v>
      </c>
      <c r="C39" s="2281" t="s">
        <v>82</v>
      </c>
      <c r="D39" s="2268">
        <f t="shared" si="0"/>
        <v>100</v>
      </c>
    </row>
    <row r="40" spans="1:4" ht="18.75" x14ac:dyDescent="0.25">
      <c r="A40" s="839">
        <v>32</v>
      </c>
      <c r="B40" s="897">
        <v>5191421032</v>
      </c>
      <c r="C40" s="2281" t="s">
        <v>30</v>
      </c>
      <c r="D40" s="2268">
        <f t="shared" si="0"/>
        <v>90</v>
      </c>
    </row>
    <row r="41" spans="1:4" ht="18.75" x14ac:dyDescent="0.25">
      <c r="A41" s="839">
        <v>33</v>
      </c>
      <c r="B41" s="897">
        <v>5191421033</v>
      </c>
      <c r="C41" s="2287" t="s">
        <v>82</v>
      </c>
      <c r="D41" s="2268">
        <f t="shared" si="0"/>
        <v>100</v>
      </c>
    </row>
    <row r="42" spans="1:4" ht="18.75" x14ac:dyDescent="0.25">
      <c r="A42" s="839">
        <v>34</v>
      </c>
      <c r="B42" s="897">
        <v>5191421034</v>
      </c>
      <c r="C42" s="2281" t="s">
        <v>82</v>
      </c>
      <c r="D42" s="2268">
        <f t="shared" si="0"/>
        <v>100</v>
      </c>
    </row>
    <row r="43" spans="1:4" ht="18.75" x14ac:dyDescent="0.25">
      <c r="A43" s="839">
        <v>35</v>
      </c>
      <c r="B43" s="897">
        <v>5191421035</v>
      </c>
      <c r="C43" s="2281" t="s">
        <v>30</v>
      </c>
      <c r="D43" s="2268">
        <f t="shared" si="0"/>
        <v>90</v>
      </c>
    </row>
    <row r="44" spans="1:4" ht="18.75" x14ac:dyDescent="0.25">
      <c r="A44" s="839">
        <v>36</v>
      </c>
      <c r="B44" s="897">
        <v>5191421036</v>
      </c>
      <c r="C44" s="2281" t="s">
        <v>30</v>
      </c>
      <c r="D44" s="2268">
        <f t="shared" si="0"/>
        <v>90</v>
      </c>
    </row>
    <row r="45" spans="1:4" ht="18.75" x14ac:dyDescent="0.25">
      <c r="A45" s="839">
        <v>37</v>
      </c>
      <c r="B45" s="897">
        <v>5191421037</v>
      </c>
      <c r="C45" s="2287" t="s">
        <v>32</v>
      </c>
      <c r="D45" s="2268">
        <f t="shared" si="0"/>
        <v>70</v>
      </c>
    </row>
    <row r="46" spans="1:4" ht="18.75" x14ac:dyDescent="0.25">
      <c r="A46" s="839">
        <v>38</v>
      </c>
      <c r="B46" s="897">
        <v>5191421038</v>
      </c>
      <c r="C46" s="2281" t="s">
        <v>30</v>
      </c>
      <c r="D46" s="2268">
        <f t="shared" si="0"/>
        <v>90</v>
      </c>
    </row>
    <row r="47" spans="1:4" ht="18.75" x14ac:dyDescent="0.25">
      <c r="A47" s="839">
        <v>39</v>
      </c>
      <c r="B47" s="897">
        <v>5191421039</v>
      </c>
      <c r="C47" s="2281" t="s">
        <v>82</v>
      </c>
      <c r="D47" s="2268">
        <f t="shared" si="0"/>
        <v>100</v>
      </c>
    </row>
    <row r="48" spans="1:4" ht="18.75" x14ac:dyDescent="0.25">
      <c r="A48" s="839">
        <v>40</v>
      </c>
      <c r="B48" s="897">
        <v>5191421040</v>
      </c>
      <c r="C48" s="2281" t="s">
        <v>30</v>
      </c>
      <c r="D48" s="2268">
        <f t="shared" si="0"/>
        <v>90</v>
      </c>
    </row>
    <row r="49" spans="1:4" ht="18.75" x14ac:dyDescent="0.25">
      <c r="A49" s="839">
        <v>41</v>
      </c>
      <c r="B49" s="897">
        <v>5191421041</v>
      </c>
      <c r="C49" s="2281" t="s">
        <v>27</v>
      </c>
      <c r="D49" s="2268">
        <f t="shared" si="0"/>
        <v>80</v>
      </c>
    </row>
    <row r="50" spans="1:4" ht="18.75" x14ac:dyDescent="0.25">
      <c r="A50" s="839">
        <v>42</v>
      </c>
      <c r="B50" s="897">
        <v>5191421042</v>
      </c>
      <c r="C50" s="2287" t="s">
        <v>30</v>
      </c>
      <c r="D50" s="2268">
        <f t="shared" si="0"/>
        <v>90</v>
      </c>
    </row>
    <row r="51" spans="1:4" ht="18.75" x14ac:dyDescent="0.25">
      <c r="A51" s="839">
        <v>43</v>
      </c>
      <c r="B51" s="897">
        <v>5191421043</v>
      </c>
      <c r="C51" s="2281" t="s">
        <v>27</v>
      </c>
      <c r="D51" s="2268">
        <f t="shared" si="0"/>
        <v>80</v>
      </c>
    </row>
    <row r="52" spans="1:4" ht="18.75" x14ac:dyDescent="0.25">
      <c r="A52" s="839">
        <v>44</v>
      </c>
      <c r="B52" s="897">
        <v>5191421044</v>
      </c>
      <c r="C52" s="2281" t="s">
        <v>30</v>
      </c>
      <c r="D52" s="2268">
        <f t="shared" si="0"/>
        <v>90</v>
      </c>
    </row>
    <row r="53" spans="1:4" ht="18.75" x14ac:dyDescent="0.25">
      <c r="A53" s="839">
        <v>45</v>
      </c>
      <c r="B53" s="897">
        <v>5191421045</v>
      </c>
      <c r="C53" s="2281" t="s">
        <v>30</v>
      </c>
      <c r="D53" s="2268">
        <f t="shared" si="0"/>
        <v>90</v>
      </c>
    </row>
    <row r="54" spans="1:4" ht="18.75" x14ac:dyDescent="0.25">
      <c r="A54" s="839">
        <v>46</v>
      </c>
      <c r="B54" s="897">
        <v>5191421046</v>
      </c>
      <c r="C54" s="2281" t="s">
        <v>27</v>
      </c>
      <c r="D54" s="2268">
        <f t="shared" si="0"/>
        <v>80</v>
      </c>
    </row>
    <row r="55" spans="1:4" ht="18.75" x14ac:dyDescent="0.25">
      <c r="A55" s="839">
        <v>47</v>
      </c>
      <c r="B55" s="897">
        <v>5191421047</v>
      </c>
      <c r="C55" s="2281" t="s">
        <v>32</v>
      </c>
      <c r="D55" s="2268">
        <f t="shared" si="0"/>
        <v>70</v>
      </c>
    </row>
    <row r="56" spans="1:4" ht="18.75" x14ac:dyDescent="0.25">
      <c r="A56" s="839">
        <v>48</v>
      </c>
      <c r="B56" s="897">
        <v>5191421048</v>
      </c>
      <c r="C56" s="2281" t="s">
        <v>32</v>
      </c>
      <c r="D56" s="2268">
        <f t="shared" si="0"/>
        <v>70</v>
      </c>
    </row>
    <row r="57" spans="1:4" ht="18.75" x14ac:dyDescent="0.25">
      <c r="A57" s="839">
        <v>49</v>
      </c>
      <c r="B57" s="897">
        <v>5191421049</v>
      </c>
      <c r="C57" s="2281" t="s">
        <v>27</v>
      </c>
      <c r="D57" s="2268">
        <f t="shared" si="0"/>
        <v>80</v>
      </c>
    </row>
    <row r="58" spans="1:4" ht="18.75" x14ac:dyDescent="0.25">
      <c r="A58" s="839">
        <v>50</v>
      </c>
      <c r="B58" s="897">
        <v>5191421050</v>
      </c>
      <c r="C58" s="2281" t="s">
        <v>30</v>
      </c>
      <c r="D58" s="2268">
        <f t="shared" si="0"/>
        <v>90</v>
      </c>
    </row>
    <row r="59" spans="1:4" ht="18.75" x14ac:dyDescent="0.25">
      <c r="A59" s="839">
        <v>51</v>
      </c>
      <c r="B59" s="897">
        <v>5191421051</v>
      </c>
      <c r="C59" s="2281" t="s">
        <v>82</v>
      </c>
      <c r="D59" s="2268">
        <f t="shared" si="0"/>
        <v>100</v>
      </c>
    </row>
    <row r="60" spans="1:4" ht="18.75" x14ac:dyDescent="0.25">
      <c r="A60" s="839">
        <v>52</v>
      </c>
      <c r="B60" s="897">
        <v>5191421052</v>
      </c>
      <c r="C60" s="2281" t="s">
        <v>31</v>
      </c>
      <c r="D60" s="2268">
        <f t="shared" si="0"/>
        <v>55</v>
      </c>
    </row>
    <row r="61" spans="1:4" ht="18.75" x14ac:dyDescent="0.25">
      <c r="A61" s="839">
        <v>53</v>
      </c>
      <c r="B61" s="897">
        <v>5191421053</v>
      </c>
      <c r="C61" s="2281" t="s">
        <v>27</v>
      </c>
      <c r="D61" s="2268">
        <f t="shared" si="0"/>
        <v>80</v>
      </c>
    </row>
    <row r="62" spans="1:4" ht="18.75" x14ac:dyDescent="0.25">
      <c r="A62" s="839">
        <v>54</v>
      </c>
      <c r="B62" s="897">
        <v>5191421054</v>
      </c>
      <c r="C62" s="2281" t="s">
        <v>30</v>
      </c>
      <c r="D62" s="2268">
        <f t="shared" si="0"/>
        <v>90</v>
      </c>
    </row>
    <row r="63" spans="1:4" ht="18.75" x14ac:dyDescent="0.25">
      <c r="A63" s="839">
        <v>55</v>
      </c>
      <c r="B63" s="897">
        <v>5191421055</v>
      </c>
      <c r="C63" s="2281" t="s">
        <v>82</v>
      </c>
      <c r="D63" s="2268">
        <f t="shared" si="0"/>
        <v>100</v>
      </c>
    </row>
    <row r="64" spans="1:4" ht="18.75" x14ac:dyDescent="0.25">
      <c r="A64" s="839">
        <v>56</v>
      </c>
      <c r="B64" s="897">
        <v>5191421056</v>
      </c>
      <c r="C64" s="2282" t="s">
        <v>32</v>
      </c>
      <c r="D64" s="2268">
        <f t="shared" si="0"/>
        <v>70</v>
      </c>
    </row>
    <row r="65" spans="1:14" ht="18.75" x14ac:dyDescent="0.25">
      <c r="A65" s="839">
        <v>57</v>
      </c>
      <c r="B65" s="897">
        <v>5191421057</v>
      </c>
      <c r="C65" s="2283" t="s">
        <v>30</v>
      </c>
      <c r="D65" s="2268">
        <f t="shared" si="0"/>
        <v>90</v>
      </c>
    </row>
    <row r="66" spans="1:14" ht="19.5" thickBot="1" x14ac:dyDescent="0.3">
      <c r="A66" s="839">
        <v>58</v>
      </c>
      <c r="B66" s="903">
        <v>5191421058</v>
      </c>
      <c r="C66" s="2290" t="s">
        <v>27</v>
      </c>
      <c r="D66" s="2268">
        <f t="shared" si="0"/>
        <v>80</v>
      </c>
    </row>
    <row r="67" spans="1:14" x14ac:dyDescent="0.25">
      <c r="C67" s="2272"/>
    </row>
    <row r="68" spans="1:14" ht="31.5" x14ac:dyDescent="0.25">
      <c r="A68" s="2091" t="s">
        <v>34</v>
      </c>
      <c r="B68" s="2083">
        <v>65</v>
      </c>
      <c r="C68" s="2272"/>
    </row>
    <row r="69" spans="1:14" x14ac:dyDescent="0.25">
      <c r="A69" s="3305" t="s">
        <v>35</v>
      </c>
      <c r="B69" s="3305"/>
      <c r="C69" s="2272"/>
      <c r="D69" s="2272">
        <f>COUNTIF(D9:D66,"&gt;="&amp;B68)</f>
        <v>56</v>
      </c>
    </row>
    <row r="70" spans="1:14" x14ac:dyDescent="0.25">
      <c r="A70" s="3306" t="s">
        <v>36</v>
      </c>
      <c r="B70" s="3306"/>
      <c r="C70" s="2272"/>
      <c r="D70" s="36">
        <f>(D69/A66)*100</f>
        <v>96.551724137931032</v>
      </c>
    </row>
    <row r="73" spans="1:14" ht="31.5" x14ac:dyDescent="0.25">
      <c r="B73" s="449"/>
      <c r="C73" s="2267" t="s">
        <v>39</v>
      </c>
      <c r="D73" s="2274" t="s">
        <v>37</v>
      </c>
      <c r="F73" s="13"/>
    </row>
    <row r="74" spans="1:14" x14ac:dyDescent="0.25">
      <c r="B74" s="2267" t="s">
        <v>22</v>
      </c>
      <c r="C74" s="2268">
        <f>IF(D70&gt;=70,3,IF(AND(D70&gt;=60,D70&lt;70),2,IF(AND(D70&gt;=50,D70&lt;60),1)))</f>
        <v>3</v>
      </c>
      <c r="D74" s="2268">
        <f>(100/100)*C74</f>
        <v>3</v>
      </c>
      <c r="F74" s="2286"/>
    </row>
    <row r="75" spans="1:14" x14ac:dyDescent="0.25">
      <c r="B75" s="2267" t="s">
        <v>40</v>
      </c>
      <c r="C75" s="2268">
        <f>IF(D70&gt;=70,3,IF(AND(D70&gt;=60,D70&lt;70),2,IF(AND(D70&gt;=50,D70&lt;60),1)))</f>
        <v>3</v>
      </c>
      <c r="D75" s="2268">
        <f t="shared" ref="D75:D77" si="1">(100/100)*C75</f>
        <v>3</v>
      </c>
      <c r="F75" s="2286"/>
    </row>
    <row r="76" spans="1:14" x14ac:dyDescent="0.25">
      <c r="B76" s="2267" t="s">
        <v>41</v>
      </c>
      <c r="C76" s="2268">
        <f>IF(D70&gt;=70,3,IF(AND(D70&gt;=60,D70&lt;70),2,IF(AND(D70&gt;=50,D70&lt;60),1)))</f>
        <v>3</v>
      </c>
      <c r="D76" s="2268">
        <f t="shared" si="1"/>
        <v>3</v>
      </c>
      <c r="F76" s="2286"/>
    </row>
    <row r="77" spans="1:14" x14ac:dyDescent="0.25">
      <c r="B77" s="2267" t="s">
        <v>42</v>
      </c>
      <c r="C77" s="2268">
        <f>IF(D70&gt;=70,3,IF(AND(D70&gt;=60,D70&lt;70),2,IF(AND(D70&gt;=50,D70&lt;60),1)))</f>
        <v>3</v>
      </c>
      <c r="D77" s="2268">
        <f t="shared" si="1"/>
        <v>3</v>
      </c>
      <c r="F77" s="2286"/>
    </row>
    <row r="78" spans="1:14" x14ac:dyDescent="0.25">
      <c r="B78" s="3039" t="s">
        <v>44</v>
      </c>
      <c r="C78" s="3039"/>
      <c r="D78" s="2268">
        <f>AVERAGE(D74:D74)</f>
        <v>3</v>
      </c>
      <c r="E78" s="2292"/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2126" t="s">
        <v>45</v>
      </c>
      <c r="C83" s="20" t="s">
        <v>46</v>
      </c>
      <c r="D83" s="20" t="s">
        <v>135</v>
      </c>
      <c r="E83" s="20" t="s">
        <v>48</v>
      </c>
      <c r="F83" s="20" t="s">
        <v>49</v>
      </c>
      <c r="G83" s="20" t="s">
        <v>50</v>
      </c>
      <c r="H83" s="20" t="s">
        <v>136</v>
      </c>
      <c r="I83" s="20" t="s">
        <v>52</v>
      </c>
      <c r="J83" s="20" t="s">
        <v>53</v>
      </c>
      <c r="K83" s="20" t="s">
        <v>54</v>
      </c>
      <c r="L83" s="20" t="s">
        <v>55</v>
      </c>
      <c r="M83" s="20" t="s">
        <v>56</v>
      </c>
      <c r="N83" s="20" t="s">
        <v>57</v>
      </c>
    </row>
    <row r="84" spans="1:14" x14ac:dyDescent="0.25">
      <c r="B84" s="20" t="s">
        <v>22</v>
      </c>
      <c r="C84" s="745">
        <v>3</v>
      </c>
      <c r="D84" s="745">
        <v>3</v>
      </c>
      <c r="E84" s="745">
        <v>1</v>
      </c>
      <c r="F84" s="745"/>
      <c r="G84" s="745">
        <v>3</v>
      </c>
      <c r="H84" s="745"/>
      <c r="I84" s="745">
        <v>2</v>
      </c>
      <c r="J84" s="745"/>
      <c r="K84" s="745"/>
      <c r="L84" s="745"/>
      <c r="M84" s="745"/>
      <c r="N84" s="745"/>
    </row>
    <row r="85" spans="1:14" x14ac:dyDescent="0.25">
      <c r="B85" s="20" t="s">
        <v>40</v>
      </c>
      <c r="C85" s="745">
        <v>3</v>
      </c>
      <c r="D85" s="745">
        <v>2</v>
      </c>
      <c r="E85" s="745">
        <v>3</v>
      </c>
      <c r="F85" s="745">
        <v>3</v>
      </c>
      <c r="G85" s="745">
        <v>3</v>
      </c>
      <c r="H85" s="745"/>
      <c r="I85" s="745">
        <v>3</v>
      </c>
      <c r="J85" s="745"/>
      <c r="K85" s="745">
        <v>3</v>
      </c>
      <c r="L85" s="745">
        <v>2</v>
      </c>
      <c r="M85" s="745">
        <v>1</v>
      </c>
      <c r="N85" s="745">
        <v>2</v>
      </c>
    </row>
    <row r="86" spans="1:14" x14ac:dyDescent="0.25">
      <c r="B86" s="20" t="s">
        <v>41</v>
      </c>
      <c r="C86" s="745">
        <v>3</v>
      </c>
      <c r="D86" s="745">
        <v>2</v>
      </c>
      <c r="E86" s="745">
        <v>3</v>
      </c>
      <c r="F86" s="745">
        <v>3</v>
      </c>
      <c r="G86" s="745">
        <v>3</v>
      </c>
      <c r="H86" s="745"/>
      <c r="I86" s="745">
        <v>3</v>
      </c>
      <c r="J86" s="745"/>
      <c r="K86" s="745">
        <v>3</v>
      </c>
      <c r="L86" s="745"/>
      <c r="M86" s="745">
        <v>1</v>
      </c>
      <c r="N86" s="745">
        <v>2</v>
      </c>
    </row>
    <row r="87" spans="1:14" x14ac:dyDescent="0.25">
      <c r="B87" s="20" t="s">
        <v>42</v>
      </c>
      <c r="C87" s="745">
        <v>3</v>
      </c>
      <c r="D87" s="745">
        <v>3</v>
      </c>
      <c r="E87" s="745">
        <v>2</v>
      </c>
      <c r="F87" s="745">
        <v>2</v>
      </c>
      <c r="G87" s="745">
        <v>3</v>
      </c>
      <c r="H87" s="745"/>
      <c r="I87" s="745">
        <v>2</v>
      </c>
      <c r="J87" s="745"/>
      <c r="K87" s="745"/>
      <c r="L87" s="745"/>
      <c r="M87" s="745"/>
      <c r="N87" s="745">
        <v>2</v>
      </c>
    </row>
    <row r="88" spans="1:14" x14ac:dyDescent="0.25">
      <c r="B88" s="2126" t="s">
        <v>10</v>
      </c>
      <c r="C88" s="745">
        <f>AVERAGE(C84:C87)</f>
        <v>3</v>
      </c>
      <c r="D88" s="745">
        <f t="shared" ref="D88:N88" si="2">AVERAGE(D84:D87)</f>
        <v>2.5</v>
      </c>
      <c r="E88" s="745">
        <f t="shared" si="2"/>
        <v>2.25</v>
      </c>
      <c r="F88" s="745">
        <f t="shared" si="2"/>
        <v>2.6666666666666665</v>
      </c>
      <c r="G88" s="745">
        <f>AVERAGE(G84:G87)</f>
        <v>3</v>
      </c>
      <c r="H88" s="745"/>
      <c r="I88" s="745">
        <f t="shared" si="2"/>
        <v>2.5</v>
      </c>
      <c r="J88" s="745"/>
      <c r="K88" s="745">
        <f t="shared" si="2"/>
        <v>3</v>
      </c>
      <c r="L88" s="745">
        <f t="shared" si="2"/>
        <v>2</v>
      </c>
      <c r="M88" s="745">
        <f t="shared" si="2"/>
        <v>1</v>
      </c>
      <c r="N88" s="745">
        <f t="shared" si="2"/>
        <v>2</v>
      </c>
    </row>
    <row r="89" spans="1:14" x14ac:dyDescent="0.25">
      <c r="B89" s="2126" t="s">
        <v>58</v>
      </c>
      <c r="C89" s="3311">
        <f>AVERAGE(C88:N88)</f>
        <v>2.3916666666666666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2126" t="s">
        <v>45</v>
      </c>
      <c r="C93" s="2090" t="s">
        <v>68</v>
      </c>
      <c r="D93" s="2090" t="s">
        <v>69</v>
      </c>
      <c r="E93" s="2090" t="s">
        <v>70</v>
      </c>
      <c r="F93" s="2090" t="s">
        <v>71</v>
      </c>
      <c r="G93" s="2090" t="s">
        <v>72</v>
      </c>
      <c r="H93" s="2090" t="s">
        <v>73</v>
      </c>
      <c r="I93" s="2090" t="s">
        <v>74</v>
      </c>
      <c r="J93" s="2090" t="s">
        <v>75</v>
      </c>
      <c r="K93" s="2090" t="s">
        <v>76</v>
      </c>
      <c r="L93" s="2090" t="s">
        <v>77</v>
      </c>
      <c r="M93" s="2090" t="s">
        <v>78</v>
      </c>
      <c r="N93" s="2090" t="s">
        <v>79</v>
      </c>
    </row>
    <row r="94" spans="1:14" x14ac:dyDescent="0.25">
      <c r="B94" s="2088" t="s">
        <v>20</v>
      </c>
      <c r="C94" s="2270">
        <f>D74*C84/3</f>
        <v>3</v>
      </c>
      <c r="D94" s="2270">
        <f>D74*D84/3</f>
        <v>3</v>
      </c>
      <c r="E94" s="2270">
        <f>D74*E84/3</f>
        <v>1</v>
      </c>
      <c r="F94" s="2270"/>
      <c r="G94" s="2270">
        <f>D74*G84/3</f>
        <v>3</v>
      </c>
      <c r="H94" s="2270"/>
      <c r="I94" s="2270">
        <f>D74*I84/3</f>
        <v>2</v>
      </c>
      <c r="J94" s="2270"/>
      <c r="K94" s="2270"/>
      <c r="L94" s="2270"/>
      <c r="M94" s="2270"/>
      <c r="N94" s="2270"/>
    </row>
    <row r="95" spans="1:14" x14ac:dyDescent="0.25">
      <c r="B95" s="2088" t="s">
        <v>21</v>
      </c>
      <c r="C95" s="2270">
        <f>D75*C85/3</f>
        <v>3</v>
      </c>
      <c r="D95" s="2270">
        <f>D75*D85/3</f>
        <v>2</v>
      </c>
      <c r="E95" s="2270">
        <f>D75*E85/3</f>
        <v>3</v>
      </c>
      <c r="F95" s="2270">
        <f>D75*F85/3</f>
        <v>3</v>
      </c>
      <c r="G95" s="2270">
        <f>D75*G85/3</f>
        <v>3</v>
      </c>
      <c r="H95" s="2270"/>
      <c r="I95" s="2270">
        <f>D75*I85/3</f>
        <v>3</v>
      </c>
      <c r="J95" s="2270"/>
      <c r="K95" s="2270">
        <f>D75*K85/3</f>
        <v>3</v>
      </c>
      <c r="L95" s="2270">
        <f>D75*L85/3</f>
        <v>2</v>
      </c>
      <c r="M95" s="2270">
        <f>D75*M85/3</f>
        <v>1</v>
      </c>
      <c r="N95" s="2270">
        <f>D75*N85/3</f>
        <v>2</v>
      </c>
    </row>
    <row r="96" spans="1:14" x14ac:dyDescent="0.25">
      <c r="B96" s="2088" t="s">
        <v>23</v>
      </c>
      <c r="C96" s="2270">
        <f>D76*C86/3</f>
        <v>3</v>
      </c>
      <c r="D96" s="2270">
        <f>D76*D86/3</f>
        <v>2</v>
      </c>
      <c r="E96" s="2270">
        <f>D76*E86/3</f>
        <v>3</v>
      </c>
      <c r="F96" s="2270">
        <f>D76*F86/3</f>
        <v>3</v>
      </c>
      <c r="G96" s="2270">
        <f>D76*G86/3</f>
        <v>3</v>
      </c>
      <c r="H96" s="2270"/>
      <c r="I96" s="2270">
        <f>D76*I86/3</f>
        <v>3</v>
      </c>
      <c r="J96" s="2270"/>
      <c r="K96" s="2270">
        <f>D76*K86/3</f>
        <v>3</v>
      </c>
      <c r="L96" s="2270"/>
      <c r="M96" s="2270">
        <f>D76*M86/3</f>
        <v>1</v>
      </c>
      <c r="N96" s="2270">
        <f>D76*N86/3</f>
        <v>2</v>
      </c>
    </row>
    <row r="97" spans="1:14" x14ac:dyDescent="0.25">
      <c r="B97" s="2088" t="s">
        <v>25</v>
      </c>
      <c r="C97" s="2270">
        <f>D77*C87/3</f>
        <v>3</v>
      </c>
      <c r="D97" s="2270">
        <f>D77*D87/3</f>
        <v>3</v>
      </c>
      <c r="E97" s="2270">
        <f>D77*E87/3</f>
        <v>2</v>
      </c>
      <c r="F97" s="2270">
        <f>D77*F87/3</f>
        <v>2</v>
      </c>
      <c r="G97" s="2270">
        <f>D77*G87/3</f>
        <v>3</v>
      </c>
      <c r="H97" s="2270"/>
      <c r="I97" s="2270">
        <f>D77*I87/3</f>
        <v>2</v>
      </c>
      <c r="J97" s="2270"/>
      <c r="K97" s="2270"/>
      <c r="L97" s="2270"/>
      <c r="M97" s="2270"/>
      <c r="N97" s="2270">
        <f>D77*N87/3</f>
        <v>2</v>
      </c>
    </row>
    <row r="98" spans="1:14" x14ac:dyDescent="0.25">
      <c r="B98" s="2126" t="s">
        <v>10</v>
      </c>
      <c r="C98" s="931">
        <f>AVERAGE(C94:C97)</f>
        <v>3</v>
      </c>
      <c r="D98" s="931">
        <f t="shared" ref="D98:N98" si="3">AVERAGE(D94:D97)</f>
        <v>2.5</v>
      </c>
      <c r="E98" s="931">
        <f t="shared" si="3"/>
        <v>2.25</v>
      </c>
      <c r="F98" s="931">
        <f t="shared" si="3"/>
        <v>2.6666666666666665</v>
      </c>
      <c r="G98" s="931">
        <f t="shared" si="3"/>
        <v>3</v>
      </c>
      <c r="H98" s="931"/>
      <c r="I98" s="931">
        <f t="shared" si="3"/>
        <v>2.5</v>
      </c>
      <c r="J98" s="931"/>
      <c r="K98" s="931">
        <f t="shared" si="3"/>
        <v>3</v>
      </c>
      <c r="L98" s="931">
        <f t="shared" si="3"/>
        <v>2</v>
      </c>
      <c r="M98" s="931">
        <f t="shared" si="3"/>
        <v>1</v>
      </c>
      <c r="N98" s="931">
        <f t="shared" si="3"/>
        <v>2</v>
      </c>
    </row>
    <row r="99" spans="1:14" x14ac:dyDescent="0.25">
      <c r="B99" s="2126" t="s">
        <v>58</v>
      </c>
      <c r="C99" s="3024">
        <f>AVERAGE(C98:N98)</f>
        <v>2.3916666666666666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2126" t="s">
        <v>59</v>
      </c>
      <c r="C104" s="748" t="s">
        <v>87</v>
      </c>
      <c r="D104" s="748" t="s">
        <v>88</v>
      </c>
      <c r="E104" s="748" t="s">
        <v>85</v>
      </c>
      <c r="F104" s="2127"/>
      <c r="G104" s="2126" t="s">
        <v>59</v>
      </c>
      <c r="H104" s="2090" t="s">
        <v>60</v>
      </c>
      <c r="I104" s="2090" t="s">
        <v>61</v>
      </c>
      <c r="J104" s="2090" t="s">
        <v>62</v>
      </c>
      <c r="L104" s="2127"/>
      <c r="M104" s="2127"/>
      <c r="N104" s="2127"/>
    </row>
    <row r="105" spans="1:14" x14ac:dyDescent="0.25">
      <c r="B105" s="572" t="s">
        <v>22</v>
      </c>
      <c r="C105" s="856">
        <v>3</v>
      </c>
      <c r="D105" s="856">
        <v>3</v>
      </c>
      <c r="E105" s="856">
        <v>2</v>
      </c>
      <c r="F105" s="2127"/>
      <c r="G105" s="967" t="s">
        <v>20</v>
      </c>
      <c r="H105" s="2270">
        <f>D74*C105/3</f>
        <v>3</v>
      </c>
      <c r="I105" s="2270">
        <f>D74*D105/3</f>
        <v>3</v>
      </c>
      <c r="J105" s="2270">
        <f>D74*E105/3</f>
        <v>2</v>
      </c>
      <c r="L105" s="2127"/>
      <c r="M105" s="2127"/>
      <c r="N105" s="2127"/>
    </row>
    <row r="106" spans="1:14" x14ac:dyDescent="0.25">
      <c r="B106" s="572" t="s">
        <v>40</v>
      </c>
      <c r="C106" s="856">
        <v>3</v>
      </c>
      <c r="D106" s="856">
        <v>2</v>
      </c>
      <c r="E106" s="856">
        <v>2</v>
      </c>
      <c r="F106" s="24"/>
      <c r="G106" s="967" t="s">
        <v>21</v>
      </c>
      <c r="H106" s="2270">
        <f>D75*C106/3</f>
        <v>3</v>
      </c>
      <c r="I106" s="2270">
        <f>D75*D106/3</f>
        <v>2</v>
      </c>
      <c r="J106" s="2270">
        <f>D75*E106/3</f>
        <v>2</v>
      </c>
      <c r="L106" s="24"/>
      <c r="M106" s="24"/>
      <c r="N106" s="24"/>
    </row>
    <row r="107" spans="1:14" x14ac:dyDescent="0.25">
      <c r="B107" s="572" t="s">
        <v>41</v>
      </c>
      <c r="C107" s="856">
        <v>3</v>
      </c>
      <c r="D107" s="856">
        <v>2</v>
      </c>
      <c r="E107" s="856">
        <v>2</v>
      </c>
      <c r="F107" s="24"/>
      <c r="G107" s="967" t="s">
        <v>23</v>
      </c>
      <c r="H107" s="2270">
        <f>D76*C107/3</f>
        <v>3</v>
      </c>
      <c r="I107" s="2270">
        <f>D76*D107/3</f>
        <v>2</v>
      </c>
      <c r="J107" s="2270">
        <f>D76*E107/3</f>
        <v>2</v>
      </c>
      <c r="L107" s="24"/>
      <c r="M107" s="24"/>
      <c r="N107" s="24"/>
    </row>
    <row r="108" spans="1:14" x14ac:dyDescent="0.25">
      <c r="B108" s="572" t="s">
        <v>42</v>
      </c>
      <c r="C108" s="749">
        <v>3</v>
      </c>
      <c r="D108" s="856">
        <v>3</v>
      </c>
      <c r="E108" s="856">
        <v>2</v>
      </c>
      <c r="F108" s="24"/>
      <c r="G108" s="967" t="s">
        <v>25</v>
      </c>
      <c r="H108" s="2270">
        <f>D77*C108/3</f>
        <v>3</v>
      </c>
      <c r="I108" s="2270">
        <f>D77*D108/3</f>
        <v>3</v>
      </c>
      <c r="J108" s="2270">
        <f>D77*E108/3</f>
        <v>2</v>
      </c>
      <c r="L108" s="24"/>
      <c r="M108" s="24"/>
      <c r="N108" s="24"/>
    </row>
    <row r="109" spans="1:14" x14ac:dyDescent="0.25">
      <c r="B109" s="2126" t="s">
        <v>10</v>
      </c>
      <c r="C109" s="909">
        <f>AVERAGE(C105:C108)</f>
        <v>3</v>
      </c>
      <c r="D109" s="909">
        <f t="shared" ref="D109:E109" si="4">AVERAGE(D105:D108)</f>
        <v>2.5</v>
      </c>
      <c r="E109" s="909">
        <f t="shared" si="4"/>
        <v>2</v>
      </c>
      <c r="F109" s="910"/>
      <c r="G109" s="2126" t="s">
        <v>10</v>
      </c>
      <c r="H109" s="2268">
        <f>AVERAGE(H105:H108)</f>
        <v>3</v>
      </c>
      <c r="I109" s="2268">
        <f t="shared" ref="I109:J109" si="5">AVERAGE(I105:I108)</f>
        <v>2.5</v>
      </c>
      <c r="J109" s="2268">
        <f t="shared" si="5"/>
        <v>2</v>
      </c>
      <c r="L109" s="910"/>
      <c r="M109" s="910"/>
      <c r="N109" s="910"/>
    </row>
    <row r="110" spans="1:14" x14ac:dyDescent="0.25">
      <c r="B110" s="2126" t="s">
        <v>58</v>
      </c>
      <c r="C110" s="3913">
        <f>AVERAGE(C109:E109)</f>
        <v>2.5</v>
      </c>
      <c r="D110" s="3914"/>
      <c r="E110" s="3915"/>
      <c r="F110" s="912"/>
      <c r="G110" s="2126" t="s">
        <v>58</v>
      </c>
      <c r="H110" s="3110">
        <f>AVERAGE(H109:J109)</f>
        <v>2.5</v>
      </c>
      <c r="I110" s="3628"/>
      <c r="J110" s="3112"/>
      <c r="L110" s="912"/>
      <c r="M110" s="912"/>
      <c r="N110" s="912"/>
    </row>
  </sheetData>
  <mergeCells count="19">
    <mergeCell ref="A2:B2"/>
    <mergeCell ref="A3:B3"/>
    <mergeCell ref="A4:B4"/>
    <mergeCell ref="A5:A7"/>
    <mergeCell ref="B5:B7"/>
    <mergeCell ref="C110:E110"/>
    <mergeCell ref="H110:J110"/>
    <mergeCell ref="C5:C7"/>
    <mergeCell ref="D5:D7"/>
    <mergeCell ref="A69:B69"/>
    <mergeCell ref="A70:B70"/>
    <mergeCell ref="A81:B81"/>
    <mergeCell ref="C89:N89"/>
    <mergeCell ref="B78:C78"/>
    <mergeCell ref="A91:B91"/>
    <mergeCell ref="C99:N99"/>
    <mergeCell ref="A102:B102"/>
    <mergeCell ref="G102:H102"/>
    <mergeCell ref="G103:H103"/>
  </mergeCells>
  <conditionalFormatting sqref="C66">
    <cfRule type="containsText" dxfId="3" priority="3" operator="containsText" text="F">
      <formula>NOT(ISERROR(SEARCH("F",C66)))</formula>
    </cfRule>
  </conditionalFormatting>
  <conditionalFormatting sqref="C9:C65">
    <cfRule type="containsText" dxfId="2" priority="1" operator="containsText" text="F">
      <formula>NOT(ISERROR(SEARCH("F",C9)))</formula>
    </cfRule>
  </conditionalFormatting>
  <pageMargins left="0.7" right="0.7" top="0.75" bottom="0.75" header="0.3" footer="0.3"/>
  <pageSetup paperSize="8" scale="56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topLeftCell="A81" zoomScale="75" zoomScaleNormal="75" workbookViewId="0">
      <selection activeCell="J100" sqref="J100"/>
    </sheetView>
  </sheetViews>
  <sheetFormatPr defaultRowHeight="15.75" x14ac:dyDescent="0.25"/>
  <cols>
    <col min="1" max="1" width="14.5703125" style="2271" customWidth="1"/>
    <col min="2" max="2" width="21.5703125" style="2271" customWidth="1"/>
    <col min="3" max="3" width="22" style="2271" customWidth="1"/>
    <col min="4" max="4" width="12.5703125" style="2271" customWidth="1"/>
    <col min="5" max="5" width="10.7109375" style="2271" customWidth="1"/>
    <col min="6" max="6" width="12.85546875" style="2271" customWidth="1"/>
    <col min="7" max="7" width="19.28515625" style="2271" customWidth="1"/>
    <col min="8" max="8" width="14.140625" style="2271" customWidth="1"/>
    <col min="9" max="12" width="9.140625" style="2271"/>
    <col min="13" max="13" width="13.85546875" style="2271" bestFit="1" customWidth="1"/>
    <col min="14" max="16384" width="9.140625" style="2271"/>
  </cols>
  <sheetData>
    <row r="1" spans="1:8" x14ac:dyDescent="0.25">
      <c r="A1" s="333"/>
    </row>
    <row r="2" spans="1:8" x14ac:dyDescent="0.25">
      <c r="A2" s="3301" t="s">
        <v>0</v>
      </c>
      <c r="B2" s="3301"/>
      <c r="C2" s="893" t="s">
        <v>338</v>
      </c>
      <c r="D2" s="2089" t="s">
        <v>63</v>
      </c>
      <c r="E2" s="2092" t="s">
        <v>337</v>
      </c>
      <c r="F2" s="735"/>
      <c r="G2" s="735"/>
      <c r="H2" s="735"/>
    </row>
    <row r="3" spans="1:8" ht="45" x14ac:dyDescent="0.25">
      <c r="A3" s="3301" t="s">
        <v>1</v>
      </c>
      <c r="B3" s="3301"/>
      <c r="C3" s="2279" t="s">
        <v>339</v>
      </c>
      <c r="D3" s="803" t="s">
        <v>64</v>
      </c>
      <c r="E3" s="2092" t="s">
        <v>319</v>
      </c>
      <c r="F3" s="735"/>
      <c r="G3" s="735"/>
      <c r="H3" s="735"/>
    </row>
    <row r="4" spans="1:8" x14ac:dyDescent="0.25">
      <c r="A4" s="3124" t="s">
        <v>2</v>
      </c>
      <c r="B4" s="3125"/>
      <c r="C4" s="893" t="s">
        <v>336</v>
      </c>
      <c r="D4" s="2089" t="s">
        <v>65</v>
      </c>
      <c r="E4" s="2092" t="s">
        <v>66</v>
      </c>
      <c r="F4" s="735"/>
      <c r="G4" s="735"/>
      <c r="H4" s="735"/>
    </row>
    <row r="5" spans="1:8" x14ac:dyDescent="0.25">
      <c r="A5" s="3302"/>
      <c r="B5" s="3303" t="s">
        <v>321</v>
      </c>
      <c r="C5" s="3304" t="s">
        <v>322</v>
      </c>
      <c r="D5" s="3048" t="s">
        <v>11</v>
      </c>
      <c r="E5" s="3048" t="s">
        <v>12</v>
      </c>
    </row>
    <row r="6" spans="1:8" x14ac:dyDescent="0.25">
      <c r="A6" s="3067"/>
      <c r="B6" s="3304"/>
      <c r="C6" s="3304"/>
      <c r="D6" s="2679"/>
      <c r="E6" s="2679"/>
    </row>
    <row r="7" spans="1:8" x14ac:dyDescent="0.25">
      <c r="A7" s="3068"/>
      <c r="B7" s="3048"/>
      <c r="C7" s="3048"/>
      <c r="D7" s="2679"/>
      <c r="E7" s="2679"/>
    </row>
    <row r="8" spans="1:8" x14ac:dyDescent="0.25">
      <c r="A8" s="2087" t="s">
        <v>18</v>
      </c>
      <c r="B8" s="2087" t="s">
        <v>26</v>
      </c>
      <c r="C8" s="895">
        <v>50</v>
      </c>
      <c r="D8" s="896"/>
      <c r="E8" s="2267">
        <v>100</v>
      </c>
    </row>
    <row r="9" spans="1:8" ht="18.75" x14ac:dyDescent="0.25">
      <c r="A9" s="839">
        <v>1</v>
      </c>
      <c r="B9" s="897">
        <v>5191421001</v>
      </c>
      <c r="C9" s="814">
        <v>41</v>
      </c>
      <c r="D9" s="2293" t="s">
        <v>82</v>
      </c>
      <c r="E9" s="2268">
        <f>IF(D9="O",100,IF(D9="A+",90,IF(D9="A",80,IF(D9="B+",70,IF(D9="B",60,IF(D9="C",55,IF(D9="P",50,IF(D9="F",39))))))))</f>
        <v>100</v>
      </c>
    </row>
    <row r="10" spans="1:8" ht="18.75" x14ac:dyDescent="0.25">
      <c r="A10" s="839">
        <v>2</v>
      </c>
      <c r="B10" s="898">
        <v>5191421002</v>
      </c>
      <c r="C10" s="814">
        <v>45</v>
      </c>
      <c r="D10" s="2287" t="s">
        <v>82</v>
      </c>
      <c r="E10" s="2268">
        <f t="shared" ref="E10:E66" si="0">IF(D10="O",100,IF(D10="A+",90,IF(D10="A",80,IF(D10="B+",70,IF(D10="B",60,IF(D10="C",55,IF(D10="P",50,IF(D10="F",39))))))))</f>
        <v>100</v>
      </c>
    </row>
    <row r="11" spans="1:8" ht="18.75" x14ac:dyDescent="0.25">
      <c r="A11" s="839">
        <v>3</v>
      </c>
      <c r="B11" s="897">
        <v>5191421003</v>
      </c>
      <c r="C11" s="814">
        <v>47</v>
      </c>
      <c r="D11" s="2291" t="s">
        <v>82</v>
      </c>
      <c r="E11" s="2268">
        <f t="shared" si="0"/>
        <v>100</v>
      </c>
    </row>
    <row r="12" spans="1:8" ht="18.75" x14ac:dyDescent="0.25">
      <c r="A12" s="839">
        <v>4</v>
      </c>
      <c r="B12" s="897">
        <v>5191421004</v>
      </c>
      <c r="C12" s="814">
        <v>44</v>
      </c>
      <c r="D12" s="2287" t="s">
        <v>82</v>
      </c>
      <c r="E12" s="2268">
        <f t="shared" si="0"/>
        <v>100</v>
      </c>
    </row>
    <row r="13" spans="1:8" ht="18.75" x14ac:dyDescent="0.25">
      <c r="A13" s="839">
        <v>5</v>
      </c>
      <c r="B13" s="899">
        <v>5191421005</v>
      </c>
      <c r="C13" s="814">
        <v>44</v>
      </c>
      <c r="D13" s="2287" t="s">
        <v>82</v>
      </c>
      <c r="E13" s="2268">
        <f t="shared" si="0"/>
        <v>100</v>
      </c>
    </row>
    <row r="14" spans="1:8" ht="18.75" x14ac:dyDescent="0.25">
      <c r="A14" s="839">
        <v>6</v>
      </c>
      <c r="B14" s="897">
        <v>5191421006</v>
      </c>
      <c r="C14" s="814">
        <v>47</v>
      </c>
      <c r="D14" s="2287" t="s">
        <v>82</v>
      </c>
      <c r="E14" s="2268">
        <f t="shared" si="0"/>
        <v>100</v>
      </c>
    </row>
    <row r="15" spans="1:8" ht="18.75" x14ac:dyDescent="0.25">
      <c r="A15" s="839">
        <v>7</v>
      </c>
      <c r="B15" s="897">
        <v>5191421007</v>
      </c>
      <c r="C15" s="814">
        <v>46</v>
      </c>
      <c r="D15" s="2287" t="s">
        <v>30</v>
      </c>
      <c r="E15" s="2268">
        <f t="shared" si="0"/>
        <v>90</v>
      </c>
    </row>
    <row r="16" spans="1:8" ht="18.75" x14ac:dyDescent="0.25">
      <c r="A16" s="839">
        <v>8</v>
      </c>
      <c r="B16" s="897">
        <v>5191421008</v>
      </c>
      <c r="C16" s="814">
        <v>44</v>
      </c>
      <c r="D16" s="2287" t="s">
        <v>30</v>
      </c>
      <c r="E16" s="2268">
        <f t="shared" si="0"/>
        <v>90</v>
      </c>
    </row>
    <row r="17" spans="1:5" ht="18.75" x14ac:dyDescent="0.25">
      <c r="A17" s="839">
        <v>9</v>
      </c>
      <c r="B17" s="897">
        <v>5191421009</v>
      </c>
      <c r="C17" s="814">
        <v>45</v>
      </c>
      <c r="D17" s="2287" t="s">
        <v>82</v>
      </c>
      <c r="E17" s="2268">
        <f t="shared" si="0"/>
        <v>100</v>
      </c>
    </row>
    <row r="18" spans="1:5" ht="18.75" x14ac:dyDescent="0.25">
      <c r="A18" s="839">
        <v>10</v>
      </c>
      <c r="B18" s="897">
        <v>5191421010</v>
      </c>
      <c r="C18" s="814">
        <v>46</v>
      </c>
      <c r="D18" s="2287" t="s">
        <v>82</v>
      </c>
      <c r="E18" s="2268">
        <f t="shared" si="0"/>
        <v>100</v>
      </c>
    </row>
    <row r="19" spans="1:5" ht="18.75" x14ac:dyDescent="0.25">
      <c r="A19" s="839">
        <v>11</v>
      </c>
      <c r="B19" s="897">
        <v>5191421011</v>
      </c>
      <c r="C19" s="814">
        <v>45</v>
      </c>
      <c r="D19" s="2287" t="s">
        <v>82</v>
      </c>
      <c r="E19" s="2268">
        <f t="shared" si="0"/>
        <v>100</v>
      </c>
    </row>
    <row r="20" spans="1:5" ht="18.75" x14ac:dyDescent="0.25">
      <c r="A20" s="839">
        <v>12</v>
      </c>
      <c r="B20" s="897">
        <v>5191421012</v>
      </c>
      <c r="C20" s="814">
        <v>39</v>
      </c>
      <c r="D20" s="2287" t="s">
        <v>82</v>
      </c>
      <c r="E20" s="2268">
        <f t="shared" si="0"/>
        <v>100</v>
      </c>
    </row>
    <row r="21" spans="1:5" ht="18.75" x14ac:dyDescent="0.25">
      <c r="A21" s="839">
        <v>13</v>
      </c>
      <c r="B21" s="897">
        <v>5191421013</v>
      </c>
      <c r="C21" s="814">
        <v>46</v>
      </c>
      <c r="D21" s="2287" t="s">
        <v>82</v>
      </c>
      <c r="E21" s="2268">
        <f t="shared" si="0"/>
        <v>100</v>
      </c>
    </row>
    <row r="22" spans="1:5" ht="18.75" x14ac:dyDescent="0.25">
      <c r="A22" s="839">
        <v>14</v>
      </c>
      <c r="B22" s="897">
        <v>5191421014</v>
      </c>
      <c r="C22" s="814">
        <v>41</v>
      </c>
      <c r="D22" s="2287" t="s">
        <v>30</v>
      </c>
      <c r="E22" s="2268">
        <f t="shared" si="0"/>
        <v>90</v>
      </c>
    </row>
    <row r="23" spans="1:5" ht="18.75" x14ac:dyDescent="0.25">
      <c r="A23" s="839">
        <v>15</v>
      </c>
      <c r="B23" s="897">
        <v>5191421015</v>
      </c>
      <c r="C23" s="814">
        <v>45</v>
      </c>
      <c r="D23" s="2287" t="s">
        <v>82</v>
      </c>
      <c r="E23" s="2268">
        <f t="shared" si="0"/>
        <v>100</v>
      </c>
    </row>
    <row r="24" spans="1:5" ht="18.75" x14ac:dyDescent="0.25">
      <c r="A24" s="839">
        <v>16</v>
      </c>
      <c r="B24" s="897">
        <v>5191421016</v>
      </c>
      <c r="C24" s="814">
        <v>41</v>
      </c>
      <c r="D24" s="2287" t="s">
        <v>30</v>
      </c>
      <c r="E24" s="2268">
        <f t="shared" si="0"/>
        <v>90</v>
      </c>
    </row>
    <row r="25" spans="1:5" ht="18.75" x14ac:dyDescent="0.25">
      <c r="A25" s="839">
        <v>17</v>
      </c>
      <c r="B25" s="897">
        <v>5191421017</v>
      </c>
      <c r="C25" s="814">
        <v>46</v>
      </c>
      <c r="D25" s="2287" t="s">
        <v>82</v>
      </c>
      <c r="E25" s="2268">
        <f t="shared" si="0"/>
        <v>100</v>
      </c>
    </row>
    <row r="26" spans="1:5" ht="18.75" x14ac:dyDescent="0.25">
      <c r="A26" s="839">
        <v>18</v>
      </c>
      <c r="B26" s="897">
        <v>5191421018</v>
      </c>
      <c r="C26" s="814">
        <v>40</v>
      </c>
      <c r="D26" s="2287" t="s">
        <v>30</v>
      </c>
      <c r="E26" s="2268">
        <f t="shared" si="0"/>
        <v>90</v>
      </c>
    </row>
    <row r="27" spans="1:5" ht="18.75" x14ac:dyDescent="0.25">
      <c r="A27" s="839">
        <v>19</v>
      </c>
      <c r="B27" s="897">
        <v>5191421019</v>
      </c>
      <c r="C27" s="814">
        <v>47</v>
      </c>
      <c r="D27" s="2287" t="s">
        <v>82</v>
      </c>
      <c r="E27" s="2268">
        <f t="shared" si="0"/>
        <v>100</v>
      </c>
    </row>
    <row r="28" spans="1:5" ht="18.75" x14ac:dyDescent="0.25">
      <c r="A28" s="839">
        <v>20</v>
      </c>
      <c r="B28" s="897">
        <v>5191421020</v>
      </c>
      <c r="C28" s="814">
        <v>46</v>
      </c>
      <c r="D28" s="2287" t="s">
        <v>82</v>
      </c>
      <c r="E28" s="2268">
        <f t="shared" si="0"/>
        <v>100</v>
      </c>
    </row>
    <row r="29" spans="1:5" ht="18.75" x14ac:dyDescent="0.25">
      <c r="A29" s="839">
        <v>21</v>
      </c>
      <c r="B29" s="897">
        <v>5191421021</v>
      </c>
      <c r="C29" s="814">
        <v>42</v>
      </c>
      <c r="D29" s="2287" t="s">
        <v>82</v>
      </c>
      <c r="E29" s="2268">
        <f t="shared" si="0"/>
        <v>100</v>
      </c>
    </row>
    <row r="30" spans="1:5" ht="18.75" x14ac:dyDescent="0.25">
      <c r="A30" s="839">
        <v>22</v>
      </c>
      <c r="B30" s="897">
        <v>5191421022</v>
      </c>
      <c r="C30" s="814">
        <v>44</v>
      </c>
      <c r="D30" s="2287" t="s">
        <v>30</v>
      </c>
      <c r="E30" s="2268">
        <f t="shared" si="0"/>
        <v>90</v>
      </c>
    </row>
    <row r="31" spans="1:5" ht="18.75" x14ac:dyDescent="0.25">
      <c r="A31" s="839">
        <v>23</v>
      </c>
      <c r="B31" s="897">
        <v>5191421023</v>
      </c>
      <c r="C31" s="814">
        <v>40</v>
      </c>
      <c r="D31" s="2287" t="s">
        <v>30</v>
      </c>
      <c r="E31" s="2268">
        <f t="shared" si="0"/>
        <v>90</v>
      </c>
    </row>
    <row r="32" spans="1:5" ht="18.75" x14ac:dyDescent="0.25">
      <c r="A32" s="839">
        <v>24</v>
      </c>
      <c r="B32" s="897">
        <v>5191421024</v>
      </c>
      <c r="C32" s="814">
        <v>37</v>
      </c>
      <c r="D32" s="2287" t="s">
        <v>82</v>
      </c>
      <c r="E32" s="2268">
        <f t="shared" si="0"/>
        <v>100</v>
      </c>
    </row>
    <row r="33" spans="1:5" ht="18.75" x14ac:dyDescent="0.25">
      <c r="A33" s="839">
        <v>25</v>
      </c>
      <c r="B33" s="897">
        <v>5191421025</v>
      </c>
      <c r="C33" s="814">
        <v>47</v>
      </c>
      <c r="D33" s="2287" t="s">
        <v>82</v>
      </c>
      <c r="E33" s="2268">
        <f t="shared" si="0"/>
        <v>100</v>
      </c>
    </row>
    <row r="34" spans="1:5" ht="18.75" x14ac:dyDescent="0.25">
      <c r="A34" s="839">
        <v>26</v>
      </c>
      <c r="B34" s="897">
        <v>5191421026</v>
      </c>
      <c r="C34" s="814">
        <v>41</v>
      </c>
      <c r="D34" s="2287" t="s">
        <v>82</v>
      </c>
      <c r="E34" s="2268">
        <f t="shared" si="0"/>
        <v>100</v>
      </c>
    </row>
    <row r="35" spans="1:5" ht="18.75" x14ac:dyDescent="0.25">
      <c r="A35" s="839">
        <v>27</v>
      </c>
      <c r="B35" s="897">
        <v>5191421027</v>
      </c>
      <c r="C35" s="814">
        <v>42</v>
      </c>
      <c r="D35" s="2287" t="s">
        <v>82</v>
      </c>
      <c r="E35" s="2268">
        <f t="shared" si="0"/>
        <v>100</v>
      </c>
    </row>
    <row r="36" spans="1:5" ht="18.75" x14ac:dyDescent="0.25">
      <c r="A36" s="839">
        <v>28</v>
      </c>
      <c r="B36" s="897">
        <v>5191421028</v>
      </c>
      <c r="C36" s="814">
        <v>46</v>
      </c>
      <c r="D36" s="2288" t="s">
        <v>82</v>
      </c>
      <c r="E36" s="2268">
        <f t="shared" si="0"/>
        <v>100</v>
      </c>
    </row>
    <row r="37" spans="1:5" ht="18.75" x14ac:dyDescent="0.25">
      <c r="A37" s="839">
        <v>29</v>
      </c>
      <c r="B37" s="897">
        <v>5191421029</v>
      </c>
      <c r="C37" s="814">
        <v>45</v>
      </c>
      <c r="D37" s="2287" t="s">
        <v>82</v>
      </c>
      <c r="E37" s="2268">
        <f t="shared" si="0"/>
        <v>100</v>
      </c>
    </row>
    <row r="38" spans="1:5" ht="18.75" x14ac:dyDescent="0.25">
      <c r="A38" s="839">
        <v>30</v>
      </c>
      <c r="B38" s="897">
        <v>5191421030</v>
      </c>
      <c r="C38" s="814">
        <v>35</v>
      </c>
      <c r="D38" s="2287" t="s">
        <v>82</v>
      </c>
      <c r="E38" s="2268">
        <f t="shared" si="0"/>
        <v>100</v>
      </c>
    </row>
    <row r="39" spans="1:5" ht="18.75" x14ac:dyDescent="0.25">
      <c r="A39" s="839">
        <v>31</v>
      </c>
      <c r="B39" s="897">
        <v>5191421031</v>
      </c>
      <c r="C39" s="814">
        <v>44</v>
      </c>
      <c r="D39" s="2287" t="s">
        <v>82</v>
      </c>
      <c r="E39" s="2268">
        <f t="shared" si="0"/>
        <v>100</v>
      </c>
    </row>
    <row r="40" spans="1:5" ht="18.75" x14ac:dyDescent="0.25">
      <c r="A40" s="839">
        <v>32</v>
      </c>
      <c r="B40" s="897">
        <v>5191421032</v>
      </c>
      <c r="C40" s="814">
        <v>40</v>
      </c>
      <c r="D40" s="2287" t="s">
        <v>82</v>
      </c>
      <c r="E40" s="2268">
        <f t="shared" si="0"/>
        <v>100</v>
      </c>
    </row>
    <row r="41" spans="1:5" ht="18.75" x14ac:dyDescent="0.25">
      <c r="A41" s="839">
        <v>33</v>
      </c>
      <c r="B41" s="897">
        <v>5191421033</v>
      </c>
      <c r="C41" s="814">
        <v>46</v>
      </c>
      <c r="D41" s="2287" t="s">
        <v>82</v>
      </c>
      <c r="E41" s="2268">
        <f t="shared" si="0"/>
        <v>100</v>
      </c>
    </row>
    <row r="42" spans="1:5" ht="18.75" x14ac:dyDescent="0.25">
      <c r="A42" s="839">
        <v>34</v>
      </c>
      <c r="B42" s="897">
        <v>5191421034</v>
      </c>
      <c r="C42" s="814">
        <v>45</v>
      </c>
      <c r="D42" s="2287" t="s">
        <v>82</v>
      </c>
      <c r="E42" s="2268">
        <f t="shared" si="0"/>
        <v>100</v>
      </c>
    </row>
    <row r="43" spans="1:5" ht="18.75" x14ac:dyDescent="0.25">
      <c r="A43" s="839">
        <v>35</v>
      </c>
      <c r="B43" s="897">
        <v>5191421035</v>
      </c>
      <c r="C43" s="814">
        <v>35</v>
      </c>
      <c r="D43" s="2287" t="s">
        <v>30</v>
      </c>
      <c r="E43" s="2268">
        <f t="shared" si="0"/>
        <v>90</v>
      </c>
    </row>
    <row r="44" spans="1:5" ht="18.75" x14ac:dyDescent="0.25">
      <c r="A44" s="839">
        <v>36</v>
      </c>
      <c r="B44" s="897">
        <v>5191421036</v>
      </c>
      <c r="C44" s="814">
        <v>48</v>
      </c>
      <c r="D44" s="2287" t="s">
        <v>82</v>
      </c>
      <c r="E44" s="2268">
        <f t="shared" si="0"/>
        <v>100</v>
      </c>
    </row>
    <row r="45" spans="1:5" ht="18.75" x14ac:dyDescent="0.25">
      <c r="A45" s="839">
        <v>37</v>
      </c>
      <c r="B45" s="897">
        <v>5191421037</v>
      </c>
      <c r="C45" s="814">
        <v>35</v>
      </c>
      <c r="D45" s="2287" t="s">
        <v>30</v>
      </c>
      <c r="E45" s="2268">
        <f t="shared" si="0"/>
        <v>90</v>
      </c>
    </row>
    <row r="46" spans="1:5" ht="18.75" x14ac:dyDescent="0.25">
      <c r="A46" s="839">
        <v>38</v>
      </c>
      <c r="B46" s="897">
        <v>5191421038</v>
      </c>
      <c r="C46" s="814">
        <v>41</v>
      </c>
      <c r="D46" s="2287" t="s">
        <v>82</v>
      </c>
      <c r="E46" s="2268">
        <f t="shared" si="0"/>
        <v>100</v>
      </c>
    </row>
    <row r="47" spans="1:5" ht="18.75" x14ac:dyDescent="0.25">
      <c r="A47" s="839">
        <v>39</v>
      </c>
      <c r="B47" s="897">
        <v>5191421039</v>
      </c>
      <c r="C47" s="814">
        <v>46</v>
      </c>
      <c r="D47" s="2287" t="s">
        <v>82</v>
      </c>
      <c r="E47" s="2268">
        <f t="shared" si="0"/>
        <v>100</v>
      </c>
    </row>
    <row r="48" spans="1:5" ht="18.75" x14ac:dyDescent="0.25">
      <c r="A48" s="839">
        <v>40</v>
      </c>
      <c r="B48" s="897">
        <v>5191421040</v>
      </c>
      <c r="C48" s="814">
        <v>41</v>
      </c>
      <c r="D48" s="2287" t="s">
        <v>30</v>
      </c>
      <c r="E48" s="2268">
        <f t="shared" si="0"/>
        <v>90</v>
      </c>
    </row>
    <row r="49" spans="1:5" ht="18.75" x14ac:dyDescent="0.25">
      <c r="A49" s="839">
        <v>41</v>
      </c>
      <c r="B49" s="897">
        <v>5191421041</v>
      </c>
      <c r="C49" s="814">
        <v>39</v>
      </c>
      <c r="D49" s="2287" t="s">
        <v>82</v>
      </c>
      <c r="E49" s="2268">
        <f t="shared" si="0"/>
        <v>100</v>
      </c>
    </row>
    <row r="50" spans="1:5" ht="18.75" x14ac:dyDescent="0.25">
      <c r="A50" s="839">
        <v>42</v>
      </c>
      <c r="B50" s="897">
        <v>5191421042</v>
      </c>
      <c r="C50" s="814">
        <v>37</v>
      </c>
      <c r="D50" s="2287" t="s">
        <v>30</v>
      </c>
      <c r="E50" s="2268">
        <f t="shared" si="0"/>
        <v>90</v>
      </c>
    </row>
    <row r="51" spans="1:5" ht="18.75" x14ac:dyDescent="0.25">
      <c r="A51" s="839">
        <v>43</v>
      </c>
      <c r="B51" s="897">
        <v>5191421043</v>
      </c>
      <c r="C51" s="814">
        <v>44</v>
      </c>
      <c r="D51" s="2287" t="s">
        <v>82</v>
      </c>
      <c r="E51" s="2268">
        <f t="shared" si="0"/>
        <v>100</v>
      </c>
    </row>
    <row r="52" spans="1:5" ht="18.75" x14ac:dyDescent="0.25">
      <c r="A52" s="839">
        <v>44</v>
      </c>
      <c r="B52" s="897">
        <v>5191421044</v>
      </c>
      <c r="C52" s="814">
        <v>48</v>
      </c>
      <c r="D52" s="2287" t="s">
        <v>82</v>
      </c>
      <c r="E52" s="2268">
        <f t="shared" si="0"/>
        <v>100</v>
      </c>
    </row>
    <row r="53" spans="1:5" ht="18.75" x14ac:dyDescent="0.25">
      <c r="A53" s="839">
        <v>45</v>
      </c>
      <c r="B53" s="897">
        <v>5191421045</v>
      </c>
      <c r="C53" s="814">
        <v>44</v>
      </c>
      <c r="D53" s="2287" t="s">
        <v>30</v>
      </c>
      <c r="E53" s="2268">
        <f t="shared" si="0"/>
        <v>90</v>
      </c>
    </row>
    <row r="54" spans="1:5" ht="18.75" x14ac:dyDescent="0.25">
      <c r="A54" s="839">
        <v>46</v>
      </c>
      <c r="B54" s="897">
        <v>5191421046</v>
      </c>
      <c r="C54" s="814">
        <v>45</v>
      </c>
      <c r="D54" s="2287" t="s">
        <v>82</v>
      </c>
      <c r="E54" s="2268">
        <f t="shared" si="0"/>
        <v>100</v>
      </c>
    </row>
    <row r="55" spans="1:5" ht="18.75" x14ac:dyDescent="0.25">
      <c r="A55" s="839">
        <v>47</v>
      </c>
      <c r="B55" s="897">
        <v>5191421047</v>
      </c>
      <c r="C55" s="814">
        <v>40</v>
      </c>
      <c r="D55" s="2287" t="s">
        <v>30</v>
      </c>
      <c r="E55" s="2268">
        <f t="shared" si="0"/>
        <v>90</v>
      </c>
    </row>
    <row r="56" spans="1:5" ht="18.75" x14ac:dyDescent="0.25">
      <c r="A56" s="839">
        <v>48</v>
      </c>
      <c r="B56" s="897">
        <v>5191421048</v>
      </c>
      <c r="C56" s="814">
        <v>44</v>
      </c>
      <c r="D56" s="2287" t="s">
        <v>30</v>
      </c>
      <c r="E56" s="2268">
        <f t="shared" si="0"/>
        <v>90</v>
      </c>
    </row>
    <row r="57" spans="1:5" ht="18.75" x14ac:dyDescent="0.25">
      <c r="A57" s="839">
        <v>49</v>
      </c>
      <c r="B57" s="897">
        <v>5191421049</v>
      </c>
      <c r="C57" s="814">
        <v>40</v>
      </c>
      <c r="D57" s="2287" t="s">
        <v>82</v>
      </c>
      <c r="E57" s="2268">
        <f t="shared" si="0"/>
        <v>100</v>
      </c>
    </row>
    <row r="58" spans="1:5" ht="18.75" x14ac:dyDescent="0.25">
      <c r="A58" s="839">
        <v>50</v>
      </c>
      <c r="B58" s="897">
        <v>5191421050</v>
      </c>
      <c r="C58" s="814">
        <v>38</v>
      </c>
      <c r="D58" s="2287" t="s">
        <v>82</v>
      </c>
      <c r="E58" s="2268">
        <f t="shared" si="0"/>
        <v>100</v>
      </c>
    </row>
    <row r="59" spans="1:5" ht="18.75" x14ac:dyDescent="0.25">
      <c r="A59" s="839">
        <v>51</v>
      </c>
      <c r="B59" s="897">
        <v>5191421051</v>
      </c>
      <c r="C59" s="814">
        <v>43</v>
      </c>
      <c r="D59" s="2287" t="s">
        <v>82</v>
      </c>
      <c r="E59" s="2268">
        <f t="shared" si="0"/>
        <v>100</v>
      </c>
    </row>
    <row r="60" spans="1:5" ht="18.75" x14ac:dyDescent="0.25">
      <c r="A60" s="839">
        <v>52</v>
      </c>
      <c r="B60" s="897">
        <v>5191421052</v>
      </c>
      <c r="C60" s="814">
        <v>46</v>
      </c>
      <c r="D60" s="2287" t="s">
        <v>82</v>
      </c>
      <c r="E60" s="2268">
        <f t="shared" si="0"/>
        <v>100</v>
      </c>
    </row>
    <row r="61" spans="1:5" ht="18.75" x14ac:dyDescent="0.25">
      <c r="A61" s="839">
        <v>53</v>
      </c>
      <c r="B61" s="897">
        <v>5191421053</v>
      </c>
      <c r="C61" s="814">
        <v>46</v>
      </c>
      <c r="D61" s="2287" t="s">
        <v>30</v>
      </c>
      <c r="E61" s="2268">
        <f t="shared" si="0"/>
        <v>90</v>
      </c>
    </row>
    <row r="62" spans="1:5" ht="18.75" x14ac:dyDescent="0.25">
      <c r="A62" s="839">
        <v>54</v>
      </c>
      <c r="B62" s="897">
        <v>5191421054</v>
      </c>
      <c r="C62" s="814">
        <v>44</v>
      </c>
      <c r="D62" s="2287" t="s">
        <v>30</v>
      </c>
      <c r="E62" s="2268">
        <f t="shared" si="0"/>
        <v>90</v>
      </c>
    </row>
    <row r="63" spans="1:5" ht="18.75" x14ac:dyDescent="0.25">
      <c r="A63" s="839">
        <v>55</v>
      </c>
      <c r="B63" s="897">
        <v>5191421055</v>
      </c>
      <c r="C63" s="814">
        <v>40</v>
      </c>
      <c r="D63" s="2287" t="s">
        <v>82</v>
      </c>
      <c r="E63" s="2268">
        <f t="shared" si="0"/>
        <v>100</v>
      </c>
    </row>
    <row r="64" spans="1:5" ht="18.75" x14ac:dyDescent="0.25">
      <c r="A64" s="839">
        <v>56</v>
      </c>
      <c r="B64" s="897">
        <v>5191421056</v>
      </c>
      <c r="C64" s="814">
        <v>44</v>
      </c>
      <c r="D64" s="2289" t="s">
        <v>82</v>
      </c>
      <c r="E64" s="2268">
        <f t="shared" si="0"/>
        <v>100</v>
      </c>
    </row>
    <row r="65" spans="1:14" ht="18.75" x14ac:dyDescent="0.25">
      <c r="A65" s="839">
        <v>57</v>
      </c>
      <c r="B65" s="897">
        <v>5191421057</v>
      </c>
      <c r="C65" s="814">
        <v>46</v>
      </c>
      <c r="D65" s="2290" t="s">
        <v>30</v>
      </c>
      <c r="E65" s="2268">
        <f t="shared" si="0"/>
        <v>90</v>
      </c>
    </row>
    <row r="66" spans="1:14" ht="19.5" thickBot="1" x14ac:dyDescent="0.3">
      <c r="A66" s="839">
        <v>58</v>
      </c>
      <c r="B66" s="903">
        <v>5191421058</v>
      </c>
      <c r="C66" s="814">
        <v>38</v>
      </c>
      <c r="D66" s="2290" t="s">
        <v>27</v>
      </c>
      <c r="E66" s="2268">
        <f t="shared" si="0"/>
        <v>80</v>
      </c>
    </row>
    <row r="67" spans="1:14" x14ac:dyDescent="0.25">
      <c r="C67" s="2272">
        <f>COUNT(C9:C66)</f>
        <v>58</v>
      </c>
      <c r="D67" s="2272"/>
    </row>
    <row r="68" spans="1:14" ht="31.5" x14ac:dyDescent="0.25">
      <c r="A68" s="2091" t="s">
        <v>34</v>
      </c>
      <c r="B68" s="2083">
        <v>65</v>
      </c>
      <c r="C68" s="2093">
        <f>C8*(B68/100)</f>
        <v>32.5</v>
      </c>
      <c r="D68" s="2272"/>
    </row>
    <row r="69" spans="1:14" x14ac:dyDescent="0.25">
      <c r="A69" s="3305" t="s">
        <v>35</v>
      </c>
      <c r="B69" s="3305"/>
      <c r="C69" s="2272">
        <f>COUNTIF(C9:C66,"&gt;=" &amp;C68)</f>
        <v>58</v>
      </c>
      <c r="D69" s="2272"/>
      <c r="E69" s="2272">
        <f>COUNTIF(E9:E66,"&gt;="&amp;B68)</f>
        <v>58</v>
      </c>
    </row>
    <row r="70" spans="1:14" x14ac:dyDescent="0.25">
      <c r="A70" s="3306" t="s">
        <v>36</v>
      </c>
      <c r="B70" s="3306"/>
      <c r="C70" s="36">
        <f>C69/C67</f>
        <v>1</v>
      </c>
      <c r="D70" s="2272"/>
      <c r="E70" s="36">
        <f>(E69/A66)*100</f>
        <v>100</v>
      </c>
    </row>
    <row r="73" spans="1:14" ht="31.5" x14ac:dyDescent="0.25">
      <c r="D73" s="2083" t="s">
        <v>38</v>
      </c>
      <c r="E73" s="2083" t="s">
        <v>39</v>
      </c>
      <c r="F73" s="2091" t="s">
        <v>37</v>
      </c>
      <c r="H73" s="13"/>
    </row>
    <row r="74" spans="1:14" x14ac:dyDescent="0.25">
      <c r="B74" s="2083" t="s">
        <v>22</v>
      </c>
      <c r="C74" s="36">
        <f>AVERAGE(C70)*100</f>
        <v>100</v>
      </c>
      <c r="D74" s="2272">
        <f>IF(C74&gt;=70,3,IF(AND(C74&gt;=60,C74&lt;70),2,IF(AND(C74&gt;=50,C74&lt;60),1)))</f>
        <v>3</v>
      </c>
      <c r="E74" s="2272">
        <f>IF(E70&gt;=70,3,IF(AND(E70&gt;=60,E70&lt;70),2,IF(AND(E70&gt;=50,E70&lt;60),1)))</f>
        <v>3</v>
      </c>
      <c r="F74" s="2272">
        <f>(50/100)*E74+(50/100)*D74</f>
        <v>3</v>
      </c>
      <c r="H74" s="2286"/>
    </row>
    <row r="75" spans="1:14" x14ac:dyDescent="0.25">
      <c r="B75" s="2083" t="s">
        <v>40</v>
      </c>
      <c r="C75" s="36">
        <f>AVERAGE(C70)*100</f>
        <v>100</v>
      </c>
      <c r="D75" s="2272">
        <f t="shared" ref="D75:D77" si="1">IF(C75&gt;=70,3,IF(AND(C75&gt;=60,C75&lt;70),2,IF(AND(C75&gt;=50,C75&lt;60),1)))</f>
        <v>3</v>
      </c>
      <c r="E75" s="2272">
        <f>IF(E70&gt;=70,3,IF(AND(E70&gt;=60,E70&lt;70),2,IF(AND(E70&gt;=50,E70&lt;60),1)))</f>
        <v>3</v>
      </c>
      <c r="F75" s="2272">
        <f>(50/100)*E75+(50/100)*D75</f>
        <v>3</v>
      </c>
      <c r="H75" s="2286"/>
    </row>
    <row r="76" spans="1:14" x14ac:dyDescent="0.25">
      <c r="B76" s="2083" t="s">
        <v>41</v>
      </c>
      <c r="C76" s="36">
        <f>AVERAGE(C70)*100</f>
        <v>100</v>
      </c>
      <c r="D76" s="2272">
        <f t="shared" si="1"/>
        <v>3</v>
      </c>
      <c r="E76" s="2272">
        <f>IF(E70&gt;=70,3,IF(AND(E70&gt;=60,E70&lt;70),2,IF(AND(E70&gt;=50,E70&lt;60),1)))</f>
        <v>3</v>
      </c>
      <c r="F76" s="2272">
        <f>(50/100)*E76+(50/100)*D76</f>
        <v>3</v>
      </c>
      <c r="H76" s="2286"/>
    </row>
    <row r="77" spans="1:14" x14ac:dyDescent="0.25">
      <c r="B77" s="2083" t="s">
        <v>42</v>
      </c>
      <c r="C77" s="36">
        <f>AVERAGE(C70)*100</f>
        <v>100</v>
      </c>
      <c r="D77" s="2272">
        <f t="shared" si="1"/>
        <v>3</v>
      </c>
      <c r="E77" s="2272">
        <f>IF(E70&gt;=70,3,IF(AND(E70&gt;=60,E70&lt;70),2,IF(AND(E70&gt;=50,E70&lt;60),1)))</f>
        <v>3</v>
      </c>
      <c r="F77" s="2272">
        <f>(50/100)*E77+(50/100)*D77</f>
        <v>3</v>
      </c>
      <c r="H77" s="2286"/>
    </row>
    <row r="78" spans="1:14" x14ac:dyDescent="0.25">
      <c r="B78" s="2292" t="s">
        <v>44</v>
      </c>
      <c r="C78" s="2292"/>
      <c r="D78" s="2292"/>
      <c r="E78" s="2292"/>
      <c r="F78" s="2272">
        <f>AVERAGE(F74:F74)</f>
        <v>3</v>
      </c>
      <c r="H78" s="342"/>
    </row>
    <row r="80" spans="1:14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x14ac:dyDescent="0.25">
      <c r="A81" s="2872" t="s">
        <v>134</v>
      </c>
      <c r="B81" s="2872"/>
      <c r="C81" s="47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x14ac:dyDescent="0.25">
      <c r="B83" s="2126" t="s">
        <v>45</v>
      </c>
      <c r="C83" s="570" t="s">
        <v>46</v>
      </c>
      <c r="D83" s="570" t="s">
        <v>135</v>
      </c>
      <c r="E83" s="570" t="s">
        <v>48</v>
      </c>
      <c r="F83" s="570" t="s">
        <v>49</v>
      </c>
      <c r="G83" s="570" t="s">
        <v>50</v>
      </c>
      <c r="H83" s="570" t="s">
        <v>136</v>
      </c>
      <c r="I83" s="570" t="s">
        <v>52</v>
      </c>
      <c r="J83" s="570" t="s">
        <v>53</v>
      </c>
      <c r="K83" s="570" t="s">
        <v>54</v>
      </c>
      <c r="L83" s="570" t="s">
        <v>55</v>
      </c>
      <c r="M83" s="570" t="s">
        <v>56</v>
      </c>
      <c r="N83" s="570" t="s">
        <v>57</v>
      </c>
    </row>
    <row r="84" spans="1:14" ht="18.75" x14ac:dyDescent="0.25">
      <c r="B84" s="571" t="s">
        <v>22</v>
      </c>
      <c r="C84" s="2349">
        <v>3</v>
      </c>
      <c r="D84" s="2349">
        <v>3</v>
      </c>
      <c r="E84" s="2349">
        <v>2</v>
      </c>
      <c r="F84" s="2349">
        <v>2</v>
      </c>
      <c r="G84" s="2349">
        <v>2</v>
      </c>
      <c r="H84" s="2349">
        <v>1</v>
      </c>
      <c r="I84" s="2349">
        <v>1</v>
      </c>
      <c r="J84" s="2349"/>
      <c r="K84" s="2349">
        <v>1</v>
      </c>
      <c r="L84" s="2349">
        <v>2</v>
      </c>
      <c r="M84" s="2349"/>
      <c r="N84" s="2349">
        <v>2</v>
      </c>
    </row>
    <row r="85" spans="1:14" ht="18.75" x14ac:dyDescent="0.25">
      <c r="B85" s="571" t="s">
        <v>40</v>
      </c>
      <c r="C85" s="2349">
        <v>3</v>
      </c>
      <c r="D85" s="2349">
        <v>3</v>
      </c>
      <c r="E85" s="2349">
        <v>3</v>
      </c>
      <c r="F85" s="2349">
        <v>3</v>
      </c>
      <c r="G85" s="2349">
        <v>3</v>
      </c>
      <c r="H85" s="2349">
        <v>1</v>
      </c>
      <c r="I85" s="2349">
        <v>1</v>
      </c>
      <c r="J85" s="2349"/>
      <c r="K85" s="2349">
        <v>2</v>
      </c>
      <c r="L85" s="2349">
        <v>2</v>
      </c>
      <c r="M85" s="2349">
        <v>2</v>
      </c>
      <c r="N85" s="2349">
        <v>2</v>
      </c>
    </row>
    <row r="86" spans="1:14" ht="18.75" x14ac:dyDescent="0.25">
      <c r="B86" s="571" t="s">
        <v>41</v>
      </c>
      <c r="C86" s="2349">
        <v>3</v>
      </c>
      <c r="D86" s="2349">
        <v>3</v>
      </c>
      <c r="E86" s="2349">
        <v>3</v>
      </c>
      <c r="F86" s="2349">
        <v>3</v>
      </c>
      <c r="G86" s="2349">
        <v>3</v>
      </c>
      <c r="H86" s="2349">
        <v>1</v>
      </c>
      <c r="I86" s="2349">
        <v>1</v>
      </c>
      <c r="J86" s="2349"/>
      <c r="K86" s="2349">
        <v>2</v>
      </c>
      <c r="L86" s="2349">
        <v>2</v>
      </c>
      <c r="M86" s="2349">
        <v>2</v>
      </c>
      <c r="N86" s="2349">
        <v>2</v>
      </c>
    </row>
    <row r="87" spans="1:14" ht="18.75" x14ac:dyDescent="0.25">
      <c r="B87" s="571" t="s">
        <v>42</v>
      </c>
      <c r="C87" s="2349">
        <v>2</v>
      </c>
      <c r="D87" s="2349">
        <v>2</v>
      </c>
      <c r="E87" s="2349">
        <v>2</v>
      </c>
      <c r="F87" s="2349">
        <v>2</v>
      </c>
      <c r="G87" s="2349">
        <v>2</v>
      </c>
      <c r="H87" s="2349">
        <v>1</v>
      </c>
      <c r="I87" s="2349">
        <v>1</v>
      </c>
      <c r="J87" s="2349"/>
      <c r="K87" s="2349">
        <v>2</v>
      </c>
      <c r="L87" s="2349">
        <v>3</v>
      </c>
      <c r="M87" s="2349">
        <v>3</v>
      </c>
      <c r="N87" s="2349">
        <v>3</v>
      </c>
    </row>
    <row r="88" spans="1:14" x14ac:dyDescent="0.25">
      <c r="B88" s="2126" t="s">
        <v>10</v>
      </c>
      <c r="C88" s="2403">
        <f>AVERAGE(C84:C87)</f>
        <v>2.75</v>
      </c>
      <c r="D88" s="2403">
        <f t="shared" ref="D88:N88" si="2">AVERAGE(D84:D87)</f>
        <v>2.75</v>
      </c>
      <c r="E88" s="2403">
        <f t="shared" si="2"/>
        <v>2.5</v>
      </c>
      <c r="F88" s="2403">
        <f t="shared" si="2"/>
        <v>2.5</v>
      </c>
      <c r="G88" s="2403">
        <f>AVERAGE(G84:G87)</f>
        <v>2.5</v>
      </c>
      <c r="H88" s="2403">
        <f t="shared" ref="H88:I88" si="3">AVERAGE(H84:H87)</f>
        <v>1</v>
      </c>
      <c r="I88" s="2403">
        <f t="shared" si="3"/>
        <v>1</v>
      </c>
      <c r="J88" s="2403"/>
      <c r="K88" s="2403">
        <f t="shared" si="2"/>
        <v>1.75</v>
      </c>
      <c r="L88" s="2403">
        <f t="shared" si="2"/>
        <v>2.25</v>
      </c>
      <c r="M88" s="2403">
        <f t="shared" si="2"/>
        <v>2.3333333333333335</v>
      </c>
      <c r="N88" s="2403">
        <f t="shared" si="2"/>
        <v>2.25</v>
      </c>
    </row>
    <row r="89" spans="1:14" x14ac:dyDescent="0.25">
      <c r="B89" s="2126" t="s">
        <v>58</v>
      </c>
      <c r="C89" s="3311">
        <f>AVERAGE(C88:N88)</f>
        <v>2.143939393939394</v>
      </c>
      <c r="D89" s="3312"/>
      <c r="E89" s="3312"/>
      <c r="F89" s="3312"/>
      <c r="G89" s="3312"/>
      <c r="H89" s="3312"/>
      <c r="I89" s="3312"/>
      <c r="J89" s="3312"/>
      <c r="K89" s="3312"/>
      <c r="L89" s="3312"/>
      <c r="M89" s="3312"/>
      <c r="N89" s="3313"/>
    </row>
    <row r="91" spans="1:14" x14ac:dyDescent="0.25">
      <c r="A91" s="2872" t="s">
        <v>323</v>
      </c>
      <c r="B91" s="2872"/>
      <c r="C91" s="472"/>
    </row>
    <row r="93" spans="1:14" x14ac:dyDescent="0.25">
      <c r="B93" s="2126" t="s">
        <v>45</v>
      </c>
      <c r="C93" s="2090" t="s">
        <v>68</v>
      </c>
      <c r="D93" s="2090" t="s">
        <v>69</v>
      </c>
      <c r="E93" s="2090" t="s">
        <v>70</v>
      </c>
      <c r="F93" s="2090" t="s">
        <v>71</v>
      </c>
      <c r="G93" s="2090" t="s">
        <v>72</v>
      </c>
      <c r="H93" s="2090" t="s">
        <v>73</v>
      </c>
      <c r="I93" s="2090" t="s">
        <v>74</v>
      </c>
      <c r="J93" s="2090" t="s">
        <v>75</v>
      </c>
      <c r="K93" s="2090" t="s">
        <v>76</v>
      </c>
      <c r="L93" s="2090" t="s">
        <v>77</v>
      </c>
      <c r="M93" s="2090" t="s">
        <v>78</v>
      </c>
      <c r="N93" s="2090" t="s">
        <v>79</v>
      </c>
    </row>
    <row r="94" spans="1:14" x14ac:dyDescent="0.25">
      <c r="B94" s="2088" t="s">
        <v>20</v>
      </c>
      <c r="C94" s="2270">
        <f>F74*C84/3</f>
        <v>3</v>
      </c>
      <c r="D94" s="2270">
        <f>F74*D84/3</f>
        <v>3</v>
      </c>
      <c r="E94" s="2270">
        <f>$F$74*E84/3</f>
        <v>2</v>
      </c>
      <c r="F94" s="2270">
        <f t="shared" ref="F94:N94" si="4">$F$74*F84/3</f>
        <v>2</v>
      </c>
      <c r="G94" s="2270">
        <f t="shared" si="4"/>
        <v>2</v>
      </c>
      <c r="H94" s="2270">
        <f t="shared" si="4"/>
        <v>1</v>
      </c>
      <c r="I94" s="2270">
        <f t="shared" si="4"/>
        <v>1</v>
      </c>
      <c r="J94" s="2270"/>
      <c r="K94" s="2270">
        <f t="shared" si="4"/>
        <v>1</v>
      </c>
      <c r="L94" s="2270">
        <f t="shared" si="4"/>
        <v>2</v>
      </c>
      <c r="M94" s="2270"/>
      <c r="N94" s="2270">
        <f t="shared" si="4"/>
        <v>2</v>
      </c>
    </row>
    <row r="95" spans="1:14" x14ac:dyDescent="0.25">
      <c r="B95" s="2088" t="s">
        <v>21</v>
      </c>
      <c r="C95" s="2270">
        <f t="shared" ref="C95:C97" si="5">F75*C85/3</f>
        <v>3</v>
      </c>
      <c r="D95" s="2270">
        <f t="shared" ref="D95:D97" si="6">F75*D85/3</f>
        <v>3</v>
      </c>
      <c r="E95" s="2270">
        <f t="shared" ref="E95:E97" si="7">F75*E85/3</f>
        <v>3</v>
      </c>
      <c r="F95" s="2270">
        <f>$F$75*F85/3</f>
        <v>3</v>
      </c>
      <c r="G95" s="2270">
        <f t="shared" ref="G95:N95" si="8">$F$75*G85/3</f>
        <v>3</v>
      </c>
      <c r="H95" s="2270">
        <f t="shared" si="8"/>
        <v>1</v>
      </c>
      <c r="I95" s="2270">
        <f t="shared" si="8"/>
        <v>1</v>
      </c>
      <c r="J95" s="2270"/>
      <c r="K95" s="2270">
        <f t="shared" si="8"/>
        <v>2</v>
      </c>
      <c r="L95" s="2270">
        <f t="shared" si="8"/>
        <v>2</v>
      </c>
      <c r="M95" s="2270">
        <f t="shared" si="8"/>
        <v>2</v>
      </c>
      <c r="N95" s="2270">
        <f t="shared" si="8"/>
        <v>2</v>
      </c>
    </row>
    <row r="96" spans="1:14" x14ac:dyDescent="0.25">
      <c r="B96" s="2088" t="s">
        <v>23</v>
      </c>
      <c r="C96" s="2270">
        <f t="shared" si="5"/>
        <v>3</v>
      </c>
      <c r="D96" s="2270">
        <f t="shared" si="6"/>
        <v>3</v>
      </c>
      <c r="E96" s="2270">
        <f t="shared" si="7"/>
        <v>3</v>
      </c>
      <c r="F96" s="2270">
        <f>$F$76*F86/3</f>
        <v>3</v>
      </c>
      <c r="G96" s="2270">
        <f t="shared" ref="G96:N96" si="9">$F$76*G86/3</f>
        <v>3</v>
      </c>
      <c r="H96" s="2270">
        <f t="shared" si="9"/>
        <v>1</v>
      </c>
      <c r="I96" s="2270">
        <f t="shared" si="9"/>
        <v>1</v>
      </c>
      <c r="J96" s="2270"/>
      <c r="K96" s="2270">
        <f t="shared" si="9"/>
        <v>2</v>
      </c>
      <c r="L96" s="2270">
        <f t="shared" si="9"/>
        <v>2</v>
      </c>
      <c r="M96" s="2270">
        <f t="shared" si="9"/>
        <v>2</v>
      </c>
      <c r="N96" s="2270">
        <f t="shared" si="9"/>
        <v>2</v>
      </c>
    </row>
    <row r="97" spans="1:14" x14ac:dyDescent="0.25">
      <c r="B97" s="2088" t="s">
        <v>25</v>
      </c>
      <c r="C97" s="2270">
        <f t="shared" si="5"/>
        <v>2</v>
      </c>
      <c r="D97" s="2270">
        <f t="shared" si="6"/>
        <v>2</v>
      </c>
      <c r="E97" s="2270">
        <f t="shared" si="7"/>
        <v>2</v>
      </c>
      <c r="F97" s="2270">
        <f>$F$77*F87/3</f>
        <v>2</v>
      </c>
      <c r="G97" s="2270">
        <f t="shared" ref="G97:N97" si="10">$F$77*G87/3</f>
        <v>2</v>
      </c>
      <c r="H97" s="2270">
        <f t="shared" si="10"/>
        <v>1</v>
      </c>
      <c r="I97" s="2270">
        <f t="shared" si="10"/>
        <v>1</v>
      </c>
      <c r="J97" s="2270"/>
      <c r="K97" s="2270">
        <f t="shared" si="10"/>
        <v>2</v>
      </c>
      <c r="L97" s="2270">
        <f t="shared" si="10"/>
        <v>3</v>
      </c>
      <c r="M97" s="2270">
        <f t="shared" si="10"/>
        <v>3</v>
      </c>
      <c r="N97" s="2270">
        <f t="shared" si="10"/>
        <v>3</v>
      </c>
    </row>
    <row r="98" spans="1:14" x14ac:dyDescent="0.25">
      <c r="B98" s="2126" t="s">
        <v>10</v>
      </c>
      <c r="C98" s="931">
        <f>AVERAGE(C94:C97)</f>
        <v>2.75</v>
      </c>
      <c r="D98" s="931">
        <f t="shared" ref="D98:N98" si="11">AVERAGE(D94:D97)</f>
        <v>2.75</v>
      </c>
      <c r="E98" s="931">
        <f t="shared" si="11"/>
        <v>2.5</v>
      </c>
      <c r="F98" s="931">
        <f t="shared" si="11"/>
        <v>2.5</v>
      </c>
      <c r="G98" s="931">
        <f t="shared" si="11"/>
        <v>2.5</v>
      </c>
      <c r="H98" s="931">
        <f t="shared" si="11"/>
        <v>1</v>
      </c>
      <c r="I98" s="931">
        <f t="shared" si="11"/>
        <v>1</v>
      </c>
      <c r="J98" s="931"/>
      <c r="K98" s="931">
        <f t="shared" si="11"/>
        <v>1.75</v>
      </c>
      <c r="L98" s="931">
        <f t="shared" si="11"/>
        <v>2.25</v>
      </c>
      <c r="M98" s="931">
        <f t="shared" si="11"/>
        <v>2.3333333333333335</v>
      </c>
      <c r="N98" s="931">
        <f t="shared" si="11"/>
        <v>2.25</v>
      </c>
    </row>
    <row r="99" spans="1:14" x14ac:dyDescent="0.25">
      <c r="B99" s="2126" t="s">
        <v>58</v>
      </c>
      <c r="C99" s="3024">
        <f>AVERAGE(C98:N98)</f>
        <v>2.143939393939394</v>
      </c>
      <c r="D99" s="3310"/>
      <c r="E99" s="3310"/>
      <c r="F99" s="3310"/>
      <c r="G99" s="3310"/>
      <c r="H99" s="3310"/>
      <c r="I99" s="3310"/>
      <c r="J99" s="3310"/>
      <c r="K99" s="3310"/>
      <c r="L99" s="3310"/>
      <c r="M99" s="3310"/>
      <c r="N99" s="3026"/>
    </row>
    <row r="101" spans="1:14" x14ac:dyDescent="0.25">
      <c r="B101" s="342"/>
      <c r="C101" s="342"/>
      <c r="D101" s="342"/>
      <c r="E101" s="342"/>
      <c r="F101" s="735"/>
      <c r="G101" s="735"/>
      <c r="H101" s="735"/>
      <c r="I101" s="735"/>
      <c r="J101" s="735"/>
      <c r="K101" s="735"/>
      <c r="L101" s="735"/>
      <c r="M101" s="735"/>
      <c r="N101" s="735"/>
    </row>
    <row r="102" spans="1:14" x14ac:dyDescent="0.25">
      <c r="A102" s="2872" t="s">
        <v>137</v>
      </c>
      <c r="B102" s="2872"/>
      <c r="C102" s="19"/>
      <c r="D102" s="19"/>
      <c r="E102" s="19"/>
      <c r="F102" s="22"/>
      <c r="G102" s="2872" t="s">
        <v>324</v>
      </c>
      <c r="H102" s="2872"/>
      <c r="I102" s="22"/>
      <c r="J102" s="22"/>
      <c r="K102" s="22"/>
      <c r="L102" s="22"/>
      <c r="M102" s="22"/>
      <c r="N102" s="22"/>
    </row>
    <row r="103" spans="1:14" x14ac:dyDescent="0.25">
      <c r="B103" s="472"/>
      <c r="C103" s="472"/>
      <c r="D103" s="19"/>
      <c r="E103" s="19"/>
      <c r="F103" s="22"/>
      <c r="G103" s="2872"/>
      <c r="H103" s="2872"/>
      <c r="I103" s="22"/>
      <c r="J103" s="22"/>
      <c r="K103" s="22"/>
      <c r="L103" s="22"/>
      <c r="M103" s="22"/>
      <c r="N103" s="22"/>
    </row>
    <row r="104" spans="1:14" x14ac:dyDescent="0.25">
      <c r="B104" s="2126" t="s">
        <v>59</v>
      </c>
      <c r="C104" s="748" t="s">
        <v>87</v>
      </c>
      <c r="D104" s="748" t="s">
        <v>88</v>
      </c>
      <c r="E104" s="748" t="s">
        <v>85</v>
      </c>
      <c r="F104" s="2127"/>
      <c r="G104" s="2126" t="s">
        <v>59</v>
      </c>
      <c r="H104" s="2090" t="s">
        <v>60</v>
      </c>
      <c r="I104" s="2090" t="s">
        <v>61</v>
      </c>
      <c r="J104" s="2090" t="s">
        <v>62</v>
      </c>
      <c r="L104" s="2127"/>
      <c r="M104" s="2127"/>
      <c r="N104" s="2127"/>
    </row>
    <row r="105" spans="1:14" x14ac:dyDescent="0.25">
      <c r="B105" s="572" t="s">
        <v>22</v>
      </c>
      <c r="C105" s="856">
        <v>3</v>
      </c>
      <c r="D105" s="856">
        <v>3</v>
      </c>
      <c r="E105" s="856">
        <v>2</v>
      </c>
      <c r="F105" s="2127"/>
      <c r="G105" s="967" t="s">
        <v>20</v>
      </c>
      <c r="H105" s="2270">
        <f>F74*C105/3</f>
        <v>3</v>
      </c>
      <c r="I105" s="2270">
        <f>F74*D105/3</f>
        <v>3</v>
      </c>
      <c r="J105" s="2270">
        <f>F74*E105/3</f>
        <v>2</v>
      </c>
      <c r="L105" s="2127"/>
      <c r="M105" s="2127"/>
      <c r="N105" s="2127"/>
    </row>
    <row r="106" spans="1:14" x14ac:dyDescent="0.25">
      <c r="B106" s="572" t="s">
        <v>40</v>
      </c>
      <c r="C106" s="856">
        <v>3</v>
      </c>
      <c r="D106" s="856">
        <v>2</v>
      </c>
      <c r="E106" s="856">
        <v>2</v>
      </c>
      <c r="F106" s="24"/>
      <c r="G106" s="967" t="s">
        <v>21</v>
      </c>
      <c r="H106" s="2270">
        <f>F75*C106/3</f>
        <v>3</v>
      </c>
      <c r="I106" s="2270">
        <f>F75*D106/3</f>
        <v>2</v>
      </c>
      <c r="J106" s="2270">
        <f>F75*E106/3</f>
        <v>2</v>
      </c>
      <c r="L106" s="24"/>
      <c r="M106" s="24"/>
      <c r="N106" s="24"/>
    </row>
    <row r="107" spans="1:14" x14ac:dyDescent="0.25">
      <c r="B107" s="572" t="s">
        <v>41</v>
      </c>
      <c r="C107" s="856">
        <v>3</v>
      </c>
      <c r="D107" s="856">
        <v>2</v>
      </c>
      <c r="E107" s="856">
        <v>2</v>
      </c>
      <c r="F107" s="24"/>
      <c r="G107" s="967" t="s">
        <v>23</v>
      </c>
      <c r="H107" s="2270">
        <f>F76*C107/3</f>
        <v>3</v>
      </c>
      <c r="I107" s="2270">
        <f>F76*D107/3</f>
        <v>2</v>
      </c>
      <c r="J107" s="2270">
        <f>F76*E107/3</f>
        <v>2</v>
      </c>
      <c r="L107" s="24"/>
      <c r="M107" s="24"/>
      <c r="N107" s="24"/>
    </row>
    <row r="108" spans="1:14" x14ac:dyDescent="0.25">
      <c r="B108" s="572" t="s">
        <v>42</v>
      </c>
      <c r="C108" s="749">
        <v>3</v>
      </c>
      <c r="D108" s="856">
        <v>3</v>
      </c>
      <c r="E108" s="856">
        <v>2</v>
      </c>
      <c r="F108" s="24"/>
      <c r="G108" s="967" t="s">
        <v>25</v>
      </c>
      <c r="H108" s="2270">
        <f>F77*C108/3</f>
        <v>3</v>
      </c>
      <c r="I108" s="2270">
        <f>F77*D108/3</f>
        <v>3</v>
      </c>
      <c r="J108" s="2270">
        <f>F77*E108/3</f>
        <v>2</v>
      </c>
      <c r="L108" s="24"/>
      <c r="M108" s="24"/>
      <c r="N108" s="24"/>
    </row>
    <row r="109" spans="1:14" x14ac:dyDescent="0.25">
      <c r="B109" s="2126" t="s">
        <v>10</v>
      </c>
      <c r="C109" s="909">
        <f>AVERAGE(C105:C108)</f>
        <v>3</v>
      </c>
      <c r="D109" s="909">
        <f t="shared" ref="D109:E109" si="12">AVERAGE(D105:D108)</f>
        <v>2.5</v>
      </c>
      <c r="E109" s="909">
        <f t="shared" si="12"/>
        <v>2</v>
      </c>
      <c r="F109" s="910"/>
      <c r="G109" s="2126" t="s">
        <v>10</v>
      </c>
      <c r="H109" s="2268">
        <f>AVERAGE(H105:H108)</f>
        <v>3</v>
      </c>
      <c r="I109" s="2268">
        <f t="shared" ref="I109:J109" si="13">AVERAGE(I105:I108)</f>
        <v>2.5</v>
      </c>
      <c r="J109" s="2268">
        <f t="shared" si="13"/>
        <v>2</v>
      </c>
      <c r="L109" s="910"/>
      <c r="M109" s="910"/>
      <c r="N109" s="910"/>
    </row>
    <row r="110" spans="1:14" x14ac:dyDescent="0.25">
      <c r="B110" s="2126" t="s">
        <v>58</v>
      </c>
      <c r="C110" s="3913">
        <f>AVERAGE(C109:E109)</f>
        <v>2.5</v>
      </c>
      <c r="D110" s="3914"/>
      <c r="E110" s="3915"/>
      <c r="F110" s="912"/>
      <c r="G110" s="2126" t="s">
        <v>58</v>
      </c>
      <c r="H110" s="3110">
        <f>AVERAGE(H109:J109)</f>
        <v>2.5</v>
      </c>
      <c r="I110" s="3628"/>
      <c r="J110" s="3112"/>
      <c r="L110" s="912"/>
      <c r="M110" s="912"/>
      <c r="N110" s="912"/>
    </row>
    <row r="114" spans="3:3" x14ac:dyDescent="0.25">
      <c r="C114" s="2401" t="s">
        <v>384</v>
      </c>
    </row>
    <row r="115" spans="3:3" x14ac:dyDescent="0.25">
      <c r="C115" s="2402"/>
    </row>
    <row r="116" spans="3:3" x14ac:dyDescent="0.25">
      <c r="C116" s="2402" t="s">
        <v>385</v>
      </c>
    </row>
    <row r="117" spans="3:3" x14ac:dyDescent="0.25">
      <c r="C117"/>
    </row>
    <row r="118" spans="3:3" x14ac:dyDescent="0.25">
      <c r="C118" s="2401" t="s">
        <v>386</v>
      </c>
    </row>
    <row r="119" spans="3:3" x14ac:dyDescent="0.25">
      <c r="C119" s="2402"/>
    </row>
    <row r="120" spans="3:3" x14ac:dyDescent="0.25">
      <c r="C120" s="2402" t="s">
        <v>387</v>
      </c>
    </row>
    <row r="121" spans="3:3" x14ac:dyDescent="0.25">
      <c r="C121"/>
    </row>
    <row r="122" spans="3:3" x14ac:dyDescent="0.25">
      <c r="C122" s="2401" t="s">
        <v>388</v>
      </c>
    </row>
    <row r="123" spans="3:3" x14ac:dyDescent="0.25">
      <c r="C123" s="2402"/>
    </row>
    <row r="124" spans="3:3" x14ac:dyDescent="0.25">
      <c r="C124" s="2402" t="s">
        <v>389</v>
      </c>
    </row>
    <row r="125" spans="3:3" x14ac:dyDescent="0.25">
      <c r="C125"/>
    </row>
    <row r="126" spans="3:3" x14ac:dyDescent="0.25">
      <c r="C126" s="2401" t="s">
        <v>390</v>
      </c>
    </row>
    <row r="127" spans="3:3" x14ac:dyDescent="0.25">
      <c r="C127" s="2402"/>
    </row>
    <row r="128" spans="3:3" x14ac:dyDescent="0.25">
      <c r="C128" s="2402" t="s">
        <v>391</v>
      </c>
    </row>
  </sheetData>
  <mergeCells count="19">
    <mergeCell ref="A2:B2"/>
    <mergeCell ref="A3:B3"/>
    <mergeCell ref="A4:B4"/>
    <mergeCell ref="A5:A7"/>
    <mergeCell ref="B5:B7"/>
    <mergeCell ref="C110:E110"/>
    <mergeCell ref="H110:J110"/>
    <mergeCell ref="D5:D7"/>
    <mergeCell ref="E5:E7"/>
    <mergeCell ref="A69:B69"/>
    <mergeCell ref="A70:B70"/>
    <mergeCell ref="A81:B81"/>
    <mergeCell ref="C89:N89"/>
    <mergeCell ref="C5:C7"/>
    <mergeCell ref="A91:B91"/>
    <mergeCell ref="C99:N99"/>
    <mergeCell ref="A102:B102"/>
    <mergeCell ref="G102:H102"/>
    <mergeCell ref="G103:H103"/>
  </mergeCells>
  <conditionalFormatting sqref="D66">
    <cfRule type="containsText" dxfId="1" priority="2" operator="containsText" text="F">
      <formula>NOT(ISERROR(SEARCH("F",D66)))</formula>
    </cfRule>
  </conditionalFormatting>
  <conditionalFormatting sqref="D9:D65">
    <cfRule type="containsText" dxfId="0" priority="1" operator="containsText" text="F">
      <formula>NOT(ISERROR(SEARCH("F",D9)))</formula>
    </cfRule>
  </conditionalFormatting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9</vt:i4>
      </vt:variant>
    </vt:vector>
  </HeadingPairs>
  <TitlesOfParts>
    <vt:vector size="70" baseType="lpstr">
      <vt:lpstr>Attainments</vt:lpstr>
      <vt:lpstr>M-I</vt:lpstr>
      <vt:lpstr>M-II</vt:lpstr>
      <vt:lpstr>PHY </vt:lpstr>
      <vt:lpstr>EG</vt:lpstr>
      <vt:lpstr>PHYLAB</vt:lpstr>
      <vt:lpstr>WSLAB</vt:lpstr>
      <vt:lpstr>M-III1.2</vt:lpstr>
      <vt:lpstr>BEE</vt:lpstr>
      <vt:lpstr>CHE</vt:lpstr>
      <vt:lpstr>CPNM</vt:lpstr>
      <vt:lpstr>ENGLISH1.1</vt:lpstr>
      <vt:lpstr>CHELAB</vt:lpstr>
      <vt:lpstr>CPNMLAB</vt:lpstr>
      <vt:lpstr>M-IV</vt:lpstr>
      <vt:lpstr>NT</vt:lpstr>
      <vt:lpstr>EM</vt:lpstr>
      <vt:lpstr>EDC</vt:lpstr>
      <vt:lpstr>SS</vt:lpstr>
      <vt:lpstr>DS</vt:lpstr>
      <vt:lpstr>EDCLAB</vt:lpstr>
      <vt:lpstr>NTMLAB</vt:lpstr>
      <vt:lpstr>M-V</vt:lpstr>
      <vt:lpstr>EMFTL</vt:lpstr>
      <vt:lpstr>AEC</vt:lpstr>
      <vt:lpstr>STLD</vt:lpstr>
      <vt:lpstr>PTRP</vt:lpstr>
      <vt:lpstr>ES</vt:lpstr>
      <vt:lpstr>UHV</vt:lpstr>
      <vt:lpstr>AECLAB</vt:lpstr>
      <vt:lpstr>DICLAB</vt:lpstr>
      <vt:lpstr>LICA3.1</vt:lpstr>
      <vt:lpstr>CS</vt:lpstr>
      <vt:lpstr>AWP</vt:lpstr>
      <vt:lpstr>PDC</vt:lpstr>
      <vt:lpstr>AC&amp;DC</vt:lpstr>
      <vt:lpstr>CNE</vt:lpstr>
      <vt:lpstr>MOOCs-1</vt:lpstr>
      <vt:lpstr>LICLAB</vt:lpstr>
      <vt:lpstr>ACDC-LAB</vt:lpstr>
      <vt:lpstr>VLSI3.2</vt:lpstr>
      <vt:lpstr>DSP</vt:lpstr>
      <vt:lpstr>MPMC</vt:lpstr>
      <vt:lpstr>ITC</vt:lpstr>
      <vt:lpstr>EMI</vt:lpstr>
      <vt:lpstr>CMC</vt:lpstr>
      <vt:lpstr>SC</vt:lpstr>
      <vt:lpstr>DSPLAB</vt:lpstr>
      <vt:lpstr>MPMCLAB</vt:lpstr>
      <vt:lpstr>PEM</vt:lpstr>
      <vt:lpstr>MWE</vt:lpstr>
      <vt:lpstr>RE</vt:lpstr>
      <vt:lpstr>FOC</vt:lpstr>
      <vt:lpstr>IOT1</vt:lpstr>
      <vt:lpstr>EMBEDDEDSYS</vt:lpstr>
      <vt:lpstr>GPS</vt:lpstr>
      <vt:lpstr>MWELAB</vt:lpstr>
      <vt:lpstr>SKILL LAB</vt:lpstr>
      <vt:lpstr>INTERNSHIP</vt:lpstr>
      <vt:lpstr>MOOCs-II</vt:lpstr>
      <vt:lpstr>PROJECT4.2</vt:lpstr>
      <vt:lpstr>Attainments!Print_Area</vt:lpstr>
      <vt:lpstr>CNE!Print_Area</vt:lpstr>
      <vt:lpstr>EG!Print_Area</vt:lpstr>
      <vt:lpstr>ENGLISH1.1!Print_Area</vt:lpstr>
      <vt:lpstr>ES!Print_Area</vt:lpstr>
      <vt:lpstr>FOC!Print_Area</vt:lpstr>
      <vt:lpstr>'M-I'!Print_Area</vt:lpstr>
      <vt:lpstr>'M-II'!Print_Area</vt:lpstr>
      <vt:lpstr>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mahesh</cp:lastModifiedBy>
  <cp:lastPrinted>2026-04-15T11:09:30Z</cp:lastPrinted>
  <dcterms:created xsi:type="dcterms:W3CDTF">2018-11-17T15:49:15Z</dcterms:created>
  <dcterms:modified xsi:type="dcterms:W3CDTF">2026-05-15T04:53:46Z</dcterms:modified>
</cp:coreProperties>
</file>